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mc:AlternateContent xmlns:mc="http://schemas.openxmlformats.org/markup-compatibility/2006">
    <mc:Choice Requires="x15">
      <x15ac:absPath xmlns:x15ac="http://schemas.microsoft.com/office/spreadsheetml/2010/11/ac" url="https://whoi-my.sharepoint.com/personal/jhuber_whoi_edu/Documents/Documents/Manuscripts in Progress/Submitted/Fortunato_Elkassas_RNASIP/Submitted_AEM_April2025/"/>
    </mc:Choice>
  </mc:AlternateContent>
  <xr:revisionPtr revIDLastSave="388" documentId="8_{6725D7B7-37CF-4050-A1B3-C391BD4E1077}" xr6:coauthVersionLast="47" xr6:coauthVersionMax="47" xr10:uidLastSave="{A37BBAD4-F28D-4423-830C-9947ED320EEC}"/>
  <bookViews>
    <workbookView xWindow="-120" yWindow="-120" windowWidth="29040" windowHeight="15840" firstSheet="11" xr2:uid="{F86A5497-C65B-A44F-B039-3E8F54A17035}"/>
  </bookViews>
  <sheets>
    <sheet name="Suppl. 1 Chemistry_summary" sheetId="19" r:id="rId1"/>
    <sheet name="Suppl 2. Chemistry" sheetId="13" r:id="rId2"/>
    <sheet name="Suppl. 3 O2" sheetId="14" r:id="rId3"/>
    <sheet name="Suppl. 4_metaG_metaT_acc_no" sheetId="3" r:id="rId4"/>
    <sheet name="Suppl. 5_sortmerna" sheetId="5" r:id="rId5"/>
    <sheet name="Suppl. 6 All MAGs Statistics" sheetId="9" r:id="rId6"/>
    <sheet name="Suppl 7. Input to MAGS" sheetId="8" r:id="rId7"/>
    <sheet name="Suppl 8. Input bubble plot" sheetId="11" r:id="rId8"/>
    <sheet name="Suppl 9. Taxonomy&amp;Function" sheetId="12" r:id="rId9"/>
    <sheet name="Suppl. 10 number of SDE genes" sheetId="10" r:id="rId10"/>
    <sheet name="Suppl. 11 input SDE 1" sheetId="15" r:id="rId11"/>
    <sheet name="Suppl. 12 input SDE 2" sheetId="16" r:id="rId12"/>
    <sheet name="Suppl. 13 input SDE 3" sheetId="17" r:id="rId13"/>
    <sheet name="Suppl. 14 bin hydrogenases" sheetId="18"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3" i="14" l="1"/>
  <c r="P52" i="14"/>
  <c r="AA77" i="13"/>
  <c r="AA76" i="13"/>
  <c r="AA75" i="13"/>
  <c r="AD74" i="13"/>
  <c r="AA74" i="13"/>
  <c r="AA73" i="13"/>
  <c r="AA72" i="13"/>
  <c r="AA71" i="13"/>
  <c r="AA70" i="13"/>
  <c r="AA69" i="13"/>
  <c r="AA68" i="13"/>
  <c r="AA67" i="13"/>
  <c r="AA66" i="13"/>
  <c r="AA65" i="13"/>
  <c r="AA64" i="13"/>
  <c r="AA63" i="13"/>
  <c r="AA62" i="13"/>
  <c r="AA61" i="13"/>
  <c r="AA60" i="13"/>
  <c r="AA59" i="13"/>
  <c r="AA58" i="13"/>
  <c r="AA57" i="13"/>
  <c r="AA56" i="13"/>
  <c r="AA55" i="13"/>
  <c r="AA54" i="13"/>
  <c r="AA53" i="13"/>
  <c r="AA51" i="13"/>
  <c r="AA50" i="13"/>
  <c r="AA49" i="13"/>
  <c r="AA48" i="13"/>
  <c r="AA47" i="13"/>
  <c r="AA46" i="13"/>
  <c r="AA45" i="13"/>
  <c r="AA44" i="13"/>
  <c r="AA43" i="13"/>
  <c r="AA42" i="13"/>
  <c r="AA41" i="13"/>
  <c r="AA40" i="13"/>
  <c r="AA39" i="13"/>
  <c r="AA38" i="13"/>
  <c r="AA37" i="13"/>
  <c r="AA36" i="13"/>
  <c r="AA35" i="13"/>
  <c r="AA34" i="13"/>
  <c r="AA33" i="13"/>
  <c r="AA32" i="13"/>
  <c r="AA31" i="13"/>
  <c r="AA29" i="13"/>
  <c r="AA28" i="13"/>
  <c r="AA27" i="13"/>
  <c r="AA26" i="13"/>
  <c r="AA25" i="13"/>
  <c r="AA24" i="13"/>
  <c r="AA23" i="13"/>
  <c r="AA22" i="13"/>
  <c r="AA21" i="13"/>
  <c r="AA20" i="13"/>
  <c r="AA19" i="13"/>
  <c r="AA17" i="13"/>
  <c r="AA16" i="13"/>
  <c r="AA15" i="13"/>
  <c r="AA14" i="13"/>
  <c r="AA13" i="13"/>
  <c r="AA12" i="13"/>
  <c r="AA1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tc={6BC7DFC2-F870-474D-B8AD-D4999EF1D7BB}</author>
    <author>tc={42B2C3A9-E017-4F39-B108-90A5057973E4}</author>
  </authors>
  <commentList>
    <comment ref="K4" authorId="0" shapeId="0" xr:uid="{6BC7DFC2-F870-474D-B8AD-D4999EF1D7B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@Sabrina Elkassas </t>
      </text>
    </comment>
    <comment ref="K6" authorId="1" shapeId="0" xr:uid="{42B2C3A9-E017-4F39-B108-90A5057973E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@Sabrina Elkassas </t>
      </text>
    </comment>
  </commentList>
</comments>
</file>

<file path=xl/sharedStrings.xml><?xml version="1.0" encoding="utf-8"?>
<sst xmlns="http://schemas.openxmlformats.org/spreadsheetml/2006/main" count="54634" uniqueCount="3408">
  <si>
    <r>
      <t>Table S1. Measurements of chemical species and microbial counts for diffuse vent sites Anemone, Marker 33, and Marker 113 from 2013 and 2014 as reported in Fortunato et al. 2018 (10), as well as the near-by high temperature end-member chemistry. H</t>
    </r>
    <r>
      <rPr>
        <vertAlign val="subscript"/>
        <sz val="12"/>
        <color rgb="FF000000"/>
        <rFont val="Arial"/>
      </rPr>
      <t>2</t>
    </r>
    <r>
      <rPr>
        <sz val="12"/>
        <color rgb="FF000000"/>
        <rFont val="Arial"/>
      </rPr>
      <t xml:space="preserve"> and CH</t>
    </r>
    <r>
      <rPr>
        <vertAlign val="subscript"/>
        <sz val="12"/>
        <color rgb="FF000000"/>
        <rFont val="Arial"/>
      </rPr>
      <t>4</t>
    </r>
    <r>
      <rPr>
        <sz val="12"/>
        <color rgb="FF000000"/>
        <rFont val="Arial"/>
      </rPr>
      <t xml:space="preserve"> for Marker 33 and 113 end-members were estimated using methods described in Stewart </t>
    </r>
    <r>
      <rPr>
        <i/>
        <sz val="12"/>
        <color rgb="FF000000"/>
        <rFont val="Arial"/>
      </rPr>
      <t>et al</t>
    </r>
    <r>
      <rPr>
        <sz val="12"/>
        <color rgb="FF000000"/>
        <rFont val="Arial"/>
      </rPr>
      <t>., 2019 (28). Percent seawater was extrapolated using magnesium as a conservative tracer: [Mg]vent/[Mg]seawater × 100, and background seawater Mg concentration at 1500 m was 52.4 mmol/kg. </t>
    </r>
  </si>
  <si>
    <t> </t>
  </si>
  <si>
    <t>​</t>
  </si>
  <si>
    <t>Seawater​</t>
  </si>
  <si>
    <t>Anemone subseafloor source​</t>
  </si>
  <si>
    <t>Anemone diffuse vent​</t>
  </si>
  <si>
    <t>Marker 33 subseafloor   estimated source​</t>
  </si>
  <si>
    <t>Marker 33 diffuse vent​</t>
  </si>
  <si>
    <t>Marker 113 subseafloor  estimated source​</t>
  </si>
  <si>
    <t>Marker 113 diffuse vent​</t>
  </si>
  <si>
    <t>Year​</t>
  </si>
  <si>
    <t>2015​</t>
  </si>
  <si>
    <t>2013​</t>
  </si>
  <si>
    <t>2014​</t>
  </si>
  <si>
    <t>Depth (m)​</t>
  </si>
  <si>
    <t>1520​</t>
  </si>
  <si>
    <t>1542.8​</t>
  </si>
  <si>
    <t>1542​</t>
  </si>
  <si>
    <t>1539​</t>
  </si>
  <si>
    <t>1516​</t>
  </si>
  <si>
    <t>1514​</t>
  </si>
  <si>
    <t>1518​</t>
  </si>
  <si>
    <t>Temperature (°C)​</t>
  </si>
  <si>
    <t>2​</t>
  </si>
  <si>
    <t>232.4​</t>
  </si>
  <si>
    <t>28.2​</t>
  </si>
  <si>
    <t>20.3​</t>
  </si>
  <si>
    <t>340​</t>
  </si>
  <si>
    <t>27.3​</t>
  </si>
  <si>
    <t>18.5​</t>
  </si>
  <si>
    <t>24.5​</t>
  </si>
  <si>
    <t>24.3​</t>
  </si>
  <si>
    <t>pH​</t>
  </si>
  <si>
    <t>7.8​</t>
  </si>
  <si>
    <t>4.3​</t>
  </si>
  <si>
    <t>5.5​</t>
  </si>
  <si>
    <t>5.1​</t>
  </si>
  <si>
    <t>4​</t>
  </si>
  <si>
    <t>5.6​</t>
  </si>
  <si>
    <t>3.3​</t>
  </si>
  <si>
    <t>6.2​</t>
  </si>
  <si>
    <t>5.8​</t>
  </si>
  <si>
    <r>
      <t>NO</t>
    </r>
    <r>
      <rPr>
        <vertAlign val="subscript"/>
        <sz val="12"/>
        <color rgb="FF000000"/>
        <rFont val="Arial"/>
        <charset val="1"/>
      </rPr>
      <t>3</t>
    </r>
    <r>
      <rPr>
        <vertAlign val="superscript"/>
        <sz val="12"/>
        <color rgb="FF000000"/>
        <rFont val="Arial"/>
        <charset val="1"/>
      </rPr>
      <t>-</t>
    </r>
    <r>
      <rPr>
        <sz val="12"/>
        <color rgb="FF000000"/>
        <rFont val="Arial"/>
        <charset val="1"/>
      </rPr>
      <t> (µmol/kg)​</t>
    </r>
  </si>
  <si>
    <t>39​</t>
  </si>
  <si>
    <t>0​</t>
  </si>
  <si>
    <t>35.5​</t>
  </si>
  <si>
    <t>35.2​</t>
  </si>
  <si>
    <t>18.3​</t>
  </si>
  <si>
    <t>7.2​</t>
  </si>
  <si>
    <t>8.1​</t>
  </si>
  <si>
    <r>
      <t>H</t>
    </r>
    <r>
      <rPr>
        <vertAlign val="subscript"/>
        <sz val="12"/>
        <color rgb="FF000000"/>
        <rFont val="Arial"/>
        <charset val="1"/>
      </rPr>
      <t>2</t>
    </r>
    <r>
      <rPr>
        <sz val="12"/>
        <color rgb="FF000000"/>
        <rFont val="Arial"/>
        <charset val="1"/>
      </rPr>
      <t> (µmol/kg)​</t>
    </r>
  </si>
  <si>
    <t>0.002​</t>
  </si>
  <si>
    <t>360​</t>
  </si>
  <si>
    <t>13.9​</t>
  </si>
  <si>
    <t>27.7​</t>
  </si>
  <si>
    <t>300​</t>
  </si>
  <si>
    <t>1.5​</t>
  </si>
  <si>
    <t>950​</t>
  </si>
  <si>
    <t>1.4​</t>
  </si>
  <si>
    <t>1​</t>
  </si>
  <si>
    <r>
      <t>H</t>
    </r>
    <r>
      <rPr>
        <vertAlign val="subscript"/>
        <sz val="12"/>
        <color rgb="FF000000"/>
        <rFont val="Arial"/>
        <charset val="1"/>
      </rPr>
      <t>2</t>
    </r>
    <r>
      <rPr>
        <sz val="12"/>
        <color rgb="FF000000"/>
        <rFont val="Arial"/>
        <charset val="1"/>
      </rPr>
      <t>S (µmol/kg)​</t>
    </r>
  </si>
  <si>
    <t>7400​</t>
  </si>
  <si>
    <t>1036​</t>
  </si>
  <si>
    <t>964.7​</t>
  </si>
  <si>
    <t>n.d.​</t>
  </si>
  <si>
    <t>545​</t>
  </si>
  <si>
    <t>262​</t>
  </si>
  <si>
    <t>729​</t>
  </si>
  <si>
    <t>556​</t>
  </si>
  <si>
    <r>
      <t>CH</t>
    </r>
    <r>
      <rPr>
        <vertAlign val="subscript"/>
        <sz val="12"/>
        <color rgb="FF000000"/>
        <rFont val="Arial"/>
        <charset val="1"/>
      </rPr>
      <t>4</t>
    </r>
    <r>
      <rPr>
        <sz val="12"/>
        <color rgb="FF000000"/>
        <rFont val="Arial"/>
        <charset val="1"/>
      </rPr>
      <t> (µmol/kg)​</t>
    </r>
  </si>
  <si>
    <t>205​</t>
  </si>
  <si>
    <t>14.8​</t>
  </si>
  <si>
    <t>31.7​</t>
  </si>
  <si>
    <t>70​</t>
  </si>
  <si>
    <t>19​</t>
  </si>
  <si>
    <t>6.4​</t>
  </si>
  <si>
    <t>56​</t>
  </si>
  <si>
    <t>16.9​</t>
  </si>
  <si>
    <t>38​</t>
  </si>
  <si>
    <t>Mg (mmol/kg)​</t>
  </si>
  <si>
    <t>52.4​</t>
  </si>
  <si>
    <t>46.5​</t>
  </si>
  <si>
    <t>45.6​</t>
  </si>
  <si>
    <t>45.9​</t>
  </si>
  <si>
    <t>48.1​</t>
  </si>
  <si>
    <t>50.2​</t>
  </si>
  <si>
    <t>48.8​</t>
  </si>
  <si>
    <r>
      <t>O</t>
    </r>
    <r>
      <rPr>
        <vertAlign val="subscript"/>
        <sz val="12"/>
        <color rgb="FF000000"/>
        <rFont val="Arial"/>
        <charset val="1"/>
      </rPr>
      <t>2</t>
    </r>
    <r>
      <rPr>
        <sz val="12"/>
        <color rgb="FF000000"/>
        <rFont val="Arial"/>
        <charset val="1"/>
      </rPr>
      <t> (µmol/L)​</t>
    </r>
  </si>
  <si>
    <t>31​</t>
  </si>
  <si>
    <t>14.4​</t>
  </si>
  <si>
    <t>17.6​</t>
  </si>
  <si>
    <t>14.7​</t>
  </si>
  <si>
    <t>23.3​</t>
  </si>
  <si>
    <t>7​</t>
  </si>
  <si>
    <t>9.9​</t>
  </si>
  <si>
    <r>
      <t>Cl</t>
    </r>
    <r>
      <rPr>
        <vertAlign val="superscript"/>
        <sz val="12"/>
        <color rgb="FF000000"/>
        <rFont val="Arial"/>
        <charset val="1"/>
      </rPr>
      <t>- </t>
    </r>
    <r>
      <rPr>
        <sz val="12"/>
        <color rgb="FF000000"/>
        <rFont val="Arial"/>
        <charset val="1"/>
      </rPr>
      <t>(µmol/L)​</t>
    </r>
  </si>
  <si>
    <t>541​</t>
  </si>
  <si>
    <t>315​</t>
  </si>
  <si>
    <t>513​</t>
  </si>
  <si>
    <t>518​</t>
  </si>
  <si>
    <t>390​</t>
  </si>
  <si>
    <t>520​</t>
  </si>
  <si>
    <t>526​</t>
  </si>
  <si>
    <t>100​</t>
  </si>
  <si>
    <t>521​</t>
  </si>
  <si>
    <t>Percent Seawater​</t>
  </si>
  <si>
    <t>88.9​</t>
  </si>
  <si>
    <t>87​</t>
  </si>
  <si>
    <t>87.7​</t>
  </si>
  <si>
    <t>91.9​</t>
  </si>
  <si>
    <t>96​</t>
  </si>
  <si>
    <t>96.4​</t>
  </si>
  <si>
    <r>
      <t>Microbial cells mL</t>
    </r>
    <r>
      <rPr>
        <vertAlign val="superscript"/>
        <sz val="12"/>
        <color rgb="FF000000"/>
        <rFont val="Arial"/>
        <charset val="1"/>
      </rPr>
      <t>-1</t>
    </r>
    <r>
      <rPr>
        <sz val="12"/>
        <color rgb="FF000000"/>
        <rFont val="Arial"/>
        <charset val="1"/>
      </rPr>
      <t>​</t>
    </r>
  </si>
  <si>
    <r>
      <t>2.4 × 10</t>
    </r>
    <r>
      <rPr>
        <vertAlign val="superscript"/>
        <sz val="12"/>
        <color rgb="FF000000"/>
        <rFont val="Arial"/>
        <charset val="1"/>
      </rPr>
      <t>4</t>
    </r>
    <r>
      <rPr>
        <sz val="12"/>
        <color rgb="FF000000"/>
        <rFont val="Arial"/>
        <charset val="1"/>
      </rPr>
      <t>​</t>
    </r>
  </si>
  <si>
    <r>
      <t>4.1 × 10</t>
    </r>
    <r>
      <rPr>
        <vertAlign val="superscript"/>
        <sz val="12"/>
        <color rgb="FF000000"/>
        <rFont val="Arial"/>
        <charset val="1"/>
      </rPr>
      <t>5</t>
    </r>
    <r>
      <rPr>
        <sz val="12"/>
        <color rgb="FF000000"/>
        <rFont val="Arial"/>
        <charset val="1"/>
      </rPr>
      <t>​</t>
    </r>
  </si>
  <si>
    <r>
      <t>1.7 × 10</t>
    </r>
    <r>
      <rPr>
        <vertAlign val="superscript"/>
        <sz val="12"/>
        <color rgb="FF000000"/>
        <rFont val="Arial"/>
        <charset val="1"/>
      </rPr>
      <t>5</t>
    </r>
    <r>
      <rPr>
        <sz val="12"/>
        <color rgb="FF000000"/>
        <rFont val="Arial"/>
        <charset val="1"/>
      </rPr>
      <t>​</t>
    </r>
  </si>
  <si>
    <r>
      <t>4.2 × 10</t>
    </r>
    <r>
      <rPr>
        <vertAlign val="superscript"/>
        <sz val="12"/>
        <color rgb="FF000000"/>
        <rFont val="Arial"/>
        <charset val="1"/>
      </rPr>
      <t>5</t>
    </r>
    <r>
      <rPr>
        <sz val="12"/>
        <color rgb="FF000000"/>
        <rFont val="Arial"/>
        <charset val="1"/>
      </rPr>
      <t>​</t>
    </r>
  </si>
  <si>
    <r>
      <t>3.9 × 10</t>
    </r>
    <r>
      <rPr>
        <vertAlign val="superscript"/>
        <sz val="12"/>
        <color rgb="FF000000"/>
        <rFont val="Arial"/>
        <charset val="1"/>
      </rPr>
      <t>5</t>
    </r>
    <r>
      <rPr>
        <sz val="12"/>
        <color rgb="FF000000"/>
        <rFont val="Arial"/>
        <charset val="1"/>
      </rPr>
      <t>​</t>
    </r>
  </si>
  <si>
    <r>
      <t>4.6 × 10</t>
    </r>
    <r>
      <rPr>
        <vertAlign val="superscript"/>
        <sz val="12"/>
        <color rgb="FF000000"/>
        <rFont val="Arial"/>
        <charset val="1"/>
      </rPr>
      <t>5</t>
    </r>
    <r>
      <rPr>
        <sz val="12"/>
        <color rgb="FF000000"/>
        <rFont val="Arial"/>
        <charset val="1"/>
      </rPr>
      <t>​</t>
    </r>
  </si>
  <si>
    <r>
      <rPr>
        <sz val="12"/>
        <color rgb="FF000000"/>
        <rFont val="Arial"/>
      </rPr>
      <t>6.8 × 10</t>
    </r>
    <r>
      <rPr>
        <vertAlign val="superscript"/>
        <sz val="12"/>
        <color rgb="FF000000"/>
        <rFont val="Arial"/>
      </rPr>
      <t>5</t>
    </r>
    <r>
      <rPr>
        <sz val="12"/>
        <color rgb="FF000000"/>
        <rFont val="Arial"/>
      </rPr>
      <t>​</t>
    </r>
  </si>
  <si>
    <t xml:space="preserve">Table S2. Major and minor ions, temperatures, sample latitudes and longitudes, pH, and gas chemistry of the vents sampled in this study (highlighted in orange),  as well as additional samples taken for general geochemical measurements. </t>
  </si>
  <si>
    <t>Orange = Exact water sample used for RNA-SIP experiment</t>
  </si>
  <si>
    <t>SampleID-Cruise</t>
  </si>
  <si>
    <t>SampleID-Lab</t>
  </si>
  <si>
    <t>Date</t>
  </si>
  <si>
    <t>Time</t>
  </si>
  <si>
    <t>Vent Name</t>
  </si>
  <si>
    <t>Field</t>
  </si>
  <si>
    <t>Segment</t>
  </si>
  <si>
    <t>Vent Type</t>
  </si>
  <si>
    <t>Substrate</t>
  </si>
  <si>
    <t>Sampler Type</t>
  </si>
  <si>
    <t>Depth, m</t>
  </si>
  <si>
    <t>Longitude</t>
  </si>
  <si>
    <t>Latitude</t>
  </si>
  <si>
    <t>Vehicle Heading</t>
  </si>
  <si>
    <t>Note1</t>
  </si>
  <si>
    <t>Note2</t>
  </si>
  <si>
    <t>Temp</t>
  </si>
  <si>
    <t>Tmax</t>
  </si>
  <si>
    <t>Tavg</t>
  </si>
  <si>
    <t>T2</t>
  </si>
  <si>
    <t>Effective heat capacity</t>
  </si>
  <si>
    <t>Heat content</t>
  </si>
  <si>
    <t>pH (NBS)</t>
  </si>
  <si>
    <t>H2S</t>
  </si>
  <si>
    <t>Cl</t>
  </si>
  <si>
    <t>Cl method</t>
  </si>
  <si>
    <t>Mg</t>
  </si>
  <si>
    <t>H2</t>
  </si>
  <si>
    <t>CH4</t>
  </si>
  <si>
    <t>CO2</t>
  </si>
  <si>
    <t>NO3</t>
  </si>
  <si>
    <t>O2</t>
  </si>
  <si>
    <t>pH</t>
  </si>
  <si>
    <t>sensor info</t>
  </si>
  <si>
    <t>units</t>
  </si>
  <si>
    <t>UTC</t>
  </si>
  <si>
    <t>°C</t>
  </si>
  <si>
    <t>J/g-°C</t>
  </si>
  <si>
    <t>J/g</t>
  </si>
  <si>
    <t>mmol/kg</t>
  </si>
  <si>
    <t>µmol/kg</t>
  </si>
  <si>
    <t>SW scale</t>
  </si>
  <si>
    <t>method</t>
  </si>
  <si>
    <t>any</t>
  </si>
  <si>
    <t>HFS</t>
  </si>
  <si>
    <t>ship</t>
  </si>
  <si>
    <t>IC/titration</t>
  </si>
  <si>
    <t>GC</t>
  </si>
  <si>
    <t>Nutrient Lab</t>
  </si>
  <si>
    <t>in-situ</t>
  </si>
  <si>
    <t>precision</t>
  </si>
  <si>
    <t>1%/.1%</t>
  </si>
  <si>
    <t>2%/.2%</t>
  </si>
  <si>
    <t>this O2 data incomplete. See sensor data summary.</t>
  </si>
  <si>
    <t>background value</t>
  </si>
  <si>
    <t>SW</t>
  </si>
  <si>
    <t>Background</t>
  </si>
  <si>
    <t>J726-HFS-23</t>
  </si>
  <si>
    <t>J2-726B21</t>
  </si>
  <si>
    <t>Anemone</t>
  </si>
  <si>
    <t>ASHES</t>
  </si>
  <si>
    <t>Axial</t>
  </si>
  <si>
    <t>diffuse</t>
  </si>
  <si>
    <t>sulfide-flat</t>
  </si>
  <si>
    <t>bag</t>
  </si>
  <si>
    <t>Titration</t>
  </si>
  <si>
    <t>J726-HFS-24</t>
  </si>
  <si>
    <t>J2-726B23</t>
  </si>
  <si>
    <t>anemone (bad temperature match)</t>
  </si>
  <si>
    <t>J726-HFS-22</t>
  </si>
  <si>
    <t>J2-726BF20</t>
  </si>
  <si>
    <t>bag-filtered</t>
  </si>
  <si>
    <t>J726-HFS-21</t>
  </si>
  <si>
    <t>J2-726LVB1</t>
  </si>
  <si>
    <t>LVB-4L</t>
  </si>
  <si>
    <t>For RNA-SIP</t>
  </si>
  <si>
    <t>R1664-1-IGT4</t>
  </si>
  <si>
    <t>IGT</t>
  </si>
  <si>
    <t>IGT4 at high temp Anemone, Tmax 213</t>
  </si>
  <si>
    <t>I.C.</t>
  </si>
  <si>
    <t>R1664-3-IGT3</t>
  </si>
  <si>
    <t>IGT3 at high temp Anemone, Tmax 234</t>
  </si>
  <si>
    <t>R1664-2-LVWS</t>
  </si>
  <si>
    <t>R1664-LVWS</t>
  </si>
  <si>
    <t>LVWS-barrel</t>
  </si>
  <si>
    <t>LVWS at Anemone</t>
  </si>
  <si>
    <t>nd</t>
  </si>
  <si>
    <t>J789-HFS-01</t>
  </si>
  <si>
    <t>J2-789b6</t>
  </si>
  <si>
    <t>In a large patch of anemones and limpets with diffuse flow on flat sulfide</t>
  </si>
  <si>
    <t>Hot fluid sample - unfiltered bag #6. Start 04:24. Stop 04:27. Tmax=22.9C; Tavg=21.6C; T2=10.0C; Vol=600mL. Retaken 08:32: Tmax=37.6C; Tavg=35.8C; Total Vol. = 600mL.</t>
  </si>
  <si>
    <t>J789-HFS-02</t>
  </si>
  <si>
    <t>J2-789b7</t>
  </si>
  <si>
    <t xml:space="preserve">Hot fluid sample - unfiltered bag #7. Start 04:31 Stop 04:35. Tmax=25.9C Tavg=20.3C. Vol=639mL. T2=10C. Retaken 08:31: Tmax=37C; Tavg=35C; Total Vol. = 600mL. </t>
  </si>
  <si>
    <t>For RNA-SIP. In a large patch of anemones and limpets with diffuse flow on flat sulfide</t>
  </si>
  <si>
    <t>J789-HFS-08</t>
  </si>
  <si>
    <t>J2-789b8</t>
  </si>
  <si>
    <t>On the mound with the marker in healthy tubeworms.</t>
  </si>
  <si>
    <t xml:space="preserve">Microcosm-Hot fluid sample - bag 8. Previously (07:04) 128mL at 35C. At 08:29 added an additional 475mL; Tmax=36.4C Tavg=35C Total Vol. = 600mL. </t>
  </si>
  <si>
    <t xml:space="preserve"> J789-GTHFS-12</t>
  </si>
  <si>
    <t>J2-789-GT12-6</t>
  </si>
  <si>
    <t>gastight</t>
  </si>
  <si>
    <t>Gastight on HFS - Port #6; T=34.3C.</t>
  </si>
  <si>
    <t xml:space="preserve"> J789-IGT-13</t>
  </si>
  <si>
    <t>J2-789igt2</t>
  </si>
  <si>
    <t>similar to above</t>
  </si>
  <si>
    <t xml:space="preserve">Isobaric gastight #2. Start 09:49 Stop 09:52;.Tmax=56C. </t>
  </si>
  <si>
    <t xml:space="preserve"> J789-IGT-14</t>
  </si>
  <si>
    <t>J2-789igt3</t>
  </si>
  <si>
    <t xml:space="preserve">Isobaric gastight #3. Start 10:05 Stop 10:08; Tmax=41C. </t>
  </si>
  <si>
    <t>HFS J789-HFS-03</t>
  </si>
  <si>
    <t>J2-789LVWS</t>
  </si>
  <si>
    <t>HFS Large Volume Bag (LVB) #1 about 5m south of samples 1 and 2. Start 05:21 Stop 05:42. Tmax=36.1C; Tavg=33.8C; Vol=4000mL; T2=19C.</t>
  </si>
  <si>
    <t>J789-HFS-09</t>
  </si>
  <si>
    <t>J2-789pf5</t>
  </si>
  <si>
    <t>piston-filtered</t>
  </si>
  <si>
    <t>Hot fluid sample - Piston 5 (valve position 21) Tmax=37C; Tavg=35C; Vol=750mL</t>
  </si>
  <si>
    <t>J2-824-HFS-07</t>
  </si>
  <si>
    <t>J2-824b22</t>
  </si>
  <si>
    <t>diffuse w biota</t>
  </si>
  <si>
    <t>sulfide small mound</t>
  </si>
  <si>
    <t>bag unfiltered</t>
  </si>
  <si>
    <t>130 0.832080</t>
  </si>
  <si>
    <t>45 55.990620</t>
  </si>
  <si>
    <t>J2-824-HFS-08</t>
  </si>
  <si>
    <t>J2-824bf21</t>
  </si>
  <si>
    <t>bag filtered</t>
  </si>
  <si>
    <t>130 0.832086</t>
  </si>
  <si>
    <t>45 55.990608</t>
  </si>
  <si>
    <t>R1665-8-IGT2</t>
  </si>
  <si>
    <t>Mkr 33</t>
  </si>
  <si>
    <t>SECaldera-07</t>
  </si>
  <si>
    <t>basalt-lobate</t>
  </si>
  <si>
    <t>IGT2 at Marker 33, Tmax was 40.65</t>
  </si>
  <si>
    <t>R1665-5</t>
  </si>
  <si>
    <t>R1665-B18</t>
  </si>
  <si>
    <t xml:space="preserve">  05:08:03</t>
  </si>
  <si>
    <t>unfilt bag</t>
  </si>
  <si>
    <t>Mkr 166 at Mkr 33 vent</t>
  </si>
  <si>
    <t>&lt;1</t>
  </si>
  <si>
    <t>For RNA-SIP. unfilt bag</t>
  </si>
  <si>
    <t>R1665-6</t>
  </si>
  <si>
    <t>R1665-B19</t>
  </si>
  <si>
    <t xml:space="preserve">  05:11:52</t>
  </si>
  <si>
    <t>mrkr_33_3</t>
  </si>
  <si>
    <t>R1665-1</t>
  </si>
  <si>
    <t>R1665-LVB1</t>
  </si>
  <si>
    <t xml:space="preserve">  04:16:21</t>
  </si>
  <si>
    <t>LVB, Mkr 166 at Mkr 33 vent</t>
  </si>
  <si>
    <t>R1665-3</t>
  </si>
  <si>
    <t>R1665-P3</t>
  </si>
  <si>
    <t xml:space="preserve">  04:38:29</t>
  </si>
  <si>
    <t>piston-Ti</t>
  </si>
  <si>
    <t>unfilt piston Ti</t>
  </si>
  <si>
    <t>R1665-2</t>
  </si>
  <si>
    <t>R1665-PF2</t>
  </si>
  <si>
    <t xml:space="preserve">  04:34:25</t>
  </si>
  <si>
    <t>piston-filtered-Ti</t>
  </si>
  <si>
    <t>filtl piston Ti</t>
  </si>
  <si>
    <t>R1665-9</t>
  </si>
  <si>
    <t>R1665-PF4</t>
  </si>
  <si>
    <t xml:space="preserve">  06:18:25</t>
  </si>
  <si>
    <t>filt piston</t>
  </si>
  <si>
    <t>J790-HFS-06</t>
  </si>
  <si>
    <t>J2-790b6</t>
  </si>
  <si>
    <t>Sampling in a crack with decent flow. Bacterial mat; limpets and small tubeworms in the immediate area.</t>
  </si>
  <si>
    <t>Hot Fluid Sample - Bag #6. Start ~19:49  Stop ~19:53. Tmax=19.7C Tavg=18.5C.  T2=10C. Vol. pumped=601mL.</t>
  </si>
  <si>
    <t>For RNA-SIP. Sampling in a crack with decent flow. Bacterial mat; limpets and small tubeworms in the immediate area.</t>
  </si>
  <si>
    <t>J790-HFS-07</t>
  </si>
  <si>
    <t>J2-790b7</t>
  </si>
  <si>
    <t xml:space="preserve">Hot Fluid Sample - Bag #7. Start~19:54 Stop ~19:57. Tmax=19.6C Tavg=18.7C. Vo. pumped=601 mL. T2=10C. </t>
  </si>
  <si>
    <t>J790-12-IGT2</t>
  </si>
  <si>
    <t>J2-790igt2</t>
  </si>
  <si>
    <t>Isobaric Gastight #2. Start ~21:03. Tmax=31.8C.</t>
  </si>
  <si>
    <t>J790-IGT-11</t>
  </si>
  <si>
    <t>J2-790igt3</t>
  </si>
  <si>
    <t>HFS: Tprobe=2.9C. Oxygen=0.632. pHVoltage=3.6339.</t>
  </si>
  <si>
    <t xml:space="preserve">Isobaric Gastight #3. Same location as previous HFS samples. Start 20:53. Tmax=21.3C.  </t>
  </si>
  <si>
    <t>J790-HFS-05</t>
  </si>
  <si>
    <t>J2-790-LVB-Mkr33</t>
  </si>
  <si>
    <t xml:space="preserve">Hot Fluid Sample - Large Volume Bag (LVB) #1. Sampling time approx. 27:40. Tmax=20.5C Tavg=19.0C T2=10C. Vol. pumped=4001mL. </t>
  </si>
  <si>
    <t>J790-LVWS-13</t>
  </si>
  <si>
    <t>J2-790-LVWS</t>
  </si>
  <si>
    <t>Same spot as previous HFS samples.</t>
  </si>
  <si>
    <t>Large Volume Water Sample. Start ~21:52 Stop ~23:59. Elevator with LVWS sent to surface after sampling.</t>
  </si>
  <si>
    <t>A.B. data</t>
  </si>
  <si>
    <t>J2-822-HFS-06</t>
  </si>
  <si>
    <t>J2-822b7</t>
  </si>
  <si>
    <t>diffuse orange/white tubeworms limpets</t>
  </si>
  <si>
    <t>basalt 2011 lobate</t>
  </si>
  <si>
    <t>129 58.943070</t>
  </si>
  <si>
    <t>45 55.992960</t>
  </si>
  <si>
    <t>no data</t>
  </si>
  <si>
    <t>J2-822-HFS-07</t>
  </si>
  <si>
    <t>J2-822b8</t>
  </si>
  <si>
    <t>129 58.943262</t>
  </si>
  <si>
    <t>45 55.992738</t>
  </si>
  <si>
    <t>J2-822-HFS-05</t>
  </si>
  <si>
    <t>J2-822LVB</t>
  </si>
  <si>
    <t>129 58.942506</t>
  </si>
  <si>
    <t>45 55.993494</t>
  </si>
  <si>
    <t>J2-825-HFS-07</t>
  </si>
  <si>
    <t>J2-825b8</t>
  </si>
  <si>
    <t>129 58.932180</t>
  </si>
  <si>
    <t>45 55.989144</t>
  </si>
  <si>
    <t>titration</t>
  </si>
  <si>
    <t>J2-825-HFS-05</t>
  </si>
  <si>
    <t>J2-825bf9</t>
  </si>
  <si>
    <t>129 58.932672</t>
  </si>
  <si>
    <t>45 55.989624</t>
  </si>
  <si>
    <t>J2-825-HFS-06</t>
  </si>
  <si>
    <t>J2-825LVB</t>
  </si>
  <si>
    <t>R1662-2-IGT3</t>
  </si>
  <si>
    <t>Mkr 113</t>
  </si>
  <si>
    <t>SECaldera-13</t>
  </si>
  <si>
    <t>basalt pillar</t>
  </si>
  <si>
    <t>IGT3 at Marker 113, 23 C</t>
  </si>
  <si>
    <t>&lt; 1</t>
  </si>
  <si>
    <t>R1662-3-IGT4</t>
  </si>
  <si>
    <t>IGT4 at Marker 113, 23.6 C</t>
  </si>
  <si>
    <t>R1663-7</t>
  </si>
  <si>
    <t>R1663-B21</t>
  </si>
  <si>
    <t>Mkr 62 at Mkr 113 vent</t>
  </si>
  <si>
    <t>R1663-8</t>
  </si>
  <si>
    <t>R1663-B23</t>
  </si>
  <si>
    <t>mrkr_113_1</t>
  </si>
  <si>
    <t>R1663-1</t>
  </si>
  <si>
    <t>R1663-LVB1</t>
  </si>
  <si>
    <t>LVB</t>
  </si>
  <si>
    <t>R1663-2</t>
  </si>
  <si>
    <t>R1663-P5</t>
  </si>
  <si>
    <t>piston, Ti</t>
  </si>
  <si>
    <t>unfilt piston</t>
  </si>
  <si>
    <t>R1663-4</t>
  </si>
  <si>
    <t>R1663-P9</t>
  </si>
  <si>
    <t>piston-PVC</t>
  </si>
  <si>
    <t>R1663-3</t>
  </si>
  <si>
    <t>R1663-PF8</t>
  </si>
  <si>
    <t>piston-filtered-PVC</t>
  </si>
  <si>
    <t>filtered piston</t>
  </si>
  <si>
    <t>data only</t>
  </si>
  <si>
    <t>R1663-SENS13</t>
  </si>
  <si>
    <t>sensor</t>
  </si>
  <si>
    <t>sensors</t>
  </si>
  <si>
    <t>pH=3.206V</t>
  </si>
  <si>
    <t>R1662 mkr 113 S1</t>
  </si>
  <si>
    <t>J786-HFS-01</t>
  </si>
  <si>
    <t>J2-786b6</t>
  </si>
  <si>
    <t>basalt-pillar</t>
  </si>
  <si>
    <t>bag, unfiltered</t>
  </si>
  <si>
    <t>Diffuse venting area with pillars and roof next to collapse. Lots of biota. Top?</t>
  </si>
  <si>
    <t>Hot fluid sample Bag#6. Start 08:52; Stop 09:01 Tmax=25.1C; Tavg=24.3C; T2=15C; Vol=641mL.</t>
  </si>
  <si>
    <t>J786-HFS-03</t>
  </si>
  <si>
    <t>J2-786b8</t>
  </si>
  <si>
    <t>Microcosm-Hot fluid sample Bag 8; Start 09:06; Stop 09:10 Tmax=25.5C; Tavg=25.1C; T2=14.3C; Vol=64mL2</t>
  </si>
  <si>
    <t>J786-HFS-08</t>
  </si>
  <si>
    <t>J2-786LVB</t>
  </si>
  <si>
    <t>Hot fluid sample LVB (large volume bag) position #1. Start 09:46; Stop 10:04; Tmax=25.9C; Tavg=24.9C; T2=14.6C; Vol=4014mL.</t>
  </si>
  <si>
    <t>J786-LVWS-13</t>
  </si>
  <si>
    <t>J2-786LVWS</t>
  </si>
  <si>
    <t>Tubeworm bush with steady diffuse flow</t>
  </si>
  <si>
    <t>Large volume water sampler (2hr sample). Start 14:33; Stop 16:16. JasonT=25.1C.</t>
  </si>
  <si>
    <t>J786-Major-15</t>
  </si>
  <si>
    <t>J2-786mb</t>
  </si>
  <si>
    <t>major</t>
  </si>
  <si>
    <t>Major fluid sample (Black) in a spot near the previous sample. Tripped at 16:53. JasonT=26.4C.</t>
  </si>
  <si>
    <t>J786-Major-14</t>
  </si>
  <si>
    <t>J2-786mw</t>
  </si>
  <si>
    <t>Major fluid sample (White) in same position as the LVWS intake (more of less). Tripped at 16:40.</t>
  </si>
  <si>
    <t>For RNA-SIP. Tubeworm bush with steady diffuse flow</t>
  </si>
  <si>
    <t>J786-IGT-11</t>
  </si>
  <si>
    <t>Isobaric gas tight #4 ; Start 11:12; Stop 11:15; T=26.4C.</t>
  </si>
  <si>
    <t>J786-12-IGT1</t>
  </si>
  <si>
    <t>J786-IGT-12</t>
  </si>
  <si>
    <t xml:space="preserve">Isobaric gas tight  #1; Start 11:21; Stop 11:24; Tmax=27.4C. </t>
  </si>
  <si>
    <t xml:space="preserve"> J791-7-IGT3</t>
  </si>
  <si>
    <t>J2-791igt3</t>
  </si>
  <si>
    <t>South side of pillar/roof structure. Near the top in scraggly tubeworms and bac mat.</t>
  </si>
  <si>
    <t>Isobaric gastight #3. Tmax=30.6C. Fired at: 2:17.</t>
  </si>
  <si>
    <t>J791-HFS-6</t>
  </si>
  <si>
    <t>J2-791p4</t>
  </si>
  <si>
    <t>piston</t>
  </si>
  <si>
    <t>Hot Fluid Sample - Piston #4. Tmax=32.4C Tavg=29.5C Vol=619mL T2=7C Start: 2:01 End: 2:07 Flush pump was off and software stopped mid sample.</t>
  </si>
  <si>
    <t>J2-824-HFS-14</t>
  </si>
  <si>
    <t>J2-824bf17</t>
  </si>
  <si>
    <t>diffuse w tubeworms limpets palmworms</t>
  </si>
  <si>
    <t>basalt column edge of collapse</t>
  </si>
  <si>
    <t>129 59.295174</t>
  </si>
  <si>
    <t>45 55.364406</t>
  </si>
  <si>
    <t>J2-824-HFS-18</t>
  </si>
  <si>
    <t>J2-824bf19</t>
  </si>
  <si>
    <t>129 59.295180</t>
  </si>
  <si>
    <t>45 55.364400</t>
  </si>
  <si>
    <t>J2-824-HFS-13</t>
  </si>
  <si>
    <t>J2-824LVB1</t>
  </si>
  <si>
    <t>129 59.295168</t>
  </si>
  <si>
    <t>J2-824-HFS-19</t>
  </si>
  <si>
    <t>J2-824LVB16</t>
  </si>
  <si>
    <t>45 55.364412</t>
  </si>
  <si>
    <t>Data for drawing mixing lines on plots</t>
  </si>
  <si>
    <t>Lines</t>
  </si>
  <si>
    <t>Mg altern</t>
  </si>
  <si>
    <t>sw</t>
  </si>
  <si>
    <t>EM</t>
  </si>
  <si>
    <t>mkr 113</t>
  </si>
  <si>
    <t>n.d.</t>
  </si>
  <si>
    <t>mkr 33</t>
  </si>
  <si>
    <t>Extrapolated Cl EM</t>
  </si>
  <si>
    <t>H2S EM</t>
  </si>
  <si>
    <t>H2 EM</t>
  </si>
  <si>
    <t>CH4 EM</t>
  </si>
  <si>
    <t>H2 and CH4 EM for 33 and 113 from Stewart et al. 2019</t>
  </si>
  <si>
    <t>Table S3. in situ oxygen probe concentrations for Marker 113, Anemone, and Marker 33 for 2013-2015</t>
  </si>
  <si>
    <t>Sample</t>
  </si>
  <si>
    <t>Site</t>
  </si>
  <si>
    <t>Year</t>
  </si>
  <si>
    <t>T (°C)</t>
  </si>
  <si>
    <t>O2 Conc (µM)</t>
  </si>
  <si>
    <t>anemone</t>
  </si>
  <si>
    <t>anemone_12</t>
  </si>
  <si>
    <t>anemone_transect_1</t>
  </si>
  <si>
    <t>anemone_transect_2</t>
  </si>
  <si>
    <t>anemone_transect_3</t>
  </si>
  <si>
    <t>anemone_transect_4</t>
  </si>
  <si>
    <t>anemone_1</t>
  </si>
  <si>
    <t>seawater</t>
  </si>
  <si>
    <t>caldera</t>
  </si>
  <si>
    <t>Mrkr 113</t>
  </si>
  <si>
    <t>mrkr_113_2</t>
  </si>
  <si>
    <t>mrkr_33_1</t>
  </si>
  <si>
    <t>Mrkr 33</t>
  </si>
  <si>
    <t>mrkr_33_2</t>
  </si>
  <si>
    <t>mrkr_33_4</t>
  </si>
  <si>
    <t>mrkr_33</t>
  </si>
  <si>
    <t>nrz_1</t>
  </si>
  <si>
    <t>NRZ</t>
  </si>
  <si>
    <t>nrz_2</t>
  </si>
  <si>
    <t>nrz_3</t>
  </si>
  <si>
    <t>endmember</t>
  </si>
  <si>
    <t>Dive Num</t>
  </si>
  <si>
    <t>Matlab File</t>
  </si>
  <si>
    <t>Start</t>
  </si>
  <si>
    <t>Stop</t>
  </si>
  <si>
    <t>T1 (°C)</t>
  </si>
  <si>
    <t>Std_Dev</t>
  </si>
  <si>
    <t>T2 (°C)</t>
  </si>
  <si>
    <t>Pressure (dbars)</t>
  </si>
  <si>
    <t>Salinity (PSU)</t>
  </si>
  <si>
    <t xml:space="preserve"> O2 Temp (°C)</t>
  </si>
  <si>
    <t>J2_822</t>
  </si>
  <si>
    <t>J2_822_samples.mat</t>
  </si>
  <si>
    <t>sw_1</t>
  </si>
  <si>
    <t>sw_2</t>
  </si>
  <si>
    <t>sw_3</t>
  </si>
  <si>
    <t>J2_824</t>
  </si>
  <si>
    <t>J2_824_samples.mat</t>
  </si>
  <si>
    <t>sw_4</t>
  </si>
  <si>
    <t>sw_5</t>
  </si>
  <si>
    <t>sw_6</t>
  </si>
  <si>
    <t>Notes*</t>
  </si>
  <si>
    <t xml:space="preserve"> pH</t>
  </si>
  <si>
    <t>J2-786_samples.mat</t>
  </si>
  <si>
    <t>J2-789_samples.mat</t>
  </si>
  <si>
    <t>n/a</t>
  </si>
  <si>
    <t>J2-790-791_samples.mat</t>
  </si>
  <si>
    <t>Jason CTD data not available</t>
  </si>
  <si>
    <t>Elevator drop site</t>
  </si>
  <si>
    <t>2015avg</t>
  </si>
  <si>
    <t>2014avg</t>
  </si>
  <si>
    <t xml:space="preserve">Table S4: ENA/SRA Sample ID’s for the unmanipulated fluid metagenomes/metatranscriptomes and all fractions of the RNA-SIP experimental metatranscriptomes (12L, 12H, 13L, 13H), and JGI GOLD Analysis Project ID's for metagenomic assemblies used in this study. </t>
  </si>
  <si>
    <t>#</t>
  </si>
  <si>
    <t>Metagenome Library Name</t>
  </si>
  <si>
    <t>Vent_Year</t>
  </si>
  <si>
    <t>Study Accession No.</t>
  </si>
  <si>
    <t xml:space="preserve">SRA Accession No. </t>
  </si>
  <si>
    <t>ENA  Accession No.</t>
  </si>
  <si>
    <t>NCBI BioSample Accession No.</t>
  </si>
  <si>
    <t>JGI GOLD Analysis Project ID</t>
  </si>
  <si>
    <t>FS891_Anemone_DNA</t>
  </si>
  <si>
    <t>Anemone_2013</t>
  </si>
  <si>
    <t>PRJEB7866</t>
  </si>
  <si>
    <t>ERS614327</t>
  </si>
  <si>
    <t>ERA392459</t>
  </si>
  <si>
    <t>SAMEA3143267</t>
  </si>
  <si>
    <t>Ga0455663</t>
  </si>
  <si>
    <t>FS907_Anemone_DNA</t>
  </si>
  <si>
    <t>Anemone_2014</t>
  </si>
  <si>
    <t>PRJEB12000</t>
  </si>
  <si>
    <t>ERS1003597</t>
  </si>
  <si>
    <t>ERA542162</t>
  </si>
  <si>
    <t>SAMEA3696448</t>
  </si>
  <si>
    <t>Ga0456190</t>
  </si>
  <si>
    <t>FS914_Anemone_DNA</t>
  </si>
  <si>
    <t>Anemone_2015</t>
  </si>
  <si>
    <t>PRJEB19456</t>
  </si>
  <si>
    <t>ERS1573122</t>
  </si>
  <si>
    <t>SAMEA101255668</t>
  </si>
  <si>
    <t>Ga0610807</t>
  </si>
  <si>
    <t>FS903_Marker113_DNA</t>
  </si>
  <si>
    <t>Marker113_2013</t>
  </si>
  <si>
    <t>ERS614323</t>
  </si>
  <si>
    <t>SAMEA3143263</t>
  </si>
  <si>
    <t>Ga0456187</t>
  </si>
  <si>
    <t>FS906_Marker113_DNA</t>
  </si>
  <si>
    <t>Marker113_2014</t>
  </si>
  <si>
    <t>ERS1003595</t>
  </si>
  <si>
    <t>SAMEA3696446</t>
  </si>
  <si>
    <t>Ga0456189</t>
  </si>
  <si>
    <t>FS915_Marker113_DNA</t>
  </si>
  <si>
    <t>Marker113_2015</t>
  </si>
  <si>
    <t>ERS1573124</t>
  </si>
  <si>
    <t>SAMEA101257168</t>
  </si>
  <si>
    <t>Ga0456193</t>
  </si>
  <si>
    <t>FS904_Marker33_DNA</t>
  </si>
  <si>
    <t>Marker33_2013</t>
  </si>
  <si>
    <t>ERS614325</t>
  </si>
  <si>
    <t>SAMEA3143265</t>
  </si>
  <si>
    <t>Ga0456188</t>
  </si>
  <si>
    <t>FS908_Marker33_DNA</t>
  </si>
  <si>
    <t>Marker33_2014</t>
  </si>
  <si>
    <t>ERS1003599</t>
  </si>
  <si>
    <t>SAMEA3696450</t>
  </si>
  <si>
    <t>Ga0456191</t>
  </si>
  <si>
    <t>FS917_Marker33_DNA</t>
  </si>
  <si>
    <t>Marker33_2015</t>
  </si>
  <si>
    <t>ERS1573120</t>
  </si>
  <si>
    <t>SAMEA101254168</t>
  </si>
  <si>
    <t>Ga0493832</t>
  </si>
  <si>
    <t>Background_1500m_2015_DNA 2020</t>
  </si>
  <si>
    <t>Seawater_2015</t>
  </si>
  <si>
    <t>ERS1573130</t>
  </si>
  <si>
    <t>SAMEA101261668</t>
  </si>
  <si>
    <t>Ga0455662</t>
  </si>
  <si>
    <t>AnemonePlume_1500m_2015_DNA</t>
  </si>
  <si>
    <t>Plume_2015</t>
  </si>
  <si>
    <t>ERS1573128</t>
  </si>
  <si>
    <t>SAMEA101260168</t>
  </si>
  <si>
    <t xml:space="preserve">Ga0493834  </t>
  </si>
  <si>
    <t>1-11</t>
  </si>
  <si>
    <t>Combined_Assembly_SE_2023</t>
  </si>
  <si>
    <t>All_2013_2014_2015</t>
  </si>
  <si>
    <t xml:space="preserve">Ga0622356  </t>
  </si>
  <si>
    <t>Metatranscriptome Library Name</t>
  </si>
  <si>
    <t xml:space="preserve">
FS891_Anemone_RNA</t>
  </si>
  <si>
    <t>ERS614328</t>
  </si>
  <si>
    <t>SAMEA3143268</t>
  </si>
  <si>
    <t>FS907_Anemone_RNA</t>
  </si>
  <si>
    <t>ERS1003598</t>
  </si>
  <si>
    <t>SAMEA3696449</t>
  </si>
  <si>
    <t xml:space="preserve">
FS903_Marker113_RNA</t>
  </si>
  <si>
    <t>ERS614324</t>
  </si>
  <si>
    <t>SAMEA3143264</t>
  </si>
  <si>
    <t>FS906_Marker113_RNA</t>
  </si>
  <si>
    <t>ERS1003596</t>
  </si>
  <si>
    <t>SAMEA3696447</t>
  </si>
  <si>
    <t>FS904_Marker33_RNA</t>
  </si>
  <si>
    <t>ERS614326</t>
  </si>
  <si>
    <t>SAMEA3143266</t>
  </si>
  <si>
    <t>FS908_Marker33_RNA</t>
  </si>
  <si>
    <t>ERS1003600</t>
  </si>
  <si>
    <t>SAMEA3696451</t>
  </si>
  <si>
    <t>accession</t>
  </si>
  <si>
    <t>sample_name</t>
  </si>
  <si>
    <t>bioproject_accession</t>
  </si>
  <si>
    <t>organism</t>
  </si>
  <si>
    <t>collection_date</t>
  </si>
  <si>
    <t>SAMN46645848</t>
  </si>
  <si>
    <t>FS903_Marker113_30_12L_2013</t>
  </si>
  <si>
    <t>hydrothermal vent metatranscriptome</t>
  </si>
  <si>
    <t>SAMN46645849</t>
  </si>
  <si>
    <t>FS903_Marker113_30_12H_2013</t>
  </si>
  <si>
    <t>SAMN46645850</t>
  </si>
  <si>
    <t>FS903_Marker113_30_13L_2013</t>
  </si>
  <si>
    <t>SAMN46645851</t>
  </si>
  <si>
    <t>FS903_Marker113_30_13H_2013</t>
  </si>
  <si>
    <t>SAMN46645852</t>
  </si>
  <si>
    <t>FS903_Marker113_55_12L_2013</t>
  </si>
  <si>
    <t>SAMN46645853</t>
  </si>
  <si>
    <t>FS903_Marker113_55_12H_2013</t>
  </si>
  <si>
    <t>SAMN46645854</t>
  </si>
  <si>
    <t>FS903_Marker113_55_13L_2013</t>
  </si>
  <si>
    <t>SAMN46645855</t>
  </si>
  <si>
    <t>FS903_Marker113_55_13H_2013</t>
  </si>
  <si>
    <t>SAMN46645856</t>
  </si>
  <si>
    <t>LVWS1_Marker113_80_TP1_12L_2013</t>
  </si>
  <si>
    <t>SAMN46645857</t>
  </si>
  <si>
    <t>LVWS1_Marker113_80_TP1_12H_2013</t>
  </si>
  <si>
    <t>SAMN46645858</t>
  </si>
  <si>
    <t>LVWS1_Marker113_80_TP1_13L_2013</t>
  </si>
  <si>
    <t>SAMN46645859</t>
  </si>
  <si>
    <t>LVWS1_Marker113_80_TP1_13H_2013</t>
  </si>
  <si>
    <t>SAMN46645860</t>
  </si>
  <si>
    <t>FS904_Marker33_30_12L_2013</t>
  </si>
  <si>
    <t>SAMN46645861</t>
  </si>
  <si>
    <t>FS904_Marker33_30_12H_2013</t>
  </si>
  <si>
    <t>SAMN46645862</t>
  </si>
  <si>
    <t>FS904_Marker33_30_13L_2013</t>
  </si>
  <si>
    <t>SAMN46645863</t>
  </si>
  <si>
    <t>FS904_Marker33_30_13H_2013</t>
  </si>
  <si>
    <t>SAMN46645864</t>
  </si>
  <si>
    <t>FS904_Marker33_55_12L_2013</t>
  </si>
  <si>
    <t>SAMN46645865</t>
  </si>
  <si>
    <t>FS904_Marker33_55_12H_2013</t>
  </si>
  <si>
    <t>SAMN46645866</t>
  </si>
  <si>
    <t>FS904_Marker33_55_13L_2013</t>
  </si>
  <si>
    <t>SAMN46645867</t>
  </si>
  <si>
    <t>FS904_Marker33_55_13H_2013</t>
  </si>
  <si>
    <t>SAMN46645868</t>
  </si>
  <si>
    <t>FS904_Marker33_80_12L_2013</t>
  </si>
  <si>
    <t>SAMN46645869</t>
  </si>
  <si>
    <t>FS904_Marker33_80_12H_2013</t>
  </si>
  <si>
    <t>SAMN46645870</t>
  </si>
  <si>
    <t>FS904_Marker33_80_13L_2013</t>
  </si>
  <si>
    <t>SAMN46645871</t>
  </si>
  <si>
    <t>FS904_Marker33_80_13H_2013</t>
  </si>
  <si>
    <t>SAMN46645872</t>
  </si>
  <si>
    <t>LVWS2_Anemone_80_TP1_12L_2013</t>
  </si>
  <si>
    <t>SAMN46645873</t>
  </si>
  <si>
    <t>LVWS2_Anemone_80_TP1_12H_2013</t>
  </si>
  <si>
    <t>SAMN46645874</t>
  </si>
  <si>
    <t>LVWS2_Anemone_80_TP1_13L_2013</t>
  </si>
  <si>
    <t>SAMN46645875</t>
  </si>
  <si>
    <t>LVWS2_Anemone_80_TP1_13H_2013</t>
  </si>
  <si>
    <t>SAMN46645876</t>
  </si>
  <si>
    <t>LVWS4_Marker113_55_TP1_12L_2014</t>
  </si>
  <si>
    <t>SAMN46645877</t>
  </si>
  <si>
    <t>LVWS4_Marker113_55_TP1_12H_2014</t>
  </si>
  <si>
    <t>SAMN46645878</t>
  </si>
  <si>
    <t>LVWS4_Marker113_55_TP1_13L_2014</t>
  </si>
  <si>
    <t>SAMN46645879</t>
  </si>
  <si>
    <t>LVWS4_Marker113_55_TP1_13H_2014</t>
  </si>
  <si>
    <t>SAMN46645880</t>
  </si>
  <si>
    <t>LVWS4_Marker113_55_TP2_12L_2014</t>
  </si>
  <si>
    <t>SAMN46645881</t>
  </si>
  <si>
    <t>LVWS4_Marker113_55_TP2_13H_2014</t>
  </si>
  <si>
    <t>SAMN46645882</t>
  </si>
  <si>
    <t>FS906_Marker113_80_TP1_12L_2014</t>
  </si>
  <si>
    <t>SAMN46645883</t>
  </si>
  <si>
    <t>FS906_Marker113_80_TP1_12H_2014</t>
  </si>
  <si>
    <t>SAMN46645884</t>
  </si>
  <si>
    <t>FS906_Marker113_80_TP1_13L_2014</t>
  </si>
  <si>
    <t>SAMN46645885</t>
  </si>
  <si>
    <t>FS906_Marker113_80_TP1_13H_2014</t>
  </si>
  <si>
    <t>SAMN46645886</t>
  </si>
  <si>
    <t>LVWS6_Marker33_30_TP1_12L_2014</t>
  </si>
  <si>
    <t>SAMN46645887</t>
  </si>
  <si>
    <t>LVWS6_Marker33_30_TP1_12H_2014</t>
  </si>
  <si>
    <t>SAMN46645888</t>
  </si>
  <si>
    <t>LVWS6_Marker33_30_TP1_13L_2014</t>
  </si>
  <si>
    <t>SAMN46645889</t>
  </si>
  <si>
    <t>LVWS6_Marker33_30_TP1_13H_2014</t>
  </si>
  <si>
    <t>SAMN46645890</t>
  </si>
  <si>
    <t>LVWS6_Marker33_30_TP2_12L_2014</t>
  </si>
  <si>
    <t>SAMN46645891</t>
  </si>
  <si>
    <t>LVWS6_Marker33_30_TP2_13H_2014</t>
  </si>
  <si>
    <t>SAMN46645892</t>
  </si>
  <si>
    <t>LVWS6_Marker33_55_TP1_12L_2014</t>
  </si>
  <si>
    <t>SAMN46645893</t>
  </si>
  <si>
    <t>LVWS6_Marker33_55_TP1_12H_2014</t>
  </si>
  <si>
    <t>SAMN46645894</t>
  </si>
  <si>
    <t>LVWS6_Marker33_55_TP1_13L_2014</t>
  </si>
  <si>
    <t>SAMN46645895</t>
  </si>
  <si>
    <t>LVWS6_Marker33_55_TP1_13H_2014</t>
  </si>
  <si>
    <t>SAMN46645896</t>
  </si>
  <si>
    <t>LVWS6_Marker33_55_TP2_12L_2014</t>
  </si>
  <si>
    <t>SAMN46645897</t>
  </si>
  <si>
    <t>LVWS6_Marker33_55_TP2_12H_2014</t>
  </si>
  <si>
    <t>SAMN46645898</t>
  </si>
  <si>
    <t>LVWS6_Marker33_55_TP2_13L_2014</t>
  </si>
  <si>
    <t>SAMN46645899</t>
  </si>
  <si>
    <t>LVWS6_Marker33_55_TP2_13H_2014</t>
  </si>
  <si>
    <t>SAMN46645900</t>
  </si>
  <si>
    <t>FS908_Marker33_80_TP1_12L_2014</t>
  </si>
  <si>
    <t>SAMN46645901</t>
  </si>
  <si>
    <t>FS908_Marker33_80_TP1_12H_2014</t>
  </si>
  <si>
    <t>SAMN46645902</t>
  </si>
  <si>
    <t>FS908_Marker33_80_TP1_13L_2014</t>
  </si>
  <si>
    <t>SAMN46645903</t>
  </si>
  <si>
    <t>FS908_Marker33_80_TP1_13H_2014</t>
  </si>
  <si>
    <t>SAMN46645904</t>
  </si>
  <si>
    <t>FS908_Marker33_80_TP2_12L10_2014</t>
  </si>
  <si>
    <t>SAMN46645905</t>
  </si>
  <si>
    <t>FS908_Marker33_80_TP2_13H7_2014</t>
  </si>
  <si>
    <t>SAMN46645906</t>
  </si>
  <si>
    <t>LVWS5_Anemone_30_TP1_12L_2014</t>
  </si>
  <si>
    <t>SAMN46645907</t>
  </si>
  <si>
    <t>LVWS5_Anemone_30_TP1_12H_2014</t>
  </si>
  <si>
    <t>SAMN46645908</t>
  </si>
  <si>
    <t>LVWS5_Anemone_30_TP1_13L_2014</t>
  </si>
  <si>
    <t>SAMN46645909</t>
  </si>
  <si>
    <t>LVWS5_Anemone_30_TP1_13H_2014</t>
  </si>
  <si>
    <t>SAMN46645910</t>
  </si>
  <si>
    <t>LVWS5_Anemone_30_TP2_12L_2014</t>
  </si>
  <si>
    <t>SAMN46645911</t>
  </si>
  <si>
    <t>LVWS5_Anemone_30_TP2_12H_2014</t>
  </si>
  <si>
    <t>SAMN46645912</t>
  </si>
  <si>
    <t>LVWS5_Anemone_30_TP2_13L_2014</t>
  </si>
  <si>
    <t>SAMN46645913</t>
  </si>
  <si>
    <t>LVWS5_Anemone_30_TP2_13H_2014</t>
  </si>
  <si>
    <t>SAMN46645914</t>
  </si>
  <si>
    <t>LVWS5_Anemone_55_TP1_12L_2014</t>
  </si>
  <si>
    <t>SAMN46645915</t>
  </si>
  <si>
    <t>LVWS5_Anemone_55_TP1_12H_2014</t>
  </si>
  <si>
    <t>SAMN46645916</t>
  </si>
  <si>
    <t>LVWS5_Anemone_55_TP1_13L_2014</t>
  </si>
  <si>
    <t>SAMN46645917</t>
  </si>
  <si>
    <t>LVWS5_Anemone_55_TP1_13H_2014</t>
  </si>
  <si>
    <t>SAMN46645918</t>
  </si>
  <si>
    <t>LVWS5_Anemone_55_TP2_12L_2014</t>
  </si>
  <si>
    <t>SAMN46645919</t>
  </si>
  <si>
    <t>LVWS5_Anemone_55_TP2_12H_2014</t>
  </si>
  <si>
    <t>SAMN46645920</t>
  </si>
  <si>
    <t>LVWS5_Anemone_55_TP2_13L_2014</t>
  </si>
  <si>
    <t>SAMN46645921</t>
  </si>
  <si>
    <t>LVWS5_Anemone_55_TP2_13H_2014</t>
  </si>
  <si>
    <t>SAMN46645922</t>
  </si>
  <si>
    <t>FS907_Anemone_80_12L10_2014</t>
  </si>
  <si>
    <t>SAMN46645923</t>
  </si>
  <si>
    <t>FS907_Anemone_80_12L9_2014</t>
  </si>
  <si>
    <t>SAMN46645924</t>
  </si>
  <si>
    <t>FS907_Anemone_80_13H6_2014</t>
  </si>
  <si>
    <t>SAMN46645925</t>
  </si>
  <si>
    <t>FS907_Anemone_80_13H8_2014</t>
  </si>
  <si>
    <t>Table S5. SortMeRNA Results containing the percent rRNA in all unmanipulated fluid metatranscriptome and 13C-enriched RNA-SIP metatranscriptome samples</t>
  </si>
  <si>
    <t>Sample name</t>
  </si>
  <si>
    <t>mRNA read length</t>
  </si>
  <si>
    <t>rRNA read length</t>
  </si>
  <si>
    <t>rRNA proportion of total reads</t>
  </si>
  <si>
    <t>rRNA percent of total reads</t>
  </si>
  <si>
    <t>Total reads</t>
  </si>
  <si>
    <t>FS891_RNA_merged.fastq</t>
  </si>
  <si>
    <t>FS903_30_12L_GGATGT_L001_trim_paired_merged.fastq</t>
  </si>
  <si>
    <t>FS903_30_13H_CCTCGG_L001_trim_paired_merged.fastq</t>
  </si>
  <si>
    <t>FS903_30_13L_TTCGCT_L001_trim_paired_merged.fastq</t>
  </si>
  <si>
    <t>FS903_55_12L_GGACCC_L002_trim_paired_merged.fastq</t>
  </si>
  <si>
    <t>FS903_55_13H_CCTTCA_L002_trim_paired_merged.fastq</t>
  </si>
  <si>
    <t>FS903_RNA_merged.fastq</t>
  </si>
  <si>
    <t>FS904_12L_30_GGACCC_L007_trim_paired_merged.fastq</t>
  </si>
  <si>
    <t>FS904_12L_55_GGATGT_L007_trim_paired_merged.fastq</t>
  </si>
  <si>
    <t>FS904_12L_80_GGATGT_L007_trim_paired_merged.fastq</t>
  </si>
  <si>
    <t>FS904_13H_30_CCTTCA_L007_trim_paired_merged.fastq</t>
  </si>
  <si>
    <t>FS904_13H_55_CCTCGG_L007_trim_paired_merged.fastq</t>
  </si>
  <si>
    <t>FS904_13H_80_CCGCGG_L007_trim_paired_merged.fastq</t>
  </si>
  <si>
    <t>FS904_13H_80_CCTCGG_L007_trim_paired_merged.fastq</t>
  </si>
  <si>
    <t>FS904_RNA_merged.fastq</t>
  </si>
  <si>
    <t>FS906_80_TP1_12L_TTCGCT_L005_trim_paired_merged.fastq</t>
  </si>
  <si>
    <t>FS906_80_TP1_13H_AAGGGA_L006_trim_paired_merged.fastq</t>
  </si>
  <si>
    <t>FS906_RNA_CCTTCA_L004_RUN2_trim_paired_merged.fastq</t>
  </si>
  <si>
    <t>FS906_RNA_CCTTCA_L004_trim_paired_merged.fastq</t>
  </si>
  <si>
    <t>FS906_RNA_CCTTCA_L005_trim_paired_merged.fastq</t>
  </si>
  <si>
    <t>FS907_80_12L10_CCTTCA_L001_trim_paired_merged.fastq</t>
  </si>
  <si>
    <t>FS907_80_12L9_AAGGGA_L001_trim_paired_merged.fastq</t>
  </si>
  <si>
    <t>FS907_80_13H6_GGACCC_L001_trim_paired_merged.fastq</t>
  </si>
  <si>
    <t>FS907_80_13H8_TTCAGC_L001_trim_paired_merged.fastq</t>
  </si>
  <si>
    <t>FS907_RNA_TTCAGC_L004_RUN2_trim_paired_merged.fastq</t>
  </si>
  <si>
    <t>FS907_RNA_TTCAGC_L004_trim_paired_merged.fastq</t>
  </si>
  <si>
    <t>FS907_RNA_TTCAGC_L005_trim_paired_merged.fastq</t>
  </si>
  <si>
    <t>FS908_80_12L10_CCTCGG_L001_trim_paired_merged.fastq</t>
  </si>
  <si>
    <t>FS908_80_13H7_GGATGT_L001_trim_paired_merged.fastq</t>
  </si>
  <si>
    <t>FS908_80_TP1_12L_CCTCGG_L006_trim_paired_merged.fastq</t>
  </si>
  <si>
    <t>FS908_80_TP1_13H_GGATGT_L006_trim_paired_merged.fastq</t>
  </si>
  <si>
    <t>FS908_RNA_CCTCGG_L004_RUN2_trim_paired_merged.fastq</t>
  </si>
  <si>
    <t>FS908_RNA_CCTCGG_L004_trim_paired_merged.fastq</t>
  </si>
  <si>
    <t>FS908_RNA_CCTCGG_L005_trim_paired_merged.fastq</t>
  </si>
  <si>
    <t>LVWS1_80_TP1_12L_CCTCGG_L003_trim_paired_merged.fastq</t>
  </si>
  <si>
    <t>LVWS1_80_TP1_12L_CCTCGG_L004_trim_paired_merged.fastq</t>
  </si>
  <si>
    <t>LVWS1_80_TP1_13H_AAGACG_L003_trim_paired_merged.fastq</t>
  </si>
  <si>
    <t>LVWS1_80_TP1_13H_AAGACG_L004_trim_paired_merged.fastq</t>
  </si>
  <si>
    <t>LVWS2_TP1_12L_GGACCC_L007_trim_paired_merged.fastq</t>
  </si>
  <si>
    <t>LVWS2_TP1_13H_CCTTCA_L007_trim_paired_merged.fastq</t>
  </si>
  <si>
    <t>LVWS4_55_TP1_12L_CCTTCA_L004_trim_paired_merged.fastq</t>
  </si>
  <si>
    <t>LVWS4_55_TP1_13H_GGACCC_L004_trim_paired_merged.fastq</t>
  </si>
  <si>
    <t>LVWS4_55_TP2_12L_AAGACG_L003_trim_paired_merged.fastq</t>
  </si>
  <si>
    <t>LVWS4_55_TP2_13H_CCTCGG_L003_trim_paired_merged.fastq</t>
  </si>
  <si>
    <t>LVWS5_30_TP1_12L_GGACCC_L006_trim_paired_merged.fastq</t>
  </si>
  <si>
    <t>LVWS5_30_TP1_13H_TTCAGC_L006_trim_paired_merged.fastq</t>
  </si>
  <si>
    <t>LVWS5_30_TP2_12L_CCTTCA_L003_trim_paired_merged.fastq</t>
  </si>
  <si>
    <t>LVWS5_30_TP2_13H_GGACCC_L003_trim_paired_merged.fastq</t>
  </si>
  <si>
    <t>LVWS5_55_TP1_12L_AAGACG_L001_trim_paired_merged.fastq</t>
  </si>
  <si>
    <t>LVWS5_55_TP1_13H_CCTCGG_L001_trim_paired_merged.fastq</t>
  </si>
  <si>
    <t>LVWS5_55_TP2_12L_CCTCGG_L003_trim_paired_merged.fastq</t>
  </si>
  <si>
    <t>LVWS5_55_TP2_13H_GGATGT_L003_trim_paired_merged.fastq</t>
  </si>
  <si>
    <t>LVWS6_30_TP1_12L_AAGACG_L004_trim_paired_merged.fastq</t>
  </si>
  <si>
    <t>LVWS6_30_TP1_13H_CCTCGG_L004_trim_paired_merged.fastq</t>
  </si>
  <si>
    <t>LVWS6_30_TP2_12L_AAGGGA_L003_trim_paired_merged.fastq</t>
  </si>
  <si>
    <t>LVWS6_30_TP2_13H_CCTTCA_L003_trim_paired_merged.fastq</t>
  </si>
  <si>
    <t>LVWS6_55_TP1_12L_GGATGT_L004_trim_paired_merged.fastq</t>
  </si>
  <si>
    <t>LVWS6_55_TP1_13H_TTCGCT_L004_trim_paired_merged.fastq</t>
  </si>
  <si>
    <t>LVWS6_55_TP2_12L_TTCAGC_L003_trim_paired_merged.fastq</t>
  </si>
  <si>
    <t>LVWS6_55_TP2_13H_AAGACG_L003_trim_paired_merged.fastq</t>
  </si>
  <si>
    <t xml:space="preserve">Table S6. All non-redundant MAGs recovered from DASTool. Bins were mapped to the 13C-enriched transcripts of all RNA-SIP experiments to elucidate active transcript in the bins.  Taxonomy was assigned using both CheckM and GTDBtk and was only assigned to the top 120 bins, and each MAG recovered from Marker 113, Marker 33, and Anemone is listed with its ID, number of contigs, length, GC content, completion, redundancy, and number of genes present. </t>
  </si>
  <si>
    <t>Location</t>
  </si>
  <si>
    <t>Vent</t>
  </si>
  <si>
    <t>Temperature (°C)</t>
  </si>
  <si>
    <t>Sample Name</t>
  </si>
  <si>
    <t>Bin</t>
  </si>
  <si>
    <t>Number of expressed genes</t>
  </si>
  <si>
    <t>Number of observed contigs</t>
  </si>
  <si>
    <t>Length of expressed genes</t>
  </si>
  <si>
    <t>Length of observed contigs</t>
  </si>
  <si>
    <t>Completeness</t>
  </si>
  <si>
    <t>Contamination</t>
  </si>
  <si>
    <t>Contig N50</t>
  </si>
  <si>
    <t>Genome Size</t>
  </si>
  <si>
    <t>Total Coding Sequences</t>
  </si>
  <si>
    <t>CheckM taxonomy</t>
  </si>
  <si>
    <t>GTDBtk taxonomy</t>
  </si>
  <si>
    <t>Full GTDBtk taxonomy</t>
  </si>
  <si>
    <t>Domain</t>
  </si>
  <si>
    <t>Phylum</t>
  </si>
  <si>
    <t>Class</t>
  </si>
  <si>
    <t>Order</t>
  </si>
  <si>
    <t>Family</t>
  </si>
  <si>
    <t>Genus</t>
  </si>
  <si>
    <t>Species</t>
  </si>
  <si>
    <t>Axial Seamount</t>
  </si>
  <si>
    <t>Marker 113</t>
  </si>
  <si>
    <t>FS903_30_13H</t>
  </si>
  <si>
    <t>coa_bin_102</t>
  </si>
  <si>
    <t>o__Campylobacterales</t>
  </si>
  <si>
    <t>g__Hydrogenimonas</t>
  </si>
  <si>
    <t>d__Bacteria;p__Campylobacterota;c__Campylobacteria;o__Campylobacterales;f__Hydrogenimonadaceae;g__Hydrogenimonas</t>
  </si>
  <si>
    <t>d__Bacteria</t>
  </si>
  <si>
    <t>p__Campylobacterota</t>
  </si>
  <si>
    <t>c__Campylobacteria</t>
  </si>
  <si>
    <t>f__Hydrogenimonadaceae</t>
  </si>
  <si>
    <t>NA</t>
  </si>
  <si>
    <t>FS903_55_13H</t>
  </si>
  <si>
    <t>Marker 33</t>
  </si>
  <si>
    <t>FS904_30_13H</t>
  </si>
  <si>
    <t>FS904_55_13H</t>
  </si>
  <si>
    <t>FS906_80_TP1_13H</t>
  </si>
  <si>
    <t>LVWS4_55_TP1_13H</t>
  </si>
  <si>
    <t>LVWS4_55_TP2_13H</t>
  </si>
  <si>
    <t>LVWS5_30_TP1_13H</t>
  </si>
  <si>
    <t>LVWS5_30_TP2_13H</t>
  </si>
  <si>
    <t>LVWS5_55_TP1_13H</t>
  </si>
  <si>
    <t>LVWS5_55_TP2_13H</t>
  </si>
  <si>
    <t>LVWS6_30_TP1_13H</t>
  </si>
  <si>
    <t>LVWS6_30_TP2_13H</t>
  </si>
  <si>
    <t>LVWS6_55_TP1_13H</t>
  </si>
  <si>
    <t>LVWS6_55_TP2_13H</t>
  </si>
  <si>
    <t>coa_bin_103</t>
  </si>
  <si>
    <t>p__Chloroflexi</t>
  </si>
  <si>
    <t>o__Anaerolineales</t>
  </si>
  <si>
    <t>d__Bacteria;p__Chloroflexota;c__Anaerolineae;o__Anaerolineales</t>
  </si>
  <si>
    <t>p__Chloroflexota</t>
  </si>
  <si>
    <t>c__Anaerolineae</t>
  </si>
  <si>
    <t>f__UBA4823</t>
  </si>
  <si>
    <t>g__JAUWPO01</t>
  </si>
  <si>
    <t>coa_bin_104</t>
  </si>
  <si>
    <t>c__Epsilonproteobacteria</t>
  </si>
  <si>
    <t>FS907_80_13H</t>
  </si>
  <si>
    <t>FS908_80_TP2_13H7</t>
  </si>
  <si>
    <t>LVWS2_80_TP1_13H</t>
  </si>
  <si>
    <t>coa_bin_11</t>
  </si>
  <si>
    <t>k__Bacteria</t>
  </si>
  <si>
    <t>c__Gracilibacteria</t>
  </si>
  <si>
    <t>d__Bacteria;p__Patescibacteria;c__Gracilibacteria</t>
  </si>
  <si>
    <t>p__Patescibacteria</t>
  </si>
  <si>
    <t>o__UBA4473</t>
  </si>
  <si>
    <t>f__UBA4473</t>
  </si>
  <si>
    <t>g__JAGLIF01</t>
  </si>
  <si>
    <t>coa_bin_115</t>
  </si>
  <si>
    <t>o__Aquificales</t>
  </si>
  <si>
    <t>d__Bacteria;p__Aquificota;c__Aquificae;o__Aquificales</t>
  </si>
  <si>
    <t>p__Aquificota</t>
  </si>
  <si>
    <t>c__Aquificae</t>
  </si>
  <si>
    <t>f__QOAS01</t>
  </si>
  <si>
    <t>coa_bin_117</t>
  </si>
  <si>
    <t>o__Thermosulfidibacterales</t>
  </si>
  <si>
    <t>d__Bacteria;p__Thermosulfidibacterota;c__Thermosulfidibacteria;o__Thermosulfidibacterales</t>
  </si>
  <si>
    <t>p__Thermosulfidibacterota</t>
  </si>
  <si>
    <t>c__Thermosulfidibacteria</t>
  </si>
  <si>
    <t>f__B14-G1</t>
  </si>
  <si>
    <t>coa_bin_124</t>
  </si>
  <si>
    <t>g__Alloalcanivorax</t>
  </si>
  <si>
    <t>d__Bacteria;p__Pseudomonadota;c__Gammaproteobacteria;o__Pseudomonadales;f__Alcanivoracaceae;g__Alloalcanivorax</t>
  </si>
  <si>
    <t>p__Pseudomonadota</t>
  </si>
  <si>
    <t>c__Gammaproteobacteria</t>
  </si>
  <si>
    <t>o__Pseudomonadales</t>
  </si>
  <si>
    <t>f__Alcanivoracaceae</t>
  </si>
  <si>
    <t>s__Alloalcanivorax venustensis</t>
  </si>
  <si>
    <t>coa_bin_126</t>
  </si>
  <si>
    <t>f__Villigracilaceae</t>
  </si>
  <si>
    <t>d__Bacteria;p__Chloroflexota;c__Anaerolineae;o__Anaerolineales;f__Villigracilaceae</t>
  </si>
  <si>
    <t>LVWS1_80_TP1_13H</t>
  </si>
  <si>
    <t>coa_bin_128</t>
  </si>
  <si>
    <t>p__Bacteroidetes</t>
  </si>
  <si>
    <t>o__Bacteroidales</t>
  </si>
  <si>
    <t>d__Bacteria;p__Bacteroidota;c__Bacteroidia;o__Bacteroidales</t>
  </si>
  <si>
    <t>p__Bacteroidota</t>
  </si>
  <si>
    <t>c__Bacteroidia</t>
  </si>
  <si>
    <t>f__F082</t>
  </si>
  <si>
    <t>g__B16-G9</t>
  </si>
  <si>
    <t>FS904_80_13H</t>
  </si>
  <si>
    <t>FS908_80_TP1_13H</t>
  </si>
  <si>
    <t>coa_bin_129</t>
  </si>
  <si>
    <t>f__Desulfobacteraceae</t>
  </si>
  <si>
    <t>g__Desulfobacula</t>
  </si>
  <si>
    <t>d__Bacteria;p__Desulfobacterota;c__Desulfobacteria;o__Desulfobacterales;f__Desulfobacteraceae;g__Desulfobacula</t>
  </si>
  <si>
    <t>p__Desulfobacterota</t>
  </si>
  <si>
    <t>c__Desulfobacteria</t>
  </si>
  <si>
    <t>o__Desulfobacterales</t>
  </si>
  <si>
    <t>coa_bin_13</t>
  </si>
  <si>
    <t>o__Longimicrobiales</t>
  </si>
  <si>
    <t>d__Bacteria;p__Gemmatimonadota;c__Gemmatimonadetes;o__Longimicrobiales</t>
  </si>
  <si>
    <t>p__Gemmatimonadota</t>
  </si>
  <si>
    <t>c__Gemmatimonadetes</t>
  </si>
  <si>
    <t>f__UBA6960</t>
  </si>
  <si>
    <t>g__UBA1142</t>
  </si>
  <si>
    <t>s__UBA1142 sp012960225</t>
  </si>
  <si>
    <t>coa_bin_133</t>
  </si>
  <si>
    <t>o__Cloacimonadales</t>
  </si>
  <si>
    <t>d__Bacteria;p__Cloacimonadota;c__Cloacimonadia;o__Cloacimonadales</t>
  </si>
  <si>
    <t>p__Cloacimonadota</t>
  </si>
  <si>
    <t>c__Cloacimonadia</t>
  </si>
  <si>
    <t>f__TCS61</t>
  </si>
  <si>
    <t>g__DAOWES01</t>
  </si>
  <si>
    <t>coa_bin_134</t>
  </si>
  <si>
    <t>p__Planctomycetota</t>
  </si>
  <si>
    <t>d__Bacteria;p__Planctomycetota</t>
  </si>
  <si>
    <t>c__UBA8108</t>
  </si>
  <si>
    <t>o__UBA8108</t>
  </si>
  <si>
    <t>f__UBA8108</t>
  </si>
  <si>
    <t>g__UBA8108</t>
  </si>
  <si>
    <t>s__UBA8108 sp002708465</t>
  </si>
  <si>
    <t>coa_bin_14</t>
  </si>
  <si>
    <t>p__Euryarchaeota</t>
  </si>
  <si>
    <t>g__Aciduliprofundum</t>
  </si>
  <si>
    <t>d__Archaea;p__Thermoplasmatota;c__Thermoplasmata;o__Aciduliprofundales;f__Aciduliprofundaceae;g__Aciduliprofundum</t>
  </si>
  <si>
    <t>d__Archaea</t>
  </si>
  <si>
    <t>p__Thermoplasmatota</t>
  </si>
  <si>
    <t>c__Thermoplasmata</t>
  </si>
  <si>
    <t>o__Aciduliprofundales</t>
  </si>
  <si>
    <t>f__Aciduliprofundaceae</t>
  </si>
  <si>
    <t>coa_bin_144</t>
  </si>
  <si>
    <t>f__Epilineaceae</t>
  </si>
  <si>
    <t>d__Bacteria;p__Chloroflexota;c__Anaerolineae;o__Epilineales;f__Epilineaceae</t>
  </si>
  <si>
    <t>o__Epilineales</t>
  </si>
  <si>
    <t>coa_bin_145</t>
  </si>
  <si>
    <t>o__Verrucomicrobiales</t>
  </si>
  <si>
    <t>o__Limisphaerales</t>
  </si>
  <si>
    <t>d__Bacteria;p__Verrucomicrobiota;c__Verrucomicrobiae;o__Limisphaerales</t>
  </si>
  <si>
    <t>p__Verrucomicrobiota</t>
  </si>
  <si>
    <t>c__Verrucomicrobiae</t>
  </si>
  <si>
    <t>f__UBA1096</t>
  </si>
  <si>
    <t>g__UBA1096</t>
  </si>
  <si>
    <t>s__UBA1096 sp015658765</t>
  </si>
  <si>
    <t>coa_bin_15</t>
  </si>
  <si>
    <t>f__UBA12170</t>
  </si>
  <si>
    <t>g__DYSN01</t>
  </si>
  <si>
    <t>coa_bin_150</t>
  </si>
  <si>
    <t>coa_bin_152</t>
  </si>
  <si>
    <t>g__Archaeoglobus</t>
  </si>
  <si>
    <t>g__Archaeoglobus_B</t>
  </si>
  <si>
    <t>d__Archaea;p__Halobacteriota;c__Archaeoglobi;o__Archaeoglobales;f__Archaeoglobaceae;g__Archaeoglobus_B</t>
  </si>
  <si>
    <t>p__Halobacteriota</t>
  </si>
  <si>
    <t>c__Archaeoglobi</t>
  </si>
  <si>
    <t>o__Archaeoglobales</t>
  </si>
  <si>
    <t>f__Archaeoglobaceae</t>
  </si>
  <si>
    <t>coa_bin_153</t>
  </si>
  <si>
    <t>o__Spirochaetales</t>
  </si>
  <si>
    <t>p__Spirochaetota</t>
  </si>
  <si>
    <t>d__Bacteria;p__Spirochaetota</t>
  </si>
  <si>
    <t>c__DYNZ01</t>
  </si>
  <si>
    <t>coa_bin_155</t>
  </si>
  <si>
    <t>f__Sulfurovaceae</t>
  </si>
  <si>
    <t>d__Bacteria;p__Campylobacterota;c__Campylobacteria;o__Campylobacterales;f__Sulfurovaceae</t>
  </si>
  <si>
    <t>g__SZUA-451</t>
  </si>
  <si>
    <t>coa_bin_156</t>
  </si>
  <si>
    <t>c__Deltaproteobacteria</t>
  </si>
  <si>
    <t>o__Dissulfuribacterales</t>
  </si>
  <si>
    <t>d__Bacteria;p__Desulfobacterota;c__Dissulfuribacteria;o__Dissulfuribacterales</t>
  </si>
  <si>
    <t>c__Dissulfuribacteria</t>
  </si>
  <si>
    <t>f__QOAL01</t>
  </si>
  <si>
    <t>coa_bin_160</t>
  </si>
  <si>
    <t>f__Azotimanducaceae_A</t>
  </si>
  <si>
    <t>d__Bacteria;p__Pseudomonadota;c__Gammaproteobacteria;o__Pseudomonadales;f__Azotimanducaceae_A</t>
  </si>
  <si>
    <t>g__UBA11889</t>
  </si>
  <si>
    <t>s__UBA11889 sp022448085</t>
  </si>
  <si>
    <t>coa_bin_161</t>
  </si>
  <si>
    <t>f__Porphyromonadaceae</t>
  </si>
  <si>
    <t>f__JAFGXI01</t>
  </si>
  <si>
    <t>coa_bin_162</t>
  </si>
  <si>
    <t>d__Bacteria;p__Campylobacterota;c__Campylobacteria;o__Campylobacterales</t>
  </si>
  <si>
    <t>coa_bin_163</t>
  </si>
  <si>
    <t>o__Thiotrichales</t>
  </si>
  <si>
    <t>g__Pseudothioglobus</t>
  </si>
  <si>
    <t>d__Bacteria;p__Pseudomonadota;c__Gammaproteobacteria;o__PS1;f__Thioglobaceae;g__Pseudothioglobus</t>
  </si>
  <si>
    <t>o__PS1</t>
  </si>
  <si>
    <t>f__Thioglobaceae</t>
  </si>
  <si>
    <t>s__Pseudothioglobus sp029936515</t>
  </si>
  <si>
    <t>coa_bin_164</t>
  </si>
  <si>
    <t>f__Campylobacteraceae</t>
  </si>
  <si>
    <t>f__JAADDG01</t>
  </si>
  <si>
    <t>coa_bin_165</t>
  </si>
  <si>
    <t>d__Bacteria;p__Pseudomonadota;c__Gammaproteobacteria</t>
  </si>
  <si>
    <t>o__J025</t>
  </si>
  <si>
    <t>coa_bin_168</t>
  </si>
  <si>
    <t>g__Sulfurospirillum</t>
  </si>
  <si>
    <t>g__Sulfurospirillum_A</t>
  </si>
  <si>
    <t>d__Bacteria;p__Campylobacterota;c__Campylobacteria;o__Campylobacterales;f__Sulfurospirillaceae;g__Sulfurospirillum_A</t>
  </si>
  <si>
    <t>f__Sulfurospirillaceae</t>
  </si>
  <si>
    <t>coa_bin_170</t>
  </si>
  <si>
    <t>f__JAMOQM01</t>
  </si>
  <si>
    <t>g__JAMOQM01</t>
  </si>
  <si>
    <t>coa_bin_171</t>
  </si>
  <si>
    <t>f__VadinHA17</t>
  </si>
  <si>
    <t>g__JANTGF01</t>
  </si>
  <si>
    <t>coa_bin_173</t>
  </si>
  <si>
    <t>g__Thermodesulfobacterium</t>
  </si>
  <si>
    <t>d__Bacteria;p__Desulfobacterota;c__Thermodesulfobacteria;o__Thermodesulfobacteriales;f__Thermodesulfobacteriaceae;g__Thermodesulfobacterium</t>
  </si>
  <si>
    <t>c__Thermodesulfobacteria</t>
  </si>
  <si>
    <t>o__Thermodesulfobacteriales</t>
  </si>
  <si>
    <t>f__Thermodesulfobacteriaceae</t>
  </si>
  <si>
    <t>coa_bin_174</t>
  </si>
  <si>
    <t>g__JAAXPZ01</t>
  </si>
  <si>
    <t>coa_bin_175</t>
  </si>
  <si>
    <t>o__Ignavibacteriales</t>
  </si>
  <si>
    <t>f__Melioribacteraceae</t>
  </si>
  <si>
    <t>d__Bacteria;p__Bacteroidota;c__Ignavibacteria;o__Ignavibacteriales;f__Melioribacteraceae</t>
  </si>
  <si>
    <t>c__Ignavibacteria</t>
  </si>
  <si>
    <t>g__WFQV01</t>
  </si>
  <si>
    <t>coa_bin_178</t>
  </si>
  <si>
    <t>d__Bacteria;p__Desulfobacterota</t>
  </si>
  <si>
    <t>c__S145-22</t>
  </si>
  <si>
    <t>o__S145-22</t>
  </si>
  <si>
    <t>f__S145-22</t>
  </si>
  <si>
    <t>g__JANTFN01</t>
  </si>
  <si>
    <t>coa_bin_179</t>
  </si>
  <si>
    <t>c__Betaproteobacteria</t>
  </si>
  <si>
    <t>g__Gallionella</t>
  </si>
  <si>
    <t>d__Bacteria;p__Pseudomonadota;c__Gammaproteobacteria;o__Burkholderiales;f__Gallionellaceae;g__Gallionella</t>
  </si>
  <si>
    <t>o__Burkholderiales</t>
  </si>
  <si>
    <t>f__Gallionellaceae</t>
  </si>
  <si>
    <t>coa_bin_180</t>
  </si>
  <si>
    <t>f__Izemoplasmataceae</t>
  </si>
  <si>
    <t>d__Bacteria;p__Bacillota_I;c__Bacilli_A;o__Izemoplasmatales;f__Izemoplasmataceae</t>
  </si>
  <si>
    <t>p__Bacillota_I</t>
  </si>
  <si>
    <t>c__Bacilli_A</t>
  </si>
  <si>
    <t>o__Izemoplasmatales</t>
  </si>
  <si>
    <t>g__JAFGXW01</t>
  </si>
  <si>
    <t>coa_bin_182</t>
  </si>
  <si>
    <t>f__Saprospiraceae</t>
  </si>
  <si>
    <t>d__Bacteria;p__Bacteroidota;c__Bacteroidia;o__Chitinophagales;f__Saprospiraceae</t>
  </si>
  <si>
    <t>o__Chitinophagales</t>
  </si>
  <si>
    <t>g__JADJGA01</t>
  </si>
  <si>
    <t>coa_bin_186</t>
  </si>
  <si>
    <t>f__QNZT01</t>
  </si>
  <si>
    <t>g__SZUA-1377</t>
  </si>
  <si>
    <t>coa_bin_188</t>
  </si>
  <si>
    <t>k__Archaea</t>
  </si>
  <si>
    <t>c__Iainarchaeia</t>
  </si>
  <si>
    <t>d__Archaea;p__Iainarchaeota;c__Iainarchaeia</t>
  </si>
  <si>
    <t>p__Iainarchaeota</t>
  </si>
  <si>
    <t>o__JAADDC01</t>
  </si>
  <si>
    <t>coa_bin_19</t>
  </si>
  <si>
    <t>d__Bacteria;p__Desulfobacterota;c__Desulfobacteria;o__Desulfobacterales</t>
  </si>
  <si>
    <t>f__JAFDCJ01</t>
  </si>
  <si>
    <t>g__JAOZPY01</t>
  </si>
  <si>
    <t>s__JAOZPY01 sp029932495</t>
  </si>
  <si>
    <t>coa_bin_197</t>
  </si>
  <si>
    <t>p__SAR324</t>
  </si>
  <si>
    <t>c__SAR324</t>
  </si>
  <si>
    <t>o__SAR324</t>
  </si>
  <si>
    <t>f__NAC60-12</t>
  </si>
  <si>
    <t>g__UBA8110</t>
  </si>
  <si>
    <t>s__UBA8110 sp002707655</t>
  </si>
  <si>
    <t>coa_bin_198</t>
  </si>
  <si>
    <t>o__SAR86</t>
  </si>
  <si>
    <t>f__SAR86</t>
  </si>
  <si>
    <t>g__AEGEAN-183</t>
  </si>
  <si>
    <t>s__AEGEAN-183 sp012965075</t>
  </si>
  <si>
    <t>coa_bin_2</t>
  </si>
  <si>
    <t>g__WGAL01</t>
  </si>
  <si>
    <t>coa_bin_201</t>
  </si>
  <si>
    <t>coa_bin_202</t>
  </si>
  <si>
    <t>f__Desulfohalobiaceae</t>
  </si>
  <si>
    <t>g__Desulfothermus</t>
  </si>
  <si>
    <t>d__Bacteria;p__Desulfobacterota;c__Desulfovibrionia;o__Desulfovibrionales;f__Desulfohalobiaceae;g__Desulfothermus</t>
  </si>
  <si>
    <t>c__Desulfovibrionia</t>
  </si>
  <si>
    <t>o__Desulfovibrionales</t>
  </si>
  <si>
    <t>coa_bin_205</t>
  </si>
  <si>
    <t>c__Actinobacteria</t>
  </si>
  <si>
    <t>f__Poriferisodaliceae</t>
  </si>
  <si>
    <t>d__Bacteria;p__Actinomycetota;c__Acidimicrobiia;o__Acidimicrobiales;f__Poriferisodaliceae</t>
  </si>
  <si>
    <t>p__Actinomycetota</t>
  </si>
  <si>
    <t>c__Acidimicrobiia</t>
  </si>
  <si>
    <t>o__Acidimicrobiales</t>
  </si>
  <si>
    <t>g__UBA2110</t>
  </si>
  <si>
    <t>s__UBA2110 sp002719335</t>
  </si>
  <si>
    <t>coa_bin_206</t>
  </si>
  <si>
    <t>coa_bin_21</t>
  </si>
  <si>
    <t>f__Helicobacteraceae</t>
  </si>
  <si>
    <t>f__Sulfurimonadaceae</t>
  </si>
  <si>
    <t>d__Bacteria;p__Campylobacterota;c__Campylobacteria;o__Campylobacterales;f__Sulfurimonadaceae</t>
  </si>
  <si>
    <t>g__4484-230</t>
  </si>
  <si>
    <t>coa_bin_210</t>
  </si>
  <si>
    <t>o__Chromatiales</t>
  </si>
  <si>
    <t>g__Endoriftia</t>
  </si>
  <si>
    <t>d__Bacteria;p__Pseudomonadota;c__Gammaproteobacteria;o__Chromatiales;f__Sedimenticolaceae;g__Endoriftia</t>
  </si>
  <si>
    <t>f__Sedimenticolaceae</t>
  </si>
  <si>
    <t>s__Endoriftia persephone</t>
  </si>
  <si>
    <t>coa_bin_211</t>
  </si>
  <si>
    <t>f__JAFGUD01</t>
  </si>
  <si>
    <t>g__JAFGUD01</t>
  </si>
  <si>
    <t>coa_bin_214</t>
  </si>
  <si>
    <t>o__Woesearchaeales</t>
  </si>
  <si>
    <t>d__Archaea;p__Nanoarchaeota;c__Nanoarchaeia;o__Woesearchaeales</t>
  </si>
  <si>
    <t>p__Nanoarchaeota</t>
  </si>
  <si>
    <t>c__Nanoarchaeia</t>
  </si>
  <si>
    <t>f__JACJVW01</t>
  </si>
  <si>
    <t>coa_bin_215</t>
  </si>
  <si>
    <t>d__Bacteria;p__Actinomycetota;c__Acidimicrobiia</t>
  </si>
  <si>
    <t>o__UBA5794</t>
  </si>
  <si>
    <t>f__UBA5794</t>
  </si>
  <si>
    <t>g__JAHEEL01</t>
  </si>
  <si>
    <t>coa_bin_216</t>
  </si>
  <si>
    <t>f__Desulfofervidaceae</t>
  </si>
  <si>
    <t>d__Bacteria;p__Desulfobacterota;c__Desulfofervidia;o__Desulfofervidales;f__Desulfofervidaceae</t>
  </si>
  <si>
    <t>c__Desulfofervidia</t>
  </si>
  <si>
    <t>o__Desulfofervidales</t>
  </si>
  <si>
    <t>g__JAGHCL01</t>
  </si>
  <si>
    <t>coa_bin_217</t>
  </si>
  <si>
    <t>g__JAFGXI01</t>
  </si>
  <si>
    <t>coa_bin_221</t>
  </si>
  <si>
    <t>f__Aquificaceae</t>
  </si>
  <si>
    <t>g__QOAS01</t>
  </si>
  <si>
    <t>coa_bin_225</t>
  </si>
  <si>
    <t>g__S145-22</t>
  </si>
  <si>
    <t>coa_bin_226</t>
  </si>
  <si>
    <t>p__Proteobacteria</t>
  </si>
  <si>
    <t>p__Myxococcota</t>
  </si>
  <si>
    <t>d__Bacteria;p__Myxococcota</t>
  </si>
  <si>
    <t>c__UBA796</t>
  </si>
  <si>
    <t>o__UBA796</t>
  </si>
  <si>
    <t>f__UBA796</t>
  </si>
  <si>
    <t>g__UBA796</t>
  </si>
  <si>
    <t>s__UBA796 sp002296975</t>
  </si>
  <si>
    <t>coa_bin_227</t>
  </si>
  <si>
    <t>coa_bin_228</t>
  </si>
  <si>
    <t>coa_bin_230</t>
  </si>
  <si>
    <t>p__DYJV01</t>
  </si>
  <si>
    <t>c__DYJV01</t>
  </si>
  <si>
    <t>o__DYJV01</t>
  </si>
  <si>
    <t>f__DYJV01</t>
  </si>
  <si>
    <t>coa_bin_231</t>
  </si>
  <si>
    <t>c__UBA1135</t>
  </si>
  <si>
    <t>o__UBA1135</t>
  </si>
  <si>
    <t>f__UBA1135</t>
  </si>
  <si>
    <t>g__JAPKEZ01</t>
  </si>
  <si>
    <t>s__JAPKEZ01 sp029941685</t>
  </si>
  <si>
    <t>coa_bin_232</t>
  </si>
  <si>
    <t>g__Caldithrix</t>
  </si>
  <si>
    <t>d__Bacteria;p__Calditrichota;c__Calditrichia;o__Calditrichales;f__Calditrichaceae;g__Caldithrix</t>
  </si>
  <si>
    <t>p__Calditrichota</t>
  </si>
  <si>
    <t>c__Calditrichia</t>
  </si>
  <si>
    <t>o__Calditrichales</t>
  </si>
  <si>
    <t>f__Calditrichaceae</t>
  </si>
  <si>
    <t>coa_bin_234</t>
  </si>
  <si>
    <t>f__Thalassarchaeaceae</t>
  </si>
  <si>
    <t>d__Archaea;p__Thermoplasmatota;c__Poseidoniia;o__Poseidoniales;f__Thalassarchaeaceae</t>
  </si>
  <si>
    <t>c__Poseidoniia</t>
  </si>
  <si>
    <t>o__Poseidoniales</t>
  </si>
  <si>
    <t>g__MGIIb-O1</t>
  </si>
  <si>
    <t>s__MGIIb-O1 sp002498525</t>
  </si>
  <si>
    <t>coa_bin_235</t>
  </si>
  <si>
    <t>coa_bin_236</t>
  </si>
  <si>
    <t>coa_bin_238</t>
  </si>
  <si>
    <t>g__JAOZMY01</t>
  </si>
  <si>
    <t>coa_bin_24</t>
  </si>
  <si>
    <t>f__Pseudohongiellaceae</t>
  </si>
  <si>
    <t>d__Bacteria;p__Pseudomonadota;c__Gammaproteobacteria;o__Pseudomonadales;f__Pseudohongiellaceae</t>
  </si>
  <si>
    <t>g__UBA9145</t>
  </si>
  <si>
    <t>s__UBA9145 sp002694855</t>
  </si>
  <si>
    <t>coa_bin_243</t>
  </si>
  <si>
    <t>p__Delongbacteria</t>
  </si>
  <si>
    <t>d__Bacteria;p__Delongbacteria</t>
  </si>
  <si>
    <t>c__UBA4055</t>
  </si>
  <si>
    <t>o__BS150m-G50</t>
  </si>
  <si>
    <t>f__BS150m-G50</t>
  </si>
  <si>
    <t>coa_bin_245</t>
  </si>
  <si>
    <t>coa_bin_246</t>
  </si>
  <si>
    <t>coa_bin_247</t>
  </si>
  <si>
    <t>g__Nitratifractor</t>
  </si>
  <si>
    <t>d__Bacteria;p__Campylobacterota;c__Campylobacteria;o__Campylobacterales;f__Sulfurovaceae;g__Nitratifractor</t>
  </si>
  <si>
    <t>s__Nitratifractor sp913054475</t>
  </si>
  <si>
    <t>coa_bin_249</t>
  </si>
  <si>
    <t>f__Desulfurobacteriaceae</t>
  </si>
  <si>
    <t>g__Thermovibrio</t>
  </si>
  <si>
    <t>d__Bacteria;p__Aquificota;c__Desulfurobacteriia;o__Desulfurobacteriales;f__Desulfurobacteriaceae;g__Thermovibrio</t>
  </si>
  <si>
    <t>c__Desulfurobacteriia</t>
  </si>
  <si>
    <t>o__Desulfurobacteriales</t>
  </si>
  <si>
    <t>coa_bin_251</t>
  </si>
  <si>
    <t>d__Bacteria;p__Aquificota;c__Desulfurobacteriia;o__Desulfurobacteriales;f__Desulfurobacteriaceae</t>
  </si>
  <si>
    <t>coa_bin_252</t>
  </si>
  <si>
    <t>coa_bin_253</t>
  </si>
  <si>
    <t>g__UBA1140</t>
  </si>
  <si>
    <t>coa_bin_255</t>
  </si>
  <si>
    <t>f__Methanococcaceae</t>
  </si>
  <si>
    <t>g__Methanothermococcus_A</t>
  </si>
  <si>
    <t>d__Archaea;p__Methanobacteriota_A;c__Methanococci;o__Methanococcales;f__Methanococcaceae;g__Methanothermococcus_A</t>
  </si>
  <si>
    <t>p__Methanobacteriota_A</t>
  </si>
  <si>
    <t>c__Methanococci</t>
  </si>
  <si>
    <t>o__Methanococcales</t>
  </si>
  <si>
    <t>coa_bin_258</t>
  </si>
  <si>
    <t>d__Archaea;p__Halobacteriota;c__Archaeoglobi;o__Archaeoglobales;f__Archaeoglobaceae</t>
  </si>
  <si>
    <t>coa_bin_259</t>
  </si>
  <si>
    <t>f__UBA1556</t>
  </si>
  <si>
    <t>g__CG2-30-33-31</t>
  </si>
  <si>
    <t>coa_bin_265</t>
  </si>
  <si>
    <t>f__Nautiliaceae</t>
  </si>
  <si>
    <t>d__Bacteria;p__Campylobacterota;c__Campylobacteria;o__Nautiliales;f__Nautiliaceae</t>
  </si>
  <si>
    <t>o__Nautiliales</t>
  </si>
  <si>
    <t>coa_bin_266</t>
  </si>
  <si>
    <t>f__Planctomycetaceae</t>
  </si>
  <si>
    <t>f__Lacipirellulaceae</t>
  </si>
  <si>
    <t>d__Bacteria;p__Planctomycetota;c__Planctomycetia;o__Pirellulales;f__Lacipirellulaceae</t>
  </si>
  <si>
    <t>c__Planctomycetia</t>
  </si>
  <si>
    <t>o__Pirellulales</t>
  </si>
  <si>
    <t>g__JAJRWS01</t>
  </si>
  <si>
    <t>coa_bin_267</t>
  </si>
  <si>
    <t>g__Thalassarchaeum</t>
  </si>
  <si>
    <t>d__Archaea;p__Thermoplasmatota;c__Poseidoniia;o__Poseidoniales;f__Thalassarchaeaceae;g__Thalassarchaeum</t>
  </si>
  <si>
    <t>s__Thalassarchaeum sp002507125</t>
  </si>
  <si>
    <t>coa_bin_268</t>
  </si>
  <si>
    <t>f__Nanopusillaceae</t>
  </si>
  <si>
    <t>d__Archaea;p__Nanoarchaeota;c__Nanoarchaeia;o__Nanoarchaeales;f__Nanopusillaceae</t>
  </si>
  <si>
    <t>o__Nanoarchaeales</t>
  </si>
  <si>
    <t>g__JAIXNB01</t>
  </si>
  <si>
    <t>coa_bin_270</t>
  </si>
  <si>
    <t>coa_bin_272</t>
  </si>
  <si>
    <t>p__UBP7</t>
  </si>
  <si>
    <t>c__UBA6624</t>
  </si>
  <si>
    <t>coa_bin_274</t>
  </si>
  <si>
    <t>p__UBP6</t>
  </si>
  <si>
    <t>c__UBA1177</t>
  </si>
  <si>
    <t>o__UBA1177</t>
  </si>
  <si>
    <t>coa_bin_275</t>
  </si>
  <si>
    <t>d__Bacteria;p__Chloroflexota;c__Anaerolineae</t>
  </si>
  <si>
    <t>o__J102</t>
  </si>
  <si>
    <t>f__J102</t>
  </si>
  <si>
    <t>g__DUEF01</t>
  </si>
  <si>
    <t>coa_bin_279</t>
  </si>
  <si>
    <t>o__Anstonellales</t>
  </si>
  <si>
    <t>d__Archaea;p__Micrarchaeota;c__Micrarchaeia;o__Anstonellales</t>
  </si>
  <si>
    <t>p__Micrarchaeota</t>
  </si>
  <si>
    <t>c__Micrarchaeia</t>
  </si>
  <si>
    <t>coa_bin_283</t>
  </si>
  <si>
    <t>s__UBA9145 sp002731775</t>
  </si>
  <si>
    <t>coa_bin_284</t>
  </si>
  <si>
    <t>d__Archaea;p__Nanoarchaeota;c__Nanoarchaeia</t>
  </si>
  <si>
    <t>coa_bin_285</t>
  </si>
  <si>
    <t>coa_bin_286</t>
  </si>
  <si>
    <t>coa_bin_288</t>
  </si>
  <si>
    <t>o__Desulfatiglandales</t>
  </si>
  <si>
    <t>d__Bacteria;p__Desulfobacterota;c__DSM-4660;o__Desulfatiglandales</t>
  </si>
  <si>
    <t>c__DSM-4660</t>
  </si>
  <si>
    <t>coa_bin_291</t>
  </si>
  <si>
    <t>d__Bacteria;p__Actinomycetota;c__Acidimicrobiia;o__Acidimicrobiales</t>
  </si>
  <si>
    <t>f__MedAcidi-G1</t>
  </si>
  <si>
    <t>g__S20-B6</t>
  </si>
  <si>
    <t>s__S20-B6 sp002699725</t>
  </si>
  <si>
    <t>coa_bin_292</t>
  </si>
  <si>
    <t>g__Sulfidibacterium</t>
  </si>
  <si>
    <t>d__Bacteria;p__Bacteroidota;c__Bacteroidia;o__Bacteroidales;f__F082;g__Sulfidibacterium</t>
  </si>
  <si>
    <t>coa_bin_293</t>
  </si>
  <si>
    <t>f__JALTDM01</t>
  </si>
  <si>
    <t>g__JALTEO01</t>
  </si>
  <si>
    <t>coa_bin_296</t>
  </si>
  <si>
    <t>coa_bin_3</t>
  </si>
  <si>
    <t>f__Caldilineaceae</t>
  </si>
  <si>
    <t>d__Bacteria;p__Chloroflexota;c__Anaerolineae;o__Caldilineales;f__Caldilineaceae</t>
  </si>
  <si>
    <t>o__Caldilineales</t>
  </si>
  <si>
    <t>g__JAJRVT01</t>
  </si>
  <si>
    <t>coa_bin_302</t>
  </si>
  <si>
    <t>coa_bin_303</t>
  </si>
  <si>
    <t>g__Sulfurimonas</t>
  </si>
  <si>
    <t>d__Bacteria;p__Campylobacterota;c__Campylobacteria;o__Campylobacterales;f__Sulfurimonadaceae;g__Sulfurimonas</t>
  </si>
  <si>
    <t>s__Sulfurimonas sp002733945</t>
  </si>
  <si>
    <t>coa_bin_304</t>
  </si>
  <si>
    <t>g__Xianfuyuplasma</t>
  </si>
  <si>
    <t>d__Bacteria;p__Bacillota_I;c__Bacilli_A;o__Izemoplasmatales;f__Izemoplasmataceae;g__Xianfuyuplasma</t>
  </si>
  <si>
    <t>coa_bin_305</t>
  </si>
  <si>
    <t>f__JALVZP01</t>
  </si>
  <si>
    <t>g__JALVZP01</t>
  </si>
  <si>
    <t>coa_bin_306</t>
  </si>
  <si>
    <t>o__UBA11654</t>
  </si>
  <si>
    <t>f__UBA11654</t>
  </si>
  <si>
    <t>g__DTSX01</t>
  </si>
  <si>
    <t>s__DTSX01 sp012965065</t>
  </si>
  <si>
    <t>coa_bin_309</t>
  </si>
  <si>
    <t>g__FS08-3</t>
  </si>
  <si>
    <t>coa_bin_31</t>
  </si>
  <si>
    <t>coa_bin_313</t>
  </si>
  <si>
    <t>p__Marinisomatota</t>
  </si>
  <si>
    <t>d__Bacteria;p__Marinisomatota</t>
  </si>
  <si>
    <t>c__UBA8477</t>
  </si>
  <si>
    <t>o__UBA8477</t>
  </si>
  <si>
    <t>f__JABMPR01</t>
  </si>
  <si>
    <t>coa_bin_314</t>
  </si>
  <si>
    <t>o__Flavobacteriales</t>
  </si>
  <si>
    <t>d__Bacteria;p__Bacteroidota;c__Bacteroidia;o__Flavobacteriales</t>
  </si>
  <si>
    <t>f__BACL11</t>
  </si>
  <si>
    <t>g__DUAL01</t>
  </si>
  <si>
    <t>s__DUAL01 sp012960835</t>
  </si>
  <si>
    <t>coa_bin_315</t>
  </si>
  <si>
    <t>o__Methylophilales</t>
  </si>
  <si>
    <t>f__Methylophilaceae</t>
  </si>
  <si>
    <t>d__Bacteria;p__Pseudomonadota;c__Gammaproteobacteria;o__Burkholderiales;f__Methylophilaceae</t>
  </si>
  <si>
    <t>g__BACL14</t>
  </si>
  <si>
    <t>coa_bin_317</t>
  </si>
  <si>
    <t>f__Mycoplasmataceae</t>
  </si>
  <si>
    <t>o__Mycoplasmatales</t>
  </si>
  <si>
    <t>d__Bacteria;p__Bacillota_I;c__Bacilli_A;o__Mycoplasmatales</t>
  </si>
  <si>
    <t>coa_bin_319</t>
  </si>
  <si>
    <t>f__UBA3076</t>
  </si>
  <si>
    <t>g__UBA3076</t>
  </si>
  <si>
    <t>coa_bin_320</t>
  </si>
  <si>
    <t>coa_bin_321</t>
  </si>
  <si>
    <t>f__Geobacteraceae</t>
  </si>
  <si>
    <t>g__Desulfuromusa</t>
  </si>
  <si>
    <t>d__Bacteria;p__Desulfobacterota;c__Desulfuromonadia;o__Desulfuromonadales;f__Geopsychrobacteraceae;g__Desulfuromusa</t>
  </si>
  <si>
    <t>c__Desulfuromonadia</t>
  </si>
  <si>
    <t>o__Desulfuromonadales</t>
  </si>
  <si>
    <t>f__Geopsychrobacteraceae</t>
  </si>
  <si>
    <t>coa_bin_324</t>
  </si>
  <si>
    <t>s__Thalassarchaeum sp004195715</t>
  </si>
  <si>
    <t>coa_bin_325</t>
  </si>
  <si>
    <t>g__SZUA-22</t>
  </si>
  <si>
    <t>coa_bin_327</t>
  </si>
  <si>
    <t>f__Desulfobulbaceae</t>
  </si>
  <si>
    <t>g__Desulfobulbus_C</t>
  </si>
  <si>
    <t>d__Bacteria;p__Desulfobacterota;c__Desulfobulbia;o__Desulfobulbales;f__Desulfobulbaceae;g__Desulfobulbus_C</t>
  </si>
  <si>
    <t>c__Desulfobulbia</t>
  </si>
  <si>
    <t>o__Desulfobulbales</t>
  </si>
  <si>
    <t>coa_bin_328</t>
  </si>
  <si>
    <t>coa_bin_333</t>
  </si>
  <si>
    <t>coa_bin_334</t>
  </si>
  <si>
    <t>coa_bin_335</t>
  </si>
  <si>
    <t>coa_bin_336</t>
  </si>
  <si>
    <t>coa_bin_338</t>
  </si>
  <si>
    <t>coa_bin_339</t>
  </si>
  <si>
    <t>coa_bin_340</t>
  </si>
  <si>
    <t>coa_bin_343</t>
  </si>
  <si>
    <t>coa_bin_345</t>
  </si>
  <si>
    <t>coa_bin_348</t>
  </si>
  <si>
    <t>coa_bin_35</t>
  </si>
  <si>
    <t>coa_bin_350</t>
  </si>
  <si>
    <t>coa_bin_354</t>
  </si>
  <si>
    <t>coa_bin_356</t>
  </si>
  <si>
    <t>coa_bin_358</t>
  </si>
  <si>
    <t>coa_bin_359</t>
  </si>
  <si>
    <t>coa_bin_361</t>
  </si>
  <si>
    <t>coa_bin_362</t>
  </si>
  <si>
    <t>coa_bin_363</t>
  </si>
  <si>
    <t>coa_bin_366</t>
  </si>
  <si>
    <t>coa_bin_368</t>
  </si>
  <si>
    <t>coa_bin_369</t>
  </si>
  <si>
    <t>coa_bin_37</t>
  </si>
  <si>
    <t>coa_bin_370</t>
  </si>
  <si>
    <t>coa_bin_372</t>
  </si>
  <si>
    <t>coa_bin_374</t>
  </si>
  <si>
    <t>coa_bin_377</t>
  </si>
  <si>
    <t>coa_bin_38</t>
  </si>
  <si>
    <t>coa_bin_382</t>
  </si>
  <si>
    <t>coa_bin_385</t>
  </si>
  <si>
    <t>coa_bin_387</t>
  </si>
  <si>
    <t>coa_bin_389</t>
  </si>
  <si>
    <t>coa_bin_39</t>
  </si>
  <si>
    <t>coa_bin_390</t>
  </si>
  <si>
    <t>coa_bin_4</t>
  </si>
  <si>
    <t>coa_bin_41</t>
  </si>
  <si>
    <t>coa_bin_43</t>
  </si>
  <si>
    <t>coa_bin_44</t>
  </si>
  <si>
    <t>coa_bin_45</t>
  </si>
  <si>
    <t>coa_bin_47</t>
  </si>
  <si>
    <t>coa_bin_48</t>
  </si>
  <si>
    <t>coa_bin_5</t>
  </si>
  <si>
    <t>coa_bin_53</t>
  </si>
  <si>
    <t>coa_bin_54</t>
  </si>
  <si>
    <t>coa_bin_55</t>
  </si>
  <si>
    <t>coa_bin_59</t>
  </si>
  <si>
    <t>coa_bin_64</t>
  </si>
  <si>
    <t>coa_bin_68</t>
  </si>
  <si>
    <t>coa_bin_71</t>
  </si>
  <si>
    <t>coa_bin_73</t>
  </si>
  <si>
    <t>coa_bin_74</t>
  </si>
  <si>
    <t>coa_bin_80</t>
  </si>
  <si>
    <t>coa_bin_83</t>
  </si>
  <si>
    <t>coa_bin_85</t>
  </si>
  <si>
    <t>coa_bin_86</t>
  </si>
  <si>
    <t>coa_bin_87</t>
  </si>
  <si>
    <t>coa_bin_93</t>
  </si>
  <si>
    <t>coa_bin_95</t>
  </si>
  <si>
    <t>coa_bin_96</t>
  </si>
  <si>
    <t>coa_bin_97</t>
  </si>
  <si>
    <t>coa_bin_98</t>
  </si>
  <si>
    <t xml:space="preserve">Table S7. Final MAGs active in the 13C-enriched fraction of RNA-SIP experiments selected to include in the main text based on percentage of their coding genome expressed [length of expressed genes in the MAG (bp)/MAG genome length (bp)] . Those with a coding percentage of &gt;4% were included. </t>
  </si>
  <si>
    <t>bin</t>
  </si>
  <si>
    <t>relabel</t>
  </si>
  <si>
    <t>grouping</t>
  </si>
  <si>
    <t>FS908_80_TP2_13H</t>
  </si>
  <si>
    <t>Aquificales_bin_285</t>
  </si>
  <si>
    <t>Aquificota</t>
  </si>
  <si>
    <t>Desulfurobacteriaceae_bin_324</t>
  </si>
  <si>
    <t>Thermovibrio_bin_320</t>
  </si>
  <si>
    <t>Thermovibrio_bin_374</t>
  </si>
  <si>
    <t>Methanothermococcus_A_bin_335</t>
  </si>
  <si>
    <t>Archaea</t>
  </si>
  <si>
    <t>Nanoarchaeia_bin_370</t>
  </si>
  <si>
    <t>Caldithrix_bin_303</t>
  </si>
  <si>
    <t>Calditrichota</t>
  </si>
  <si>
    <t>Nautiliaceae_bin_340</t>
  </si>
  <si>
    <t>Campylobacteria</t>
  </si>
  <si>
    <t>Hydrogenimonas_bin_102</t>
  </si>
  <si>
    <t>Hydrogenimonadaceae</t>
  </si>
  <si>
    <t>Hydrogenimonas_bin_104</t>
  </si>
  <si>
    <t>Sulfurimonas_bin_41</t>
  </si>
  <si>
    <t>Sulfurimonadaceae</t>
  </si>
  <si>
    <t>&lt;1 %</t>
  </si>
  <si>
    <t>1.1-2.5%</t>
  </si>
  <si>
    <t>2.51%-5%</t>
  </si>
  <si>
    <t>5.1-10%</t>
  </si>
  <si>
    <t>10.1-25%</t>
  </si>
  <si>
    <t>25-50%</t>
  </si>
  <si>
    <t>50-75%</t>
  </si>
  <si>
    <t>&gt;75%</t>
  </si>
  <si>
    <t xml:space="preserve">Table S8. Selected genes (as annotated with KEGG Orthology numbers) in the 13C-enriched RNA-SIP metatranscriptomes related to oxygen, hydrogen, nitrogen, sulfur, methane, and carbon fixation that served as the input to Figure 5 in the main text. </t>
  </si>
  <si>
    <t>sample</t>
  </si>
  <si>
    <t>gene_id</t>
  </si>
  <si>
    <t>TPM</t>
  </si>
  <si>
    <t>Function</t>
  </si>
  <si>
    <t>Nutrient</t>
  </si>
  <si>
    <t>FUNCTION_ORDER_BUBBLE</t>
  </si>
  <si>
    <t>SAMPLE_ORDER_BUBBLE</t>
  </si>
  <si>
    <t>NUTRIENT_ORDER_BUBBLE</t>
  </si>
  <si>
    <t>TPM_NEW</t>
  </si>
  <si>
    <t>Anemone_2013_RNA</t>
  </si>
  <si>
    <t>KO:K00394</t>
  </si>
  <si>
    <t>Adenylylsulfate reductase (aprAB)</t>
  </si>
  <si>
    <t>Sulfur</t>
  </si>
  <si>
    <t>Marker113_2013_30_13H</t>
  </si>
  <si>
    <t>Marker113_2013_55_13H</t>
  </si>
  <si>
    <t>Marker113_2013_RNA</t>
  </si>
  <si>
    <t>Marker33_2013_30_13H</t>
  </si>
  <si>
    <t>Marker33_2013_55_13H</t>
  </si>
  <si>
    <t>Marker33_2013_80_13H</t>
  </si>
  <si>
    <t>Marker33_2013_RNA</t>
  </si>
  <si>
    <t>Marker113_2014_80_TP1_13H</t>
  </si>
  <si>
    <t>Marker113_2014_RNA</t>
  </si>
  <si>
    <t>Anemone_2014_80_13H</t>
  </si>
  <si>
    <t>Anemone_2014_RNA</t>
  </si>
  <si>
    <t>Marker33_2014_80_TP1_13H</t>
  </si>
  <si>
    <t>Marker33_2014_80_TP2_13H7</t>
  </si>
  <si>
    <t>Marker33_2014_RNA</t>
  </si>
  <si>
    <t>Marker113_2013_80_TP1_13H</t>
  </si>
  <si>
    <t>Anemone_2013_80_TP1_13H</t>
  </si>
  <si>
    <t>Marker113_2014_55_TP1_13H</t>
  </si>
  <si>
    <t>Marker113_2014_55_TP2_13H</t>
  </si>
  <si>
    <t>Anemone_2014_30_TP1_13H</t>
  </si>
  <si>
    <t>Anemone_2014_30_TP2_13H</t>
  </si>
  <si>
    <t>Anemone_2014_55_TP1_13H</t>
  </si>
  <si>
    <t>Anemone_2014_55_TP2_13H</t>
  </si>
  <si>
    <t>Marker33_2014_30_TP1_13H</t>
  </si>
  <si>
    <t>Marker33_2014_30_TP2_13H</t>
  </si>
  <si>
    <t>Marker33_2014_55_TP1_13H</t>
  </si>
  <si>
    <t>Marker33_2014_55_TP2_13H</t>
  </si>
  <si>
    <t>KO:K00395</t>
  </si>
  <si>
    <t>KO:K00958</t>
  </si>
  <si>
    <t>Sulfate adenylyltransferase (sat, met3)</t>
  </si>
  <si>
    <t>KO:K08352</t>
  </si>
  <si>
    <t>Polysulfide/thiosulfate reductase (psrAC, phsAC)</t>
  </si>
  <si>
    <t>KO:K08354</t>
  </si>
  <si>
    <t>KO:K11180</t>
  </si>
  <si>
    <t>Sulfite reductase (dsrAB)</t>
  </si>
  <si>
    <t>KO:K11181</t>
  </si>
  <si>
    <t>KO:K16294</t>
  </si>
  <si>
    <t>KO:K17218</t>
  </si>
  <si>
    <t>Sulfide:quinone oxidoreductase (sqr)</t>
  </si>
  <si>
    <t>KO:K17222</t>
  </si>
  <si>
    <t>Sulfur oxidizing protein (soxABCDXYZ)</t>
  </si>
  <si>
    <t>KO:K17223</t>
  </si>
  <si>
    <t>KO:K17224</t>
  </si>
  <si>
    <t>KO:K17225</t>
  </si>
  <si>
    <t>KO:K17226</t>
  </si>
  <si>
    <t>KO:K17227</t>
  </si>
  <si>
    <t>KO:K00404</t>
  </si>
  <si>
    <t>Cytochrome c oxidase cbb3-type (ccoNOPQ)</t>
  </si>
  <si>
    <t>Oxygen</t>
  </si>
  <si>
    <t>KO:K00405</t>
  </si>
  <si>
    <t>KO:K00406</t>
  </si>
  <si>
    <t>KO:K00407</t>
  </si>
  <si>
    <t>KO:K02274</t>
  </si>
  <si>
    <t>Cytochrome c oxidase, aa3-type (coxABCD)</t>
  </si>
  <si>
    <t>KO:K02275</t>
  </si>
  <si>
    <t>KO:K02276</t>
  </si>
  <si>
    <t>KO:K02277</t>
  </si>
  <si>
    <t>KO:K15862</t>
  </si>
  <si>
    <t>KO:K00362</t>
  </si>
  <si>
    <t>Dissimilatory nitrite reductase (nirB, nrfA)</t>
  </si>
  <si>
    <t>Nitrogen</t>
  </si>
  <si>
    <t>KO:K00366</t>
  </si>
  <si>
    <t>Ferredoxin-nitrite reductase (nirA)</t>
  </si>
  <si>
    <t>KO:K00368</t>
  </si>
  <si>
    <t>Nitrite reductase (nirSK)</t>
  </si>
  <si>
    <t>KO:K00370</t>
  </si>
  <si>
    <t>Nitrate reductase/nitrite oxidoreductase (narG, narZ, nxrA)</t>
  </si>
  <si>
    <t>KO:K00376</t>
  </si>
  <si>
    <t>Nitrous oxide reductase (nosZ)</t>
  </si>
  <si>
    <t>KO:K02305</t>
  </si>
  <si>
    <t>Nitric oxide reductase (norBC)</t>
  </si>
  <si>
    <t>KO:K02567</t>
  </si>
  <si>
    <t>Periplasmic nitrate reductase (napAB)</t>
  </si>
  <si>
    <t>KO:K02568</t>
  </si>
  <si>
    <t>KO:K03385</t>
  </si>
  <si>
    <t>KO:K04561</t>
  </si>
  <si>
    <t>KO:K15864</t>
  </si>
  <si>
    <t>KO:K00192</t>
  </si>
  <si>
    <t>Acetyl-CoA decarbonylase/synthase complex; anaerobic carbon-monoxide dehydrogenase (cdhACDE)</t>
  </si>
  <si>
    <t>Methane</t>
  </si>
  <si>
    <t>KO:K00193</t>
  </si>
  <si>
    <t>KO:K00194</t>
  </si>
  <si>
    <t>KO:K00195</t>
  </si>
  <si>
    <t>KO:K00197</t>
  </si>
  <si>
    <t>KO:K00201</t>
  </si>
  <si>
    <t>Formylmethanofuran dehydrogenase subunit B (fwdB, fmdB)</t>
  </si>
  <si>
    <t>KO:K00399</t>
  </si>
  <si>
    <t>Methyl coenzyme M reductase (mcrABCDG)</t>
  </si>
  <si>
    <t>KO:K00401</t>
  </si>
  <si>
    <t>KO:K00402</t>
  </si>
  <si>
    <t>KO:K00440</t>
  </si>
  <si>
    <t>Coenzyme F420 hydrogenase (frhABDG)</t>
  </si>
  <si>
    <t>KO:K00441</t>
  </si>
  <si>
    <t>KO:K00442</t>
  </si>
  <si>
    <t>KO:K00443</t>
  </si>
  <si>
    <t>KO:K00577</t>
  </si>
  <si>
    <t>Tetrahydromethanopterin S-methyltransferase (mtrABCDEFGH)</t>
  </si>
  <si>
    <t>KO:K00578</t>
  </si>
  <si>
    <t>KO:K00579</t>
  </si>
  <si>
    <t>KO:K00580</t>
  </si>
  <si>
    <t>KO:K00581</t>
  </si>
  <si>
    <t>KO:K00582</t>
  </si>
  <si>
    <t>KO:K00583</t>
  </si>
  <si>
    <t>KO:K00584</t>
  </si>
  <si>
    <t>KO:K03388</t>
  </si>
  <si>
    <t>CoB-CoM heterodisulfide reductase (hdrA2BC)</t>
  </si>
  <si>
    <t>KO:K03389</t>
  </si>
  <si>
    <t>KO:K03390</t>
  </si>
  <si>
    <t>KO:K03421</t>
  </si>
  <si>
    <t>KO:K03422</t>
  </si>
  <si>
    <t>KO:K03605</t>
  </si>
  <si>
    <t>Hydrogenase maturation protease (hyaABCD, hybCDO)</t>
  </si>
  <si>
    <t>Hydrogen</t>
  </si>
  <si>
    <t>KO:K03620</t>
  </si>
  <si>
    <t>KO:K05922</t>
  </si>
  <si>
    <t>Quinone-reactive Ni-Fe hydrogenase, group 1 (hydAB)</t>
  </si>
  <si>
    <t>KO:K05927</t>
  </si>
  <si>
    <t>KO:K06281</t>
  </si>
  <si>
    <t>KO:K06282</t>
  </si>
  <si>
    <t>KO:K14086</t>
  </si>
  <si>
    <t>Ech hydrogenase (echABCDEF)</t>
  </si>
  <si>
    <t>KO:K14087</t>
  </si>
  <si>
    <t>KO:K14088</t>
  </si>
  <si>
    <t>KO:K14089</t>
  </si>
  <si>
    <t>KO:K14090</t>
  </si>
  <si>
    <t>KO:K14091</t>
  </si>
  <si>
    <t>KO:K17993</t>
  </si>
  <si>
    <t>Sulfhydrogenase (hydABDG)</t>
  </si>
  <si>
    <t>KO:K17994</t>
  </si>
  <si>
    <t>KO:K17995</t>
  </si>
  <si>
    <t>KO:K17996</t>
  </si>
  <si>
    <t>KO:K00031</t>
  </si>
  <si>
    <t>Isocitrate dehydrogenase (TCA cycle, Reductive TCA cycle, IDH1, IDH2, icd)</t>
  </si>
  <si>
    <t>Carbon</t>
  </si>
  <si>
    <t>KO:K00174</t>
  </si>
  <si>
    <t>2-oxoglutarate/2-oxoacid ferredoxin oxidoreductase (TCA cycle, Reductive TCA cycle, korA, oorA, oforA)</t>
  </si>
  <si>
    <t>KO:K00198</t>
  </si>
  <si>
    <t>Anaerobic carbon-monoxide dehydrogenase (Wood-Ljundahl pathway, cooS, acsA)</t>
  </si>
  <si>
    <t>KO:K01601</t>
  </si>
  <si>
    <t>Ribulose-bisphosphate carboxylase (CBB cycle, rbcSL, cbbL)</t>
  </si>
  <si>
    <t>KO:K15230</t>
  </si>
  <si>
    <t>ATP-citrate lyase (Reductive TCA cycle, aclAB)</t>
  </si>
  <si>
    <t>KO:K15231</t>
  </si>
  <si>
    <t xml:space="preserve">Table S9. Taxonomic attribution of functions/gene calls (represented in Figure 5 in the main text) in each sample. Only transcripts from the 13C-enriched fraction of RNA-SIP experiments are shown.  </t>
  </si>
  <si>
    <t>KO</t>
  </si>
  <si>
    <t>product_source</t>
  </si>
  <si>
    <t>taxonomy_level</t>
  </si>
  <si>
    <t>Archaea;Euryarchaeota;Thermococci;Thermococcales;Thermococcaceae;Thermococcus</t>
  </si>
  <si>
    <t>Bacteria;Aquificae;Aquificae;Aquificales;Aquificaceae;Hydrogenobacter</t>
  </si>
  <si>
    <t>Bacteria;Aquificae;Aquificae;Desulfurobacteriales;Desulfurobacteriaceae;Desulfurobacterium</t>
  </si>
  <si>
    <t>Bacteria;Aquificae;Aquificae;Desulfurobacteriales;Desulfurobacteriaceae;Phorcysia</t>
  </si>
  <si>
    <t>Bacteria;Aquificae;Aquificae;Desulfurobacteriales;Desulfurobacteriaceae;Thermovibrio</t>
  </si>
  <si>
    <t>Bacteria;Proteobacteria;Epsilonproteobacteria;Campylobacterales;Hydrogenimonaceae;Hydrogenimonas</t>
  </si>
  <si>
    <t>Bacteria;Proteobacteria;Epsilonproteobacteria;Campylobacterales;Thiovulaceae;Sulfurimonas</t>
  </si>
  <si>
    <t>Bacteria;Proteobacteria;Epsilonproteobacteria;Nautiliales;Nautiliaceae;Caminibacter</t>
  </si>
  <si>
    <t>Bacteria;Proteobacteria;Epsilonproteobacteria;Nautiliales;Nautiliaceae;Cetia</t>
  </si>
  <si>
    <t>Bacteria;Proteobacteria;Epsilonproteobacteria;Nautiliales;Nautiliaceae;Nautilia</t>
  </si>
  <si>
    <t>Archaea;Euryarchaeota;Methanococci;Methanococcales;Methanocaldococcaceae;Methanocaldococcus</t>
  </si>
  <si>
    <t>Archaea;Euryarchaeota;Methanococci;Methanococcales;Methanocaldococcaceae;Methanotorris</t>
  </si>
  <si>
    <t>Archaea;Euryarchaeota;Methanococci;Methanococcales;Methanococcaceae;Methanothermococcus</t>
  </si>
  <si>
    <t>Archaea;Euryarchaeota;Archaeoglobi;Archaeoglobales;Archaeoglobaceae;Archaeoglobus</t>
  </si>
  <si>
    <t>Anaerobic CO dehydrogenase (Wood-Ljungdahl pathway, cooS, acsA)</t>
  </si>
  <si>
    <t>Bacteria;Proteobacteria;Epsilonproteobacteria;Campylobacterales;Sulfurovaceae;Nitratifractor</t>
  </si>
  <si>
    <t>Bacteria;Proteobacteria;Epsilonproteobacteria;Campylobacterales;Sulfurovaceae;Sulfurovum</t>
  </si>
  <si>
    <t>Bacteria;Proteobacteria;Epsilonproteobacteria;Nautiliales;Nautiliaceae;Lebetimonas</t>
  </si>
  <si>
    <t>Archaea;Euryarchaeota;Methanococci;Methanococcales;Methanococcaceae;Methanococcus</t>
  </si>
  <si>
    <t>Bacteria;Firmicutes</t>
  </si>
  <si>
    <t>Bacteria;Firmicutes;Clostridia</t>
  </si>
  <si>
    <t>Bacteria;Thermodesulfobacteria</t>
  </si>
  <si>
    <t>Bacteria;Thermodesulfobacteria;Thermodesulfobacteria</t>
  </si>
  <si>
    <t>Bacteria;Thermodesulfobacteria;Thermodesulfobacteria;Thermodesulfobacteriales</t>
  </si>
  <si>
    <t>Bacteria;Thermodesulfobacteria;Thermodesulfobacteria;Thermodesulfobacteriales;Thermodesulfobacteriaceae</t>
  </si>
  <si>
    <t>Bacteria;Thermodesulfobacteria;Thermodesulfobacteria;Thermodesulfobacteriales;Thermodesulfobacteriaceae;Thermodesulfatator</t>
  </si>
  <si>
    <t>Bacteria;Thermodesulfobacteria;Thermodesulfobacteria;Thermodesulfobacteriales;Thermodesulfobacteriaceae;Thermodesulfatator;Thermodesulfatator atlanticus</t>
  </si>
  <si>
    <t>Bacteria;Thermodesulfobacteria;Thermodesulfobacteria;Thermodesulfobacteriales;Thermodesulfobacteriaceae;Thermodesulfatator;Thermodesulfatator atlanticus;Thermodesulfatator atlanticus DSM 21156</t>
  </si>
  <si>
    <t>Bacteria;Bacteroidetes</t>
  </si>
  <si>
    <t>Bacteria;Proteobacteria;Epsilonproteobacteria;Campylobacterales;Campylobacteraceae;Aliarcobacter</t>
  </si>
  <si>
    <t>Bacteria;Proteobacteria;Epsilonproteobacteria;Campylobacterales;Campylobacteraceae;Sulfurospirillum</t>
  </si>
  <si>
    <t>Bacteria;Proteobacteria;Epsilonproteobacteria;Campylobacterales;Thiovulaceae;Sulfuricurvum</t>
  </si>
  <si>
    <t>Bacteria;Proteobacteria;Gammaproteobacteria</t>
  </si>
  <si>
    <t>Bacteria;Proteobacteria;Gammaproteobacteria;Oceanospirillales</t>
  </si>
  <si>
    <t>Bacteria;Proteobacteria;Gammaproteobacteria;Oceanospirillales;Alcanivoracaceae</t>
  </si>
  <si>
    <t>Bacteria;Proteobacteria;Gammaproteobacteria;Oceanospirillales;Alcanivoracaceae;Alcanivorax</t>
  </si>
  <si>
    <t>Bacteria;Proteobacteria;Gammaproteobacteria;Oceanospirillales;Alcanivoracaceae;Alcanivorax;unclassified Alcanivorax</t>
  </si>
  <si>
    <t>Bacteria;Proteobacteria;Gammaproteobacteria;Oceanospirillales;Alcanivoracaceae;Alcanivorax;unclassified Alcanivorax;Alcanivorax sp. MIT1350</t>
  </si>
  <si>
    <t>Bacteria;Actinobacteria</t>
  </si>
  <si>
    <t>Bacteria;Proteobacteria;Alphaproteobacteria</t>
  </si>
  <si>
    <t>Bacteria;Proteobacteria;Alphaproteobacteria;Rhodobacterales;Roseobacteraceae;Sulfitobacter</t>
  </si>
  <si>
    <t>Bacteria;Aquificae;Aquificae;Aquificales;Aquificaceae;Aquifex</t>
  </si>
  <si>
    <t>Bacteria;Proteobacteria;Alphaproteobacteria;Sphingomonadales;Sphingomonadaceae;Blastomonas</t>
  </si>
  <si>
    <t>Bacteria;Proteobacteria;Gammaproteobacteria;Alteromonadales</t>
  </si>
  <si>
    <t>Bacteria;Proteobacteria;Gammaproteobacteria;Alteromonadales;Alteromonadaceae</t>
  </si>
  <si>
    <t>Bacteria;Proteobacteria;Gammaproteobacteria;Alteromonadales;Alteromonadaceae;Marinobacter</t>
  </si>
  <si>
    <t>Bacteria;Proteobacteria;Gammaproteobacteria;Alteromonadales;Alteromonadaceae;Marinobacter;Marinobacter salarius</t>
  </si>
  <si>
    <t>Bacteria;Proteobacteria;Gammaproteobacteria;Alteromonadales;Alteromonadaceae;Marinobacter;Marinobacter salarius;Marinobacter salarius HL2708</t>
  </si>
  <si>
    <t>Bacteria;Aquificae;Aquificae;Desulfurobacteriales;Desulfurobacteriaceae;Balnearium</t>
  </si>
  <si>
    <t>Bacteria;Aquificae;Aquificae;Aquificales;Aquificaceae;Thermocrinis</t>
  </si>
  <si>
    <t>Bacteria;Proteobacteria;Alphaproteobacteria;Sphingomonadales;Sphingomonadaceae;Sphingopyxis</t>
  </si>
  <si>
    <t>Bacteria;Proteobacteria;Gammaproteobacteria;Pseudomonadales</t>
  </si>
  <si>
    <t>Bacteria;Proteobacteria;Gammaproteobacteria;Pseudomonadales;Pseudomonadaceae</t>
  </si>
  <si>
    <t>Bacteria;Proteobacteria;Gammaproteobacteria;Pseudomonadales;Pseudomonadaceae;Pseudomonas</t>
  </si>
  <si>
    <t>Bacteria;Proteobacteria;Gammaproteobacteria;Pseudomonadales;Pseudomonadaceae;Pseudomonas;Pseudomonas fluorescens</t>
  </si>
  <si>
    <t>Bacteria;Proteobacteria;Gammaproteobacteria;Pseudomonadales;Pseudomonadaceae;Pseudomonas;Pseudomonas fluorescens;Pseudomonas fluorescens AU2989</t>
  </si>
  <si>
    <t>Bacteria;Proteobacteria;Gammaproteobacteria;unclassified Gammaproteobacteria</t>
  </si>
  <si>
    <t>Bacteria;Proteobacteria;Gammaproteobacteria;unclassified Gammaproteobacteria;unclassified Gammaproteobacteria</t>
  </si>
  <si>
    <t>Bacteria;Proteobacteria;Gammaproteobacteria;unclassified Gammaproteobacteria;unclassified Gammaproteobacteria;unclassified Gammaproteobacteria</t>
  </si>
  <si>
    <t>Bacteria;Proteobacteria;Gammaproteobacteria;unclassified Gammaproteobacteria;unclassified Gammaproteobacteria;unclassified Gammaproteobacteria;endosymbiont of Riftia pachyptila</t>
  </si>
  <si>
    <t>Bacteria;Proteobacteria;Gammaproteobacteria;unclassified Gammaproteobacteria;unclassified Gammaproteobacteria;unclassified Gammaproteobacteria;endosymbiont of Riftia pachyptila;endosymbiont of Riftia pachyptila (vent Mk28)</t>
  </si>
  <si>
    <t>Bacteria;Calditrichaeota;Calditrichae;Calditrichales;Calditrichaceae;Caldithrix</t>
  </si>
  <si>
    <t>Bacteria;Proteobacteria;Epsilonproteobacteria;Nautiliales;Nitratiruptoraceae;Nitratiruptor</t>
  </si>
  <si>
    <t>Bacteria;Proteobacteria;Epsilonproteobacteria;Nautiliales;Nitratiruptoraceae;Nitratiruptor;Nitratiruptor tergarcus</t>
  </si>
  <si>
    <t>Bacteria;Proteobacteria;Epsilonproteobacteria;Nautiliales;Nitratiruptoraceae;Nitratiruptor;Nitratiruptor tergarcus;Nitratiruptor tergarcus DSM 16512</t>
  </si>
  <si>
    <t>Bacteria;Proteobacteria;Epsilonproteobacteria;Campylobacterales;Campylobacteraceae;Arcobacter</t>
  </si>
  <si>
    <t>Bacteria;Proteobacteria;Epsilonproteobacteria;Campylobacterales;Campylobacteraceae;Halarcobacter</t>
  </si>
  <si>
    <t>Bacteria;Aquificae;Aquificae;Aquificales;Aquificaceae;Hydrogenivirga</t>
  </si>
  <si>
    <t>Bacteria;Proteobacteria;Epsilonproteobacteria;Nautiliales;Nitratiruptoraceae;Nitratiruptor;Nitratiruptor sp. SB155-2</t>
  </si>
  <si>
    <t>Bacteria;Proteobacteria;Epsilonproteobacteria;Nautiliales;Nitratiruptoraceae;Nitratiruptor;Nitratiruptor sp. SB155-2;Nitratiruptor sp. SB155-2</t>
  </si>
  <si>
    <t xml:space="preserve">Table S10. Number of unique genes significantly differentially expressed (SDE) at each vent in each differential expression condition within 13C-enriched RNA-SIP experiments: across experimental temperatures within each vent, across vents by experimental temperature, and between 2013 and 2014 within each vent. </t>
  </si>
  <si>
    <t># of SDE genes across experimental temperatures within each vent</t>
  </si>
  <si>
    <t># of SDE genes across vents by experimental temperature</t>
  </si>
  <si>
    <t># of SDE genes between 2013 and 2014 within each vent</t>
  </si>
  <si>
    <t>30°C</t>
  </si>
  <si>
    <t>55°C</t>
  </si>
  <si>
    <t>80°C</t>
  </si>
  <si>
    <t xml:space="preserve">Table S11. Genes that were significantly differentially expressed (SDE) across experimental temperatures within each vent in 13C-enriched RNA-SIP experiments, showing log2 fold change, p-value, and adjusted p-value for each SDE gene according to the baseline of the average TPM's of all 13C-enriched RNA-SIP experiments at all temperatures. </t>
  </si>
  <si>
    <t>treated</t>
  </si>
  <si>
    <t>baseline</t>
  </si>
  <si>
    <t>Temperature</t>
  </si>
  <si>
    <t>baseline_temperature</t>
  </si>
  <si>
    <t>log2FoldChange</t>
  </si>
  <si>
    <t>log2FoldChange_MMSE</t>
  </si>
  <si>
    <t>log2FC_TPM</t>
  </si>
  <si>
    <t>lowTPM_flag</t>
  </si>
  <si>
    <t>contrast</t>
  </si>
  <si>
    <t>padj</t>
  </si>
  <si>
    <t>pvalue</t>
  </si>
  <si>
    <t>Category</t>
  </si>
  <si>
    <t>Functional desription</t>
  </si>
  <si>
    <t>Gene name</t>
  </si>
  <si>
    <t>Additional functional information</t>
  </si>
  <si>
    <t>TIGR00241</t>
  </si>
  <si>
    <t>marker33_13H_80</t>
  </si>
  <si>
    <t>axial_temp_13H</t>
  </si>
  <si>
    <t>all</t>
  </si>
  <si>
    <t>marker33</t>
  </si>
  <si>
    <t>marker33_13H_80 - axial_temp_13H</t>
  </si>
  <si>
    <t>Signaling and cellular processes</t>
  </si>
  <si>
    <t>Active site regeneration</t>
  </si>
  <si>
    <t>putative CoA-substrate-specific enzyme activase</t>
  </si>
  <si>
    <t>This domain is found in a set of closely related proteins including the (R)-2-hydroxyglutaryl-CoA dehydratase activase of Acidaminococcus fermentans, in longer proteins from M. jannaschii and M. thermoautotrophicum that share an additional N-terminal domain, in a protein described as a subunit of the benzoyl-CoA reductase of Rhodopseudomonas palustris, and in two repeats of an uncharacterized protein of Aquifex aeolicus. This domain may be involved in generating or regenerating the active sites of enzymes related to (R)-2-hydroxyglutaryl-CoA dehydratase and benzoyl-CoA reductase.</t>
  </si>
  <si>
    <t>KO:K13566</t>
  </si>
  <si>
    <t>Amino acid metabolism</t>
  </si>
  <si>
    <t>Amin</t>
  </si>
  <si>
    <t>ko:K13566    NIT2, yafV; omega-amidase [EC:3.5.1.3]</t>
  </si>
  <si>
    <t>Alanine, aspartate and glutamate metabolism</t>
  </si>
  <si>
    <t>KO:K03152</t>
  </si>
  <si>
    <t>marker113_13H_55</t>
  </si>
  <si>
    <t>marker113</t>
  </si>
  <si>
    <t>marker113_13H_55 - axial_temp_13H</t>
  </si>
  <si>
    <t>thiJ; protein deglycase [EC:3.5.1.124]</t>
  </si>
  <si>
    <t>Peptidases and inhibitors</t>
  </si>
  <si>
    <t>KO:K00265</t>
  </si>
  <si>
    <t>ko:K00265    gltB; glutamate synthase (NADPH) large chain [EC:1.4.1.13]</t>
  </si>
  <si>
    <t>KO:K03856</t>
  </si>
  <si>
    <t>ko:K03856    AROA2, aroA; 3-deoxy-7-phosphoheptulonate synthase [EC:2.5.1.54]</t>
  </si>
  <si>
    <t>Phenylalanine, tyrosine and tryptophan biosynthesis, and aromatic synthesis</t>
  </si>
  <si>
    <t>KO:K01754</t>
  </si>
  <si>
    <t>marker33_13H_30</t>
  </si>
  <si>
    <t>marker33_13H_30 - axial_temp_13H</t>
  </si>
  <si>
    <t>ko:K01754    E4.3.1.19, ilvA, tdcB; threonine dehydratase [EC:4.3.1.19]</t>
  </si>
  <si>
    <t>Glycine, serine and threonine metabolism</t>
  </si>
  <si>
    <t>anemone_13H_30</t>
  </si>
  <si>
    <t>anemone_13H_30 - axial_temp_13H</t>
  </si>
  <si>
    <t>KO:K11755</t>
  </si>
  <si>
    <t>ko:K11755    hisIE; phosphoribosyl-AMP cyclohydrolase / phosphoribosyl-ATP pyrophosphohydrolase [EC:3.5.4.19 3.6.1.31]</t>
  </si>
  <si>
    <t>Histidine metabolism</t>
  </si>
  <si>
    <t>KO:K14267</t>
  </si>
  <si>
    <t>ko:K14267    dapC; N-succinyldiaminopimelate aminotransferase [EC:2.6.1.17]</t>
  </si>
  <si>
    <t>Lysine biosynthesis</t>
  </si>
  <si>
    <t>anemone_13H_55</t>
  </si>
  <si>
    <t>anemone_13H_55 - axial_temp_13H</t>
  </si>
  <si>
    <t>KO:K01740</t>
  </si>
  <si>
    <t>ko:K01740    metY; O-acetylhomoserine (thiol)-lyase [EC:2.5.1.49]</t>
  </si>
  <si>
    <t>Cysteine and methionine metabolism</t>
  </si>
  <si>
    <t>anemone_13H_80</t>
  </si>
  <si>
    <t>anemone_13H_80 - axial_temp_13H</t>
  </si>
  <si>
    <t>KO:K12251</t>
  </si>
  <si>
    <t>ko:K12251    aguB; N-carbamoylputrescine amidase [EC:3.5.1.53]</t>
  </si>
  <si>
    <t>Arginine and proline metabolism</t>
  </si>
  <si>
    <t>KO:K01255</t>
  </si>
  <si>
    <t>ko:K01255    CARP, pepA; leucyl aminopeptidase [EC:3.4.11.1]</t>
  </si>
  <si>
    <t>marker113_13H_30</t>
  </si>
  <si>
    <t>marker113_13H_30 - axial_temp_13H</t>
  </si>
  <si>
    <t>KO:K03785</t>
  </si>
  <si>
    <t>ko:K03785    aroD; 3-dehydroquinate dehydratase I [EC:4.2.1.10]</t>
  </si>
  <si>
    <t>KO:K00558</t>
  </si>
  <si>
    <t>ko:K00558    DNMT1, dcm; DNA (cytosine-5)-methyltransferase 1 [EC:2.1.1.37]</t>
  </si>
  <si>
    <t>KO:K01735</t>
  </si>
  <si>
    <t>marker33_13H_55</t>
  </si>
  <si>
    <t>marker33_13H_55 - axial_temp_13H</t>
  </si>
  <si>
    <t>ko:K01735    aroB; 3-dehydroquinate synthase [EC:4.2.3.4]</t>
  </si>
  <si>
    <t>Phenylalanine, tyrosine and tryptophan biosynthesis</t>
  </si>
  <si>
    <t>KO:K00053</t>
  </si>
  <si>
    <t>Amino Acid metabolism</t>
  </si>
  <si>
    <t xml:space="preserve"> ilvC; ketol-acid reductoisomerase [EC:1.1.1.86]</t>
  </si>
  <si>
    <t>Valine, leucine and isoleucine biosynthesis</t>
  </si>
  <si>
    <t>KO:K00290</t>
  </si>
  <si>
    <t>ko:K00290    LYS1; saccharopine dehydrogenase (NAD+, L-lysine forming) [EC:1.5.1.7]</t>
  </si>
  <si>
    <t>KO:K00215</t>
  </si>
  <si>
    <t>ko:K00215    dapB; 4-hydroxy-tetrahydrodipicolinate reductase [EC:1.17.1.8]</t>
  </si>
  <si>
    <t>lysine biosynthesis</t>
  </si>
  <si>
    <t>KO:K00147</t>
  </si>
  <si>
    <t>ko:K00147    proA; glutamate-5-semialdehyde dehydrogenase [EC:1.2.1.41]</t>
  </si>
  <si>
    <t>KO:K01585</t>
  </si>
  <si>
    <t>ko:K01585    speA; arginine decarboxylase [EC:4.1.1.19]</t>
  </si>
  <si>
    <t>KO:K01953</t>
  </si>
  <si>
    <t>ko:K01953    asnB, ASNS; asparagine synthase (glutamine-hydrolysing) [EC:6.3.5.4]</t>
  </si>
  <si>
    <t>COG1305</t>
  </si>
  <si>
    <t>COG1305 : Transglutaminase-like enzyme, putative cysteine protease</t>
  </si>
  <si>
    <t>KO:K00681</t>
  </si>
  <si>
    <t>ko:K00681    ggt; gamma-glutamyltranspeptidase / glutathione hydrolase [EC:2.3.2.2 3.4.19.13]</t>
  </si>
  <si>
    <t> Taurine and hypotaurine metabolism</t>
  </si>
  <si>
    <t>KO:K03786</t>
  </si>
  <si>
    <t>ko:K03786    aroQ, qutE; 3-dehydroquinate dehydratase II [EC:4.2.1.10]</t>
  </si>
  <si>
    <t>KO:K00872</t>
  </si>
  <si>
    <t>ko:K00872    thrB; homoserine kinase [EC:2.7.1.39]</t>
  </si>
  <si>
    <t>KO:K13747</t>
  </si>
  <si>
    <t>ko:K13747    nspC; carboxynorspermidine decarboxylase [EC:4.1.1.96]</t>
  </si>
  <si>
    <t>COG1714</t>
  </si>
  <si>
    <t>Mce-associated membrane protein,eukaryotic-like serine/threonine-protein kinase [EC:2.7.11.1],methionine sulfoxide reductase heme-binding subunit</t>
  </si>
  <si>
    <t>KO:K10536</t>
  </si>
  <si>
    <t>ko:K10536    aguA; agmatine deiminase [EC:3.5.3.12]</t>
  </si>
  <si>
    <t>marker113_13H_80</t>
  </si>
  <si>
    <t>marker113_13H_80 - axial_temp_13H</t>
  </si>
  <si>
    <t>KO:K01079</t>
  </si>
  <si>
    <t>ko:K01079    serB, PSPH; phosphoserine phosphatase [EC:3.1.3.3]</t>
  </si>
  <si>
    <t>COG2105</t>
  </si>
  <si>
    <t>gamma-glutamylaminecyclotransferase [EC:2.3.2.-],gamma-glutamylcyclotransferase [EC:4.3.2.9],ADP-ribose pyrophosphatase [EC:3.6.1.13 3.6.1.-]</t>
  </si>
  <si>
    <t>KO:K00600</t>
  </si>
  <si>
    <t>ko:K00600    glyA, SHMT; glycine hydroxymethyltransferase [EC:2.1.2.1]</t>
  </si>
  <si>
    <t>KO:K00820</t>
  </si>
  <si>
    <t>ko:K00820    glmS, GFPT; glutamine---fructose-6-phosphate transaminase (isomerizing) [EC:2.6.1.16]</t>
  </si>
  <si>
    <t>KO:K15736</t>
  </si>
  <si>
    <t>ko:K15736    lhgO; (S)-2-hydroxyglutarate dehydrogenase [EC:1.1.5.13]</t>
  </si>
  <si>
    <t>Lysine degradation</t>
  </si>
  <si>
    <t>COG1509</t>
  </si>
  <si>
    <t>L-lysine 2,3-aminomutase (EF-P beta-lysylation pathway) </t>
  </si>
  <si>
    <t>[Amino acid transport and metabolism]</t>
  </si>
  <si>
    <t>KO:K00789</t>
  </si>
  <si>
    <t>ko:K00789    metK, MAT; S-adenosylmethionine synthetase [EC:2.5.1.6]</t>
  </si>
  <si>
    <t>KO:K01256</t>
  </si>
  <si>
    <t>ko:K01256    pepN; aminopeptidase N [EC:3.4.11.2]</t>
  </si>
  <si>
    <t>KO:K13010</t>
  </si>
  <si>
    <t>Energy metabolism</t>
  </si>
  <si>
    <t>Amino sugar and nucleotide sugar metabolism</t>
  </si>
  <si>
    <t>ko:K13010    per, rfbE; perosamine synthetase [EC:2.6.1.102]</t>
  </si>
  <si>
    <t>also Glycan biosynthesis and metabolism</t>
  </si>
  <si>
    <t>KO:K01710</t>
  </si>
  <si>
    <t>Antibiotic production</t>
  </si>
  <si>
    <t>ko:K01710    rfbB, rmlB, rffG; dTDP-glucose 4,6-dehydratase [EC:4.2.1.46]</t>
  </si>
  <si>
    <t>COG0179</t>
  </si>
  <si>
    <t>Aromatic degradation</t>
  </si>
  <si>
    <t>2-keto-4-pentenoate hydratase/2-oxohepta-3-ene-1,7-dioic acid hydratase (catechol pathway)</t>
  </si>
  <si>
    <t>TIGR03707</t>
  </si>
  <si>
    <t>ATP</t>
  </si>
  <si>
    <t>polyphosphate kinase 2</t>
  </si>
  <si>
    <t>KO:K07678</t>
  </si>
  <si>
    <t>Biofilm formation</t>
  </si>
  <si>
    <t>ko:K07678    barA, gacS, varS; two-component system, NarL family, sensor histidine kinase BarA [EC:2.7.13.3]</t>
  </si>
  <si>
    <t>Also signal transduction</t>
  </si>
  <si>
    <t>KO:K01657</t>
  </si>
  <si>
    <t>ko:K01657    trpE; anthranilate synthase component I [EC:4.1.3.27]</t>
  </si>
  <si>
    <t>Phenylalanine, tyrosine and tryptophan biosynthesis; quorum sensing</t>
  </si>
  <si>
    <t>KO:K07173</t>
  </si>
  <si>
    <t>ko:K07173    luxS; S-ribosylhomocysteine lyase [EC:4.4.1.21]</t>
  </si>
  <si>
    <t>Cysteine and methionine metabolism and quorum sensing</t>
  </si>
  <si>
    <t>KO:K18968</t>
  </si>
  <si>
    <t>ko:K18968    adrA; diguanylate cyclase [EC:2.7.7.65]</t>
  </si>
  <si>
    <t>COG2200</t>
  </si>
  <si>
    <t>EAL domain, c-di-GMP-specific phosphodiesterase class I (or its enzymatically inactive variant)</t>
  </si>
  <si>
    <t>COG0726</t>
  </si>
  <si>
    <t>Peptidoglycan/xylan/chitin deacetylase, PgdA/NodB/CDA1 family</t>
  </si>
  <si>
    <t>poly-beta-1,6-N-acetyl-D-glucosamine N-deacetylase</t>
  </si>
  <si>
    <t>KO:K18931</t>
  </si>
  <si>
    <t>Nucleotide metabolism</t>
  </si>
  <si>
    <t>Biosynthesis of cofactors</t>
  </si>
  <si>
    <t>ko:K18931    deoA; AMP phosphorylase [EC:2.4.2.57]</t>
  </si>
  <si>
    <t>purine metabolism</t>
  </si>
  <si>
    <t>KO:K00764</t>
  </si>
  <si>
    <t>ko:K00764    purF, PPAT; amidophosphoribosyltransferase [EC:2.4.2.14]</t>
  </si>
  <si>
    <t>KO:K00254</t>
  </si>
  <si>
    <t>ko:K00254    DHODH, pyrD; dihydroorotate dehydrogenase [EC:1.3.5.2]</t>
  </si>
  <si>
    <t>synthesis is of pyrimidine</t>
  </si>
  <si>
    <t>KO:K01139</t>
  </si>
  <si>
    <t>ko:K01139    spoT; GTP diphosphokinase / guanosine-3',5'-bis(diphosphate) 3'-diphosphatase [EC:2.7.6.5 3.1.7.2]</t>
  </si>
  <si>
    <t>also ribosome biogenesis</t>
  </si>
  <si>
    <t>KO:K01520</t>
  </si>
  <si>
    <t>ko:K01520    dut, DUT; dUTP diphosphatase [EC:3.6.1.23]</t>
  </si>
  <si>
    <t>also involved in DNA repair</t>
  </si>
  <si>
    <t>KO:K06287</t>
  </si>
  <si>
    <t>ko:K06287    yhdE; nucleoside triphosphate pyrophosphatase [EC:3.6.1.-]</t>
  </si>
  <si>
    <t>pyrimidine metabolism</t>
  </si>
  <si>
    <t>KO:K01956</t>
  </si>
  <si>
    <t>ko:K01956    carA, CPA1; carbamoyl-phosphate synthase small subunit [EC:6.3.5.5]</t>
  </si>
  <si>
    <t>Pyrimidine metabolism</t>
  </si>
  <si>
    <t>KO:K03465</t>
  </si>
  <si>
    <t>ko:K03465    thyX, thy1; thymidylate synthase (FAD) [EC:2.1.1.148]</t>
  </si>
  <si>
    <t>KO:K01494</t>
  </si>
  <si>
    <t>ko:K01494    dcd; dCTP deaminase [EC:3.5.4.13]</t>
  </si>
  <si>
    <t>KO:K00602</t>
  </si>
  <si>
    <t>ko:K00602    purH; phosphoribosylaminoimidazolecarboxamide formyltransferase / IMP cyclohydrolase [EC:2.1.2.3 3.5.4.10]</t>
  </si>
  <si>
    <t>Purine synthesis</t>
  </si>
  <si>
    <t>KO:K00761</t>
  </si>
  <si>
    <t>ko:K00761    upp, UPRT; uracil phosphoribosyltransferase [EC:2.4.2.9]</t>
  </si>
  <si>
    <t>KO:K01524</t>
  </si>
  <si>
    <t>ko:K01524    ppx-gppA; exopolyphosphatase / guanosine-5'-triphosphate,3'-diphosphate pyrophosphatase [EC:3.6.1.11 3.6.1.40]</t>
  </si>
  <si>
    <t>KO:K07023</t>
  </si>
  <si>
    <t>ko:K07023    YGK1, HDDC2; 5'-deoxynucleotidase [EC:3.1.3.89]</t>
  </si>
  <si>
    <t>Purine and pyrimidine metabolism</t>
  </si>
  <si>
    <t>KO:K01933</t>
  </si>
  <si>
    <t>ko:K01933    purM; phosphoribosylformylglycinamidine cyclo-ligase [EC:6.3.3.1]</t>
  </si>
  <si>
    <t>COG0209</t>
  </si>
  <si>
    <t>Ribonucleotide reductase alpha subunit</t>
  </si>
  <si>
    <t>DNA Repair and purine and pyrimidine metabolism</t>
  </si>
  <si>
    <t>KO:K01682</t>
  </si>
  <si>
    <t>Carbon fixation</t>
  </si>
  <si>
    <t>acnB; aconitate hydratase 2 / 2-methylisocitrate dehydratase</t>
  </si>
  <si>
    <t>KO:K01681</t>
  </si>
  <si>
    <t>ACO, acnA; aconitate hydratase</t>
  </si>
  <si>
    <t>KO:K01848</t>
  </si>
  <si>
    <t>ko:K01848    E5.4.99.2A, mcmA1; methylmalonyl-CoA mutase, N-terminal domain [EC:5.4.99.2]</t>
  </si>
  <si>
    <t>hydroxypopionate-hydroxybutylate cycle and 3-hydroxypropionate bicycle</t>
  </si>
  <si>
    <t>KO:K01961</t>
  </si>
  <si>
    <t>ko:K01961    accC; acetyl-CoA carboxylase, biotin carboxylase subunit [EC:6.4.1.2 6.3.4.14]</t>
  </si>
  <si>
    <t>3-HPB carbon fixation, also fatty acid biosynthesis</t>
  </si>
  <si>
    <t>KO:K01963</t>
  </si>
  <si>
    <t>ko:K01963    accD; acetyl-CoA carboxylase carboxyl transferase subunit beta [EC:6.4.1.2 2.1.3.15]</t>
  </si>
  <si>
    <t>KO:K00171</t>
  </si>
  <si>
    <t>porD; pyruvate ferredoxin oxidoreductase delta subunit [EC:1.2.7.1]</t>
  </si>
  <si>
    <t>TCA cycle</t>
  </si>
  <si>
    <t>KO:K00297</t>
  </si>
  <si>
    <t>ko:K00297    metF, MTHFR; methylenetetrahydrofolate reductase (NADH) [EC:1.5.1.54]</t>
  </si>
  <si>
    <t>KO:K00176</t>
  </si>
  <si>
    <t>korD, oorD; 2-oxoglutarate ferredoxin oxidoreductase subunit delta [EC:1.2.7.3]</t>
  </si>
  <si>
    <t>KO:K00170</t>
  </si>
  <si>
    <t>ko:K00170    porB; pyruvate ferredoxin oxidoreductase beta subunit [EC:1.2.7.1]</t>
  </si>
  <si>
    <t>KO:K01895</t>
  </si>
  <si>
    <t>acs; acetyl-CoA synthetase</t>
  </si>
  <si>
    <t>KO:K01674</t>
  </si>
  <si>
    <t>ko:K01674    cah; carbonic anhydrase [EC:4.2.1.1]</t>
  </si>
  <si>
    <t>KO:K00172</t>
  </si>
  <si>
    <t>porC, porG; pyruvate ferredoxin oxidoreductase gamma subunit [EC:1.2.7.1]</t>
  </si>
  <si>
    <t>KO:K01610</t>
  </si>
  <si>
    <t>pckA; phosphoenolpyruvate carboxykinase (ATP) [EC:4.1.1.49]</t>
  </si>
  <si>
    <t>KO:K00873</t>
  </si>
  <si>
    <t>ko:K00873    PK, pyk; pyruvate kinase [EC:2.7.1.40]</t>
  </si>
  <si>
    <t>Glycolysis</t>
  </si>
  <si>
    <t>COG1012</t>
  </si>
  <si>
    <t>Acyl-CoA reductase or other NAD-dependent aldehyde dehydrogenase; acetaldehyde dehydrogenase / alcohol dehydrogenase</t>
  </si>
  <si>
    <t>glycolysis and also fatty acid metabolism</t>
  </si>
  <si>
    <t>KO:K00161</t>
  </si>
  <si>
    <t>ko:K00161    PDHA, pdhA; pyruvate dehydrogenase E1 component subunit alpha [EC:1.2.4.1]</t>
  </si>
  <si>
    <t>KO:K01679</t>
  </si>
  <si>
    <t>ko:K01679    E4.2.1.2B, fumC, FH; fumarate hydratase, class II [EC:4.2.1.2]</t>
  </si>
  <si>
    <t>KO:K00627</t>
  </si>
  <si>
    <t>ko:K00627    DLAT, aceF, pdhC; pyruvate dehydrogenase E2 component (dihydrolipoyllysine-residue acetyltransferase) [EC:2.3.1.12]</t>
  </si>
  <si>
    <t>Carbohydrate metabolism; TCA</t>
  </si>
  <si>
    <t>KO:K01628</t>
  </si>
  <si>
    <t>ko:K01628    fucA; L-fuculose-phosphate aldolase [EC:4.1.2.17]</t>
  </si>
  <si>
    <t>fructose and mannose metabolism</t>
  </si>
  <si>
    <t>KO:K01624</t>
  </si>
  <si>
    <t>ko:K01624    FBA, fbaA; fructose-bisphosphate aldolase, class II [EC:4.1.2.13]</t>
  </si>
  <si>
    <t>COG2220</t>
  </si>
  <si>
    <t>L-ascorbate lactonase UlaG, metallo-beta-lactamase superfamily [Carbohydrate transport and metabolism]</t>
  </si>
  <si>
    <t>KO:K01678</t>
  </si>
  <si>
    <t>ko:K01678    E4.2.1.2AB, fumB; fumarate hydratase subunit beta [EC:4.2.1.2]</t>
  </si>
  <si>
    <t>TCA  cycle</t>
  </si>
  <si>
    <t>KO:K01711</t>
  </si>
  <si>
    <t>ko:K01711    gmd, GMDS; GDPmannose 4,6-dehydratase [EC:4.2.1.47]</t>
  </si>
  <si>
    <t>KO:K00029</t>
  </si>
  <si>
    <t>maeB; malate dehydrogenase (oxaloacetate-decarboxylating)(NADP+) [EC:1.1.1.40]</t>
  </si>
  <si>
    <t>KO:K01677</t>
  </si>
  <si>
    <t>ko:K01677    E4.2.1.2AA, fumA; fumarate hydratase subunit alpha [EC:4.2.1.2]</t>
  </si>
  <si>
    <t>COG1052</t>
  </si>
  <si>
    <t>Lactate dehydrogenase or related 2-hydroxyacid dehydrogenase</t>
  </si>
  <si>
    <t>pyruvate metabolism</t>
  </si>
  <si>
    <t>KO:K01784</t>
  </si>
  <si>
    <t>ko:K01784    galE, GALE; UDP-glucose 4-epimerase [EC:5.1.3.2]</t>
  </si>
  <si>
    <t>Galactose metabolism</t>
  </si>
  <si>
    <t>KO:K00104</t>
  </si>
  <si>
    <t xml:space="preserve"> glcD; glycolate dehydrogenase FAD-linked subunit [EC:1.1.99.14]</t>
  </si>
  <si>
    <t>KO:K01006</t>
  </si>
  <si>
    <t>ko:K01006    ppdK; pyruvate, orthophosphate dikinase [EC:2.7.9.1]</t>
  </si>
  <si>
    <t>COG0123</t>
  </si>
  <si>
    <t>Acetoin utilization deacetylase AcuC or a related deacetylase</t>
  </si>
  <si>
    <t>KO:K01091</t>
  </si>
  <si>
    <t>ko:K01091    gph; phosphoglycolate phosphatase [EC:3.1.3.18]</t>
  </si>
  <si>
    <t>Glyoxylate and dicarboxylate metabolism</t>
  </si>
  <si>
    <t>KO:K00937</t>
  </si>
  <si>
    <t>ko:K00937    ppk1; polyphosphate kinase [EC:2.7.4.1]</t>
  </si>
  <si>
    <t>oxidative phosphorylation</t>
  </si>
  <si>
    <t>KO:K00971</t>
  </si>
  <si>
    <t>ko:K00971    manC, cpsB; mannose-1-phosphate guanylyltransferase [EC:2.7.7.13]</t>
  </si>
  <si>
    <t>KO:K01535</t>
  </si>
  <si>
    <t>ko:K01535    PMA1, PMA2; H+-transporting ATPase [EC:7.1.2.1]</t>
  </si>
  <si>
    <t>KO:K00239</t>
  </si>
  <si>
    <t>ko:K00239    sdhA, frdA; succinate dehydrogenase flavoprotein subunit [EC:1.3.5.1]</t>
  </si>
  <si>
    <t>TCA cycle and oxidative phosphorylation</t>
  </si>
  <si>
    <t>COG2814</t>
  </si>
  <si>
    <t>Predicted arabinose efflux permease AraJ, MFS family [Carbohydrate transport and metabolism]</t>
  </si>
  <si>
    <t>KO:K00131</t>
  </si>
  <si>
    <t>ko:K00131    gapN; glyceraldehyde-3-phosphate dehydrogenase (NADP+) [EC:1.2.1.9]</t>
  </si>
  <si>
    <t>KO:K00850</t>
  </si>
  <si>
    <t>ko:K00850    pfkA, PFK; 6-phosphofructokinase 1 [EC:2.7.1.11]</t>
  </si>
  <si>
    <t>KO:K02109</t>
  </si>
  <si>
    <t>ko:K02109    ATPF0B, atpF; F-type H+-transporting ATPase subunit b</t>
  </si>
  <si>
    <t>KO:K11749</t>
  </si>
  <si>
    <t>Cell growth and death</t>
  </si>
  <si>
    <t>ko:K11749    rseP; regulator of sigma E protease [EC:3.4.24.-]</t>
  </si>
  <si>
    <t>COG3401</t>
  </si>
  <si>
    <t>Cell morphology</t>
  </si>
  <si>
    <t>Fibronectin type 3 domain</t>
  </si>
  <si>
    <t>COG1344</t>
  </si>
  <si>
    <t>Cell motility</t>
  </si>
  <si>
    <t>COG1344: flgL; flagellin and related hook-associated protein</t>
  </si>
  <si>
    <t>KO:K13626</t>
  </si>
  <si>
    <t>ko:K13626    fliW; flagellar assembly factor FliW</t>
  </si>
  <si>
    <t>COG3018</t>
  </si>
  <si>
    <t>Flagellar basal body lipoprotein FlgP, LPP20 family [Cell motility]</t>
  </si>
  <si>
    <t>KO:K02390</t>
  </si>
  <si>
    <t>ko:K02390    flgE; flagellar hook protein FlgE</t>
  </si>
  <si>
    <t>KO:K02404</t>
  </si>
  <si>
    <t>ko:K02404    flhF; flagellar biosynthesis protein FlhF</t>
  </si>
  <si>
    <t>KO:K02388</t>
  </si>
  <si>
    <t>ko:K02388    flgC; flagellar basal-body rod protein FlgC</t>
  </si>
  <si>
    <t>KO:K02416</t>
  </si>
  <si>
    <t>ko:K02416    fliM; flagellar motor switch protein FliM</t>
  </si>
  <si>
    <t>Also chemotaxis</t>
  </si>
  <si>
    <t>KO:K02417</t>
  </si>
  <si>
    <t>ko:K02417    fliN; flagellar motor switch protein FliN</t>
  </si>
  <si>
    <t>KO:K02408</t>
  </si>
  <si>
    <t>ko:K02408    fliE; flagellar hook-basal body complex protein FliE</t>
  </si>
  <si>
    <t>KO:K02405</t>
  </si>
  <si>
    <t>ko:K02405    fliA, whiG; RNA polymerase sigma factor FliA</t>
  </si>
  <si>
    <t>Also biofilm formation</t>
  </si>
  <si>
    <t>KO:K02406</t>
  </si>
  <si>
    <t>ko:K02406    fliC, hag; flagellin</t>
  </si>
  <si>
    <t>KO:K02414</t>
  </si>
  <si>
    <t>ko:K02414    fliK; flagellar hook-length control protein FliK</t>
  </si>
  <si>
    <t>COG0784</t>
  </si>
  <si>
    <t>Chemotaxis</t>
  </si>
  <si>
    <t>CheY-like REC (receiver) domain, includes chemotaxis protein CheY and sporulation regulator Spo0F</t>
  </si>
  <si>
    <t>KO:K03407</t>
  </si>
  <si>
    <t>ko:K03407    cheA; two-component system, chemotaxis family, sensor kinase CheA [EC:2.7.13.3]</t>
  </si>
  <si>
    <t>COG0840</t>
  </si>
  <si>
    <t>Methyl-accepting chemotaxis protein (MCP)</t>
  </si>
  <si>
    <t>KO:K03415</t>
  </si>
  <si>
    <t>ko:K03415    cheV; two-component system, chemotaxis family, chemotaxis protein CheV</t>
  </si>
  <si>
    <t>COG4753</t>
  </si>
  <si>
    <t>two-component system, response regulator YesN,two-component system, chemotaxis family, chemotaxis protein CheY,two-component system, response regulator GlnL</t>
  </si>
  <si>
    <t>KO:K02556</t>
  </si>
  <si>
    <t>ko:K02556    motA; chemotaxis protein MotA</t>
  </si>
  <si>
    <t>KO:K03413</t>
  </si>
  <si>
    <t>ko:K03413    cheY; two-component system, chemotaxis family, chemotaxis protein CheY</t>
  </si>
  <si>
    <t>KO:K03408</t>
  </si>
  <si>
    <t>ko:K03408    cheW; purine-binding chemotaxis protein CheW</t>
  </si>
  <si>
    <t>KO:K02557</t>
  </si>
  <si>
    <t>ko:K02557    motB; chemotaxis protein MotB</t>
  </si>
  <si>
    <t>COG0845</t>
  </si>
  <si>
    <t>Genetic Information Processing</t>
  </si>
  <si>
    <t>Chromosome partitioning proteins</t>
  </si>
  <si>
    <t>Multidrug efflux pump subunit AcrA (membrane-fusion protein)</t>
  </si>
  <si>
    <t>also antibiotic resistance</t>
  </si>
  <si>
    <t>KO:K03529</t>
  </si>
  <si>
    <t>ko:K03529    smc; chromosome segregation protein</t>
  </si>
  <si>
    <t>KO:K03569</t>
  </si>
  <si>
    <t>ko:K03569    mreB; rod shape-determining protein MreB and related proteins</t>
  </si>
  <si>
    <t>Also an actin homolog</t>
  </si>
  <si>
    <t>KO:K03466</t>
  </si>
  <si>
    <t>ko:K03466    ftsK, spoIIIE; DNA segregation ATPase FtsK/SpoIIIE, S-DNA-T family</t>
  </si>
  <si>
    <t>TIGR03144</t>
  </si>
  <si>
    <t>Cytochrome biosynthesis</t>
  </si>
  <si>
    <t>c-type cytochrome biogenesis protein CcsB</t>
  </si>
  <si>
    <t>COG1592</t>
  </si>
  <si>
    <t>Detox</t>
  </si>
  <si>
    <t>rubrerythrin</t>
  </si>
  <si>
    <t>F420H2 oxidase (FprA) from Methanobrevibacter arboriphilus, a coenzyme F420-dependent enzyme involved in O2 detoxification.</t>
  </si>
  <si>
    <t>COG3247</t>
  </si>
  <si>
    <t>COG3247: hdeD; Acid resistance membrane protein, DUF308 family</t>
  </si>
  <si>
    <t>KO:K00537</t>
  </si>
  <si>
    <t>ko:K00537    arsC; arsenate reductase (glutaredoxin) [EC:1.20.4.1]</t>
  </si>
  <si>
    <t>KO:K00525</t>
  </si>
  <si>
    <t>Genetic information processing</t>
  </si>
  <si>
    <t>DNA repair</t>
  </si>
  <si>
    <t>ko:K00525    E1.17.4.1A, nrdA, nrdE; ribonucleoside-diphosphate reductase alpha chain [EC:1.17.4.1]</t>
  </si>
  <si>
    <t>Also involved in nucleotide metabolism</t>
  </si>
  <si>
    <t>KO:K03672</t>
  </si>
  <si>
    <t>Chaperones and folding catalysts</t>
  </si>
  <si>
    <t>Electron transport</t>
  </si>
  <si>
    <t>ko:K03672    trxC; thioredoxin 2 [EC:1.8.1.8]</t>
  </si>
  <si>
    <t>COG0450</t>
  </si>
  <si>
    <t>COG0450: ahpC; alkyl hydroperoxide reductase subunit (peroxiredoxin)</t>
  </si>
  <si>
    <t>KO:K13378</t>
  </si>
  <si>
    <t>ko:K13378    nuoCD; NADH-quinone oxidoreductase subunit C/D [EC:7.1.1.2]</t>
  </si>
  <si>
    <t>COG0694</t>
  </si>
  <si>
    <t>Fe-S cluster biogenesis protein NfuA, 4Fe-4S-binding domain</t>
  </si>
  <si>
    <t>w/in mitochondria</t>
  </si>
  <si>
    <t>COG0377</t>
  </si>
  <si>
    <t>NADH:ubiquinone oxidoreductase 20 kD subunit (chain B) or related Fe-S oxidoreductase</t>
  </si>
  <si>
    <t>NADH:ubiquinone oxidoreductase 20 kD subunit (chain B) or related Fe-S oxidoreductase is part of the Pathway/BioSystem: NADH dehydrogenase</t>
  </si>
  <si>
    <t>TIGR01770</t>
  </si>
  <si>
    <t>proton-translocating NADH-quinone oxidoreductase, chain N</t>
  </si>
  <si>
    <t>This HMM describes the 14th (based on E. coli) structural gene, N, of bacterial and chloroplast energy-transducing NADH (or NADPH) dehydrogenases. This model does not describe any subunit of the mitochondrial complex I (for which the subunit composition is very different), nor NADH dehydrogenases that are not coupled to ion transport. The Enzyme Commission designation 1.6.5.3, for NADH dehydrogenase (ubiquinone), is applied broadly, perhaps unfortunately, even if the quinone is menaquinone (Thermus, Mycobacterium) or plastoquinone (chloroplast). For chloroplast members, the name NADH-plastoquinone oxidoreductase is used for the complex and this protein is designated as subunit 2 or B. This model also includes a subunit of a related complex in the archaeal methanogen, Methanosarcina mazei, in which F420H2 replaces NADH and 2-hydroxyphenazine replaces the quinone.</t>
  </si>
  <si>
    <t>KO:K03688</t>
  </si>
  <si>
    <t>ko:K03688    ubiB, aarF; ubiquinone biosynthesis protein</t>
  </si>
  <si>
    <t>KO:K03738</t>
  </si>
  <si>
    <t>ko:K03738    aor; aldehyde:ferredoxin oxidoreductase [EC:1.2.7.5]</t>
  </si>
  <si>
    <t>Pentose phosphate pathway</t>
  </si>
  <si>
    <t>COG3411</t>
  </si>
  <si>
    <t>NADH-quinone oxidoreductase subunit F [EC:7.1.1.2],NADP-reducing hydrogenase subunit HndC [EC:1.12.1.3],NADP-reducing hydrogenase subunit HndB [EC:1.12.1.3]</t>
  </si>
  <si>
    <t>COG0599</t>
  </si>
  <si>
    <t>Alkyl hydroperoxide reductase AhpD</t>
  </si>
  <si>
    <t>COG1007</t>
  </si>
  <si>
    <t>NuoH; NADH:ubiquinone oxidoreductase subunit 2 (chain N) [Energy production and conversion]</t>
  </si>
  <si>
    <t>KO:K04564</t>
  </si>
  <si>
    <t>ko:K04564    SOD2; superoxide dismutase, Fe-Mn family [EC:1.15.1.1]</t>
  </si>
  <si>
    <t>COG2863</t>
  </si>
  <si>
    <t>Cytochrome c553 [Energy production and conversion]</t>
  </si>
  <si>
    <t>TIGR01957</t>
  </si>
  <si>
    <t>NADH-quinone oxidoreductase subunit B</t>
  </si>
  <si>
    <t>KO:K00340</t>
  </si>
  <si>
    <t>ko:K00340    nuoK; NADH-quinone oxidoreductase subunit K [EC:7.1.1.2]</t>
  </si>
  <si>
    <t>KO:K00343</t>
  </si>
  <si>
    <t>ko:K00343    nuoN; NADH-quinone oxidoreductase subunit N [EC:7.1.1.2]</t>
  </si>
  <si>
    <t>KO:K00338</t>
  </si>
  <si>
    <t>ko:K00338    nuoI; NADH-quinone oxidoreductase subunit I [EC:7.1.1.2]</t>
  </si>
  <si>
    <t>COG4802</t>
  </si>
  <si>
    <t>ferredoxin-thioredoxin reductase catalytic chain [EC:1.8.7.2],sulfur-carrier protein adenylyltransferase/sulfurtransferase [EC:2.7.7.80 2.7.7.- 2.8.1.11 2.8.1.-]</t>
  </si>
  <si>
    <t>KO:K00335</t>
  </si>
  <si>
    <t>ko:K00335    nuoF; NADH-quinone oxidoreductase subunit F [EC:7.1.1.2]</t>
  </si>
  <si>
    <t>TIGR01905</t>
  </si>
  <si>
    <t>doubled CXXCH domain</t>
  </si>
  <si>
    <t>This HMM represents a domain of about 41 amino acids that contains, among other motifs, two copies of the motif CXXCH associated with heme binding. Almost every member of this family has at least three copies of this domain (at least six copies of CXXCH) is predicted to be a high molecular weight c-type cytochrome. Members are found mostly in species of Shewanella, Geobacter, and Vibrio.</t>
  </si>
  <si>
    <t>KO:K04069</t>
  </si>
  <si>
    <t>ko:K04069    pflA, pflC, pflE; pyruvate formate lyase activating enzyme [EC:1.97.1.4]</t>
  </si>
  <si>
    <t>glycyl radical formation</t>
  </si>
  <si>
    <t>COG4802/COG0607</t>
  </si>
  <si>
    <t>Rhodanese-related sulfurtransferase [Inorganic ion transport and metabolism]</t>
  </si>
  <si>
    <t>KO:K00341</t>
  </si>
  <si>
    <t>ko:K00341    nuoL; NADH-quinone oxidoreductase subunit L [EC:7.1.1.2]</t>
  </si>
  <si>
    <t>KO:K08738</t>
  </si>
  <si>
    <t>ko:K08738    CYC; cytochrome c</t>
  </si>
  <si>
    <t>COG3005</t>
  </si>
  <si>
    <t>Tetraheme cytochrome c subunit NapC of nitrate or TMAO reductase [Energy production and conversion]</t>
  </si>
  <si>
    <t>KO:K00342</t>
  </si>
  <si>
    <t>ko:K00342    nuoM; NADH-quinone oxidoreductase subunit M [EC:7.1.1.2]</t>
  </si>
  <si>
    <t>COG0655</t>
  </si>
  <si>
    <t>Multimeric flavodoxin WrbA, includes NAD(P)H:quinone oxidoreductase</t>
  </si>
  <si>
    <t>KO:K11065</t>
  </si>
  <si>
    <t>tpx; thioredoxin-dependent peroxiredoxin</t>
  </si>
  <si>
    <t>KO:K05919</t>
  </si>
  <si>
    <t>dfx; superoxide reductase</t>
  </si>
  <si>
    <t>KO:K03981</t>
  </si>
  <si>
    <t>Folding, sorting, and degradation</t>
  </si>
  <si>
    <t>ko:K03981    dsbC; thiol:disulfide interchange protein DsbC [EC:5.3.4.1]</t>
  </si>
  <si>
    <t>KO:K03775</t>
  </si>
  <si>
    <t>ko:K03775    slyD; FKBP-type peptidyl-prolyl cis-trans isomerase SlyD [EC:5.2.1.8]</t>
  </si>
  <si>
    <t>KO:K03210</t>
  </si>
  <si>
    <t>ko:K03210    yajC; preprotein translocase subunit YajC</t>
  </si>
  <si>
    <t>also secretion and quorum sensing</t>
  </si>
  <si>
    <t>KO:K12573</t>
  </si>
  <si>
    <t>ko:K12573    rnr, vacB; ribonuclease R [EC:3.1.13.1]</t>
  </si>
  <si>
    <t>also mRNA synthesis</t>
  </si>
  <si>
    <t>KO:K05592</t>
  </si>
  <si>
    <t>deaD, cshA; ATP-dependent RNA helicase DeaD</t>
  </si>
  <si>
    <t xml:space="preserve">and mRNA synthesis </t>
  </si>
  <si>
    <t>KO:K12574</t>
  </si>
  <si>
    <t>ko:K12574    rnj; ribonuclease J [EC:3.1.-.-]</t>
  </si>
  <si>
    <t>KO:K13525</t>
  </si>
  <si>
    <t>ko:K13525    VCP, CDC48; transitional endoplasmic reticulum ATPase</t>
  </si>
  <si>
    <t>KO:K03101</t>
  </si>
  <si>
    <t>ko:K03101    lspA; signal peptidase II [EC:3.4.23.36]</t>
  </si>
  <si>
    <t xml:space="preserve"> </t>
  </si>
  <si>
    <t>KO:K11927</t>
  </si>
  <si>
    <t>ko:K11927    rhlE; ATP-dependent RNA helicase RhlE [EC:5.6.2.7]</t>
  </si>
  <si>
    <t>KO:K03271</t>
  </si>
  <si>
    <t>Glycan biosynthesis</t>
  </si>
  <si>
    <t>ko:K03271    gmhA, lpcA; D-sedoheptulose 7-phosphate isomerase [EC:5.3.1.28]</t>
  </si>
  <si>
    <t>KO:K03272</t>
  </si>
  <si>
    <t>ko:K03272    gmhC, hldE, waaE, rfaE; D-beta-D-heptose 7-phosphate kinase / D-beta-D-heptose 1-phosphate adenosyltransferase [EC:2.7.1.167 2.7.7.70]</t>
  </si>
  <si>
    <t>COG2604</t>
  </si>
  <si>
    <t>Glycan biosynthesis and metabolism</t>
  </si>
  <si>
    <t>KDO transferase III [EC:2.4.99.-]</t>
  </si>
  <si>
    <t>Lipopolysaccharide biosynthesis proteins</t>
  </si>
  <si>
    <t>COG1807</t>
  </si>
  <si>
    <t>arabinofuranan 3-O-arabinosyltransferase [EC:2.4.2.-],4-amino-4-deoxy-L-arabinose transferase [EC:2.4.2.43],GPI mannosyltransferase 3 [EC:2.4.1.-]</t>
  </si>
  <si>
    <t>KO:K03687</t>
  </si>
  <si>
    <t>Heat shock</t>
  </si>
  <si>
    <t>GRPE; molecular chaperone GrpE</t>
  </si>
  <si>
    <t>also many other functions, genetic information processing and mitochondiral biogenesis</t>
  </si>
  <si>
    <t>KO:K03696</t>
  </si>
  <si>
    <t>clpC; ATP-dependent Clp protease ATP-binding subunit ClpC</t>
  </si>
  <si>
    <t>Also a general molecular chaperone</t>
  </si>
  <si>
    <t>ko:K03687    GRPE; molecular chaperone GrpE</t>
  </si>
  <si>
    <t>Also mitochondrial biogenesis</t>
  </si>
  <si>
    <t>KO:K04043</t>
  </si>
  <si>
    <t>dnaK, HSPA9; molecular chaperone DnaK</t>
  </si>
  <si>
    <t>KO:K03686</t>
  </si>
  <si>
    <t>ko:K03686    dnaJ; molecular chaperone DnaJ</t>
  </si>
  <si>
    <t>KO:K03695</t>
  </si>
  <si>
    <t>clpB; ATP-dependent Clp protease ATP-binding subunit ClpB</t>
  </si>
  <si>
    <t>COG0459</t>
  </si>
  <si>
    <t>COG0459: chaperonin GroEL, HSP60 family</t>
  </si>
  <si>
    <t>KO:K04079</t>
  </si>
  <si>
    <t>HSP90A, htpG; molecular chaperone HtpG</t>
  </si>
  <si>
    <t>KO:K03544</t>
  </si>
  <si>
    <t>ko:K03544    clpX, CLPX; ATP-dependent Clp protease ATP-binding subunit ClpX</t>
  </si>
  <si>
    <t>KO:K04078</t>
  </si>
  <si>
    <t>groES, HSPE1; chaperonin GroES</t>
  </si>
  <si>
    <t>KO:K05516</t>
  </si>
  <si>
    <t>ko:K05516    cbpA; curved DNA-binding protein</t>
  </si>
  <si>
    <t>Also a general molecular chaperone and associated with the chromosome</t>
  </si>
  <si>
    <t>KO:K03694</t>
  </si>
  <si>
    <t>ko:K03694    clpA; ATP-dependent Clp protease ATP-binding subunit ClpA</t>
  </si>
  <si>
    <t>KO:K03799</t>
  </si>
  <si>
    <t>ko:K03799    htpX; heat shock protein HtpX [EC:3.4.24.-]</t>
  </si>
  <si>
    <t>peptidases and inhibitors</t>
  </si>
  <si>
    <t>KO:K13640</t>
  </si>
  <si>
    <t>ko:K13640    hspR; MerR family transcriptional regulator, heat shock protein HspR</t>
  </si>
  <si>
    <t>KO:K03705</t>
  </si>
  <si>
    <t>ko:K03705    hrcA; heat-inducible transcriptional repressor</t>
  </si>
  <si>
    <t>also transcriptional regulation</t>
  </si>
  <si>
    <t>hydB; quinone-reactive Ni/Fe-hydrogenase large subunit</t>
  </si>
  <si>
    <t>hydA; quinone-reactive Ni/Fe-hydrogenase small subunit</t>
  </si>
  <si>
    <t>hyaB, hybC; hydrogenase large subunit</t>
  </si>
  <si>
    <t>KO:K00076</t>
  </si>
  <si>
    <t>Lipid metabolism</t>
  </si>
  <si>
    <t>hdhA; 7-alpha-hydroxysteroid dehydrogenase [EC:1.1.1.159]</t>
  </si>
  <si>
    <t>KO:K01613</t>
  </si>
  <si>
    <t>ko:K01613    psd, PISD; phosphatidylserine decarboxylase [EC:4.1.1.65]</t>
  </si>
  <si>
    <t>KO:K00208</t>
  </si>
  <si>
    <t>fabI; enoyl-[acyl-carrier protein] reductase I [EC:1.3.1.9 1.3.1.10]</t>
  </si>
  <si>
    <t>KO:K00795</t>
  </si>
  <si>
    <t>ko:K00795    ispA; farnesyl diphosphate synthase [EC:2.5.1.1 2.5.1.10]</t>
  </si>
  <si>
    <t>synthesis of terpenoids</t>
  </si>
  <si>
    <t>KO:K17103</t>
  </si>
  <si>
    <t>ko:K17103    CHO1, pssA; CDP-diacylglycerol---serine O-phosphatidyltransferase [EC:2.7.8.8]</t>
  </si>
  <si>
    <t>Also Glycine, serine and threonine metabolism</t>
  </si>
  <si>
    <t>KO:K07107</t>
  </si>
  <si>
    <t>ko:K07107    ybgC; acyl-CoA thioester hydrolase [EC:3.1.2.-]</t>
  </si>
  <si>
    <t>phospholipid syntesis</t>
  </si>
  <si>
    <t>KO:K00912</t>
  </si>
  <si>
    <t>ko:K00912    lpxK; tetraacyldisaccharide 4'-kinase [EC:2.7.1.130]</t>
  </si>
  <si>
    <t>KO:K00995</t>
  </si>
  <si>
    <t>ko:K00995    pgsA, PGS1; CDP-diacylglycerol---glycerol-3-phosphate 3-phosphatidyltransferase [EC:2.7.8.5]</t>
  </si>
  <si>
    <t>KO:K00806</t>
  </si>
  <si>
    <t>ko:K00806    uppS; undecaprenyl diphosphate synthase [EC:2.5.1.31]</t>
  </si>
  <si>
    <t>KO:K03594</t>
  </si>
  <si>
    <t>Metabolism of cofactors and vitamins</t>
  </si>
  <si>
    <t>bfr; bacterioferritin [EC:1.16.3.1]</t>
  </si>
  <si>
    <t>TIGR00292</t>
  </si>
  <si>
    <t>sulfide-dependent adenosine diphosphate thiazole synthase</t>
  </si>
  <si>
    <t>synthesis of thiamine</t>
  </si>
  <si>
    <t>COG4663</t>
  </si>
  <si>
    <t>TRAP-type mannitol/chloroaromatic compound transport system, periplasmic component</t>
  </si>
  <si>
    <t>KO:K04487</t>
  </si>
  <si>
    <t>iscS, NFS1; cysteine desulfurase</t>
  </si>
  <si>
    <t>thaimine synthesis</t>
  </si>
  <si>
    <t>ko:K03152    thiJ; protein deglycase [EC:3.5.1.124]</t>
  </si>
  <si>
    <t>TIGR00196/TIGR00197</t>
  </si>
  <si>
    <t>YjeF family C-terminal domain</t>
  </si>
  <si>
    <t>Predicted to be involved in thiamine synthesis</t>
  </si>
  <si>
    <t>KO:K02495</t>
  </si>
  <si>
    <t>ko:K02495    hemN, hemZ; oxygen-independent coproporphyrinogen III oxidase [EC:1.3.98.3]</t>
  </si>
  <si>
    <t>porphyrin metabolism</t>
  </si>
  <si>
    <t>KO:K18284</t>
  </si>
  <si>
    <t>ko:K18284    K18284; adenosylhomocysteine/aminodeoxyfutalosine nucleosidase [EC:3.2.2.9 3.2.2.30]</t>
  </si>
  <si>
    <t>Also Cysteine and methionine metabolism; Ubiquinone and other terpenoid-quinone biosynthesis</t>
  </si>
  <si>
    <t>KO:K14652</t>
  </si>
  <si>
    <t>ko:K14652    ribBA; 3,4-dihydroxy 2-butanone 4-phosphate synthase / GTP cyclohydrolase II [EC:4.1.99.12 3.5.4.25]</t>
  </si>
  <si>
    <t>KO:K03149</t>
  </si>
  <si>
    <t>ko:K03149    thiG; thiazole synthase [EC:2.8.1.10]</t>
  </si>
  <si>
    <t>KO:K01579</t>
  </si>
  <si>
    <t>ko:K01579    panD; aspartate 1-decarboxylase [EC:4.1.1.11]</t>
  </si>
  <si>
    <t>KO:K00859</t>
  </si>
  <si>
    <t>ko:K00859    coaE; dephospho-CoA kinase [EC:2.7.1.24]</t>
  </si>
  <si>
    <t>COG0476</t>
  </si>
  <si>
    <t>Molybdopterin or thiamine biosynthesis adenylyltransferase</t>
  </si>
  <si>
    <t>secondary metabolite synthesis</t>
  </si>
  <si>
    <t>KO:K06897</t>
  </si>
  <si>
    <t>ko:K06897    K06897; 7,8-dihydropterin-6-yl-methyl-4-(beta-D-ribofuranosyl)aminobenzene 5'-phosphate synthase [EC:2.5.1.105]</t>
  </si>
  <si>
    <t>Folate biosynthesis</t>
  </si>
  <si>
    <t>KO:K00231</t>
  </si>
  <si>
    <t>ko:K00231    PPOX, hemY; protoporphyrinogen/coproporphyrinogen III oxidase [EC:1.3.3.4 1.3.3.15]</t>
  </si>
  <si>
    <t>KO:K03525</t>
  </si>
  <si>
    <t>ko:K03525    coaX; type III pantothenate kinase [EC:2.7.1.33]</t>
  </si>
  <si>
    <t>KO:K08973</t>
  </si>
  <si>
    <t>ko:K08973    hemJ; protoporphyrinogen IX oxidase [EC:1.3.99.-]</t>
  </si>
  <si>
    <t>porphyrin metabolism, also heme biosynthesis</t>
  </si>
  <si>
    <t>KO:K01665</t>
  </si>
  <si>
    <t>ko:K01665    pabB; para-aminobenzoate synthetase component I [EC:2.6.1.85]</t>
  </si>
  <si>
    <t>folate biosynthesis</t>
  </si>
  <si>
    <t>TIGR00177</t>
  </si>
  <si>
    <t>molybdenum cofactor synthesis domain</t>
  </si>
  <si>
    <t>KO:K03474</t>
  </si>
  <si>
    <t>ko:K03474    pdxJ; pyridoxine 5-phosphate synthase [EC:2.6.99.2]</t>
  </si>
  <si>
    <t>TIGR00149</t>
  </si>
  <si>
    <t>secondary thiamine-phosphate synthase enzyme</t>
  </si>
  <si>
    <t>Members of this protein family have been studied extensively by crystallography. Members from several different species have been shown to have sufficient thiamin phosphate synthase activity (EC 2.5.1.3) to complement thiE mutants. However, it is presumed that this is a secondary activity, and the primary function of this enzyme remains unknown.</t>
  </si>
  <si>
    <t>KO:K01950</t>
  </si>
  <si>
    <t>ko:K01950    E6.3.5.1, NADSYN1, QNS1, nadE; NAD+ synthase (glutamine-hydrolysing) [EC:6.3.5.1]</t>
  </si>
  <si>
    <t>nicotinate and nicotinamide metabolism</t>
  </si>
  <si>
    <t>KO:K11753</t>
  </si>
  <si>
    <t>ko:K11753    ribF; riboflavin kinase / FMN adenylyltransferase [EC:2.7.1.26 2.7.7.2]</t>
  </si>
  <si>
    <t>KO:K00788</t>
  </si>
  <si>
    <t>ko:K00788    thiE; thiamine-phosphate pyrophosphorylase [EC:2.5.1.3]</t>
  </si>
  <si>
    <t>KO:K00077</t>
  </si>
  <si>
    <t>panE, apbA; 2-dehydropantoate 2-reductase [EC:1.1.1.169]</t>
  </si>
  <si>
    <t>KO:K11785</t>
  </si>
  <si>
    <t>ko:K11785    mqnD; 1,4-dihydroxy-6-naphthoate synthase [EC:1.14.-.-]</t>
  </si>
  <si>
    <t>KO:K11782</t>
  </si>
  <si>
    <t>ko:K11782    mqnA; chorismate dehydratase [EC:4.2.1.151]</t>
  </si>
  <si>
    <t>KO:K13038</t>
  </si>
  <si>
    <t>ko:K13038    coaBC, dfp; phosphopantothenoylcysteine decarboxylase / phosphopantothenate---cysteine ligase [EC:4.1.1.36 6.3.2.5]</t>
  </si>
  <si>
    <t>Pantothenate and CoA biosynthesis</t>
  </si>
  <si>
    <t>KO:K11784</t>
  </si>
  <si>
    <t>ko:K11784    mqnC; cyclic dehypoxanthinyl futalosine synthase [EC:1.21.98.1]</t>
  </si>
  <si>
    <t>KO:K15022</t>
  </si>
  <si>
    <t>ko:K15022    fdhB; formate dehydrogenase (NADP+) beta subunit [EC:1.17.1.10]</t>
  </si>
  <si>
    <t>Carbon fixation via WL pathway</t>
  </si>
  <si>
    <t>KO:K14128</t>
  </si>
  <si>
    <t>ko:K14128    mvhG, vhuG, vhcG; F420-non-reducing hydrogenase small subunit [EC:1.12.99.- 1.8.98.5]</t>
  </si>
  <si>
    <t>KO:K14126</t>
  </si>
  <si>
    <t>ko:K14126    mvhA, vhuA, vhcA; F420-non-reducing hydrogenase large subunit [EC:1.12.99.- 1.8.98.5]</t>
  </si>
  <si>
    <t>Methane metabolism</t>
  </si>
  <si>
    <t>fdhB; formate dehydrogenase (NADP+) beta subunit [EC:1.17.1.10]</t>
  </si>
  <si>
    <t xml:space="preserve">hdrA2; heterodisulfide reductase subunit </t>
  </si>
  <si>
    <t>KO:K00123</t>
  </si>
  <si>
    <t>ko:K00123    fdoG, fdhF, fdwA; formate dehydrogenase major subunit [EC:1.17.1.9]</t>
  </si>
  <si>
    <t>COG1143</t>
  </si>
  <si>
    <t>Formate hydrogenlyase subunit 6/NADH:ubiquinone oxidoreductase 23 kD subunit (chain I) [Energy production and conversion]</t>
  </si>
  <si>
    <t>Transfers electrons during methanogenesis</t>
  </si>
  <si>
    <t>TIGR03271</t>
  </si>
  <si>
    <t>putative methanogenesis marker protein 5</t>
  </si>
  <si>
    <t>putative methanogenesis marker protein 6</t>
  </si>
  <si>
    <t>KO:K18093</t>
  </si>
  <si>
    <t>Transport</t>
  </si>
  <si>
    <t xml:space="preserve">oprD; imipenem/basic amino acid-specific outer membrane pore </t>
  </si>
  <si>
    <t>KO:K13819</t>
  </si>
  <si>
    <t>Nitrogen metabolism</t>
  </si>
  <si>
    <t>NifU-like protein</t>
  </si>
  <si>
    <t>KO:K10535</t>
  </si>
  <si>
    <t>hao; hydroxylamine dehydrogenase</t>
  </si>
  <si>
    <t>KO:K04014</t>
  </si>
  <si>
    <t>ko:K04014    nrfC; protein NrfC</t>
  </si>
  <si>
    <t>formate-dependent nitrate reduction to ammonia</t>
  </si>
  <si>
    <t>KO:K02573</t>
  </si>
  <si>
    <t>ko:K02573    napG; ferredoxin-type protein NapG</t>
  </si>
  <si>
    <t>KO:K05601</t>
  </si>
  <si>
    <t>hcp; hydroxylamine reductase</t>
  </si>
  <si>
    <t>COG1140</t>
  </si>
  <si>
    <t>CP - COG1140 - Nitrate reductase beta subunit</t>
  </si>
  <si>
    <t>KO:K02574</t>
  </si>
  <si>
    <t>napH; ferredoxin-type protein NapH</t>
  </si>
  <si>
    <t>COG1328</t>
  </si>
  <si>
    <t>Anaerobic ribonucleoside-triphosphate reductase</t>
  </si>
  <si>
    <t>[Nucleotide transport and metabolism]</t>
  </si>
  <si>
    <t>COG1579</t>
  </si>
  <si>
    <t>Predicted nucleic acid-binding protein DR0291, contains C4-type Zn-ribbon domain</t>
  </si>
  <si>
    <t>TIGR01564</t>
  </si>
  <si>
    <t>Outer membrane synthesis</t>
  </si>
  <si>
    <t>TIGR01564: S-layer protein</t>
  </si>
  <si>
    <t>KO:K03526</t>
  </si>
  <si>
    <t>ko:K03526    gcpE, ispG; (E)-4-hydroxy-3-methylbut-2-enyl-diphosphate synthase [EC:1.17.7.1 1.17.7.3]</t>
  </si>
  <si>
    <t>KO:K12506</t>
  </si>
  <si>
    <t>ko:K12506    ispDF; 2-C-methyl-D-erythritol 4-phosphate cytidylyltransferase / 2-C-methyl-D-erythritol 2,4-cyclodiphosphate synthase [EC:2.7.7.60 4.6.1.12]</t>
  </si>
  <si>
    <t>KO:K01925</t>
  </si>
  <si>
    <t>ko:K01925    murD; UDP-N-acetylmuramoylalanine--D-glutamate ligase [EC:6.3.2.9]</t>
  </si>
  <si>
    <t>KO:K03587</t>
  </si>
  <si>
    <t>ko:K03587    ftsI; cell division protein FtsI (penicillin-binding protein 3) [EC:3.4.16.4]</t>
  </si>
  <si>
    <t>peptidoglycan synthesis</t>
  </si>
  <si>
    <t>KO:K02523</t>
  </si>
  <si>
    <t>ko:K02523    ispB; octaprenyl-diphosphate synthase [EC:2.5.1.90]</t>
  </si>
  <si>
    <t>KO:K06013</t>
  </si>
  <si>
    <t>ko:K06013    STE24; STE24 endopeptidase [EC:3.4.24.84]</t>
  </si>
  <si>
    <t>COG0859</t>
  </si>
  <si>
    <t>ADP-heptose:LPS heptosyltransferase</t>
  </si>
  <si>
    <t>Cell wall/membrane/envelope biogenesis</t>
  </si>
  <si>
    <t>COG0392</t>
  </si>
  <si>
    <t>Predicted membrane flippase AglD2/YbhN, UPF0104 family</t>
  </si>
  <si>
    <t> [Cell wall/membrane/envelope biogenesis]</t>
  </si>
  <si>
    <t>Glycosyltransferase involved in cell wall bisynthesis</t>
  </si>
  <si>
    <t>COG0463</t>
  </si>
  <si>
    <t>COG3203</t>
  </si>
  <si>
    <t>Outer membrane porin OmpC/OmpF/PhoE [Cell wall/membrane/envelope biogenesis]</t>
  </si>
  <si>
    <t>COG1086</t>
  </si>
  <si>
    <t>NDP-sugar epimerase, includes UDP-GlcNAc-inverting 4,6-dehydratase FlaA1 and capsular polysaccharide biosynthesis protein EpsC</t>
  </si>
  <si>
    <t>[Cell wall/membrane/envelope biogenesis, Posttranslational modification, protein turnover, chaperones]</t>
  </si>
  <si>
    <t>KO:K08309</t>
  </si>
  <si>
    <t>ko:K08309    slt; peptidoglycan lytic transglycosylase [EC:4.2.2.29]</t>
  </si>
  <si>
    <t>KO:K08306</t>
  </si>
  <si>
    <t>ko:K08306    mltC; peptidoglycan lytic transglycosylase C [EC:4.2.2.29]</t>
  </si>
  <si>
    <t>electron transport</t>
  </si>
  <si>
    <t>KO:K08602</t>
  </si>
  <si>
    <t>ko:K08602    pepF, pepB; oligoendopeptidase F [EC:3.4.24.-]</t>
  </si>
  <si>
    <t>COG3415</t>
  </si>
  <si>
    <t>Prokaryotic defense system</t>
  </si>
  <si>
    <t>COG3415: CRISPR-associated protein Csa3, CARF domain</t>
  </si>
  <si>
    <t>KO:K07012</t>
  </si>
  <si>
    <t>ko:K07012    cas3; CRISPR-associated endonuclease/helicase Cas3 [EC:3.1.-.- 5.6.2.4]</t>
  </si>
  <si>
    <t>KO:K07016</t>
  </si>
  <si>
    <t>ko:K07016    csm1, cas10; CRISPR-associated protein Csm1</t>
  </si>
  <si>
    <t>COG1403</t>
  </si>
  <si>
    <t>5-methylcytosine-specific restriction endonuclease McrA</t>
  </si>
  <si>
    <t>KO:K03568</t>
  </si>
  <si>
    <t>Protein degradation</t>
  </si>
  <si>
    <t>ko:K03568    tldD; TldD protein</t>
  </si>
  <si>
    <t>KO:K07397</t>
  </si>
  <si>
    <t>Protein processing</t>
  </si>
  <si>
    <t>ko:K07397    yhfA; putative redox protein</t>
  </si>
  <si>
    <t>COG1333</t>
  </si>
  <si>
    <t>Cytochrome c biogenesis protein ResB</t>
  </si>
  <si>
    <t>KO:K06891</t>
  </si>
  <si>
    <t>ko:K06891    clpS; ATP-dependent Clp protease adaptor protein ClpS</t>
  </si>
  <si>
    <t>KO:K07391</t>
  </si>
  <si>
    <t>ko:K07391    comM; magnesium chelatase family protein</t>
  </si>
  <si>
    <t>KO:K04656</t>
  </si>
  <si>
    <t>ko:K04656    hypF; hydrogenase maturation protein HypF</t>
  </si>
  <si>
    <t>but in general, not much is known about this protein</t>
  </si>
  <si>
    <t>TIGR00376</t>
  </si>
  <si>
    <t>Replication and repair</t>
  </si>
  <si>
    <t>Repair</t>
  </si>
  <si>
    <t>IGHMBP2 family helicase</t>
  </si>
  <si>
    <t>KO:K07486</t>
  </si>
  <si>
    <t>transposase</t>
  </si>
  <si>
    <t>KO:K06187</t>
  </si>
  <si>
    <t>ko:K06187    recR; recombination protein RecR</t>
  </si>
  <si>
    <t>KO:K07496</t>
  </si>
  <si>
    <t>ko:K07496    K07496; putative transposase</t>
  </si>
  <si>
    <t>KO:K02347</t>
  </si>
  <si>
    <t>ko:K02347    polX, dpx; DNA polymerase (family X)</t>
  </si>
  <si>
    <t>KO:K07493</t>
  </si>
  <si>
    <t>ko:K07493    K07493; putative transposase</t>
  </si>
  <si>
    <t>COG0433</t>
  </si>
  <si>
    <t>Archaeal DNA helicase HerA or a related bacterial ATPase, contains HAS-barrel and ATPase domains</t>
  </si>
  <si>
    <t>KO:K07457</t>
  </si>
  <si>
    <t>ko:K07457    K07457; endonuclease III related protein</t>
  </si>
  <si>
    <t>COG0436</t>
  </si>
  <si>
    <t>COG0419</t>
  </si>
  <si>
    <t>DNA repair exonuclease SbcCD ATPase subunit</t>
  </si>
  <si>
    <t>KO:K07497</t>
  </si>
  <si>
    <t>ko:K07497    K07497; putative transposase</t>
  </si>
  <si>
    <t>KO:K03703</t>
  </si>
  <si>
    <t>ko:K03703    uvrC; excinuclease ABC subunit C</t>
  </si>
  <si>
    <t>KO:K03702</t>
  </si>
  <si>
    <t>ko:K03702    uvrB; excinuclease ABC subunit B</t>
  </si>
  <si>
    <t>KO:K03555</t>
  </si>
  <si>
    <t>ko:K03555    mutS; DNA mismatch repair protein MutS</t>
  </si>
  <si>
    <t>KO:K03723</t>
  </si>
  <si>
    <t>ko:K03723    mfd; transcription-repair coupling factor (superfamily II helicase) [EC:5.6.2.4]</t>
  </si>
  <si>
    <t>KO:K07462</t>
  </si>
  <si>
    <t>ko:K07462    recJ; single-stranded-DNA-specific exonuclease [EC:3.1.-.-]</t>
  </si>
  <si>
    <t>KO:K03553</t>
  </si>
  <si>
    <t>ko:K03553    recA; recombination protein RecA</t>
  </si>
  <si>
    <t>KO:K04485</t>
  </si>
  <si>
    <t>ko:K04485    radA, sms; DNA repair protein RadA/Sms</t>
  </si>
  <si>
    <t>KO:K03701</t>
  </si>
  <si>
    <t>ko:K03701    uvrA; excinuclease ABC subunit A</t>
  </si>
  <si>
    <t>COG5527</t>
  </si>
  <si>
    <t>Replication</t>
  </si>
  <si>
    <t>Protein involved in initiation of plasmid replication [Mobilome: prophages, transposons]</t>
  </si>
  <si>
    <t>KO:K03170</t>
  </si>
  <si>
    <t>ko:K03170    topG, rgy; reverse gyrase [EC:5.6.2.2 5.6.2.-]</t>
  </si>
  <si>
    <t>KO:K02316</t>
  </si>
  <si>
    <t>ko:K02316    dnaG; DNA primase [EC:2.7.7.101]</t>
  </si>
  <si>
    <t>KO:K02337</t>
  </si>
  <si>
    <t>ko:K02337    dnaE; DNA polymerase III subunit alpha [EC:2.7.7.7]</t>
  </si>
  <si>
    <t>COG2036</t>
  </si>
  <si>
    <t>Archaeal histone H3/H4</t>
  </si>
  <si>
    <t>COG5557</t>
  </si>
  <si>
    <t>KO:K02342</t>
  </si>
  <si>
    <t>ko:K02342    dnaQ; DNA polymerase III subunit epsilon [EC:2.7.7.7]</t>
  </si>
  <si>
    <t>COG0553</t>
  </si>
  <si>
    <t>Superfamily II DNA or RNA helicase, SNF2 family</t>
  </si>
  <si>
    <t>TIGR00758</t>
  </si>
  <si>
    <t>uracil-DNA glycosylase, family 4</t>
  </si>
  <si>
    <t>This well-conserved family of proteins is about 200 residues in length and homologous to the N-terminus of the DNA polymerase of phage SPO1 of Bacillus subtilis. The member from Thermus thermophilus HB8 is known to act as uracil-DNA glycosylase, an enzyme of DNA base excision repair. Its appearance as a domain of phage DNA polymerases could be consistent with uracil-DNA glycosylase activity.</t>
  </si>
  <si>
    <t>KO:K02343</t>
  </si>
  <si>
    <t>ko:K02343    dnaX; DNA polymerase III subunit gamma/tau [EC:2.7.7.7]</t>
  </si>
  <si>
    <t>KO:K03168</t>
  </si>
  <si>
    <t>ko:K03168    topA; DNA topoisomerase I [EC:5.6.2.1]</t>
  </si>
  <si>
    <t>COG1484</t>
  </si>
  <si>
    <t>DNA replication protein DnaC</t>
  </si>
  <si>
    <t>Archaeal histone H3/H5</t>
  </si>
  <si>
    <t>KO:K02314</t>
  </si>
  <si>
    <t>ko:K02314    dnaB; replicative DNA helicase [EC:5.6.2.3]</t>
  </si>
  <si>
    <t>KO:K06941</t>
  </si>
  <si>
    <t>Ribosome synthesis</t>
  </si>
  <si>
    <t>ko:K06941    rlmN; 23S rRNA (adenine2503-C2)-methyltransferase [EC:2.1.1.192]</t>
  </si>
  <si>
    <t>KO:K03665</t>
  </si>
  <si>
    <t>ko:K03665    hflX; GTPase</t>
  </si>
  <si>
    <t>KO:K06969</t>
  </si>
  <si>
    <t>ko:K06969    rlmI; 23S rRNA (cytosine1962-C5)-methyltransferase [EC:2.1.1.191]</t>
  </si>
  <si>
    <t>KO:K02834</t>
  </si>
  <si>
    <t>ko:K02834    rbfA; ribosome-binding factor A</t>
  </si>
  <si>
    <t>KO:K02528</t>
  </si>
  <si>
    <t>ko:K02528    ksgA; 16S rRNA (adenine1518-N6/adenine1519-N6)-dimethyltransferase [EC:2.1.1.182]</t>
  </si>
  <si>
    <t>KO:K02860</t>
  </si>
  <si>
    <t>ko:K02860    rimM; 16S rRNA processing protein RimM</t>
  </si>
  <si>
    <t>KO:K09748</t>
  </si>
  <si>
    <t>ko:K09748    rimP; ribosome maturation factor RimP</t>
  </si>
  <si>
    <t>KO:K09761</t>
  </si>
  <si>
    <t>ko:K09761    rsmE; 16S rRNA (uracil1498-N3)-methyltransferase [EC:2.1.1.193]</t>
  </si>
  <si>
    <t>KO:K03218</t>
  </si>
  <si>
    <t>ko:K03218    rlmB; 23S rRNA (guanosine2251-2'-O)-methyltransferase [EC:2.1.1.185]</t>
  </si>
  <si>
    <t>KO:K03231</t>
  </si>
  <si>
    <t>RNA synthesis</t>
  </si>
  <si>
    <t>EEF1A; elongation factor 1-alpha</t>
  </si>
  <si>
    <t>KO:K00989</t>
  </si>
  <si>
    <t>ko:K00989    rph; ribonuclease PH [EC:2.7.7.56]</t>
  </si>
  <si>
    <t>KO:K03650</t>
  </si>
  <si>
    <t>ko:K03650    mnmE, trmE, MSS1; tRNA modification GTPase [EC:3.6.-.-]</t>
  </si>
  <si>
    <t>KO:K04085</t>
  </si>
  <si>
    <t>ko:K04085    tusA, sirA; tRNA 2-thiouridine synthesizing protein A [EC:2.8.1.-]</t>
  </si>
  <si>
    <t>KO:K14058</t>
  </si>
  <si>
    <t>ko:K14058    ttcA; tRNA 2-thiocytidine biosynthesis protein TtcA</t>
  </si>
  <si>
    <t>KO:K06168</t>
  </si>
  <si>
    <t>ko:K06168    miaB; tRNA-2-methylthio-N6-dimethylallyladenosine synthase [EC:2.8.4.3]</t>
  </si>
  <si>
    <t>KO:K04075</t>
  </si>
  <si>
    <t>ko:K04075    tilS, mesJ; tRNA(Ile)-lysidine synthase [EC:6.3.4.19]</t>
  </si>
  <si>
    <t>KO:K01885</t>
  </si>
  <si>
    <t>ko:K01885    EARS, gltX; glutamyl-tRNA synthetase [EC:6.1.1.17]</t>
  </si>
  <si>
    <t>KO:K00962</t>
  </si>
  <si>
    <t>ko:K00962    pnp, PNPT1; polyribonucleotide nucleotidyltransferase [EC:2.7.7.8]</t>
  </si>
  <si>
    <t>KO:K04094</t>
  </si>
  <si>
    <t>ko:K04094    trmFO, gid; methylenetetrahydrofolate--tRNA-(uracil-5-)-methyltransferase [EC:2.1.1.74]</t>
  </si>
  <si>
    <t>KO:K18707</t>
  </si>
  <si>
    <t>ko:K18707    mtaB; threonylcarbamoyladenosine tRNA methylthiotransferase MtaB [EC:2.8.4.5]</t>
  </si>
  <si>
    <t>KO:K01873</t>
  </si>
  <si>
    <t>ko:K01873    VARS, valS; valyl-tRNA synthetase [EC:6.1.1.9]</t>
  </si>
  <si>
    <t>KO:K03439</t>
  </si>
  <si>
    <t>ko:K03439    trmB, METTL1, TRM8; tRNA (guanine-N7-)-methyltransferase [EC:2.1.1.33]</t>
  </si>
  <si>
    <t>KO:K01166</t>
  </si>
  <si>
    <t>ko:K01166    RNASET2; ribonuclease T2 [EC:4.6.1.19]</t>
  </si>
  <si>
    <t>COG2931</t>
  </si>
  <si>
    <t>Secondary metabolite synthesis</t>
  </si>
  <si>
    <t>Ca2+-binding protein, RTX toxin-related [Secondary metabolites biosynthesis, transport and catabolism]</t>
  </si>
  <si>
    <t>TIGR03605</t>
  </si>
  <si>
    <t>SagB-type dehydrogenase domain</t>
  </si>
  <si>
    <t>COG0811</t>
  </si>
  <si>
    <t>Secretion</t>
  </si>
  <si>
    <t>Biopolymer transport protein ExbB/TolQ</t>
  </si>
  <si>
    <t>also intracelluar traficking and vesicular transport</t>
  </si>
  <si>
    <t>KO:K03074</t>
  </si>
  <si>
    <t>ko:K03074    secF; preprotein translocase subunit SecF</t>
  </si>
  <si>
    <t>also Folding, sorting, and degradation</t>
  </si>
  <si>
    <t>KO:K02456</t>
  </si>
  <si>
    <t>ko:K02456    gspG; general secretion pathway protein G</t>
  </si>
  <si>
    <t xml:space="preserve">and biofilm formation </t>
  </si>
  <si>
    <t>COG2165</t>
  </si>
  <si>
    <t>Type II secretory pathway, pseudopilin PulG</t>
  </si>
  <si>
    <t>KO:K03072</t>
  </si>
  <si>
    <t>ko:K03072    secD; preprotein translocase subunit SecD</t>
  </si>
  <si>
    <t>KO:K02221</t>
  </si>
  <si>
    <t>ko:K02221    yggT; YggT family protein</t>
  </si>
  <si>
    <t>KO:K02005</t>
  </si>
  <si>
    <t>ko:K02005    ABC.CD.TX; HlyD family secretion protein</t>
  </si>
  <si>
    <t>COG2804</t>
  </si>
  <si>
    <t>Type II secretory pathway ATPase GspE/PulE or T4P pilus assembly pathway ATPase PilB [Cell motility, Intracellular trafficking, secretion, and vesicular transport, Extracellular structures]</t>
  </si>
  <si>
    <t>KO:K03073</t>
  </si>
  <si>
    <t>ko:K03073    secE; preprotein translocase subunit SecE</t>
  </si>
  <si>
    <t>COG0517</t>
  </si>
  <si>
    <t>Signal transduction</t>
  </si>
  <si>
    <t>CBS domain [Signal transduction mechanisms]</t>
  </si>
  <si>
    <t>KO:K02483</t>
  </si>
  <si>
    <t>ko:K02483    K02483; two-component system, OmpR family, response regulator</t>
  </si>
  <si>
    <t>KO:K06207</t>
  </si>
  <si>
    <t>ko:K06207    typA, bipA; GTP-binding protein</t>
  </si>
  <si>
    <t>TIGR03879</t>
  </si>
  <si>
    <t>probable regulatory domain</t>
  </si>
  <si>
    <t>This HMM describes a common domain shared by two different families of proteins, each of which occurs regularly next to its corresponding partner family, a probable regulatory with homology to KaiC. By implication, this protein family likely is also involved in sensory transduction and/or regulation.</t>
  </si>
  <si>
    <t>COG1639</t>
  </si>
  <si>
    <t>eukaryotic-like serine/threonine-protein kinase [EC:2.7.11.1],two-component system, cell cycle response regulator [EC:2.7.7.65],two-component system, NtrC family, nitrogen regulation sensor histidine kinase GlnL [EC:2.7.13.3]</t>
  </si>
  <si>
    <t>KO:K11690</t>
  </si>
  <si>
    <t>ko:K11690    dctM; C4-dicarboxylate transporter, DctM subunit</t>
  </si>
  <si>
    <t>TIGR00229</t>
  </si>
  <si>
    <t>PAS domain S-box protein</t>
  </si>
  <si>
    <t>The PAS domain was previously described. This sensory box, or S-box domain occupies the central portion of the PAS domain but is more widely distributed. It is often tandemly repeated. Known prosthetic groups bound in the S-box domain include heme in the oxygen sensor FixL, FAD in the redox potential sensor NifL, and a 4-hydroxycinnamyl chromophore in photoactive yellow protein. Proteins containing the domain often contain other regulatory domains such as response regulator or sensor histidine kinase domains. Other S-box proteins include phytochromes and the aryl hydrocarbon receptor nuclear translocator.</t>
  </si>
  <si>
    <t>TIGR00254/TIGR00229</t>
  </si>
  <si>
    <t>diguanylate cyclase (GGDEF) domain</t>
  </si>
  <si>
    <t>Several proteins carrying this domain also carry domains with functions relating to environmental sensing. These include PleD, a response regulator protein involved in the swarmer-to-stalked cell transition in Caulobacter crescentus[2], and FixL, a heme-containing oxygen sensor protein.</t>
  </si>
  <si>
    <t>KO:K11688</t>
  </si>
  <si>
    <t>ko:K11688    dctP; C4-dicarboxylate-binding protein DctP</t>
  </si>
  <si>
    <t>KO:K02481</t>
  </si>
  <si>
    <t>ko:K02481    flgR; two-component system, NtrC family, response regulator</t>
  </si>
  <si>
    <t>COG5001</t>
  </si>
  <si>
    <t>Cyclic di-GMP metabolism protein, combines GGDEF and EAL domains with a 6TM membrane domain [Signal transduction mechanisms]</t>
  </si>
  <si>
    <t>COG2198</t>
  </si>
  <si>
    <t>HPt (histidine-containing phosphotransfer) domain [Signal transduction mechanisms]</t>
  </si>
  <si>
    <t>TIGR00254</t>
  </si>
  <si>
    <t>COG1058</t>
  </si>
  <si>
    <t>Stress</t>
  </si>
  <si>
    <t>ADP-ribose pyrophosphatase domain of DNA damage- and competence-inducible protein CinA</t>
  </si>
  <si>
    <t>COG3679</t>
  </si>
  <si>
    <t>Cell fate regulator YlbF, YheA/YmcA/DUF963 family (controls sporulation, competence, biofilm development)</t>
  </si>
  <si>
    <t>KO:K06217</t>
  </si>
  <si>
    <t>ko:K06217    phoH, phoL; phosphate starvation-inducible protein PhoH and related proteins</t>
  </si>
  <si>
    <t>COG1846</t>
  </si>
  <si>
    <t>MarR family transcriptional regulator, organic hydroperoxide resistance regulator,MarR family transcriptional regulator, transcriptional regulator for hemolysin,MarR family transcriptional regulator, 2-MHQ and catechol-resistance regulon repressor</t>
  </si>
  <si>
    <t>Regulates superoxide resistance</t>
  </si>
  <si>
    <t>KO:K06200</t>
  </si>
  <si>
    <t>ko:K06200    cstA; carbon starvation protein</t>
  </si>
  <si>
    <t>COG1652</t>
  </si>
  <si>
    <t>resuscitation-promoting factor RpfA,resuscitation-promoting factor RpfE,resuscitation-promoting factor RpfC</t>
  </si>
  <si>
    <t>KO:K00641</t>
  </si>
  <si>
    <t>ko:K00641    metX; homoserine O-acetyltransferase/O-succinyltransferase [EC:2.3.1.31 2.3.1.46]</t>
  </si>
  <si>
    <t>ko:K00958    sat, met3; sulfate adenylyltransferase [EC:2.7.7.4]</t>
  </si>
  <si>
    <t>KO:K00860</t>
  </si>
  <si>
    <t>ko:K00860    cysC; adenylylsulfate kinase [EC:2.7.1.25]</t>
  </si>
  <si>
    <t>Sulfur metabolism</t>
  </si>
  <si>
    <t>phsA, psrA; thiosulfate reductase / polysulfide reductase chain A</t>
  </si>
  <si>
    <t>KO:K08358</t>
  </si>
  <si>
    <t>ko:K08358    ttrB; tetrathionate reductase subunit B</t>
  </si>
  <si>
    <t>KO:K08357</t>
  </si>
  <si>
    <t>ko:K08357    ttrA; tetrathionate reductase subunit A</t>
  </si>
  <si>
    <t>TIGR00698</t>
  </si>
  <si>
    <t>conserved membrane protein of unknown function; TauZ-like protein, putative sulfate exporter</t>
  </si>
  <si>
    <t>COG0543</t>
  </si>
  <si>
    <t>anaerobic sulfite reductase subunit B</t>
  </si>
  <si>
    <t>KO:K02601</t>
  </si>
  <si>
    <t>Transcriptional regulation</t>
  </si>
  <si>
    <t>ko:K02601    nusG; transcription termination/antitermination protein NusG</t>
  </si>
  <si>
    <t>KO:K02600</t>
  </si>
  <si>
    <t>ko:K02600    nusA; transcription termination/antitermination protein NusA</t>
  </si>
  <si>
    <t>KO:K03624</t>
  </si>
  <si>
    <t>ko:K03624    greA; transcription elongation factor GreA</t>
  </si>
  <si>
    <t>KO:K03043</t>
  </si>
  <si>
    <t>rpoB; DNA-directed RNA polymerase subunit beta [EC:2.7.7.6]</t>
  </si>
  <si>
    <t>Also DNA repair</t>
  </si>
  <si>
    <t>COG1462</t>
  </si>
  <si>
    <t>Putative transcription activator protein HfaB</t>
  </si>
  <si>
    <t>COG3177</t>
  </si>
  <si>
    <t>Fic family protein</t>
  </si>
  <si>
    <t>COG0790</t>
  </si>
  <si>
    <t>TPR repeat</t>
  </si>
  <si>
    <t>a transcription factor</t>
  </si>
  <si>
    <t>KO:K02970</t>
  </si>
  <si>
    <t>Translational regulation</t>
  </si>
  <si>
    <t>RP-S21, MRPS21, rpsU; small subunit ribosomal protein S21</t>
  </si>
  <si>
    <t>COG0724</t>
  </si>
  <si>
    <t>RNA recognition motif (RRM) domain</t>
  </si>
  <si>
    <t>ribosomal structure too</t>
  </si>
  <si>
    <t>KO:K03234</t>
  </si>
  <si>
    <t>ko:K03234    EEF2; elongation factor 2</t>
  </si>
  <si>
    <t>KO:K02913</t>
  </si>
  <si>
    <t>ko:K02913    RP-L33, MRPL33, rpmG; large subunit ribosomal protein L33</t>
  </si>
  <si>
    <t>KO:K02911</t>
  </si>
  <si>
    <t>ko:K02911    RP-L32, MRPL32, rpmF; large subunit ribosomal protein L32</t>
  </si>
  <si>
    <t>TIGR00092</t>
  </si>
  <si>
    <t>GTP-binding protein YchF</t>
  </si>
  <si>
    <t>This predicted GTP-binding protein is found in a single copy in every complete bacterial genome, and is found in Eukaryotes. A more distantly related protein, separated from this model, is found in the archaea. It is known to bind GTP and double-stranded nucleic acid. It is suggested to belong to a nucleoprotein complex and act as a translation factor.</t>
  </si>
  <si>
    <t>KO:K02916</t>
  </si>
  <si>
    <t>ko:K02916    RP-L35, MRPL35, rpmI; large subunit ribosomal protein L35</t>
  </si>
  <si>
    <t>KO:K09698</t>
  </si>
  <si>
    <t>ko:K09698    gltX; nondiscriminating glutamyl-tRNA synthetase [EC:6.1.1.24]</t>
  </si>
  <si>
    <t>Also trRNA synthesis</t>
  </si>
  <si>
    <t>KO:K02884</t>
  </si>
  <si>
    <t>RP-L19, MRPL19, rplS; large subunit ribosomal protein L19</t>
  </si>
  <si>
    <t>KO:K02902</t>
  </si>
  <si>
    <t>ko:K02902    RP-L28, MRPL28, rpmB; large subunit ribosomal protein L28</t>
  </si>
  <si>
    <t>KO:K02909</t>
  </si>
  <si>
    <t>ko:K02909    RP-L31, rpmE; large subunit ribosomal protein L31</t>
  </si>
  <si>
    <t>ko:K02970    RP-S21, MRPS21, rpsU; small subunit ribosomal protein S21</t>
  </si>
  <si>
    <t>KO:K02956</t>
  </si>
  <si>
    <t>ko:K02956    RP-S15, MRPS15, rpsO; small subunit ribosomal protein S15</t>
  </si>
  <si>
    <t>KO:K02945</t>
  </si>
  <si>
    <t>ko:K02945    RP-S1, rpsA; small subunit ribosomal protein S1</t>
  </si>
  <si>
    <t>COG1636</t>
  </si>
  <si>
    <t>Epoxyqueuosine reductase QueH (tRNA modification)</t>
  </si>
  <si>
    <t>[Translation, ribosomal structure and biogenesis]</t>
  </si>
  <si>
    <t>KO:K02888</t>
  </si>
  <si>
    <t>ko:K02888    RP-L21, MRPL21, rplU; large subunit ribosomal protein L21</t>
  </si>
  <si>
    <t>KO:K02435</t>
  </si>
  <si>
    <t>ko:K02435    gatC, GATC; aspartyl-tRNA(Asn)/glutamyl-tRNA(Gln) amidotransferase subunit C [EC:6.3.5.6 6.3.5.7]</t>
  </si>
  <si>
    <t>Mitochondrial biogenesis</t>
  </si>
  <si>
    <t>KO:K01056</t>
  </si>
  <si>
    <t xml:space="preserve">Translational regulation </t>
  </si>
  <si>
    <t>ko:K01056    PTH1, PTRH1, pth, spoVC; peptidyl-tRNA hydrolase, PTH1 family [EC:3.1.1.29]</t>
  </si>
  <si>
    <t>KO:K09013</t>
  </si>
  <si>
    <t>sufC; Fe-S cluster assembly ATP-binding protein</t>
  </si>
  <si>
    <t>COG0719</t>
  </si>
  <si>
    <t>COG0719: sufB; Fe-S cluster assembly scaffold protein</t>
  </si>
  <si>
    <t>ttrB; tetrathionate reductase subunit B</t>
  </si>
  <si>
    <t>also involved in signal transduction</t>
  </si>
  <si>
    <t>TIGR01730</t>
  </si>
  <si>
    <t>efflux transporter, RND family, MFP subunit</t>
  </si>
  <si>
    <t>This HMM represents the MFP (membrane fusion protein) component of the RND family of transporters. RND refers to Resistance, Nodulation, and cell Division. It is, in part, a subfamily of PF00529 (Pfam release 7.5) but hits substantial numbers of proteins missed by that HMM. The related HlyD secretion protein, for which PF00529 is named, is outside the scope of this model. Attributed functions imply outward transport. These functions include nodulation, acriflavin resistance, heavy metal efflux, and multidrug resistance proteins. Most members of this family are found in Gram-negative bacteria. The proposed function of MFP proteins is to bring the inner and outer membranes together and enable transport to the outside of the outer membrane. Note, however, that a few members of this family are found in Gram-positive bacteria, where there is no outer membrane.</t>
  </si>
  <si>
    <t>KO:K19416</t>
  </si>
  <si>
    <t>ko:K19416    yccA; modulator of FtsH protease</t>
  </si>
  <si>
    <t>KO:K03286</t>
  </si>
  <si>
    <t>ko:K03286    TC.OOP; OmpA-OmpF porin, OOP family</t>
  </si>
  <si>
    <t>KO:K03640</t>
  </si>
  <si>
    <t>ko:K03640    pal; peptidoglycan-associated lipoprotein</t>
  </si>
  <si>
    <t>KO:K03296</t>
  </si>
  <si>
    <t>ko:K03296    TC.HAE1; hydrophobic/amphiphilic exporter-1 (mainly G- bacteria), HAE1 family</t>
  </si>
  <si>
    <t>KO:K03321</t>
  </si>
  <si>
    <t>ko:K03321    TC.SULP; sulfate permease, SulP family</t>
  </si>
  <si>
    <t>KO:K02030</t>
  </si>
  <si>
    <t>ko:K02030    ABC.PA.S; polar amino acid transport system substrate-binding protein</t>
  </si>
  <si>
    <t>ABC transporter</t>
  </si>
  <si>
    <t>KO:K03498</t>
  </si>
  <si>
    <t>ko:K03498    trkH, trkG, ktrB, ktrD; trk/ktr system potassium uptake protein</t>
  </si>
  <si>
    <t>TIGR00786</t>
  </si>
  <si>
    <t>TRAP transporter, DctM subunit</t>
  </si>
  <si>
    <t>The Tripartite ATP-independent Periplasmic Transporter (TRAP-T) Family (TC 2.A.56)- DctM subunit TRAP-T family permeases generally consist of three components, and these systems have so far been found in Gram-negative bacteria, Gram-postive bacteria and archaea. Only one member of the family has been both sequenced and functionally characterized. This system is the DctPQM system of Rhodobacter capsulatus (Forward et al., 1997). DctP is a periplasmic dicarboxylate (malate, fumarate, succinate) binding receptor that is biochemically well-characterized. DctQ is an integral cytoplasmic membrane protein with 4 putative transmembrane a-helical spanners (TMSs). DctM is a second integral cytoplasmic membrane protein with 12 putative TMSs. These proteins have been shown to be both necessary and sufficient for the proton motive force-dependent uptake of dicarboxylates into R. capsulatus.</t>
  </si>
  <si>
    <t>KO:K02040</t>
  </si>
  <si>
    <t>ko:K02040    pstS; phosphate transport system substrate-binding protein</t>
  </si>
  <si>
    <t>KO:K03313</t>
  </si>
  <si>
    <t>ko:K03313    nhaA; Na+:H+ antiporter, NhaA family</t>
  </si>
  <si>
    <t>KO:K03281</t>
  </si>
  <si>
    <t>ko:K03281    clcA, clcB, CLC-E, CLC-F; chloride channel protein, CIC family</t>
  </si>
  <si>
    <t>KO:K03320</t>
  </si>
  <si>
    <t>amt, AMT, MEP; ammonium transporter, Amt family</t>
  </si>
  <si>
    <t>KO:K14393</t>
  </si>
  <si>
    <t>ko:K14393    actP; cation/acetate symporter</t>
  </si>
  <si>
    <t>KO:K03446</t>
  </si>
  <si>
    <t>ko:K03446    emrB; MFS transporter, DHA2 family, multidrug resistance protein</t>
  </si>
  <si>
    <t>COG0488</t>
  </si>
  <si>
    <t>ATPase components of ABC transporters with duplicated ATPase domains</t>
  </si>
  <si>
    <t>KO:K02009</t>
  </si>
  <si>
    <t>ko:K02009    cbiN; cobalt/nickel transport protein</t>
  </si>
  <si>
    <t>KO:K01997</t>
  </si>
  <si>
    <t>ko:K01997    livH; branched-chain amino acid transport system permease protein</t>
  </si>
  <si>
    <t>quorum sensing and ABC tranporter</t>
  </si>
  <si>
    <t>KO:K06148</t>
  </si>
  <si>
    <t>ko:K06148    ABCC-BAC; ATP-binding cassette, subfamily C, bacterial</t>
  </si>
  <si>
    <t>KO:K02037</t>
  </si>
  <si>
    <t>ko:K02037    pstC; phosphate transport system permease protein</t>
  </si>
  <si>
    <t>KO:K01999</t>
  </si>
  <si>
    <t>ko:K01999    livK; branched-chain amino acid transport system substrate-binding protein</t>
  </si>
  <si>
    <t>COG4636</t>
  </si>
  <si>
    <t>colicin import membrane protein,MEMO1 family protein</t>
  </si>
  <si>
    <t>KO:K03543</t>
  </si>
  <si>
    <t>ko:K03543    emrA; membrane fusion protein, multidrug efflux system</t>
  </si>
  <si>
    <t>COG4206</t>
  </si>
  <si>
    <t>Outer membrane cobalamin receptor protein BtuB [Coenzyme transport and metabolism]</t>
  </si>
  <si>
    <t>KO:K03641</t>
  </si>
  <si>
    <t>ko:K03641    tolB; TolB protein</t>
  </si>
  <si>
    <t>KO:K07114</t>
  </si>
  <si>
    <t>ko:K07114    yfbK; Ca-activated chloride channel homolog</t>
  </si>
  <si>
    <t>COG0475</t>
  </si>
  <si>
    <t>Kef-type K+ transport system, membrane component KefB</t>
  </si>
  <si>
    <t>KO:K03284</t>
  </si>
  <si>
    <t>ko:K03284    corA; magnesium transporter</t>
  </si>
  <si>
    <t>KO:K13283</t>
  </si>
  <si>
    <t>ko:K13283    fieF; ferrous-iron efflux pump FieF</t>
  </si>
  <si>
    <t>relieves iron stress</t>
  </si>
  <si>
    <t>KO:K02018</t>
  </si>
  <si>
    <t>ko:K02018    modB; molybdate transport system permease protein</t>
  </si>
  <si>
    <t>TIGR02123</t>
  </si>
  <si>
    <t>TRAP transporter, 4TM/12TM fusion protein</t>
  </si>
  <si>
    <t>KO:K03499</t>
  </si>
  <si>
    <t>ko:K03499    trkA, ktrA, ktrC; trk/ktr system potassium uptake protein</t>
  </si>
  <si>
    <t>KO:K02067</t>
  </si>
  <si>
    <t>ko:K02067    mlaD, linM; phospholipid/cholesterol/gamma-HCH transport system substrate-binding protein</t>
  </si>
  <si>
    <t>TIGR01297</t>
  </si>
  <si>
    <t>cation diffusion facilitator family transporter</t>
  </si>
  <si>
    <t>This HMM describes a broadly distributed family of transporters, a number of which have been shown to transport divalent cations of cobalt, cadmium and/or zinc. The family has six predicted transmembrane domains. Members of the family are variable in length because of variably sized inserts, often containing low-complexity sequence.</t>
  </si>
  <si>
    <t>KO:K16092</t>
  </si>
  <si>
    <t>ko:K16092    btuB; vitamin B12 transporter</t>
  </si>
  <si>
    <t>TIGR01727</t>
  </si>
  <si>
    <t>oligopeptide/dipeptide ABC transporter, ATP-binding protein, C-terminal</t>
  </si>
  <si>
    <t>ABC Transporter</t>
  </si>
  <si>
    <t>KO:K06901</t>
  </si>
  <si>
    <t>ko:K06901    pbuG, azgA, ghxP, ghxQ, adeQ; adenine/guanine/hypoxanthine permease</t>
  </si>
  <si>
    <t>nucleotide transporter</t>
  </si>
  <si>
    <t>KO:K02003</t>
  </si>
  <si>
    <t>ko:K02003    ABC.CD.A; putative ABC transport system ATP-binding protein</t>
  </si>
  <si>
    <t>KO:K02039</t>
  </si>
  <si>
    <t>ko:K02039    phoU; phosphate transport system protein</t>
  </si>
  <si>
    <t>KO:K09817</t>
  </si>
  <si>
    <t>ko:K09817    znuC; zinc transport system ATP-binding protein [EC:7.2.2.20]</t>
  </si>
  <si>
    <t>KO:K03308</t>
  </si>
  <si>
    <t>ko:K03308    TC.NSS; neurotransmitter:Na+ symporter, NSS family</t>
  </si>
  <si>
    <t>KO:K02029</t>
  </si>
  <si>
    <t>ko:K02029    ABC.PA.P; polar amino acid transport system permease protein</t>
  </si>
  <si>
    <t>KO:K14445</t>
  </si>
  <si>
    <t>ko:K14445    SLC13A2_3_5; solute carrier family 13 (sodium-dependent dicarboxylate transporter), member 2/3/5</t>
  </si>
  <si>
    <t>KO:K07300</t>
  </si>
  <si>
    <t>ko:K07300    chaA, CAX; Ca2+:H+ antiporter</t>
  </si>
  <si>
    <t>KO:K01998</t>
  </si>
  <si>
    <t>ko:K01998    livM; branched-chain amino acid transport system permease protein</t>
  </si>
  <si>
    <t>COG1542</t>
  </si>
  <si>
    <t>Unknown function</t>
  </si>
  <si>
    <t>Unknown</t>
  </si>
  <si>
    <t>COG1542: uncharacterized conserved protein, DUF505 domain</t>
  </si>
  <si>
    <t>KO:K00684</t>
  </si>
  <si>
    <t>ko:K00684    aat; leucyl/phenylalanyl-tRNA---protein transferase [EC:2.3.2.6]</t>
  </si>
  <si>
    <t>COG0586</t>
  </si>
  <si>
    <t>Membrane integrity protein DedA, putative transporter, DedA/Tvp38 family</t>
  </si>
  <si>
    <t>TIGR03878</t>
  </si>
  <si>
    <t>KaiC domain protein, AF_0795 family</t>
  </si>
  <si>
    <t>KO:K07113</t>
  </si>
  <si>
    <t>ko:K07113    fxsA; UPF0716 protein FxsA</t>
  </si>
  <si>
    <t>COG1397</t>
  </si>
  <si>
    <t>ADP-ribosylglycohydrolase; ADP-ribosyl-[dinitrogen reductase] hydrolase</t>
  </si>
  <si>
    <t>COG1721</t>
  </si>
  <si>
    <t>protein-glutamine gamma-glutamyltransferase [EC:2.3.2.13],Ca-activated chloride channel homolog,MoxR-like ATPase [EC:3.6.3.-]</t>
  </si>
  <si>
    <t>COG1837</t>
  </si>
  <si>
    <t>uncharacterized protein</t>
  </si>
  <si>
    <t>TIGR02436</t>
  </si>
  <si>
    <t>four helix bundle protein</t>
  </si>
  <si>
    <t>This family describes a protein of unknown function whose structure is a bundle of four long alpha helices. Some of the first members of this family were found encoded in the (atypically large) intervening sequence (IVS) of Leptospira 23S RNA, a region often present in the rRNA gene and removed during rRNA processing without re-ligation. However, this location is not conserved, and naming this protein as a 23S RNA protein is both confusing and inaccurate.</t>
  </si>
  <si>
    <t>KO:K04654</t>
  </si>
  <si>
    <t>ko:K04654    hypD; hydrogenase expression/formation protein HypD</t>
  </si>
  <si>
    <t>COG2996</t>
  </si>
  <si>
    <t>Predicted RNA-binding protein YitL, contains S1 domains, virulence factor B family [General function prediction only]</t>
  </si>
  <si>
    <t>COG2899</t>
  </si>
  <si>
    <t>Conserved hypothetical membrane protein</t>
  </si>
  <si>
    <t>COG4399</t>
  </si>
  <si>
    <t>COG3174</t>
  </si>
  <si>
    <t>KO:K03749</t>
  </si>
  <si>
    <t>ko:K03749    dedD; DedD protein</t>
  </si>
  <si>
    <t>COG1331</t>
  </si>
  <si>
    <t>Uncharacterized conserved protein YyaL, SSP411 family, contains thoiredoxin and six-hairpin glycosidase-like domains</t>
  </si>
  <si>
    <t>TIGR00703</t>
  </si>
  <si>
    <t>TIGR00703 family protein</t>
  </si>
  <si>
    <t>COG0673</t>
  </si>
  <si>
    <t>Predicted dehydrogenase; virulence factor</t>
  </si>
  <si>
    <t>COG1031</t>
  </si>
  <si>
    <t>Radical SAM superfamily enzyme with C-terminal helix-hairpin-helix motif</t>
  </si>
  <si>
    <t>TIGR00269</t>
  </si>
  <si>
    <t>TIGR00269 family protein</t>
  </si>
  <si>
    <t>KO:K06193</t>
  </si>
  <si>
    <t>ko:K06193    phnA; protein PhnA</t>
  </si>
  <si>
    <t>COG2862</t>
  </si>
  <si>
    <t>Uncharacterized membrane protein YqhA [Function unknown]</t>
  </si>
  <si>
    <t>KO:K07100</t>
  </si>
  <si>
    <t>ko:K07100    K07100; putative phosphoribosyl transferase</t>
  </si>
  <si>
    <t>KO:K19703</t>
  </si>
  <si>
    <t>ko:K19703    FA2H, SCS7; 4-hydroxysphinganine ceramide fatty acyl 2-hydroxylase [EC:1.14.18.6]</t>
  </si>
  <si>
    <t>KO:K03924</t>
  </si>
  <si>
    <t>ko:K03924    moxR; MoxR-like ATPase [EC:3.6.3.-]</t>
  </si>
  <si>
    <t>TIGR04335</t>
  </si>
  <si>
    <t>AmmeMemoRadiSam system protein A</t>
  </si>
  <si>
    <t>COG0330</t>
  </si>
  <si>
    <t>short-chain dehydrogenase</t>
  </si>
  <si>
    <t>COG3150</t>
  </si>
  <si>
    <t>COG3137</t>
  </si>
  <si>
    <t>Salt-induced outer membrane protein</t>
  </si>
  <si>
    <t>putative structure protein</t>
  </si>
  <si>
    <t>TIGR01212</t>
  </si>
  <si>
    <t>radical SAM protein, TIGR01212 family</t>
  </si>
  <si>
    <t>Members of this family are apparent radical-SAM enzymes, related to the N-terminal region of the bifunctional ELP3, whose C-terminal region is part of the elongator complex and appears to acetylate histones and other proteins. ELP3 binds S-adenosylmethionine (SAM) and was recently shown to be involved in a DNA demethylation process in eukaryotes. Close sequence similarity of this family (with lacks the GNAT family acetyltransferase domain) to the ELP3 N-terminal region and a strong match to the Pfam model PF04055 support identification of this family as radical SAM despite the atypical spacing between first and second Cys residues in the 4Fe4S-binding motif.</t>
  </si>
  <si>
    <t>TIGR00103</t>
  </si>
  <si>
    <t>DNA-binding protein, YbaB/EbfC family</t>
  </si>
  <si>
    <t>The function of this protein is unknown, but it has been expressed and crystallized. Its gene nearly always occurs next to recR and/or dnaX. It is restricted to Bacteria and the plant Arabidopsis. The plant form contains an additional N-terminal region that may serve as a transit peptide and shows a close relationship to the cyanobacterial member, suggesting that it is a chloroplast protein. Members of this family are found in a single copy per bacterial genome, but are broadly distributed. A member is present even in the minimal gene complement of Mycoplasm genitalium.</t>
  </si>
  <si>
    <t>COG3400</t>
  </si>
  <si>
    <t>Uncharacterized protein</t>
  </si>
  <si>
    <t>COG0727</t>
  </si>
  <si>
    <t>Uncharacterized protein YkgJ, contains CxxCxxCC motif</t>
  </si>
  <si>
    <t>KO:K07001</t>
  </si>
  <si>
    <t>ko:K07001    K07001; NTE family protein</t>
  </si>
  <si>
    <t>May have some effect on RNA polymerase activity</t>
  </si>
  <si>
    <t>KO:K00982</t>
  </si>
  <si>
    <t>ko:K00982    glnE; [glutamine synthetase] adenylyltransferase / [glutamine synthetase]-adenylyl-L-tyrosine phosphorylase [EC:2.7.7.42 2.7.7.89]</t>
  </si>
  <si>
    <t>COG1848</t>
  </si>
  <si>
    <t>uncharacterized protein,tRNA(fMet)-specific endonuclease VapC [EC:3.1.-.-],toxin FitB [EC:3.1.-.-]</t>
  </si>
  <si>
    <t>TIGR00257</t>
  </si>
  <si>
    <t>uncharacterized protein, YigZ family</t>
  </si>
  <si>
    <t xml:space="preserve">Table S12. Genes that were significantly differentially expressed (SDE) across vents at each experimental temperature in 13C-enriched RNA-SIP experiments, showing log2 fold change, p-value, and adjusted p-value for each SDE gene according to the baseline of the average TPM's of all 13C-enriched RNA-SIP experiments at each temperature. </t>
  </si>
  <si>
    <t>COG1788</t>
  </si>
  <si>
    <t>axial_30_13H</t>
  </si>
  <si>
    <t>anemone_13H_30 - axial_30_13H</t>
  </si>
  <si>
    <t>COG1788: atoD; acyl CoA:acetate/3-ketoacid CoA transferase, alpha subunit</t>
  </si>
  <si>
    <t>Valine, leucine and isoleucine degradation</t>
  </si>
  <si>
    <t>AROA2, aroA; 3-deoxy-7-phosphoheptulonate synthase [EC:2.5.1.54]</t>
  </si>
  <si>
    <t>nuoCD; NADH-quinone oxidoreductase subunit C/D [EC:7.1.1.2]</t>
  </si>
  <si>
    <t>COG0022</t>
  </si>
  <si>
    <t>axial_80_13H</t>
  </si>
  <si>
    <t>marker33_13H_80 - axial_80_13H</t>
  </si>
  <si>
    <t>Pyruvate/2-oxoglutarate/acetoin dehydrogenase complex, dehydrogenase (E1) component, beta subunit</t>
  </si>
  <si>
    <t>barA, gacS, varS; two-component system, NarL family, sensor histidine kinase BarA [EC:2.7.13.3]</t>
  </si>
  <si>
    <t>marker113_13H_80 - axial_80_13H</t>
  </si>
  <si>
    <t>tRNA 2-thiouridine synthesizing protein A [EC:2.8.1.-]</t>
  </si>
  <si>
    <t>marker113_13H_30 - axial_30_13H</t>
  </si>
  <si>
    <t>also many other functions like signal transduction and mitochondiral biogenesis</t>
  </si>
  <si>
    <t>KO:K02108</t>
  </si>
  <si>
    <t>ko:K02108    ATPF0A, atpB; F-type H+-transporting ATPase subunit a</t>
  </si>
  <si>
    <t>KO:K00426</t>
  </si>
  <si>
    <t>cydB; cytochrome bd ubiquinol oxidase subunit II</t>
  </si>
  <si>
    <t>KO:K00425</t>
  </si>
  <si>
    <t>cydA; cytochrome bd ubiquinol oxidase subunit</t>
  </si>
  <si>
    <t>marker33_13H_30 - axial_30_13H</t>
  </si>
  <si>
    <t>KO:K01011</t>
  </si>
  <si>
    <t>ko:K01011    TST, MPST, sseA; thiosulfate/3-mercaptopyruvate sulfurtransferase [EC:2.8.1.1 2.8.1.2]</t>
  </si>
  <si>
    <t>KO:K02887</t>
  </si>
  <si>
    <t>ko:K02887    RP-L20, MRPL20, rplT; large subunit ribosomal protein L20</t>
  </si>
  <si>
    <t>TIGR03477</t>
  </si>
  <si>
    <t>DMSO reductase family type II enzyme, heme b subunit</t>
  </si>
  <si>
    <t>KO:K02863</t>
  </si>
  <si>
    <t>RP-L1, MRPL1, rplA; large subunit ribosomal protein L1</t>
  </si>
  <si>
    <t>KO:K00549</t>
  </si>
  <si>
    <t>metE; 5-methyltetrahydropteroyltriglutamate-homocysteine methyltransferase</t>
  </si>
  <si>
    <t>COG0243</t>
  </si>
  <si>
    <t>COG0243: Anaerobic selenocysteine-containing dehydrogenase</t>
  </si>
  <si>
    <t>KO:K02864</t>
  </si>
  <si>
    <t xml:space="preserve">RP-L10, MRPL10, rplJ; large subunit ribosomal protein </t>
  </si>
  <si>
    <t>KO:K00332</t>
  </si>
  <si>
    <t>ko:K00332    nuoC; NADH-quinone oxidoreductase subunit C [EC:7.1.1.2]</t>
  </si>
  <si>
    <t>TIGR00481</t>
  </si>
  <si>
    <t>YbhB/YbcL family Raf kinase inhibitor-like protein</t>
  </si>
  <si>
    <t>COG4666</t>
  </si>
  <si>
    <t>TRAP-type uncharacterized transport system, fused permease components</t>
  </si>
  <si>
    <t>KO:K03076</t>
  </si>
  <si>
    <t>ko:K03076    secY; preprotein translocase subunit SecY</t>
  </si>
  <si>
    <t>KO:K05795</t>
  </si>
  <si>
    <t>ko:K05795    terD; tellurium resistance protein TerD</t>
  </si>
  <si>
    <t>COG2206</t>
  </si>
  <si>
    <t>HD-GYP domain, c-di-GMP phosphodiesterase class II (or its inactivated variant)</t>
  </si>
  <si>
    <t>ko:K03594    bfr; bacterioferritin [EC:1.16.3.1]</t>
  </si>
  <si>
    <t>KO:K00333</t>
  </si>
  <si>
    <t>ko:K00333    nuoD; NADH-quinone oxidoreductase subunit D [EC:7.1.1.2]</t>
  </si>
  <si>
    <t>KO:K02358</t>
  </si>
  <si>
    <t>ko:K02358    tuf, TUFM; elongation factor Tu</t>
  </si>
  <si>
    <t>KO:K00548</t>
  </si>
  <si>
    <t>metH, MTR; 5-methyltetrahydrofolate--homocysteine methyltransferase [EC:2.1.1.13]</t>
  </si>
  <si>
    <t>KO:K01995</t>
  </si>
  <si>
    <t>ko:K01995    livG; branched-chain amino acid transport system ATP-binding protein</t>
  </si>
  <si>
    <t>KO:K13993</t>
  </si>
  <si>
    <t>HSP20; HSP20 family protein</t>
  </si>
  <si>
    <t>COG3301</t>
  </si>
  <si>
    <t>Nitrite/polysulfide reductase, membrane component NrfD/PsrC [Inorganic ion transport and metabolism]</t>
  </si>
  <si>
    <t>TIGR02122</t>
  </si>
  <si>
    <t>TRAP transporter solute receptor, TAXI family</t>
  </si>
  <si>
    <t>This family is one of at least three major families of extracytoplasmic solute receptor (ESR) for TRAP (Tripartite ATP-independent Periplasmic Transporter) transporters. The others are the DctP (TIGR00787) and SmoM (PF03480) families. These transporters are secondary (driven by an ion gradient) but composed of three polypeptides, although in some species the 4-TM and 12-TM integral membrane proteins are fused. Substrates for this transporter family are not fully characterized but, besides C4 dicarboxylates, may include mannitol and other compounds.</t>
  </si>
  <si>
    <t>ko:K02884    RP-L19, MRPL19, rplS; large subunit ribosomal protein L19</t>
  </si>
  <si>
    <t>COG0477</t>
  </si>
  <si>
    <t>MFS family permease, includes anhydromuropeptide permease AmpG</t>
  </si>
  <si>
    <t>KO:K02876</t>
  </si>
  <si>
    <t>ko:K02876    RP-L15, MRPL15, rplO; large subunit ribosomal protein L15</t>
  </si>
  <si>
    <t>TIGR01109</t>
  </si>
  <si>
    <t>sodium ion-translocating decarboxylase, beta subunit</t>
  </si>
  <si>
    <t>This model describes the beta subunits of sodium pump decarboxylases that include oxaloacetate decarboxylase, methylmalonyl-CoA decarboxylase, and glutaconyl-CoA decarboxylase. Beta and gammma-subunits are integral membrane proteins, while alpha is membrane bound. Catalytically, the energy released by the decarboxylation reaction is coupled to the extrusion of Na+ ions across the membrane.</t>
  </si>
  <si>
    <t>KO:K00703</t>
  </si>
  <si>
    <t>ko:K00703    glgA; starch synthase [EC:2.4.1.21]</t>
  </si>
  <si>
    <t>KO:K01507</t>
  </si>
  <si>
    <t>ko:K01507    ppa; inorganic pyrophosphatase [EC:3.6.1.1]</t>
  </si>
  <si>
    <t>TIGR00391</t>
  </si>
  <si>
    <t>hydrogenase (NiFe) small subunit (hydA)</t>
  </si>
  <si>
    <t>KO:K04771</t>
  </si>
  <si>
    <t>degP, htrA; serine protease Do [EC:3.4.21.107]</t>
  </si>
  <si>
    <t>and Peptidases and inhibitors</t>
  </si>
  <si>
    <t>KO:K00372</t>
  </si>
  <si>
    <t xml:space="preserve"> nasC, nasA; assimilatory nitrate reductase catalytic subunit [EC:1.7.99.-]</t>
  </si>
  <si>
    <t>COG1399</t>
  </si>
  <si>
    <t>23S rRNA accumulation protein YceD (essential in plants, uncharacterized in bacteria)</t>
  </si>
  <si>
    <t>COG2148</t>
  </si>
  <si>
    <t>Sugar transferase involved in LPS biosynthesis (colanic, teichoic acid)</t>
  </si>
  <si>
    <t>KO:K01647</t>
  </si>
  <si>
    <t>ko:K01647    CS, gltA; citrate synthase [EC:2.3.3.1]</t>
  </si>
  <si>
    <t>KO:K02933</t>
  </si>
  <si>
    <t>ko:K02933    RP-L6, MRPL6, rplF; large subunit ribosomal protein L6</t>
  </si>
  <si>
    <t>KO:K01265</t>
  </si>
  <si>
    <t>ko:K01265    map; methionyl aminopeptidase [EC:3.4.11.18]</t>
  </si>
  <si>
    <t>KO:K02110</t>
  </si>
  <si>
    <t>ko:K02110    ATPF0C, atpE; F-type H+-transporting ATPase subunit c</t>
  </si>
  <si>
    <t>KO:K02952</t>
  </si>
  <si>
    <t>ko:K02952    RP-S13, rpsM; small subunit ribosomal protein S13</t>
  </si>
  <si>
    <t>KO:K02935</t>
  </si>
  <si>
    <t>ko:K02935    RP-L7, MRPL12, rplL; large subunit ribosomal protein L7/L12</t>
  </si>
  <si>
    <t>KO:K08970</t>
  </si>
  <si>
    <t>ko:K08970    rcnA; nickel/cobalt transporter (NicO) family protein</t>
  </si>
  <si>
    <t>COG0531</t>
  </si>
  <si>
    <t>Serine transporter YbeC, amino acid:H+ symporter family</t>
  </si>
  <si>
    <t>KO:K03593</t>
  </si>
  <si>
    <t>mrp, NUBPL; ATP-binding protein involved in chromosome partitioning</t>
  </si>
  <si>
    <t>KO:K13926</t>
  </si>
  <si>
    <t>ko:K13926    rbbA; ribosome-dependent ATPase</t>
  </si>
  <si>
    <t>KO:K02878</t>
  </si>
  <si>
    <t>ko:K02878    RP-L16, MRPL16, rplP; large subunit ribosomal protein L16</t>
  </si>
  <si>
    <t>COG0607</t>
  </si>
  <si>
    <t>phage shock protein E</t>
  </si>
  <si>
    <t>not heat shock but stress protein</t>
  </si>
  <si>
    <t>COG2194</t>
  </si>
  <si>
    <t>Phosphoethanolamine transferase for periplasmic glucans OpgE, AlkP superfamily [Cell wall/membrane/envelope biogenesis]</t>
  </si>
  <si>
    <t>KO:K01104</t>
  </si>
  <si>
    <t>ko:K01104    E3.1.3.48; protein-tyrosine phosphatase [EC:3.1.3.48]</t>
  </si>
  <si>
    <t>KO:K00986</t>
  </si>
  <si>
    <t>Polymerase</t>
  </si>
  <si>
    <t>ko:K00986    ltrA; RNA-directed DNA polymerase [EC:2.7.7.49]</t>
  </si>
  <si>
    <t>RNA directed DNA polymerase</t>
  </si>
  <si>
    <t>COG1740</t>
  </si>
  <si>
    <t>hydrogenase small subunit [EC:1.12.99.6],uptake hydrogenase small subunit [EC:1.12.99.6],quinone-reactive Ni/Fe-hydrogenase small subunit [EC:1.12.5.1]</t>
  </si>
  <si>
    <t>COG0018</t>
  </si>
  <si>
    <t>Arginyl-tRNA synthetase</t>
  </si>
  <si>
    <t>KO:K00266</t>
  </si>
  <si>
    <t>ko:K00266    gltD; glutamate synthase (NADPH) small chain [EC:1.4.1.13]</t>
  </si>
  <si>
    <t>KO:K00413</t>
  </si>
  <si>
    <t>KO:K01834</t>
  </si>
  <si>
    <t>ko:K01834    PGAM, gpmA; 2,3-bisphosphoglycerate-dependent phosphoglycerate mutase [EC:5.4.2.11]</t>
  </si>
  <si>
    <t>glycolysis and somewhere in methane metabolism</t>
  </si>
  <si>
    <t>KO:K00940</t>
  </si>
  <si>
    <t>ko:K00940    ndk, NME; nucleoside-diphosphate kinase [EC:2.7.4.6]</t>
  </si>
  <si>
    <t>KO:K03046</t>
  </si>
  <si>
    <t>rpoC; DNA-directed RNA polymerase subunit beta</t>
  </si>
  <si>
    <t>KO:K02407</t>
  </si>
  <si>
    <t>ko:K02407    fliD; flagellar hook-associated protein 2</t>
  </si>
  <si>
    <t>KO:K00700</t>
  </si>
  <si>
    <t>ko:K00700    GBE1, glgB; 1,4-alpha-glucan branching enzyme [EC:2.4.1.18]</t>
  </si>
  <si>
    <t>also involved in biofilm formation and starch metabolism</t>
  </si>
  <si>
    <t>KO:K00336</t>
  </si>
  <si>
    <t>ko:K00336    nuoG; NADH-quinone oxidoreductase subunit G [EC:7.1.1.2]</t>
  </si>
  <si>
    <t>COG1055</t>
  </si>
  <si>
    <t>Na+/H+ antiporter NhaD or related arsenite permease</t>
  </si>
  <si>
    <t>TIGR01784</t>
  </si>
  <si>
    <t>conserved hypothetical protein</t>
  </si>
  <si>
    <t>COG0085</t>
  </si>
  <si>
    <t>DNA-directed RNA polymerase, beta subunit/140 kD subunit</t>
  </si>
  <si>
    <t>KO:K09903</t>
  </si>
  <si>
    <t>ko:K09903    pyrH; uridylate kinase [EC:2.7.4.22]</t>
  </si>
  <si>
    <t>COG2121</t>
  </si>
  <si>
    <t>Uncharacterized conserved protein, lysophospholipid acyltransferase (LPLAT) superfamily</t>
  </si>
  <si>
    <t>Glutathione metabolism</t>
  </si>
  <si>
    <t>KO:K01915</t>
  </si>
  <si>
    <t>glnA, GLUL; glutamine synthetase</t>
  </si>
  <si>
    <t>TIGR03478</t>
  </si>
  <si>
    <t>DMSO reductase family type II enzyme, iron-sulfur subunit</t>
  </si>
  <si>
    <t>KO:K00278</t>
  </si>
  <si>
    <t>ko:K00278    nadB; L-aspartate oxidase [EC:1.4.3.16]</t>
  </si>
  <si>
    <t>Also biosynthesis of NAD</t>
  </si>
  <si>
    <t>COG1974</t>
  </si>
  <si>
    <t>SOS-response transcriptional repressor LexA (RecA-mediated autopeptidase)</t>
  </si>
  <si>
    <t>COG0086</t>
  </si>
  <si>
    <t>DNA-directed RNA polymerase, beta' subunit/160 kD subunit</t>
  </si>
  <si>
    <t>COG0520</t>
  </si>
  <si>
    <t>Selenocysteine lyase/Cysteine desulfurase</t>
  </si>
  <si>
    <t>Selenocysteine lyase (EC 4.4.1.16) exclusively decomposes selenocysteine to alanine and elemental selenium, whereas cysteine desulfurase (NIFS protein) of Azotobacter vinelandii acts indiscriminately on both cysteine and selenocysteine to produce elemental sulfur and selenium respectively, and alanine.</t>
  </si>
  <si>
    <t>KO:K01960</t>
  </si>
  <si>
    <t>ko:K01960    pycB; pyruvate carboxylase subunit B [EC:6.4.1.1]</t>
  </si>
  <si>
    <t>KO:K03469</t>
  </si>
  <si>
    <t>ko:K03469    rnhA, RNASEH1; ribonuclease HI [EC:3.1.26.4]</t>
  </si>
  <si>
    <t>KO:K12267</t>
  </si>
  <si>
    <t>ko:K12267    msrAB; peptide methionine sulfoxide reductase msrA/msrB [EC:1.8.4.11 1.8.4.12]</t>
  </si>
  <si>
    <t>COG1917</t>
  </si>
  <si>
    <t>Transcription factor; Nitrosative stress response</t>
  </si>
  <si>
    <t>KO:K02954</t>
  </si>
  <si>
    <t>ko:K02954    RP-S14, MRPS14, rpsN; small subunit ribosomal protein S14</t>
  </si>
  <si>
    <t>KO:K03781</t>
  </si>
  <si>
    <t>ko:K03781    katE, CAT, catB, srpA; catalase [EC:1.11.1.6]</t>
  </si>
  <si>
    <t>KO:K03118</t>
  </si>
  <si>
    <t>ko:K03118    tatC; sec-independent protein translocase protein TatC</t>
  </si>
  <si>
    <t>COG0300</t>
  </si>
  <si>
    <t>KO:K02982</t>
  </si>
  <si>
    <t>ko:K02982    RP-S3, rpsC; small subunit ribosomal protein S3</t>
  </si>
  <si>
    <t>KO:K01916</t>
  </si>
  <si>
    <t>ko:K01916    nadE; NAD+ synthase [EC:6.3.1.5]</t>
  </si>
  <si>
    <t>KO:K00688</t>
  </si>
  <si>
    <t>ko:K00688    PYG, glgP; glycogen phosphorylase [EC:2.4.1.1]</t>
  </si>
  <si>
    <t>KO:K00767</t>
  </si>
  <si>
    <t>ko:K00767    nadC, QPRT; nicotinate-nucleotide pyrophosphorylase (carboxylating) [EC:2.4.2.19]</t>
  </si>
  <si>
    <t>KO:K00620</t>
  </si>
  <si>
    <t>ko:K00620    argJ; glutamate N-acetyltransferase / amino-acid N-acetyltransferase [EC:2.3.1.35 2.3.1.1]</t>
  </si>
  <si>
    <t>Arginine biosynthesis</t>
  </si>
  <si>
    <t>KO:K14107</t>
  </si>
  <si>
    <t>ko:K14107    ehaP; energy-converting hydrogenase A subunit P</t>
  </si>
  <si>
    <t>COG1550</t>
  </si>
  <si>
    <t>DUF503 domain-containing protein</t>
  </si>
  <si>
    <t>axial_55_13H</t>
  </si>
  <si>
    <t>marker113_13H_55 - axial_55_13H</t>
  </si>
  <si>
    <t>KO:K02895</t>
  </si>
  <si>
    <t>ko:K02895    RP-L24, MRPL24, rplX; large subunit ribosomal protein L24</t>
  </si>
  <si>
    <t>KO:K09825</t>
  </si>
  <si>
    <t>ko:K09825    perR; Fur family transcriptional regulator, peroxide stress response regulator</t>
  </si>
  <si>
    <t>regulates transcription in response to superoxide stress</t>
  </si>
  <si>
    <t>COG0697</t>
  </si>
  <si>
    <t>Permease of the drug/metabolite transporter (DMT) superfamily</t>
  </si>
  <si>
    <t>KO:K02946</t>
  </si>
  <si>
    <t>ko:K02946    RP-S10, MRPS10, rpsJ; small subunit ribosomal protein S10</t>
  </si>
  <si>
    <t>TIGR01812</t>
  </si>
  <si>
    <t>succinate dehydrogenase or fumarate reductase, flavoprotein subunit</t>
  </si>
  <si>
    <t>TCA cycle; This HMM represents the succinate dehydrogenase flavoprotein subunit as found in Gram-negative bacteria, mitochondria, and some Archaea. Mitochondrial forms interact with ubiquinone and are designated EC 1.3.5.1, but can be degraded to 1.3.99.1. Some isozymes in E. coli and other species run primarily in the opposite direction and are designated fumarate reductase.</t>
  </si>
  <si>
    <t>KO:K02065</t>
  </si>
  <si>
    <t>ko:K02065    mlaF, linL, mkl; phospholipid/cholesterol/gamma-HCH transport system ATP-binding protein</t>
  </si>
  <si>
    <t>COG1729</t>
  </si>
  <si>
    <t>soluble lytic murein transglycosylase [EC:4.2.2.-],Ca-activated chloride channel homolog,cellulose synthase operon protein C</t>
  </si>
  <si>
    <t>KO:K03147</t>
  </si>
  <si>
    <t>ko:K03147    thiC; phosphomethylpyrimidine synthase [EC:4.1.99.17]</t>
  </si>
  <si>
    <t>COG2048</t>
  </si>
  <si>
    <t>Heterodisulfide reductase, subunit B </t>
  </si>
  <si>
    <t>[Energy production and conversion]</t>
  </si>
  <si>
    <t>KO:K00124</t>
  </si>
  <si>
    <t>ko:K00124    fdoH, fdsB; formate dehydrogenase iron-sulfur subunit</t>
  </si>
  <si>
    <t>KO:K07213</t>
  </si>
  <si>
    <t>Molecular chaperone</t>
  </si>
  <si>
    <t>ko:K07213    ATOX1, ATX1, copZ, golB; copper chaperone</t>
  </si>
  <si>
    <t>mineral absorption</t>
  </si>
  <si>
    <t>COG1196</t>
  </si>
  <si>
    <t>Chromosome segregation ATPase Smc</t>
  </si>
  <si>
    <t>KO:K03716</t>
  </si>
  <si>
    <t>ko:K03716    splB; spore photoproduct lyase [EC:4.1.99.14]</t>
  </si>
  <si>
    <t>KO:K01991</t>
  </si>
  <si>
    <t>ko:K01991    wza, gfcE; polysaccharide biosynthesis/export protein</t>
  </si>
  <si>
    <t>signal transduction also</t>
  </si>
  <si>
    <t>KO:K04077</t>
  </si>
  <si>
    <t>groEL, HSPD1; chaperonin GroEL</t>
  </si>
  <si>
    <t>KO:K00162</t>
  </si>
  <si>
    <t>ko:K00162    PDHB, pdhB; pyruvate dehydrogenase E1 component subunit beta [EC:1.2.4.1]</t>
  </si>
  <si>
    <t>KO:K00331</t>
  </si>
  <si>
    <t>ko:K00331    nuoB; NADH-quinone oxidoreductase subunit B [EC:7.1.1.2]</t>
  </si>
  <si>
    <t>KO:K02906</t>
  </si>
  <si>
    <t>ko:K02906    RP-L3, MRPL3, rplC; large subunit ribosomal protein L3</t>
  </si>
  <si>
    <t>KO:K03753</t>
  </si>
  <si>
    <t>ko:K03753    mobB; molybdopterin-guanine dinucleotide biosynthesis adapter protein</t>
  </si>
  <si>
    <t>GTP metabolism</t>
  </si>
  <si>
    <t>uracil-DNA glycosylase, family 5</t>
  </si>
  <si>
    <t xml:space="preserve">Table S13. Genes that were significantly differentially expressed (SDE) between 2013 and 2014 within each vent in 13C-enriched RNA-SIP experiments at each vent showing log2 fold change, p-value, and adjusted p-value for each SDE gene according to the baseline of the average TPM's of the 13C-enriched RNA-SIP experiments at each vent. </t>
  </si>
  <si>
    <t>year</t>
  </si>
  <si>
    <t>marker113_55_13H_2013</t>
  </si>
  <si>
    <t>marker113_55_13H_2013 - axial_55_13H</t>
  </si>
  <si>
    <t>marker33_80_13H_2013</t>
  </si>
  <si>
    <t>marker33_80_13H_2013 - axial_80_13H</t>
  </si>
  <si>
    <t>Pyruvate oxidation</t>
  </si>
  <si>
    <t>marker113_80_13H_2013</t>
  </si>
  <si>
    <t>marker113_80_13H_2013 - axial_80_13H</t>
  </si>
  <si>
    <t xml:space="preserve">fwdB, fmdB; formylmethanofuran dehydrogenase subunit B </t>
  </si>
  <si>
    <t>tusA, sirA; tRNA 2-thiouridine synthesizing protein A</t>
  </si>
  <si>
    <t>marker33_55_13H_2013</t>
  </si>
  <si>
    <t>marker33_55_13H_2013 - axial_55_13H</t>
  </si>
  <si>
    <t>marker33_30_13H_2014</t>
  </si>
  <si>
    <t>marker33_30_13H_2014 - axial_30_13H</t>
  </si>
  <si>
    <t>fdhB; formate dehydrogenase (NADP+) beta subunit</t>
  </si>
  <si>
    <t>COG1961</t>
  </si>
  <si>
    <t>Site-specific DNA recombinase SpoIVCA/DNA invertase PinE</t>
  </si>
  <si>
    <t>KO:K07325</t>
  </si>
  <si>
    <t>flaB-A, flaB; archaeal flagellin FlaB</t>
  </si>
  <si>
    <t>COG0426</t>
  </si>
  <si>
    <t>COG0426: norV; anaerobic nitric oxide reductase flavorubredoxin</t>
  </si>
  <si>
    <t>COG4644</t>
  </si>
  <si>
    <t>Viral repair</t>
  </si>
  <si>
    <t>COG4644: transposase and inactivated derivatives, TnpA family</t>
  </si>
  <si>
    <t>mvhA, vhuA, vhcA; F420-non-reducing hydrogenase large subunit</t>
  </si>
  <si>
    <t>KO:K00575</t>
  </si>
  <si>
    <t>cheR; chemotaxis protein methyltransferase CheR</t>
  </si>
  <si>
    <t>frhA; coenzyme F420 hydrogenase subunit alpha</t>
  </si>
  <si>
    <t>mcrC; methyl-coenzyme M reductase subunit C</t>
  </si>
  <si>
    <t>mvhG, vhuG, vhcG; F420-non-reducing hydrogenase small subunit</t>
  </si>
  <si>
    <t>KO:K00200</t>
  </si>
  <si>
    <t>fwdA, fmdA; formylmethanofuran dehydrogenase subunit A</t>
  </si>
  <si>
    <t>ampp; AMP phosphorylase</t>
  </si>
  <si>
    <t>EEF2; elongation factor 2</t>
  </si>
  <si>
    <t>COG2043</t>
  </si>
  <si>
    <t>conserved hypothetical archaeal protein (NCBI)</t>
  </si>
  <si>
    <t>COG4584</t>
  </si>
  <si>
    <t>Transposase [Mobilome: prophages, transposons]</t>
  </si>
  <si>
    <t>KO:K03724</t>
  </si>
  <si>
    <t>lhr; ATP-dependent helicase Lhr and Lhr-like helicase</t>
  </si>
  <si>
    <t>KO:K00320</t>
  </si>
  <si>
    <t>mer; 5,10-methylenetetrahydromethanopterin reductase</t>
  </si>
  <si>
    <t>E5.4.99.2A, mcmA1; methylmalonyl-CoA mutase, N-terminal domain</t>
  </si>
  <si>
    <t>aor; aldehyde:ferredoxin oxidoreductase</t>
  </si>
  <si>
    <t>COG1035</t>
  </si>
  <si>
    <t>C - COG1035 - Coenzyme F420-reducing hydrogenase, beta subunit</t>
  </si>
  <si>
    <t>marker33_30_13H_2013</t>
  </si>
  <si>
    <t>marker33_30_13H_2013 - axial_30_13H</t>
  </si>
  <si>
    <t>KO:K00261</t>
  </si>
  <si>
    <t>GLUD1_2, gdhA; glutamate dehydrogenase (NAD(P)+)</t>
  </si>
  <si>
    <t>CBS domain</t>
  </si>
  <si>
    <t>[Signal transduction mechanisms]</t>
  </si>
  <si>
    <t>COG1404</t>
  </si>
  <si>
    <t>Serine protease, subtilisin family [Posttranslational modification, protein turnover, chaperones]</t>
  </si>
  <si>
    <t>COG4746</t>
  </si>
  <si>
    <t>Cytochrome c biogenesis protein CcdC</t>
  </si>
  <si>
    <t>cbiN; cobalt/nickel transport protein</t>
  </si>
  <si>
    <t>Antioxidant protein with alkyl hydroperoxidase activity. Required for the reduction of the AhpC active site cysteine residues and for the regeneration of the AhpC enzyme activity.</t>
  </si>
  <si>
    <t>anemone_80_13H_2014</t>
  </si>
  <si>
    <t>anemone_80_13H_2014 - axial_80_13H</t>
  </si>
  <si>
    <t>KO:K03047</t>
  </si>
  <si>
    <t>rpoD; DNA-directed RNA polymerase subunit D</t>
  </si>
  <si>
    <t>KO:K02883</t>
  </si>
  <si>
    <t>RP-L18e, RPL18; large subunit ribosomal protein L18e</t>
  </si>
  <si>
    <t>KO:K02117</t>
  </si>
  <si>
    <t>ATPVA, ntpA, atpA; V/A-type H+/Na+-transporting ATPase subunit A</t>
  </si>
  <si>
    <t>VCP, CDC48; transitional endoplasmic reticulum ATPase</t>
  </si>
  <si>
    <t>COG1773</t>
  </si>
  <si>
    <t>Flavorubredoxin [Inorganic ion transport and metabolism]</t>
  </si>
  <si>
    <t>Anaerobic nitric oxide reductase; uses NADH to detoxify nitric oxide (NO), protecting several 4Fe-4S NO-sensitive enzymes. Has at least 2 reductase partners, only one of which (NorW, flavorubredoxin reductase) has been identified. NO probably binds to the di-iron center; electrons enter from the reductase at rubredoxin and are transferred sequentially to the FMN center and the di-iron center. Also able to function as an aerobic oxygen reductase.</t>
  </si>
  <si>
    <t>marker113_55_13H_2014</t>
  </si>
  <si>
    <t>marker113_55_13H_2014 - axial_55_13H</t>
  </si>
  <si>
    <t>COG1483</t>
  </si>
  <si>
    <t>Predicted ATPase, AAA+ superfamily [General function prediction only]</t>
  </si>
  <si>
    <t>cysC; adenylylsulfate kinase</t>
  </si>
  <si>
    <t>Catalyzes the synthesis of activated sulfate</t>
  </si>
  <si>
    <t>KO:K03243</t>
  </si>
  <si>
    <t>EIF5B; translation initiation factor 5B</t>
  </si>
  <si>
    <t>gcpE, ispG; (E)-4-hydroxy-3-methylbut-2-enyl-diphosphate synthase</t>
  </si>
  <si>
    <t>KO:K00319</t>
  </si>
  <si>
    <t>mtd; methylenetetrahydromethanopterin dehydrogenase</t>
  </si>
  <si>
    <t>KO:K01534</t>
  </si>
  <si>
    <t>zntA; Cd2+/Zn2+-exporting ATPase</t>
  </si>
  <si>
    <t>KO:K00252</t>
  </si>
  <si>
    <t>GCDH, gcdH; glutaryl-CoA dehydrogenase</t>
  </si>
  <si>
    <t>COG0247</t>
  </si>
  <si>
    <t>Fe-S cluster-containing oxidoreductase, includes glycolate oxidase subunit GlcF [Energy production and conversion]</t>
  </si>
  <si>
    <t>KO:K18016</t>
  </si>
  <si>
    <t>mbhL; membrane-bound hydrogenase subunit alpha</t>
  </si>
  <si>
    <t>The membrane-bound hydrogenase (Mbh) is a redox-driven Na+/H+ transporter that employs the energy from hydrogen gas (H2) production to catalyze proton pumping and Na+/H+ exchange across cytoplasmic membranes of archaea.</t>
  </si>
  <si>
    <t>COG1233</t>
  </si>
  <si>
    <t>Secondary metabolites</t>
  </si>
  <si>
    <t>Q - COG1233 - Phytoene dehydrogenase-related protein</t>
  </si>
  <si>
    <t>secondary metabolite biosynthesis and transport</t>
  </si>
  <si>
    <t>KO:K13942</t>
  </si>
  <si>
    <t>hmd; 5,10-methenyltetrahydromethanopterin hydrogenase [EC:1.12.98.2]</t>
  </si>
  <si>
    <t>KO:K02322</t>
  </si>
  <si>
    <t>polC; DNA polymerase II large subunit</t>
  </si>
  <si>
    <t>KO:K07731</t>
  </si>
  <si>
    <t>K07731; putative transcriptional regulator</t>
  </si>
  <si>
    <t>COG1378</t>
  </si>
  <si>
    <t>K - COG1378 - Sugar-specific transcriptional regulator TrmB</t>
  </si>
  <si>
    <t>KO:K07049</t>
  </si>
  <si>
    <t>K07049; TatD-related deoxyribonuclease</t>
  </si>
  <si>
    <t>KO:K04802</t>
  </si>
  <si>
    <t>PCNA; proliferating cell nuclear antigen</t>
  </si>
  <si>
    <t>KO:K03238</t>
  </si>
  <si>
    <t>EIF2S2; translation initiation factor 2 subunit 2</t>
  </si>
  <si>
    <t>COG1840</t>
  </si>
  <si>
    <t>GH - COG1840 - ABC-type transport systems for B6 and hexose phosphate, periplasmic component</t>
  </si>
  <si>
    <t>Putative integral membrane protein (TIGR00698 family)</t>
  </si>
  <si>
    <t>napA; nitrate reductase (cytochrome)</t>
  </si>
  <si>
    <t>KO:K07327</t>
  </si>
  <si>
    <t>flaD; archaeal flagellar protein FlaD</t>
  </si>
  <si>
    <t>KO:K00400</t>
  </si>
  <si>
    <t>methyl coenzyme M reductase system, component A2</t>
  </si>
  <si>
    <t>rcnA; nickel/cobalt exporter</t>
  </si>
  <si>
    <t>KO:K03406</t>
  </si>
  <si>
    <t>mcp; methyl-accepting chemotaxis protein</t>
  </si>
  <si>
    <t>Methyl‐accepting chemotaxis proteins are the receptors at the beginning of the chemotaxis signal transduction cascade that process environmental and intracellular sensory (input) signals and alter the activity of the CheA histidine kinase.</t>
  </si>
  <si>
    <t>KO:K13628</t>
  </si>
  <si>
    <t>iscA; iron-sulfur cluster assembly protein</t>
  </si>
  <si>
    <t>COG0670</t>
  </si>
  <si>
    <t>Many functions</t>
  </si>
  <si>
    <t>Integral membrane protein YbhL, putative Ca2+ regulator, Bax inhibitor (BI-1)/TMBIM family</t>
  </si>
  <si>
    <t>maf; septum formation protein</t>
  </si>
  <si>
    <t>TIGR02187</t>
  </si>
  <si>
    <t>glutaredoxin-like domain protein; Adaptations to atypical conditions</t>
  </si>
  <si>
    <t>This family of archaeal proteins contains a C-terminal domain with homology to bacterial and eukaryotic glutaredoxins, including a CPYC motif. There is an N-terminal domain which has even more distant homology to glutaredoxins. The name "glutaredoxin" may be inappropriate in the sense of working in tandem with glutathione and glutathione reductase which may not be present in the archaea. The overall domain structure appears to be related to bacterial alkylhydroperoxide reductases, but the homology may be distant enough that the function of this family is wholly different.</t>
  </si>
  <si>
    <t>livG; branched-chain amino acid transport system ATP-binding protein</t>
  </si>
  <si>
    <t>CARP, pepA; leucyl aminopeptidase</t>
  </si>
  <si>
    <t>KO:K15726</t>
  </si>
  <si>
    <t>czcA; cobalt-zinc-cadmium resistance protein CzcA</t>
  </si>
  <si>
    <t>Has a low cation transport activity for cobalt, it is essential for the expression of cobalt, zinc, and cadmium resistance. CzcA and CzcB together would act in zinc efflux nearly as effectively as the complete CZC efflux system (CzcABC).</t>
  </si>
  <si>
    <t>typA, bipA; GTP-binding protein</t>
  </si>
  <si>
    <t>KO:K03496</t>
  </si>
  <si>
    <t>parA, soj; chromosome partitioning protein</t>
  </si>
  <si>
    <t>chromosome partitioning protein</t>
  </si>
  <si>
    <t>KO:K15449</t>
  </si>
  <si>
    <t>TYW1; tRNA wybutosine-synthesizing protein 1</t>
  </si>
  <si>
    <t>KO:K05568</t>
  </si>
  <si>
    <t>mnhD, mrpD; multicomponent Na+:H+ antiporter subunit D</t>
  </si>
  <si>
    <t>KO:K13798</t>
  </si>
  <si>
    <t>rpoB; DNA-directed RNA polymerase subunit B</t>
  </si>
  <si>
    <t>COG1744</t>
  </si>
  <si>
    <t>T - COG1744 - Lipoprotein Med, regulator of KinD/Spo0A, PBP1-ABC superfamily, includes NupN</t>
  </si>
  <si>
    <t>KO:K00164</t>
  </si>
  <si>
    <t>OGDH, sucA; 2-oxoglutarate dehydrogenase E1 component</t>
  </si>
  <si>
    <t>E1 component of the 2-oxoglutarate dehydrogenase (OGDH) complex which catalyzes the decarboxylation of 2-oxoglutarate, the first step in the conversion of 2-oxoglutarate to succinyl-CoA and CO2</t>
  </si>
  <si>
    <t>KO:K07557</t>
  </si>
  <si>
    <t>tgtA2; archaeosine synthase</t>
  </si>
  <si>
    <t>COG3059</t>
  </si>
  <si>
    <t>Inner membrane protein ykgB</t>
  </si>
  <si>
    <t>anemone_80_13H_2013</t>
  </si>
  <si>
    <t>anemone_80_13H_2013 - axial_80_13H</t>
  </si>
  <si>
    <t xml:space="preserve">Table S14. Hydrogenases transcribed in the metagenome assembled genomes (MAGs) that were recovered from the unmanipulated fluid metagenomes and then mapped to the concatenated metatranscriptomes of all 13C-enriched RNA-SIP experiments. </t>
  </si>
  <si>
    <t xml:space="preserve">Bubble plot taxonomy matching taxonomy from the bins. </t>
  </si>
  <si>
    <t>In bubble plot</t>
  </si>
  <si>
    <t>x</t>
  </si>
  <si>
    <t>Sulfurovaceae_bin_161</t>
  </si>
  <si>
    <t>Sulfurovaceae</t>
  </si>
  <si>
    <t>Sulfurovaceae_bin_179</t>
  </si>
  <si>
    <t>Campylobacterales_bin_198</t>
  </si>
  <si>
    <t>Campylobacterales_bin_202</t>
  </si>
  <si>
    <t>Sulfurospirillum_A_bin_206</t>
  </si>
  <si>
    <t>Sulfurovaceae_bin_217</t>
  </si>
  <si>
    <t>Campylobacterales_bin_243</t>
  </si>
  <si>
    <t>Sulfurimonadaceae_bin_265</t>
  </si>
  <si>
    <t>Campylobacterales_bin_314</t>
  </si>
  <si>
    <t>Nitratifractor_bin_319</t>
  </si>
  <si>
    <t>Sulfurovaceae_bin_333</t>
  </si>
  <si>
    <t>Sulfurovaceae_bin_54</t>
  </si>
  <si>
    <t>Campylobacterales_bin_98</t>
  </si>
  <si>
    <t>Nitratifractor_bin_372</t>
  </si>
  <si>
    <t>hydrogenases transcribed in each bin with nonzero TPMs</t>
  </si>
  <si>
    <t>gene_name</t>
  </si>
  <si>
    <t>contig</t>
  </si>
  <si>
    <t>tpm</t>
  </si>
  <si>
    <t>start</t>
  </si>
  <si>
    <t>end</t>
  </si>
  <si>
    <t>Ga0622356_1927727_52208_53017</t>
  </si>
  <si>
    <t>bidirectional [NiFe] hydrogenase diaphorase subunit</t>
  </si>
  <si>
    <t>KO:K05588</t>
  </si>
  <si>
    <t>Ga0622356_1927727</t>
  </si>
  <si>
    <t>FS903_55_12L</t>
  </si>
  <si>
    <t>product=bidirectional [NiFe] hydrogenase diaphorase subunit</t>
  </si>
  <si>
    <t>product_source=KO:K05588</t>
  </si>
  <si>
    <t>cog=COG1034</t>
  </si>
  <si>
    <t>ko=KO:K05588</t>
  </si>
  <si>
    <t>LVWS5_55_TP2_12H</t>
  </si>
  <si>
    <t>FS904_55_12H</t>
  </si>
  <si>
    <t>LVWS6_55_TP2_12L</t>
  </si>
  <si>
    <t>FS904_55_13L</t>
  </si>
  <si>
    <t>FS904_55_12L</t>
  </si>
  <si>
    <t>LVWS6_55_TP2_12H</t>
  </si>
  <si>
    <t>Ga0622356_1611001_4479_5414</t>
  </si>
  <si>
    <t>hydrogenase maturation protein HypF</t>
  </si>
  <si>
    <t>Ga0622356_1611001</t>
  </si>
  <si>
    <t>LVWS5_30_TP1_12H</t>
  </si>
  <si>
    <t>start_type=ATG</t>
  </si>
  <si>
    <t>product=hydrogenase maturation protein HypF</t>
  </si>
  <si>
    <t>cath_funfam=3.30.70.100</t>
  </si>
  <si>
    <t>cog=COG0068</t>
  </si>
  <si>
    <t>LVWS6_30_TP1_13L</t>
  </si>
  <si>
    <t>LVWS5_30_TP1_13L</t>
  </si>
  <si>
    <t>FS906_80_TP1_12H</t>
  </si>
  <si>
    <t>FS906_80_TP1_13L</t>
  </si>
  <si>
    <t>FS906_80_TP1_12L</t>
  </si>
  <si>
    <t>FS908_80_TP1_13L</t>
  </si>
  <si>
    <t>Ga0622356_0141406_11853_12155</t>
  </si>
  <si>
    <t>energy-converting hydrogenase B subunit A</t>
  </si>
  <si>
    <t>KO:K14110</t>
  </si>
  <si>
    <t>Ga0622356_0141406</t>
  </si>
  <si>
    <t>product=energy-converting hydrogenase B subunit A</t>
  </si>
  <si>
    <t>product_source=KO:K14110</t>
  </si>
  <si>
    <t>ko=KO:K14110</t>
  </si>
  <si>
    <t>pfam=PF01899</t>
  </si>
  <si>
    <t>LVWS4_55_TP1_12L</t>
  </si>
  <si>
    <t>LVWS5_30_TP1_12L</t>
  </si>
  <si>
    <t>LVWS5_30_TP2_12L</t>
  </si>
  <si>
    <t>Ga0622356_0366913_62_790</t>
  </si>
  <si>
    <t>coenzyme F420 hydrogenase subunit gamma</t>
  </si>
  <si>
    <t>Ga0622356_0366913</t>
  </si>
  <si>
    <t>product=coenzyme F420 hydrogenase subunit gamma</t>
  </si>
  <si>
    <t>product_source=KO:K00443</t>
  </si>
  <si>
    <t>cog=COG1941</t>
  </si>
  <si>
    <t>ko=KO:K00443</t>
  </si>
  <si>
    <t>Ga0622356_0366913_824_1318</t>
  </si>
  <si>
    <t>coenzyme F420 hydrogenase subunit delta</t>
  </si>
  <si>
    <t>product=coenzyme F420 hydrogenase subunit delta</t>
  </si>
  <si>
    <t>product_source=KO:K00442</t>
  </si>
  <si>
    <t>cog=COG0680</t>
  </si>
  <si>
    <t>ko=KO:K00442</t>
  </si>
  <si>
    <t>Ga0622356_0366913_1386_2618</t>
  </si>
  <si>
    <t>coenzyme F420 hydrogenase subunit alpha</t>
  </si>
  <si>
    <t>product=coenzyme F420 hydrogenase subunit alpha</t>
  </si>
  <si>
    <t>product_source=KO:K00440</t>
  </si>
  <si>
    <t>cog=COG3259</t>
  </si>
  <si>
    <t>ko=KO:K00440</t>
  </si>
  <si>
    <t>FS903_55_12H</t>
  </si>
  <si>
    <t>LVWS5_55_TP2_12L</t>
  </si>
  <si>
    <t>Ga0622356_1043117_240_1661</t>
  </si>
  <si>
    <t>F420-non-reducing hydrogenase large subunit</t>
  </si>
  <si>
    <t>Ga0622356_1043117</t>
  </si>
  <si>
    <t>product=F420-non-reducing hydrogenase large subunit</t>
  </si>
  <si>
    <t>product_source=KO:K14126</t>
  </si>
  <si>
    <t>ko=KO:K14126</t>
  </si>
  <si>
    <t>Ga0622356_1043117_1693_2598</t>
  </si>
  <si>
    <t>F420-non-reducing hydrogenase small subunit</t>
  </si>
  <si>
    <t>product=F420-non-reducing hydrogenase small subunit</t>
  </si>
  <si>
    <t>product_source=KO:K14128</t>
  </si>
  <si>
    <t>ko=KO:K14128</t>
  </si>
  <si>
    <t>Ga0622356_1043117_2636_3151</t>
  </si>
  <si>
    <t>F420-non-reducing hydrogenase iron-sulfur subunit</t>
  </si>
  <si>
    <t>KO:K14127</t>
  </si>
  <si>
    <t>product=F420-non-reducing hydrogenase iron-sulfur subunit</t>
  </si>
  <si>
    <t>product_source=KO:K14127</t>
  </si>
  <si>
    <t>ko=KO:K14127</t>
  </si>
  <si>
    <t>ec_number=EC:1.12.99.-,EC:1.8.98.5,EC:1.8.98.6</t>
  </si>
  <si>
    <t>Ga0622356_1243055_536_1600</t>
  </si>
  <si>
    <t>5,10-methenyltetrahydromethanopterin hydrogenase</t>
  </si>
  <si>
    <t>Ga0622356_1243055</t>
  </si>
  <si>
    <t>FS904_80_12H</t>
  </si>
  <si>
    <t>product=5,10-methenyltetrahydromethanopterin hydrogenase</t>
  </si>
  <si>
    <t>product_source=KO:K13942</t>
  </si>
  <si>
    <t>cog=COG4074</t>
  </si>
  <si>
    <t>ko=KO:K13942</t>
  </si>
  <si>
    <t>Ga0622356_1243055_1676_2740</t>
  </si>
  <si>
    <t>5,10-methenyltetrahydromethanopterin hydrogenase cofactor biosynthesis protein HmdB</t>
  </si>
  <si>
    <t>TIGR03957</t>
  </si>
  <si>
    <t>product=5,10-methenyltetrahydromethanopterin hydrogenase cofactor biosynthesis protein HmdB</t>
  </si>
  <si>
    <t>product_source=TIGR03957</t>
  </si>
  <si>
    <t>cog=COG0502</t>
  </si>
  <si>
    <t>pfam=PF04055,PF06968</t>
  </si>
  <si>
    <t>FS903_55_13L</t>
  </si>
  <si>
    <t>Ga0622356_0449401_2_127</t>
  </si>
  <si>
    <t>Ga0622356_0449401</t>
  </si>
  <si>
    <t>start_type=Edge</t>
  </si>
  <si>
    <t>LVWS2_80_TP1_12H</t>
  </si>
  <si>
    <t>Ga0622356_1845380_1_1671</t>
  </si>
  <si>
    <t>Ga0622356_1845380</t>
  </si>
  <si>
    <t>cath_funfam=3.30.420.40,3.90.870.10</t>
  </si>
  <si>
    <t>Ga0622356_0057728_1929_2918</t>
  </si>
  <si>
    <t>hydrogenase expression/formation protein HypE</t>
  </si>
  <si>
    <t>KO:K04655</t>
  </si>
  <si>
    <t>Ga0622356_0057728</t>
  </si>
  <si>
    <t>FS908_80_TP1_12H</t>
  </si>
  <si>
    <t>product=hydrogenase expression/formation protein HypE</t>
  </si>
  <si>
    <t>product_source=KO:K04655</t>
  </si>
  <si>
    <t>cog=COG0309</t>
  </si>
  <si>
    <t>ko=KO:K04655</t>
  </si>
  <si>
    <t>Ga0622356_0057728_3673_4317</t>
  </si>
  <si>
    <t>hydrogenase expression/formation protein HypD</t>
  </si>
  <si>
    <t>start_type=TTG</t>
  </si>
  <si>
    <t>product=hydrogenase expression/formation protein HypD</t>
  </si>
  <si>
    <t>cog=COG0409</t>
  </si>
  <si>
    <t>ko=KO:K04654</t>
  </si>
  <si>
    <t>Ga0622356_0076236_2210_3451</t>
  </si>
  <si>
    <t>sulfhydrogenase subunit alpha</t>
  </si>
  <si>
    <t>Ga0622356_0076236</t>
  </si>
  <si>
    <t>product=sulfhydrogenase subunit alpha</t>
  </si>
  <si>
    <t>product_source=KO:K17993</t>
  </si>
  <si>
    <t>ko=KO:K17993</t>
  </si>
  <si>
    <t>Ga0622356_0076236_3435_4211</t>
  </si>
  <si>
    <t>sulfhydrogenase subunit delta</t>
  </si>
  <si>
    <t>product=sulfhydrogenase subunit delta</t>
  </si>
  <si>
    <t>product_source=KO:K17994</t>
  </si>
  <si>
    <t>ko=KO:K17994</t>
  </si>
  <si>
    <t>Ga0622356_0076236_4208_5086</t>
  </si>
  <si>
    <t>sulfhydrogenase subunit gamma (sulfur reductase)</t>
  </si>
  <si>
    <t>product=sulfhydrogenase subunit gamma (sulfur reductase)</t>
  </si>
  <si>
    <t>product_source=KO:K17995</t>
  </si>
  <si>
    <t>cog=COG0543</t>
  </si>
  <si>
    <t>ko=KO:K17995</t>
  </si>
  <si>
    <t>Ga0622356_0076236_5055_6122</t>
  </si>
  <si>
    <t>sulfhydrogenase subunit beta (sulfur reductase)</t>
  </si>
  <si>
    <t>product=sulfhydrogenase subunit beta (sulfur reductase)</t>
  </si>
  <si>
    <t>product_source=KO:K17996</t>
  </si>
  <si>
    <t>cog=COG1145</t>
  </si>
  <si>
    <t>ko=KO:K17996</t>
  </si>
  <si>
    <t>FS908_80_TP1_12L</t>
  </si>
  <si>
    <t>LVWS2_80_TP1_13L</t>
  </si>
  <si>
    <t>FS908_80_TP2_12L</t>
  </si>
  <si>
    <t>LVWS2_80_TP1_12L</t>
  </si>
  <si>
    <t>FS904_80_12L</t>
  </si>
  <si>
    <t>FS907_80_12L</t>
  </si>
  <si>
    <t>FS904_80_13L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</si>
</sst>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00"/>
    <numFmt numFmtId="166" formatCode="0.000000"/>
    <numFmt numFmtId="167" formatCode="0.0000"/>
    <numFmt numFmtId="168" formatCode="h:mm:ss;@"/>
    <numFmt numFmtId="169" formatCode="m/d/yy\ h:mm:ss;@"/>
  </numFmts>
  <fonts count="31">
    <font>
      <sz val="12"/>
      <color theme="1"/>
      <name val="Aptos Narrow"/>
      <family val="2"/>
      <scheme val="minor"/>
    </font>
    <font>
      <sz val="12"/>
      <color theme="1"/>
      <name val="Aptos Narrow"/>
      <family val="2"/>
      <scheme val="minor"/>
    </font>
    <font>
      <sz val="11"/>
      <color theme="1"/>
      <name val="Aptos Narrow"/>
      <family val="2"/>
      <scheme val="minor"/>
    </font>
    <font>
      <sz val="11"/>
      <color theme="1"/>
      <name val="Arial"/>
    </font>
    <font>
      <sz val="11"/>
      <color rgb="FF000000"/>
      <name val="Arial"/>
    </font>
    <font>
      <sz val="11"/>
      <color rgb="FF9C5700"/>
      <name val="Arial"/>
    </font>
    <font>
      <b/>
      <sz val="11"/>
      <color theme="1"/>
      <name val="Arial"/>
    </font>
    <font>
      <b/>
      <sz val="10"/>
      <color theme="1"/>
      <name val="Arial"/>
    </font>
    <font>
      <b/>
      <sz val="12"/>
      <color theme="1"/>
      <name val="Arial"/>
    </font>
    <font>
      <sz val="12"/>
      <color theme="1"/>
      <name val="Arial"/>
    </font>
    <font>
      <sz val="11"/>
      <color rgb="FF9C0006"/>
      <name val="Arial"/>
    </font>
    <font>
      <sz val="11"/>
      <color rgb="FFFF0000"/>
      <name val="Arial"/>
    </font>
    <font>
      <sz val="10"/>
      <color theme="1"/>
      <name val="Arial"/>
    </font>
    <font>
      <sz val="12"/>
      <color rgb="FFFF0000"/>
      <name val="Arial"/>
    </font>
    <font>
      <b/>
      <sz val="12"/>
      <color rgb="FFFF0000"/>
      <name val="Arial"/>
    </font>
    <font>
      <sz val="12"/>
      <color rgb="FF000000"/>
      <name val="Arial"/>
    </font>
    <font>
      <b/>
      <sz val="12"/>
      <color rgb="FF000000"/>
      <name val="Arial"/>
    </font>
    <font>
      <sz val="10"/>
      <color rgb="FF000000"/>
      <name val="Arial"/>
    </font>
    <font>
      <b/>
      <sz val="8"/>
      <color theme="1"/>
      <name val="Arial"/>
    </font>
    <font>
      <sz val="8"/>
      <color theme="1"/>
      <name val="Arial"/>
    </font>
    <font>
      <sz val="18"/>
      <name val="Arial"/>
    </font>
    <font>
      <b/>
      <sz val="20"/>
      <color theme="1"/>
      <name val="Arial"/>
    </font>
    <font>
      <b/>
      <sz val="14"/>
      <color theme="1"/>
      <name val="Arial"/>
    </font>
    <font>
      <b/>
      <sz val="24"/>
      <color theme="1"/>
      <name val="Arial"/>
    </font>
    <font>
      <vertAlign val="subscript"/>
      <sz val="12"/>
      <color rgb="FF000000"/>
      <name val="Arial"/>
    </font>
    <font>
      <i/>
      <sz val="12"/>
      <color rgb="FF000000"/>
      <name val="Arial"/>
    </font>
    <font>
      <sz val="12"/>
      <color rgb="FF000000"/>
      <name val="Times"/>
      <charset val="1"/>
    </font>
    <font>
      <sz val="12"/>
      <color rgb="FF000000"/>
      <name val="Arial"/>
      <charset val="1"/>
    </font>
    <font>
      <vertAlign val="subscript"/>
      <sz val="12"/>
      <color rgb="FF000000"/>
      <name val="Arial"/>
      <charset val="1"/>
    </font>
    <font>
      <vertAlign val="superscript"/>
      <sz val="12"/>
      <color rgb="FF000000"/>
      <name val="Arial"/>
      <charset val="1"/>
    </font>
    <font>
      <vertAlign val="superscript"/>
      <sz val="12"/>
      <color rgb="FF000000"/>
      <name val="Arial"/>
    </font>
  </fonts>
  <fills count="12">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theme="0"/>
        <bgColor indexed="64"/>
      </patternFill>
    </fill>
    <fill>
      <patternFill patternType="solid">
        <fgColor rgb="FFFFC000"/>
        <bgColor indexed="64"/>
      </patternFill>
    </fill>
    <fill>
      <patternFill patternType="solid">
        <fgColor rgb="FFECECEC"/>
        <bgColor rgb="FFECECEC"/>
      </patternFill>
    </fill>
    <fill>
      <patternFill patternType="solid">
        <fgColor rgb="FFFFC000"/>
        <bgColor rgb="FFECECEC"/>
      </patternFill>
    </fill>
    <fill>
      <patternFill patternType="solid">
        <fgColor rgb="FFD8D8D8"/>
        <bgColor rgb="FFD8D8D8"/>
      </patternFill>
    </fill>
    <fill>
      <patternFill patternType="solid">
        <fgColor rgb="FFFFC7CE"/>
        <bgColor rgb="FFFFC7CE"/>
      </patternFill>
    </fill>
    <fill>
      <patternFill patternType="solid">
        <fgColor rgb="FFD5A6BD"/>
        <bgColor rgb="FFD5A6BD"/>
      </patternFill>
    </fill>
    <fill>
      <patternFill patternType="solid">
        <fgColor rgb="FFFFFF00"/>
        <bgColor indexed="64"/>
      </patternFill>
    </fill>
  </fills>
  <borders count="49">
    <border>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rgb="FF000000"/>
      </left>
      <right style="thick">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3">
    <xf numFmtId="0" fontId="0" fillId="0" borderId="0"/>
    <xf numFmtId="9" fontId="1" fillId="0" borderId="0" applyFont="0" applyFill="0" applyBorder="0" applyAlignment="0" applyProtection="0"/>
    <xf numFmtId="0" fontId="2" fillId="0" borderId="0"/>
  </cellStyleXfs>
  <cellXfs count="312">
    <xf numFmtId="0" fontId="0" fillId="0" borderId="0" xfId="0"/>
    <xf numFmtId="0" fontId="3" fillId="0" borderId="0" xfId="2" applyFont="1"/>
    <xf numFmtId="0" fontId="3" fillId="5" borderId="30" xfId="2" applyFont="1" applyFill="1" applyBorder="1"/>
    <xf numFmtId="0" fontId="3" fillId="5" borderId="31" xfId="2" applyFont="1" applyFill="1" applyBorder="1"/>
    <xf numFmtId="0" fontId="3" fillId="0" borderId="31" xfId="2" applyFont="1" applyBorder="1"/>
    <xf numFmtId="0" fontId="3" fillId="0" borderId="32" xfId="2" applyFont="1" applyBorder="1"/>
    <xf numFmtId="0" fontId="3" fillId="0" borderId="33" xfId="2" applyFont="1" applyBorder="1" applyAlignment="1">
      <alignment wrapText="1"/>
    </xf>
    <xf numFmtId="0" fontId="3" fillId="0" borderId="29" xfId="2" applyFont="1" applyBorder="1" applyAlignment="1">
      <alignment wrapText="1"/>
    </xf>
    <xf numFmtId="14" fontId="3" fillId="0" borderId="29" xfId="2" applyNumberFormat="1" applyFont="1" applyBorder="1" applyAlignment="1">
      <alignment wrapText="1"/>
    </xf>
    <xf numFmtId="0" fontId="3" fillId="0" borderId="29" xfId="2" applyFont="1" applyBorder="1" applyAlignment="1">
      <alignment horizontal="center" wrapText="1"/>
    </xf>
    <xf numFmtId="0" fontId="3" fillId="0" borderId="29" xfId="2" applyFont="1" applyBorder="1" applyAlignment="1">
      <alignment horizontal="right" wrapText="1"/>
    </xf>
    <xf numFmtId="164" fontId="3" fillId="0" borderId="29" xfId="2" applyNumberFormat="1" applyFont="1" applyBorder="1" applyAlignment="1">
      <alignment wrapText="1"/>
    </xf>
    <xf numFmtId="1" fontId="3" fillId="0" borderId="29" xfId="2" applyNumberFormat="1" applyFont="1" applyBorder="1" applyAlignment="1">
      <alignment wrapText="1"/>
    </xf>
    <xf numFmtId="0" fontId="5" fillId="0" borderId="29" xfId="2" applyFont="1" applyBorder="1" applyAlignment="1">
      <alignment wrapText="1"/>
    </xf>
    <xf numFmtId="0" fontId="3" fillId="0" borderId="34" xfId="2" applyFont="1" applyBorder="1"/>
    <xf numFmtId="0" fontId="3" fillId="0" borderId="33" xfId="2" applyFont="1" applyBorder="1"/>
    <xf numFmtId="0" fontId="3" fillId="0" borderId="29" xfId="2" applyFont="1" applyBorder="1"/>
    <xf numFmtId="14" fontId="3" fillId="0" borderId="29" xfId="2" applyNumberFormat="1" applyFont="1" applyBorder="1"/>
    <xf numFmtId="0" fontId="3" fillId="0" borderId="29" xfId="2" applyFont="1" applyBorder="1" applyAlignment="1">
      <alignment horizontal="center"/>
    </xf>
    <xf numFmtId="0" fontId="3" fillId="0" borderId="29" xfId="2" applyFont="1" applyBorder="1" applyAlignment="1">
      <alignment horizontal="right"/>
    </xf>
    <xf numFmtId="164" fontId="3" fillId="0" borderId="29" xfId="2" applyNumberFormat="1" applyFont="1" applyBorder="1"/>
    <xf numFmtId="0" fontId="5" fillId="0" borderId="29" xfId="2" applyFont="1" applyBorder="1"/>
    <xf numFmtId="9" fontId="3" fillId="0" borderId="29" xfId="2" applyNumberFormat="1" applyFont="1" applyBorder="1"/>
    <xf numFmtId="14" fontId="3" fillId="0" borderId="29" xfId="2" applyNumberFormat="1" applyFont="1" applyBorder="1" applyAlignment="1">
      <alignment horizontal="center"/>
    </xf>
    <xf numFmtId="43" fontId="3" fillId="0" borderId="29" xfId="2" applyNumberFormat="1" applyFont="1" applyBorder="1"/>
    <xf numFmtId="165" fontId="3" fillId="0" borderId="29" xfId="2" applyNumberFormat="1" applyFont="1" applyBorder="1" applyAlignment="1">
      <alignment horizontal="center"/>
    </xf>
    <xf numFmtId="20" fontId="3" fillId="0" borderId="29" xfId="2" applyNumberFormat="1" applyFont="1" applyBorder="1" applyAlignment="1">
      <alignment horizontal="center"/>
    </xf>
    <xf numFmtId="0" fontId="3" fillId="0" borderId="29" xfId="2" applyFont="1" applyBorder="1" applyAlignment="1">
      <alignment horizontal="left"/>
    </xf>
    <xf numFmtId="2" fontId="6" fillId="0" borderId="29" xfId="2" applyNumberFormat="1" applyFont="1" applyBorder="1"/>
    <xf numFmtId="2" fontId="7" fillId="0" borderId="29" xfId="2" applyNumberFormat="1" applyFont="1" applyBorder="1"/>
    <xf numFmtId="165" fontId="3" fillId="0" borderId="29" xfId="2" applyNumberFormat="1" applyFont="1" applyBorder="1"/>
    <xf numFmtId="0" fontId="3" fillId="6" borderId="29" xfId="2" applyFont="1" applyFill="1" applyBorder="1"/>
    <xf numFmtId="2" fontId="3" fillId="0" borderId="29" xfId="2" applyNumberFormat="1" applyFont="1" applyBorder="1"/>
    <xf numFmtId="2" fontId="5" fillId="0" borderId="29" xfId="2" applyNumberFormat="1" applyFont="1" applyBorder="1"/>
    <xf numFmtId="0" fontId="3" fillId="4" borderId="29" xfId="2" applyFont="1" applyFill="1" applyBorder="1"/>
    <xf numFmtId="0" fontId="3" fillId="5" borderId="33" xfId="2" applyFont="1" applyFill="1" applyBorder="1"/>
    <xf numFmtId="0" fontId="3" fillId="5" borderId="29" xfId="2" applyFont="1" applyFill="1" applyBorder="1"/>
    <xf numFmtId="14" fontId="3" fillId="5" borderId="29" xfId="2" applyNumberFormat="1" applyFont="1" applyFill="1" applyBorder="1" applyAlignment="1">
      <alignment horizontal="center"/>
    </xf>
    <xf numFmtId="20" fontId="3" fillId="5" borderId="29" xfId="2" applyNumberFormat="1" applyFont="1" applyFill="1" applyBorder="1" applyAlignment="1">
      <alignment horizontal="center"/>
    </xf>
    <xf numFmtId="0" fontId="3" fillId="5" borderId="29" xfId="2" applyFont="1" applyFill="1" applyBorder="1" applyAlignment="1">
      <alignment horizontal="left"/>
    </xf>
    <xf numFmtId="0" fontId="3" fillId="5" borderId="29" xfId="2" applyFont="1" applyFill="1" applyBorder="1" applyAlignment="1">
      <alignment horizontal="center"/>
    </xf>
    <xf numFmtId="0" fontId="3" fillId="5" borderId="29" xfId="2" applyFont="1" applyFill="1" applyBorder="1" applyAlignment="1">
      <alignment horizontal="right"/>
    </xf>
    <xf numFmtId="164" fontId="3" fillId="5" borderId="29" xfId="2" applyNumberFormat="1" applyFont="1" applyFill="1" applyBorder="1"/>
    <xf numFmtId="165" fontId="3" fillId="5" borderId="29" xfId="2" applyNumberFormat="1" applyFont="1" applyFill="1" applyBorder="1" applyAlignment="1">
      <alignment horizontal="center"/>
    </xf>
    <xf numFmtId="2" fontId="6" fillId="5" borderId="29" xfId="2" applyNumberFormat="1" applyFont="1" applyFill="1" applyBorder="1"/>
    <xf numFmtId="2" fontId="7" fillId="5" borderId="29" xfId="2" applyNumberFormat="1" applyFont="1" applyFill="1" applyBorder="1"/>
    <xf numFmtId="165" fontId="3" fillId="5" borderId="29" xfId="2" applyNumberFormat="1" applyFont="1" applyFill="1" applyBorder="1"/>
    <xf numFmtId="2" fontId="3" fillId="5" borderId="29" xfId="2" applyNumberFormat="1" applyFont="1" applyFill="1" applyBorder="1"/>
    <xf numFmtId="0" fontId="5" fillId="5" borderId="29" xfId="2" applyFont="1" applyFill="1" applyBorder="1"/>
    <xf numFmtId="0" fontId="3" fillId="5" borderId="34" xfId="2" applyFont="1" applyFill="1" applyBorder="1"/>
    <xf numFmtId="0" fontId="3" fillId="5" borderId="0" xfId="2" applyFont="1" applyFill="1"/>
    <xf numFmtId="0" fontId="4" fillId="0" borderId="33" xfId="2" applyFont="1" applyBorder="1"/>
    <xf numFmtId="0" fontId="4" fillId="0" borderId="29" xfId="2" applyFont="1" applyBorder="1"/>
    <xf numFmtId="14" fontId="4" fillId="0" borderId="29" xfId="2" applyNumberFormat="1" applyFont="1" applyBorder="1" applyAlignment="1">
      <alignment horizontal="center"/>
    </xf>
    <xf numFmtId="0" fontId="4" fillId="0" borderId="29" xfId="2" applyFont="1" applyBorder="1" applyAlignment="1">
      <alignment horizontal="center"/>
    </xf>
    <xf numFmtId="0" fontId="4" fillId="0" borderId="29" xfId="2" applyFont="1" applyBorder="1" applyAlignment="1">
      <alignment horizontal="right"/>
    </xf>
    <xf numFmtId="165" fontId="4" fillId="0" borderId="29" xfId="2" applyNumberFormat="1" applyFont="1" applyBorder="1"/>
    <xf numFmtId="0" fontId="3" fillId="0" borderId="33" xfId="2" applyFont="1" applyBorder="1" applyAlignment="1">
      <alignment horizontal="left"/>
    </xf>
    <xf numFmtId="1" fontId="3" fillId="0" borderId="29" xfId="2" applyNumberFormat="1" applyFont="1" applyBorder="1" applyAlignment="1">
      <alignment horizontal="center"/>
    </xf>
    <xf numFmtId="166" fontId="3" fillId="0" borderId="29" xfId="2" applyNumberFormat="1" applyFont="1" applyBorder="1" applyAlignment="1">
      <alignment horizontal="center"/>
    </xf>
    <xf numFmtId="1" fontId="3" fillId="0" borderId="29" xfId="2" applyNumberFormat="1" applyFont="1" applyBorder="1" applyAlignment="1">
      <alignment horizontal="right"/>
    </xf>
    <xf numFmtId="164" fontId="6" fillId="0" borderId="29" xfId="2" applyNumberFormat="1" applyFont="1" applyBorder="1"/>
    <xf numFmtId="2" fontId="3" fillId="6" borderId="29" xfId="2" applyNumberFormat="1" applyFont="1" applyFill="1" applyBorder="1"/>
    <xf numFmtId="0" fontId="3" fillId="5" borderId="33" xfId="2" applyFont="1" applyFill="1" applyBorder="1" applyAlignment="1">
      <alignment horizontal="left"/>
    </xf>
    <xf numFmtId="1" fontId="3" fillId="5" borderId="29" xfId="2" applyNumberFormat="1" applyFont="1" applyFill="1" applyBorder="1" applyAlignment="1">
      <alignment horizontal="center"/>
    </xf>
    <xf numFmtId="166" fontId="3" fillId="5" borderId="29" xfId="2" applyNumberFormat="1" applyFont="1" applyFill="1" applyBorder="1" applyAlignment="1">
      <alignment horizontal="center"/>
    </xf>
    <xf numFmtId="1" fontId="3" fillId="5" borderId="29" xfId="2" applyNumberFormat="1" applyFont="1" applyFill="1" applyBorder="1" applyAlignment="1">
      <alignment horizontal="right"/>
    </xf>
    <xf numFmtId="167" fontId="3" fillId="5" borderId="29" xfId="2" applyNumberFormat="1" applyFont="1" applyFill="1" applyBorder="1" applyAlignment="1">
      <alignment horizontal="center"/>
    </xf>
    <xf numFmtId="2" fontId="3" fillId="7" borderId="29" xfId="2" applyNumberFormat="1" applyFont="1" applyFill="1" applyBorder="1"/>
    <xf numFmtId="2" fontId="5" fillId="5" borderId="29" xfId="2" applyNumberFormat="1" applyFont="1" applyFill="1" applyBorder="1"/>
    <xf numFmtId="0" fontId="8" fillId="0" borderId="29" xfId="2" applyFont="1" applyBorder="1"/>
    <xf numFmtId="0" fontId="3" fillId="8" borderId="29" xfId="2" applyFont="1" applyFill="1" applyBorder="1"/>
    <xf numFmtId="21" fontId="3" fillId="0" borderId="29" xfId="2" applyNumberFormat="1" applyFont="1" applyBorder="1" applyAlignment="1">
      <alignment horizontal="center"/>
    </xf>
    <xf numFmtId="0" fontId="9" fillId="0" borderId="29" xfId="2" quotePrefix="1" applyFont="1" applyBorder="1"/>
    <xf numFmtId="2" fontId="9" fillId="0" borderId="29" xfId="2" applyNumberFormat="1" applyFont="1" applyBorder="1" applyAlignment="1">
      <alignment horizontal="center"/>
    </xf>
    <xf numFmtId="21" fontId="3" fillId="5" borderId="29" xfId="2" applyNumberFormat="1" applyFont="1" applyFill="1" applyBorder="1" applyAlignment="1">
      <alignment horizontal="center"/>
    </xf>
    <xf numFmtId="0" fontId="9" fillId="5" borderId="29" xfId="2" quotePrefix="1" applyFont="1" applyFill="1" applyBorder="1"/>
    <xf numFmtId="2" fontId="9" fillId="7" borderId="29" xfId="2" applyNumberFormat="1" applyFont="1" applyFill="1" applyBorder="1" applyAlignment="1">
      <alignment horizontal="center"/>
    </xf>
    <xf numFmtId="0" fontId="10" fillId="9" borderId="29" xfId="2" applyFont="1" applyFill="1" applyBorder="1"/>
    <xf numFmtId="2" fontId="9" fillId="6" borderId="29" xfId="2" applyNumberFormat="1" applyFont="1" applyFill="1" applyBorder="1" applyAlignment="1">
      <alignment horizontal="center"/>
    </xf>
    <xf numFmtId="167" fontId="3" fillId="0" borderId="29" xfId="2" applyNumberFormat="1" applyFont="1" applyBorder="1" applyAlignment="1">
      <alignment horizontal="center"/>
    </xf>
    <xf numFmtId="0" fontId="6" fillId="0" borderId="29" xfId="2" applyFont="1" applyBorder="1"/>
    <xf numFmtId="164" fontId="3" fillId="0" borderId="29" xfId="2" applyNumberFormat="1" applyFont="1" applyBorder="1" applyAlignment="1">
      <alignment horizontal="right"/>
    </xf>
    <xf numFmtId="0" fontId="11" fillId="0" borderId="29" xfId="2" applyFont="1" applyBorder="1"/>
    <xf numFmtId="0" fontId="12" fillId="0" borderId="29" xfId="2" applyFont="1" applyBorder="1"/>
    <xf numFmtId="164" fontId="6" fillId="5" borderId="29" xfId="2" applyNumberFormat="1" applyFont="1" applyFill="1" applyBorder="1"/>
    <xf numFmtId="0" fontId="3" fillId="0" borderId="35" xfId="2" applyFont="1" applyBorder="1"/>
    <xf numFmtId="0" fontId="3" fillId="0" borderId="36" xfId="2" applyFont="1" applyBorder="1"/>
    <xf numFmtId="14" fontId="3" fillId="0" borderId="36" xfId="2" applyNumberFormat="1" applyFont="1" applyBorder="1" applyAlignment="1">
      <alignment horizontal="center"/>
    </xf>
    <xf numFmtId="20" fontId="3" fillId="0" borderId="36" xfId="2" applyNumberFormat="1" applyFont="1" applyBorder="1" applyAlignment="1">
      <alignment horizontal="center"/>
    </xf>
    <xf numFmtId="0" fontId="3" fillId="0" borderId="36" xfId="2" applyFont="1" applyBorder="1" applyAlignment="1">
      <alignment horizontal="center"/>
    </xf>
    <xf numFmtId="0" fontId="3" fillId="0" borderId="36" xfId="2" applyFont="1" applyBorder="1" applyAlignment="1">
      <alignment horizontal="right"/>
    </xf>
    <xf numFmtId="164" fontId="3" fillId="0" borderId="36" xfId="2" applyNumberFormat="1" applyFont="1" applyBorder="1"/>
    <xf numFmtId="165" fontId="3" fillId="0" borderId="36" xfId="2" applyNumberFormat="1" applyFont="1" applyBorder="1" applyAlignment="1">
      <alignment horizontal="center"/>
    </xf>
    <xf numFmtId="0" fontId="6" fillId="0" borderId="36" xfId="2" applyFont="1" applyBorder="1"/>
    <xf numFmtId="2" fontId="6" fillId="0" borderId="36" xfId="2" applyNumberFormat="1" applyFont="1" applyBorder="1"/>
    <xf numFmtId="0" fontId="5" fillId="0" borderId="36" xfId="2" applyFont="1" applyBorder="1"/>
    <xf numFmtId="0" fontId="3" fillId="0" borderId="37" xfId="2" applyFont="1" applyBorder="1"/>
    <xf numFmtId="0" fontId="5" fillId="0" borderId="0" xfId="2" applyFont="1"/>
    <xf numFmtId="0" fontId="3" fillId="0" borderId="6" xfId="2" applyFont="1" applyBorder="1"/>
    <xf numFmtId="0" fontId="3" fillId="0" borderId="7" xfId="2" applyFont="1" applyBorder="1"/>
    <xf numFmtId="0" fontId="3" fillId="0" borderId="8" xfId="2" applyFont="1" applyBorder="1"/>
    <xf numFmtId="0" fontId="3" fillId="0" borderId="9" xfId="2" applyFont="1" applyBorder="1"/>
    <xf numFmtId="0" fontId="3" fillId="0" borderId="10" xfId="2" applyFont="1" applyBorder="1"/>
    <xf numFmtId="164" fontId="3" fillId="0" borderId="9" xfId="2" applyNumberFormat="1" applyFont="1" applyBorder="1"/>
    <xf numFmtId="0" fontId="4" fillId="10" borderId="0" xfId="2" applyFont="1" applyFill="1" applyAlignment="1">
      <alignment horizontal="right"/>
    </xf>
    <xf numFmtId="0" fontId="4" fillId="0" borderId="0" xfId="2" applyFont="1" applyAlignment="1">
      <alignment horizontal="right"/>
    </xf>
    <xf numFmtId="0" fontId="3" fillId="0" borderId="11" xfId="2" applyFont="1" applyBorder="1"/>
    <xf numFmtId="0" fontId="3" fillId="0" borderId="12" xfId="2" applyFont="1" applyBorder="1"/>
    <xf numFmtId="0" fontId="3" fillId="0" borderId="13" xfId="2" applyFont="1" applyBorder="1"/>
    <xf numFmtId="0" fontId="4" fillId="0" borderId="0" xfId="2" applyFont="1"/>
    <xf numFmtId="0" fontId="3" fillId="0" borderId="0" xfId="2" applyFont="1" applyAlignment="1">
      <alignment vertical="top"/>
    </xf>
    <xf numFmtId="0" fontId="9" fillId="0" borderId="0" xfId="0" applyFont="1"/>
    <xf numFmtId="0" fontId="8" fillId="0" borderId="30" xfId="0" applyFont="1" applyBorder="1"/>
    <xf numFmtId="0" fontId="8" fillId="0" borderId="31" xfId="0" applyFont="1" applyBorder="1"/>
    <xf numFmtId="0" fontId="8" fillId="0" borderId="32" xfId="0" applyFont="1" applyBorder="1" applyAlignment="1">
      <alignment vertical="top"/>
    </xf>
    <xf numFmtId="0" fontId="8" fillId="0" borderId="0" xfId="0" applyFont="1"/>
    <xf numFmtId="168" fontId="8" fillId="0" borderId="0" xfId="0" applyNumberFormat="1" applyFont="1"/>
    <xf numFmtId="2" fontId="8" fillId="0" borderId="0" xfId="0" applyNumberFormat="1" applyFont="1"/>
    <xf numFmtId="0" fontId="9" fillId="0" borderId="33" xfId="0" applyFont="1" applyBorder="1"/>
    <xf numFmtId="0" fontId="9" fillId="0" borderId="29" xfId="0" applyFont="1" applyBorder="1"/>
    <xf numFmtId="2" fontId="9" fillId="0" borderId="29" xfId="0" applyNumberFormat="1" applyFont="1" applyBorder="1"/>
    <xf numFmtId="2" fontId="9" fillId="0" borderId="34" xfId="0" applyNumberFormat="1" applyFont="1" applyBorder="1"/>
    <xf numFmtId="2" fontId="9" fillId="0" borderId="0" xfId="0" applyNumberFormat="1" applyFont="1"/>
    <xf numFmtId="0" fontId="9" fillId="0" borderId="33" xfId="0" applyFont="1" applyBorder="1" applyAlignment="1">
      <alignment vertical="top"/>
    </xf>
    <xf numFmtId="0" fontId="9" fillId="0" borderId="29" xfId="0" applyFont="1" applyBorder="1" applyAlignment="1">
      <alignment vertical="top"/>
    </xf>
    <xf numFmtId="0" fontId="9" fillId="0" borderId="34" xfId="0" applyFont="1" applyBorder="1" applyAlignment="1">
      <alignment vertical="top"/>
    </xf>
    <xf numFmtId="0" fontId="9" fillId="0" borderId="0" xfId="0" applyFont="1" applyAlignment="1">
      <alignment vertical="top"/>
    </xf>
    <xf numFmtId="0" fontId="9" fillId="0" borderId="34" xfId="0" applyFont="1" applyBorder="1"/>
    <xf numFmtId="0" fontId="9" fillId="0" borderId="35" xfId="0" applyFont="1" applyBorder="1"/>
    <xf numFmtId="0" fontId="9" fillId="0" borderId="36" xfId="0" applyFont="1" applyBorder="1"/>
    <xf numFmtId="0" fontId="9" fillId="0" borderId="37" xfId="0" applyFont="1" applyBorder="1"/>
    <xf numFmtId="0" fontId="9" fillId="0" borderId="30" xfId="0" applyFont="1" applyBorder="1"/>
    <xf numFmtId="0" fontId="9" fillId="0" borderId="31" xfId="0" applyFont="1" applyBorder="1"/>
    <xf numFmtId="169" fontId="9" fillId="0" borderId="31" xfId="0" applyNumberFormat="1" applyFont="1" applyBorder="1"/>
    <xf numFmtId="0" fontId="9" fillId="0" borderId="32" xfId="0" applyFont="1" applyBorder="1"/>
    <xf numFmtId="169" fontId="9" fillId="0" borderId="29" xfId="0" applyNumberFormat="1" applyFont="1" applyBorder="1"/>
    <xf numFmtId="0" fontId="13" fillId="0" borderId="29" xfId="0" applyFont="1" applyBorder="1"/>
    <xf numFmtId="169" fontId="9" fillId="0" borderId="29" xfId="0" applyNumberFormat="1" applyFont="1" applyBorder="1" applyAlignment="1">
      <alignment vertical="top"/>
    </xf>
    <xf numFmtId="0" fontId="13" fillId="0" borderId="29" xfId="0" applyFont="1" applyBorder="1" applyAlignment="1">
      <alignment vertical="top"/>
    </xf>
    <xf numFmtId="0" fontId="14" fillId="0" borderId="29" xfId="0" applyFont="1" applyBorder="1" applyAlignment="1">
      <alignment vertical="top"/>
    </xf>
    <xf numFmtId="0" fontId="9" fillId="0" borderId="29" xfId="0" applyFont="1" applyBorder="1" applyAlignment="1">
      <alignment horizontal="right" vertical="top"/>
    </xf>
    <xf numFmtId="0" fontId="9" fillId="0" borderId="34" xfId="0" applyFont="1" applyBorder="1" applyAlignment="1">
      <alignment horizontal="right" vertical="top"/>
    </xf>
    <xf numFmtId="0" fontId="9" fillId="0" borderId="29" xfId="0" applyFont="1" applyBorder="1" applyAlignment="1">
      <alignment vertical="top" wrapText="1"/>
    </xf>
    <xf numFmtId="0" fontId="4" fillId="4" borderId="31" xfId="0" applyFont="1" applyFill="1" applyBorder="1" applyAlignment="1">
      <alignment vertical="center" wrapText="1"/>
    </xf>
    <xf numFmtId="0" fontId="4" fillId="4" borderId="29" xfId="0" applyFont="1" applyFill="1" applyBorder="1" applyAlignment="1">
      <alignment vertical="center" wrapText="1"/>
    </xf>
    <xf numFmtId="0" fontId="4" fillId="4" borderId="29" xfId="0" applyFont="1" applyFill="1" applyBorder="1" applyAlignment="1">
      <alignment wrapText="1"/>
    </xf>
    <xf numFmtId="0" fontId="4" fillId="4" borderId="29" xfId="0" applyFont="1" applyFill="1" applyBorder="1" applyAlignment="1">
      <alignment vertical="center"/>
    </xf>
    <xf numFmtId="0" fontId="4" fillId="4" borderId="36" xfId="0" applyFont="1" applyFill="1" applyBorder="1" applyAlignment="1">
      <alignment vertical="center" wrapText="1"/>
    </xf>
    <xf numFmtId="0" fontId="4" fillId="4" borderId="30" xfId="0" applyFont="1" applyFill="1" applyBorder="1" applyAlignment="1">
      <alignment vertical="center" wrapText="1"/>
    </xf>
    <xf numFmtId="0" fontId="4" fillId="4" borderId="40" xfId="0" applyFont="1" applyFill="1" applyBorder="1" applyAlignment="1">
      <alignment vertical="center" wrapText="1"/>
    </xf>
    <xf numFmtId="0" fontId="4" fillId="4" borderId="32" xfId="0" applyFont="1" applyFill="1" applyBorder="1" applyAlignment="1">
      <alignment vertical="center" wrapText="1"/>
    </xf>
    <xf numFmtId="0" fontId="4" fillId="4" borderId="33" xfId="0" applyFont="1" applyFill="1" applyBorder="1" applyAlignment="1">
      <alignment wrapText="1"/>
    </xf>
    <xf numFmtId="0" fontId="15" fillId="4" borderId="29" xfId="0" applyFont="1" applyFill="1" applyBorder="1"/>
    <xf numFmtId="0" fontId="3" fillId="4" borderId="0" xfId="2" applyFont="1" applyFill="1" applyAlignment="1">
      <alignment vertical="top"/>
    </xf>
    <xf numFmtId="0" fontId="4" fillId="4" borderId="29" xfId="0" applyFont="1" applyFill="1" applyBorder="1"/>
    <xf numFmtId="0" fontId="4" fillId="4" borderId="42" xfId="0" applyFont="1" applyFill="1" applyBorder="1"/>
    <xf numFmtId="0" fontId="4" fillId="4" borderId="39" xfId="0" applyFont="1" applyFill="1" applyBorder="1"/>
    <xf numFmtId="0" fontId="4" fillId="4" borderId="41" xfId="0" applyFont="1" applyFill="1" applyBorder="1"/>
    <xf numFmtId="0" fontId="4" fillId="4" borderId="46" xfId="0" applyFont="1" applyFill="1" applyBorder="1"/>
    <xf numFmtId="0" fontId="4" fillId="4" borderId="38" xfId="0" applyFont="1" applyFill="1" applyBorder="1"/>
    <xf numFmtId="0" fontId="4" fillId="4" borderId="43" xfId="0" applyFont="1" applyFill="1" applyBorder="1"/>
    <xf numFmtId="0" fontId="4" fillId="4" borderId="33" xfId="0" applyFont="1" applyFill="1" applyBorder="1" applyAlignment="1">
      <alignment vertical="center"/>
    </xf>
    <xf numFmtId="0" fontId="4" fillId="4" borderId="34" xfId="0" applyFont="1" applyFill="1" applyBorder="1" applyAlignment="1">
      <alignment vertical="center" wrapText="1"/>
    </xf>
    <xf numFmtId="0" fontId="4" fillId="4" borderId="33" xfId="0" applyFont="1" applyFill="1" applyBorder="1" applyAlignment="1">
      <alignment vertical="center" wrapText="1"/>
    </xf>
    <xf numFmtId="49" fontId="4" fillId="4" borderId="38" xfId="0" applyNumberFormat="1" applyFont="1" applyFill="1" applyBorder="1"/>
    <xf numFmtId="0" fontId="4" fillId="4" borderId="35" xfId="0" applyFont="1" applyFill="1" applyBorder="1" applyAlignment="1">
      <alignment vertical="center" wrapText="1"/>
    </xf>
    <xf numFmtId="0" fontId="4" fillId="4" borderId="39" xfId="0" applyFont="1" applyFill="1" applyBorder="1" applyAlignment="1">
      <alignment vertical="center" wrapText="1"/>
    </xf>
    <xf numFmtId="0" fontId="4" fillId="4" borderId="37" xfId="0" applyFont="1" applyFill="1" applyBorder="1" applyAlignment="1">
      <alignment vertical="center" wrapText="1"/>
    </xf>
    <xf numFmtId="0" fontId="4" fillId="4" borderId="47" xfId="0" applyFont="1" applyFill="1" applyBorder="1"/>
    <xf numFmtId="0" fontId="4" fillId="4" borderId="28" xfId="0" applyFont="1" applyFill="1" applyBorder="1"/>
    <xf numFmtId="0" fontId="4" fillId="4" borderId="48" xfId="0" applyFont="1" applyFill="1" applyBorder="1"/>
    <xf numFmtId="0" fontId="4" fillId="4" borderId="34" xfId="0" applyFont="1" applyFill="1" applyBorder="1"/>
    <xf numFmtId="0" fontId="4" fillId="4" borderId="33" xfId="0" applyFont="1" applyFill="1" applyBorder="1"/>
    <xf numFmtId="0" fontId="4" fillId="4" borderId="35" xfId="0" applyFont="1" applyFill="1" applyBorder="1"/>
    <xf numFmtId="0" fontId="4" fillId="4" borderId="36" xfId="0" applyFont="1" applyFill="1" applyBorder="1"/>
    <xf numFmtId="0" fontId="4" fillId="4" borderId="37" xfId="0" applyFont="1" applyFill="1" applyBorder="1"/>
    <xf numFmtId="0" fontId="4" fillId="4" borderId="40" xfId="0" applyFont="1" applyFill="1" applyBorder="1"/>
    <xf numFmtId="0" fontId="15" fillId="4" borderId="30" xfId="0" applyFont="1" applyFill="1" applyBorder="1"/>
    <xf numFmtId="0" fontId="15" fillId="4" borderId="31" xfId="0" applyFont="1" applyFill="1" applyBorder="1"/>
    <xf numFmtId="0" fontId="15" fillId="4" borderId="32" xfId="0" applyFont="1" applyFill="1" applyBorder="1"/>
    <xf numFmtId="0" fontId="15" fillId="4" borderId="33" xfId="0" applyFont="1" applyFill="1" applyBorder="1"/>
    <xf numFmtId="14" fontId="15" fillId="4" borderId="34" xfId="0" applyNumberFormat="1" applyFont="1" applyFill="1" applyBorder="1"/>
    <xf numFmtId="0" fontId="15" fillId="4" borderId="35" xfId="0" applyFont="1" applyFill="1" applyBorder="1"/>
    <xf numFmtId="0" fontId="15" fillId="4" borderId="36" xfId="0" applyFont="1" applyFill="1" applyBorder="1"/>
    <xf numFmtId="14" fontId="15" fillId="4" borderId="37" xfId="0" applyNumberFormat="1" applyFont="1" applyFill="1" applyBorder="1"/>
    <xf numFmtId="0" fontId="4" fillId="4" borderId="0" xfId="0" applyFont="1" applyFill="1"/>
    <xf numFmtId="0" fontId="16" fillId="0" borderId="0" xfId="0" applyFont="1" applyAlignment="1">
      <alignment vertical="center"/>
    </xf>
    <xf numFmtId="0" fontId="17" fillId="2" borderId="5" xfId="0" applyFont="1" applyFill="1" applyBorder="1" applyAlignment="1">
      <alignment vertical="center" wrapText="1"/>
    </xf>
    <xf numFmtId="0" fontId="17" fillId="0" borderId="5" xfId="0" applyFont="1" applyBorder="1" applyAlignment="1">
      <alignment vertical="center" wrapText="1"/>
    </xf>
    <xf numFmtId="0" fontId="17" fillId="3" borderId="5" xfId="0" applyFont="1" applyFill="1" applyBorder="1" applyAlignment="1">
      <alignment vertical="center" wrapText="1"/>
    </xf>
    <xf numFmtId="0" fontId="3" fillId="0" borderId="0" xfId="2" applyFont="1" applyAlignment="1">
      <alignment vertical="top" wrapText="1"/>
    </xf>
    <xf numFmtId="0" fontId="9" fillId="0" borderId="0" xfId="0" applyFont="1" applyAlignment="1">
      <alignment horizontal="left"/>
    </xf>
    <xf numFmtId="0" fontId="16" fillId="0" borderId="0" xfId="0" applyFont="1" applyAlignment="1">
      <alignment horizontal="left"/>
    </xf>
    <xf numFmtId="0" fontId="16" fillId="0" borderId="0" xfId="0" applyFont="1" applyAlignment="1">
      <alignment horizontal="left" wrapText="1"/>
    </xf>
    <xf numFmtId="0" fontId="8" fillId="0" borderId="0" xfId="0" applyFont="1" applyAlignment="1">
      <alignment horizontal="left" wrapText="1"/>
    </xf>
    <xf numFmtId="0" fontId="15" fillId="0" borderId="0" xfId="0" applyFont="1" applyAlignment="1">
      <alignment horizontal="left"/>
    </xf>
    <xf numFmtId="0" fontId="18" fillId="0" borderId="14" xfId="0" applyFont="1" applyBorder="1"/>
    <xf numFmtId="0" fontId="18" fillId="0" borderId="15" xfId="0" applyFont="1" applyBorder="1"/>
    <xf numFmtId="0" fontId="18" fillId="0" borderId="14" xfId="0" applyFont="1" applyBorder="1" applyAlignment="1">
      <alignment horizontal="center"/>
    </xf>
    <xf numFmtId="0" fontId="18" fillId="0" borderId="15" xfId="0" applyFont="1" applyBorder="1" applyAlignment="1">
      <alignment horizontal="center"/>
    </xf>
    <xf numFmtId="0" fontId="18" fillId="0" borderId="16" xfId="0" applyFont="1" applyBorder="1" applyAlignment="1">
      <alignment horizontal="center"/>
    </xf>
    <xf numFmtId="0" fontId="19" fillId="0" borderId="17" xfId="0" applyFont="1" applyBorder="1"/>
    <xf numFmtId="0" fontId="18" fillId="0" borderId="18" xfId="0" applyFont="1" applyBorder="1"/>
    <xf numFmtId="0" fontId="19" fillId="0" borderId="19" xfId="0" applyFont="1" applyBorder="1"/>
    <xf numFmtId="9" fontId="19" fillId="0" borderId="17" xfId="1" applyFont="1" applyBorder="1" applyAlignment="1">
      <alignment horizontal="center"/>
    </xf>
    <xf numFmtId="9" fontId="19" fillId="0" borderId="18" xfId="1" applyFont="1" applyBorder="1" applyAlignment="1">
      <alignment horizontal="center"/>
    </xf>
    <xf numFmtId="9" fontId="19" fillId="0" borderId="19" xfId="1" applyFont="1" applyBorder="1" applyAlignment="1">
      <alignment horizontal="center"/>
    </xf>
    <xf numFmtId="0" fontId="19" fillId="0" borderId="0" xfId="0" applyFont="1"/>
    <xf numFmtId="0" fontId="19" fillId="0" borderId="1" xfId="0" applyFont="1" applyBorder="1"/>
    <xf numFmtId="0" fontId="18" fillId="0" borderId="0" xfId="0" applyFont="1"/>
    <xf numFmtId="0" fontId="19" fillId="0" borderId="2" xfId="0" applyFont="1" applyBorder="1"/>
    <xf numFmtId="9" fontId="19" fillId="0" borderId="1" xfId="1" applyFont="1" applyBorder="1" applyAlignment="1">
      <alignment horizontal="center"/>
    </xf>
    <xf numFmtId="9" fontId="19" fillId="0" borderId="0" xfId="1" applyFont="1" applyBorder="1" applyAlignment="1">
      <alignment horizontal="center"/>
    </xf>
    <xf numFmtId="9" fontId="19" fillId="0" borderId="2" xfId="1" applyFont="1" applyBorder="1" applyAlignment="1">
      <alignment horizontal="center"/>
    </xf>
    <xf numFmtId="0" fontId="19" fillId="0" borderId="20" xfId="0" applyFont="1" applyBorder="1"/>
    <xf numFmtId="0" fontId="18" fillId="0" borderId="3" xfId="0" applyFont="1" applyBorder="1"/>
    <xf numFmtId="0" fontId="19" fillId="0" borderId="4" xfId="0" applyFont="1" applyBorder="1"/>
    <xf numFmtId="9" fontId="19" fillId="0" borderId="20" xfId="1" applyFont="1" applyBorder="1" applyAlignment="1">
      <alignment horizontal="center"/>
    </xf>
    <xf numFmtId="9" fontId="19" fillId="0" borderId="3" xfId="1" applyFont="1" applyBorder="1" applyAlignment="1">
      <alignment horizontal="center"/>
    </xf>
    <xf numFmtId="9" fontId="19" fillId="0" borderId="4" xfId="1" applyFont="1" applyBorder="1" applyAlignment="1">
      <alignment horizontal="center"/>
    </xf>
    <xf numFmtId="0" fontId="19" fillId="0" borderId="0" xfId="0" applyFont="1" applyAlignment="1">
      <alignment horizontal="center"/>
    </xf>
    <xf numFmtId="0" fontId="9" fillId="4" borderId="0" xfId="0" applyFont="1" applyFill="1"/>
    <xf numFmtId="0" fontId="9" fillId="4" borderId="29" xfId="0" applyFont="1" applyFill="1" applyBorder="1"/>
    <xf numFmtId="0" fontId="17" fillId="0" borderId="28" xfId="0" applyFont="1" applyBorder="1" applyAlignment="1">
      <alignment readingOrder="1"/>
    </xf>
    <xf numFmtId="0" fontId="17" fillId="0" borderId="21" xfId="0" applyFont="1" applyBorder="1" applyAlignment="1">
      <alignment readingOrder="1"/>
    </xf>
    <xf numFmtId="0" fontId="17" fillId="0" borderId="26" xfId="0" applyFont="1" applyBorder="1" applyAlignment="1">
      <alignment readingOrder="1"/>
    </xf>
    <xf numFmtId="0" fontId="20" fillId="0" borderId="28" xfId="0" applyFont="1" applyBorder="1" applyAlignment="1">
      <alignment readingOrder="1"/>
    </xf>
    <xf numFmtId="0" fontId="20" fillId="0" borderId="26" xfId="0" applyFont="1" applyBorder="1" applyAlignment="1">
      <alignment readingOrder="1"/>
    </xf>
    <xf numFmtId="11" fontId="9" fillId="0" borderId="0" xfId="0" applyNumberFormat="1" applyFont="1"/>
    <xf numFmtId="0" fontId="9" fillId="0" borderId="0" xfId="0" applyFont="1" applyAlignment="1">
      <alignment wrapText="1"/>
    </xf>
    <xf numFmtId="11" fontId="9" fillId="4" borderId="0" xfId="0" applyNumberFormat="1" applyFont="1" applyFill="1"/>
    <xf numFmtId="0" fontId="21" fillId="0" borderId="0" xfId="0" applyFont="1"/>
    <xf numFmtId="0" fontId="21" fillId="0" borderId="0" xfId="0" applyFont="1" applyAlignment="1">
      <alignment wrapText="1"/>
    </xf>
    <xf numFmtId="0" fontId="22" fillId="0" borderId="0" xfId="0" applyFont="1"/>
    <xf numFmtId="0" fontId="22" fillId="0" borderId="0" xfId="0" applyFont="1" applyAlignment="1">
      <alignment wrapText="1"/>
    </xf>
    <xf numFmtId="0" fontId="15" fillId="0" borderId="0" xfId="0" applyFont="1" applyAlignment="1">
      <alignment wrapText="1"/>
    </xf>
    <xf numFmtId="0" fontId="23" fillId="0" borderId="0" xfId="0" applyFont="1"/>
    <xf numFmtId="0" fontId="9" fillId="0" borderId="6" xfId="2" applyFont="1" applyBorder="1" applyAlignment="1">
      <alignment horizontal="left" vertical="top" wrapText="1"/>
    </xf>
    <xf numFmtId="0" fontId="9" fillId="0" borderId="7" xfId="2" applyFont="1" applyBorder="1" applyAlignment="1">
      <alignment horizontal="left" vertical="top" wrapText="1"/>
    </xf>
    <xf numFmtId="0" fontId="9" fillId="0" borderId="8" xfId="2" applyFont="1" applyBorder="1" applyAlignment="1">
      <alignment horizontal="left" vertical="top" wrapText="1"/>
    </xf>
    <xf numFmtId="0" fontId="9" fillId="0" borderId="9" xfId="2" applyFont="1" applyBorder="1" applyAlignment="1">
      <alignment horizontal="left" vertical="top" wrapText="1"/>
    </xf>
    <xf numFmtId="0" fontId="9" fillId="0" borderId="0" xfId="2" applyFont="1" applyAlignment="1">
      <alignment horizontal="left" vertical="top" wrapText="1"/>
    </xf>
    <xf numFmtId="0" fontId="9" fillId="0" borderId="10" xfId="2" applyFont="1" applyBorder="1" applyAlignment="1">
      <alignment horizontal="left" vertical="top" wrapText="1"/>
    </xf>
    <xf numFmtId="0" fontId="9" fillId="0" borderId="11" xfId="2" applyFont="1" applyBorder="1" applyAlignment="1">
      <alignment horizontal="left" vertical="top" wrapText="1"/>
    </xf>
    <xf numFmtId="0" fontId="9" fillId="0" borderId="12" xfId="2" applyFont="1" applyBorder="1" applyAlignment="1">
      <alignment horizontal="left" vertical="top" wrapText="1"/>
    </xf>
    <xf numFmtId="0" fontId="9" fillId="0" borderId="13" xfId="2" applyFont="1" applyBorder="1" applyAlignment="1">
      <alignment horizontal="left" vertical="top" wrapText="1"/>
    </xf>
    <xf numFmtId="0" fontId="3" fillId="10" borderId="0" xfId="2" applyFont="1" applyFill="1" applyAlignment="1">
      <alignment horizontal="center"/>
    </xf>
    <xf numFmtId="0" fontId="9" fillId="0" borderId="6" xfId="0" applyFont="1" applyBorder="1" applyAlignment="1">
      <alignment horizontal="left" wrapText="1"/>
    </xf>
    <xf numFmtId="0" fontId="9" fillId="0" borderId="7" xfId="0" applyFont="1" applyBorder="1" applyAlignment="1">
      <alignment horizontal="left" wrapText="1"/>
    </xf>
    <xf numFmtId="0" fontId="9" fillId="0" borderId="8" xfId="0" applyFont="1" applyBorder="1" applyAlignment="1">
      <alignment horizontal="left" wrapText="1"/>
    </xf>
    <xf numFmtId="0" fontId="9" fillId="0" borderId="9" xfId="0" applyFont="1" applyBorder="1" applyAlignment="1">
      <alignment horizontal="left" wrapText="1"/>
    </xf>
    <xf numFmtId="0" fontId="9" fillId="0" borderId="0" xfId="0" applyFont="1" applyAlignment="1">
      <alignment horizontal="left" wrapText="1"/>
    </xf>
    <xf numFmtId="0" fontId="9" fillId="0" borderId="10" xfId="0" applyFont="1" applyBorder="1" applyAlignment="1">
      <alignment horizontal="left" wrapText="1"/>
    </xf>
    <xf numFmtId="0" fontId="9" fillId="0" borderId="11" xfId="0" applyFont="1" applyBorder="1" applyAlignment="1">
      <alignment horizontal="left" wrapText="1"/>
    </xf>
    <xf numFmtId="0" fontId="9" fillId="0" borderId="12" xfId="0" applyFont="1" applyBorder="1" applyAlignment="1">
      <alignment horizontal="left" wrapText="1"/>
    </xf>
    <xf numFmtId="0" fontId="9" fillId="0" borderId="13" xfId="0" applyFont="1" applyBorder="1" applyAlignment="1">
      <alignment horizontal="left" wrapText="1"/>
    </xf>
    <xf numFmtId="0" fontId="4" fillId="4" borderId="44" xfId="0" applyFont="1" applyFill="1" applyBorder="1" applyAlignment="1">
      <alignment vertical="center"/>
    </xf>
    <xf numFmtId="0" fontId="4" fillId="4" borderId="12" xfId="0" applyFont="1" applyFill="1" applyBorder="1" applyAlignment="1">
      <alignment vertical="center"/>
    </xf>
    <xf numFmtId="0" fontId="4" fillId="4" borderId="45" xfId="0" applyFont="1" applyFill="1" applyBorder="1" applyAlignment="1">
      <alignment vertical="center"/>
    </xf>
    <xf numFmtId="0" fontId="15" fillId="4" borderId="6" xfId="0" applyFont="1" applyFill="1" applyBorder="1" applyAlignment="1">
      <alignment vertical="top" wrapText="1"/>
    </xf>
    <xf numFmtId="0" fontId="15" fillId="4" borderId="7" xfId="0" applyFont="1" applyFill="1" applyBorder="1" applyAlignment="1">
      <alignment vertical="top" wrapText="1"/>
    </xf>
    <xf numFmtId="0" fontId="15" fillId="4" borderId="8" xfId="0" applyFont="1" applyFill="1" applyBorder="1" applyAlignment="1">
      <alignment vertical="top" wrapText="1"/>
    </xf>
    <xf numFmtId="0" fontId="15" fillId="4" borderId="9" xfId="0" applyFont="1" applyFill="1" applyBorder="1" applyAlignment="1">
      <alignment vertical="top" wrapText="1"/>
    </xf>
    <xf numFmtId="0" fontId="15" fillId="4" borderId="0" xfId="0" applyFont="1" applyFill="1" applyAlignment="1">
      <alignment vertical="top" wrapText="1"/>
    </xf>
    <xf numFmtId="0" fontId="15" fillId="4" borderId="10" xfId="0" applyFont="1" applyFill="1" applyBorder="1" applyAlignment="1">
      <alignment vertical="top" wrapText="1"/>
    </xf>
    <xf numFmtId="0" fontId="15" fillId="4" borderId="11" xfId="0" applyFont="1" applyFill="1" applyBorder="1" applyAlignment="1">
      <alignment vertical="top" wrapText="1"/>
    </xf>
    <xf numFmtId="0" fontId="15" fillId="4" borderId="12" xfId="0" applyFont="1" applyFill="1" applyBorder="1" applyAlignment="1">
      <alignment vertical="top" wrapText="1"/>
    </xf>
    <xf numFmtId="0" fontId="15" fillId="4" borderId="13" xfId="0" applyFont="1" applyFill="1" applyBorder="1" applyAlignment="1">
      <alignment vertical="top" wrapText="1"/>
    </xf>
    <xf numFmtId="0" fontId="9" fillId="0" borderId="6" xfId="0" applyFont="1" applyBorder="1" applyAlignment="1">
      <alignment vertical="top"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0" xfId="0" applyFont="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12" xfId="0" applyFont="1" applyBorder="1" applyAlignment="1">
      <alignment vertical="top" wrapText="1"/>
    </xf>
    <xf numFmtId="0" fontId="9" fillId="0" borderId="13" xfId="0" applyFont="1" applyBorder="1" applyAlignment="1">
      <alignmen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2" xfId="0" applyFont="1" applyBorder="1" applyAlignment="1">
      <alignment horizontal="left" vertical="top" wrapText="1"/>
    </xf>
    <xf numFmtId="0" fontId="9" fillId="0" borderId="13" xfId="0" applyFont="1" applyBorder="1" applyAlignment="1">
      <alignment horizontal="left" vertical="top" wrapText="1"/>
    </xf>
    <xf numFmtId="0" fontId="9" fillId="4" borderId="6" xfId="0" applyFont="1" applyFill="1" applyBorder="1" applyAlignment="1">
      <alignment horizontal="left" vertical="top" wrapText="1"/>
    </xf>
    <xf numFmtId="0" fontId="9" fillId="4" borderId="7" xfId="0" applyFont="1" applyFill="1" applyBorder="1" applyAlignment="1">
      <alignment horizontal="left" vertical="top" wrapText="1"/>
    </xf>
    <xf numFmtId="0" fontId="9" fillId="4" borderId="8" xfId="0" applyFont="1" applyFill="1" applyBorder="1" applyAlignment="1">
      <alignment horizontal="left" vertical="top" wrapText="1"/>
    </xf>
    <xf numFmtId="0" fontId="9" fillId="4" borderId="9" xfId="0" applyFont="1" applyFill="1" applyBorder="1" applyAlignment="1">
      <alignment horizontal="left" vertical="top" wrapText="1"/>
    </xf>
    <xf numFmtId="0" fontId="9" fillId="4" borderId="0" xfId="0" applyFont="1" applyFill="1" applyAlignment="1">
      <alignment horizontal="left" vertical="top" wrapText="1"/>
    </xf>
    <xf numFmtId="0" fontId="9" fillId="4" borderId="10" xfId="0" applyFont="1" applyFill="1" applyBorder="1" applyAlignment="1">
      <alignment horizontal="left" vertical="top" wrapText="1"/>
    </xf>
    <xf numFmtId="0" fontId="9" fillId="4" borderId="11" xfId="0" applyFont="1" applyFill="1" applyBorder="1" applyAlignment="1">
      <alignment horizontal="left" vertical="top" wrapText="1"/>
    </xf>
    <xf numFmtId="0" fontId="9" fillId="4" borderId="12" xfId="0" applyFont="1" applyFill="1" applyBorder="1" applyAlignment="1">
      <alignment horizontal="left" vertical="top" wrapText="1"/>
    </xf>
    <xf numFmtId="0" fontId="9" fillId="4" borderId="13" xfId="0" applyFont="1" applyFill="1" applyBorder="1" applyAlignment="1">
      <alignment horizontal="left" vertical="top" wrapText="1"/>
    </xf>
    <xf numFmtId="0" fontId="17" fillId="0" borderId="22" xfId="0" applyFont="1" applyBorder="1" applyAlignment="1">
      <alignment readingOrder="1"/>
    </xf>
    <xf numFmtId="0" fontId="17" fillId="0" borderId="23" xfId="0" applyFont="1" applyBorder="1" applyAlignment="1">
      <alignment readingOrder="1"/>
    </xf>
    <xf numFmtId="0" fontId="17" fillId="0" borderId="24" xfId="0" applyFont="1" applyBorder="1" applyAlignment="1">
      <alignment readingOrder="1"/>
    </xf>
    <xf numFmtId="0" fontId="17" fillId="0" borderId="25" xfId="0" applyFont="1" applyBorder="1" applyAlignment="1">
      <alignment readingOrder="1"/>
    </xf>
    <xf numFmtId="0" fontId="17" fillId="0" borderId="27" xfId="0" applyFont="1" applyBorder="1" applyAlignment="1">
      <alignment readingOrder="1"/>
    </xf>
    <xf numFmtId="0" fontId="9" fillId="11" borderId="0" xfId="0" applyFont="1" applyFill="1" applyAlignment="1">
      <alignment horizontal="center" wrapText="1"/>
    </xf>
    <xf numFmtId="0" fontId="0" fillId="0" borderId="0" xfId="0" applyAlignment="1"/>
    <xf numFmtId="0" fontId="16" fillId="0" borderId="0" xfId="0" applyFont="1" applyAlignment="1">
      <alignment wrapText="1"/>
    </xf>
    <xf numFmtId="0" fontId="15" fillId="0" borderId="0" xfId="0" applyFont="1" applyAlignment="1">
      <alignment horizontal="center" wrapText="1"/>
    </xf>
    <xf numFmtId="0" fontId="26" fillId="0" borderId="0" xfId="0" applyFont="1" applyAlignment="1">
      <alignment wrapText="1"/>
    </xf>
    <xf numFmtId="0" fontId="0" fillId="0" borderId="0" xfId="0" applyFont="1" applyAlignment="1">
      <alignment wrapText="1"/>
    </xf>
    <xf numFmtId="0" fontId="27" fillId="0" borderId="29" xfId="0" applyFont="1" applyBorder="1" applyAlignment="1">
      <alignment wrapText="1"/>
    </xf>
    <xf numFmtId="0" fontId="27" fillId="3" borderId="29" xfId="0" applyFont="1" applyFill="1" applyBorder="1" applyAlignment="1">
      <alignment wrapText="1"/>
    </xf>
    <xf numFmtId="0" fontId="15" fillId="0" borderId="29" xfId="0" applyFont="1" applyBorder="1" applyAlignment="1">
      <alignment wrapText="1"/>
    </xf>
    <xf numFmtId="0" fontId="4" fillId="0" borderId="0" xfId="2" applyFont="1" applyAlignment="1"/>
    <xf numFmtId="0" fontId="3" fillId="0" borderId="0" xfId="2" applyFont="1" applyAlignment="1"/>
  </cellXfs>
  <cellStyles count="3">
    <cellStyle name="Normal" xfId="0" builtinId="0"/>
    <cellStyle name="Normal 2 2" xfId="2" xr:uid="{0374597D-1127-4660-A13C-AAD4D345BA02}"/>
    <cellStyle name="Percent" xfId="1" builtinId="5"/>
  </cellStyles>
  <dxfs count="16">
    <dxf>
      <fill>
        <patternFill>
          <fgColor rgb="FFFF0000"/>
          <bgColor rgb="FF7030A0"/>
        </patternFill>
      </fill>
    </dxf>
    <dxf>
      <fill>
        <patternFill>
          <fgColor rgb="FFFF0000"/>
          <bgColor theme="8" tint="0.39994506668294322"/>
        </patternFill>
      </fill>
    </dxf>
    <dxf>
      <fill>
        <patternFill>
          <fgColor rgb="FFFF0000"/>
          <bgColor rgb="FF00B0F0"/>
        </patternFill>
      </fill>
    </dxf>
    <dxf>
      <fill>
        <patternFill>
          <fgColor rgb="FFFF0000"/>
          <bgColor rgb="FF92D050"/>
        </patternFill>
      </fill>
    </dxf>
    <dxf>
      <fill>
        <patternFill>
          <fgColor rgb="FFFF0000"/>
          <bgColor rgb="FFFFFF00"/>
        </patternFill>
      </fill>
    </dxf>
    <dxf>
      <fill>
        <patternFill>
          <fgColor rgb="FFFF0000"/>
          <bgColor rgb="FFFFC000"/>
        </patternFill>
      </fill>
    </dxf>
    <dxf>
      <fill>
        <patternFill>
          <fgColor rgb="FFFF0000"/>
          <bgColor rgb="FFFF0000"/>
        </patternFill>
      </fill>
    </dxf>
    <dxf>
      <fill>
        <patternFill>
          <bgColor theme="0"/>
        </patternFill>
      </fill>
    </dxf>
    <dxf>
      <fill>
        <patternFill>
          <fgColor rgb="FFFF0000"/>
          <bgColor rgb="FF7030A0"/>
        </patternFill>
      </fill>
    </dxf>
    <dxf>
      <fill>
        <patternFill>
          <fgColor rgb="FFFF0000"/>
          <bgColor theme="8" tint="0.39994506668294322"/>
        </patternFill>
      </fill>
    </dxf>
    <dxf>
      <fill>
        <patternFill>
          <fgColor rgb="FFFF0000"/>
          <bgColor rgb="FF00B0F0"/>
        </patternFill>
      </fill>
    </dxf>
    <dxf>
      <fill>
        <patternFill>
          <fgColor rgb="FFFF0000"/>
          <bgColor rgb="FF92D050"/>
        </patternFill>
      </fill>
    </dxf>
    <dxf>
      <fill>
        <patternFill>
          <fgColor rgb="FFFF0000"/>
          <bgColor rgb="FFFFFF00"/>
        </patternFill>
      </fill>
    </dxf>
    <dxf>
      <fill>
        <patternFill>
          <fgColor rgb="FFFF0000"/>
          <bgColor rgb="FFFFC000"/>
        </patternFill>
      </fill>
    </dxf>
    <dxf>
      <fill>
        <patternFill>
          <fgColor rgb="FFFF0000"/>
          <bgColor rgb="FFFF000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1.xml><?xml version="1.0" encoding="utf-8"?>
<Tasks xmlns="http://schemas.microsoft.com/office/tasks/2019/documenttasks">
  <Task id="{9F12FC38-2D34-449F-BC4E-A6D413C6B731}">
    <Anchor>
      <Comment id="{42B2C3A9-E017-4F39-B108-90A5057973E4}"/>
    </Anchor>
    <History>
      <Event time="2024-10-22T11:21:55.89" id="{E32AC427-670B-4E00-A25E-BB8EEDDF52F0}">
        <Attribution userId="S::jhuber@whoi.edu::576aad98-aa82-4eae-93e2-908dd823edd0" userName="Julie A Huber" userProvider="AD"/>
        <Anchor>
          <Comment id="{42B2C3A9-E017-4F39-B108-90A5057973E4}"/>
        </Anchor>
        <Create/>
      </Event>
      <Event time="2024-10-22T11:21:55.89" id="{30758F0E-48A0-4261-AF76-251AD28FB373}">
        <Attribution userId="S::jhuber@whoi.edu::576aad98-aa82-4eae-93e2-908dd823edd0" userName="Julie A Huber" userProvider="AD"/>
        <Anchor>
          <Comment id="{42B2C3A9-E017-4F39-B108-90A5057973E4}"/>
        </Anchor>
        <Assign userId="S::selkassas@whoi.edu::64cec9ec-ad9d-47f1-9172-ffa6c314dbf2" userName="Sabrina Elkassas" userProvider="AD"/>
      </Event>
      <Event time="2024-10-22T11:21:55.89" id="{ED677EA6-AE05-408A-8A11-A09F0B963C79}">
        <Attribution userId="S::jhuber@whoi.edu::576aad98-aa82-4eae-93e2-908dd823edd0" userName="Julie A Huber" userProvider="AD"/>
        <Anchor>
          <Comment id="{42B2C3A9-E017-4F39-B108-90A5057973E4}"/>
        </Anchor>
        <SetTitle title="@Sabrina Elkassas"/>
      </Event>
    </History>
  </Task>
  <Task id="{1640EE61-302F-4BBA-9907-6D2341839851}">
    <Anchor>
      <Comment id="{6BC7DFC2-F870-474D-B8AD-D4999EF1D7BB}"/>
    </Anchor>
    <History>
      <Event time="2024-10-22T11:19:37.58" id="{6B6FB186-5B68-4C7D-87FB-CD82DBD9B1A4}">
        <Attribution userId="S::jhuber@whoi.edu::576aad98-aa82-4eae-93e2-908dd823edd0" userName="Julie A Huber" userProvider="AD"/>
        <Anchor>
          <Comment id="{6BC7DFC2-F870-474D-B8AD-D4999EF1D7BB}"/>
        </Anchor>
        <Create/>
      </Event>
      <Event time="2024-10-22T11:19:37.58" id="{8F2B27DD-57BA-4D3B-B0BE-BFF57460F08A}">
        <Attribution userId="S::jhuber@whoi.edu::576aad98-aa82-4eae-93e2-908dd823edd0" userName="Julie A Huber" userProvider="AD"/>
        <Anchor>
          <Comment id="{6BC7DFC2-F870-474D-B8AD-D4999EF1D7BB}"/>
        </Anchor>
        <Assign userId="S::selkassas@whoi.edu::64cec9ec-ad9d-47f1-9172-ffa6c314dbf2" userName="Sabrina Elkassas" userProvider="AD"/>
      </Event>
      <Event time="2024-10-22T11:19:37.58" id="{65922336-C647-47A4-8474-3D7EF757422C}">
        <Attribution userId="S::jhuber@whoi.edu::576aad98-aa82-4eae-93e2-908dd823edd0" userName="Julie A Huber" userProvider="AD"/>
        <Anchor>
          <Comment id="{6BC7DFC2-F870-474D-B8AD-D4999EF1D7BB}"/>
        </Anchor>
        <SetTitle title="@Sabrina Elkassas"/>
      </Event>
    </History>
  </Task>
</Tasks>
</file>

<file path=xl/persons/person.xml><?xml version="1.0" encoding="utf-8"?>
<personList xmlns="http://schemas.microsoft.com/office/spreadsheetml/2018/threadedcomments" xmlns:x="http://schemas.openxmlformats.org/spreadsheetml/2006/main">
  <person displayName="Sabrina Elkassas" id="{214D14E6-3F57-40EF-A74C-E6FEC6BE96AA}" userId="selkassas@whoi.edu" providerId="PeoplePicker"/>
  <person displayName="Julie A Huber" id="{A293A5DC-96EB-4411-A1B1-471E6FCC34C4}" userId="S::jhuber@whoi.edu::576aad98-aa82-4eae-93e2-908dd823edd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4" dT="2024-10-22T11:19:37.67" personId="{A293A5DC-96EB-4411-A1B1-471E6FCC34C4}" id="{6BC7DFC2-F870-474D-B8AD-D4999EF1D7BB}">
    <text xml:space="preserve">@Sabrina Elkassas </text>
    <mentions>
      <mention mentionpersonId="{214D14E6-3F57-40EF-A74C-E6FEC6BE96AA}" mentionId="{540F0D95-9F21-4B65-9B33-E17A462320E4}" startIndex="0" length="17"/>
    </mentions>
  </threadedComment>
  <threadedComment ref="K6" dT="2024-10-22T11:21:55.96" personId="{A293A5DC-96EB-4411-A1B1-471E6FCC34C4}" id="{42B2C3A9-E017-4F39-B108-90A5057973E4}">
    <text xml:space="preserve">@Sabrina Elkassas </text>
    <mentions>
      <mention mentionpersonId="{214D14E6-3F57-40EF-A74C-E6FEC6BE96AA}" mentionId="{38724F0C-E5F6-482D-A841-570ABA980643}" startIndex="0" length="17"/>
    </mentions>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9314-7740-4C3B-B6D0-68A8B2CDAEE8}">
  <dimension ref="A1:K18"/>
  <sheetViews>
    <sheetView tabSelected="1" topLeftCell="A8" workbookViewId="0">
      <selection activeCell="C20" sqref="C20"/>
    </sheetView>
  </sheetViews>
  <sheetFormatPr defaultRowHeight="15.75"/>
  <cols>
    <col min="1" max="1" width="18.75" customWidth="1"/>
    <col min="2" max="2" width="10.75" customWidth="1"/>
    <col min="3" max="3" width="22.25" customWidth="1"/>
    <col min="4" max="5" width="18.625" customWidth="1"/>
    <col min="6" max="6" width="22.625" customWidth="1"/>
    <col min="7" max="7" width="14.5" customWidth="1"/>
    <col min="8" max="8" width="14.75" customWidth="1"/>
    <col min="9" max="9" width="22.375" customWidth="1"/>
    <col min="10" max="10" width="16" customWidth="1"/>
    <col min="11" max="11" width="16.5" customWidth="1"/>
  </cols>
  <sheetData>
    <row r="1" spans="1:11" ht="24" customHeight="1">
      <c r="A1" s="304" t="s">
        <v>0</v>
      </c>
      <c r="B1" s="304"/>
      <c r="C1" s="304"/>
      <c r="D1" s="304"/>
      <c r="E1" s="304"/>
      <c r="F1" s="304"/>
      <c r="G1" s="304"/>
      <c r="H1" s="304"/>
      <c r="I1" s="303"/>
      <c r="J1" s="302"/>
    </row>
    <row r="2" spans="1:11" ht="19.5" customHeight="1">
      <c r="A2" s="304"/>
      <c r="B2" s="304"/>
      <c r="C2" s="304"/>
      <c r="D2" s="304"/>
      <c r="E2" s="304"/>
      <c r="F2" s="304"/>
      <c r="G2" s="304"/>
      <c r="H2" s="304"/>
      <c r="I2" s="303"/>
      <c r="J2" s="302"/>
    </row>
    <row r="3" spans="1:11" ht="22.5" customHeight="1">
      <c r="A3" s="304"/>
      <c r="B3" s="304"/>
      <c r="C3" s="304"/>
      <c r="D3" s="304"/>
      <c r="E3" s="304"/>
      <c r="F3" s="304"/>
      <c r="G3" s="304"/>
      <c r="H3" s="304"/>
      <c r="I3" s="303"/>
      <c r="J3" s="302"/>
    </row>
    <row r="4" spans="1:11" ht="17.25">
      <c r="A4" s="305" t="s">
        <v>1</v>
      </c>
      <c r="B4" s="306"/>
      <c r="C4" s="306"/>
      <c r="D4" s="306"/>
      <c r="E4" s="306"/>
      <c r="F4" s="306"/>
      <c r="G4" s="306"/>
      <c r="H4" s="306"/>
      <c r="I4" s="306"/>
      <c r="J4" s="306"/>
      <c r="K4" s="306"/>
    </row>
    <row r="5" spans="1:11" ht="30">
      <c r="A5" s="307" t="s">
        <v>2</v>
      </c>
      <c r="B5" s="307" t="s">
        <v>3</v>
      </c>
      <c r="C5" s="307" t="s">
        <v>4</v>
      </c>
      <c r="D5" s="307" t="s">
        <v>5</v>
      </c>
      <c r="E5" s="307" t="s">
        <v>5</v>
      </c>
      <c r="F5" s="307" t="s">
        <v>6</v>
      </c>
      <c r="G5" s="307" t="s">
        <v>7</v>
      </c>
      <c r="H5" s="307" t="s">
        <v>7</v>
      </c>
      <c r="I5" s="307" t="s">
        <v>8</v>
      </c>
      <c r="J5" s="307" t="s">
        <v>9</v>
      </c>
      <c r="K5" s="307" t="s">
        <v>9</v>
      </c>
    </row>
    <row r="6" spans="1:11">
      <c r="A6" s="307" t="s">
        <v>10</v>
      </c>
      <c r="B6" s="307" t="s">
        <v>11</v>
      </c>
      <c r="C6" s="307" t="s">
        <v>2</v>
      </c>
      <c r="D6" s="307" t="s">
        <v>12</v>
      </c>
      <c r="E6" s="308" t="s">
        <v>13</v>
      </c>
      <c r="F6" s="307" t="s">
        <v>2</v>
      </c>
      <c r="G6" s="307" t="s">
        <v>12</v>
      </c>
      <c r="H6" s="307" t="s">
        <v>13</v>
      </c>
      <c r="I6" s="307" t="s">
        <v>2</v>
      </c>
      <c r="J6" s="307" t="s">
        <v>12</v>
      </c>
      <c r="K6" s="307" t="s">
        <v>13</v>
      </c>
    </row>
    <row r="7" spans="1:11" ht="30">
      <c r="A7" s="307" t="s">
        <v>14</v>
      </c>
      <c r="B7" s="307" t="s">
        <v>15</v>
      </c>
      <c r="C7" s="307" t="s">
        <v>16</v>
      </c>
      <c r="D7" s="307" t="s">
        <v>17</v>
      </c>
      <c r="E7" s="307" t="s">
        <v>18</v>
      </c>
      <c r="F7" s="307" t="s">
        <v>2</v>
      </c>
      <c r="G7" s="307" t="s">
        <v>19</v>
      </c>
      <c r="H7" s="307" t="s">
        <v>20</v>
      </c>
      <c r="I7" s="307" t="s">
        <v>2</v>
      </c>
      <c r="J7" s="307" t="s">
        <v>15</v>
      </c>
      <c r="K7" s="307" t="s">
        <v>21</v>
      </c>
    </row>
    <row r="8" spans="1:11" ht="30">
      <c r="A8" s="307" t="s">
        <v>22</v>
      </c>
      <c r="B8" s="307" t="s">
        <v>23</v>
      </c>
      <c r="C8" s="307" t="s">
        <v>24</v>
      </c>
      <c r="D8" s="307" t="s">
        <v>25</v>
      </c>
      <c r="E8" s="307" t="s">
        <v>26</v>
      </c>
      <c r="F8" s="307" t="s">
        <v>27</v>
      </c>
      <c r="G8" s="307" t="s">
        <v>28</v>
      </c>
      <c r="H8" s="307" t="s">
        <v>29</v>
      </c>
      <c r="I8" s="307" t="s">
        <v>27</v>
      </c>
      <c r="J8" s="307" t="s">
        <v>30</v>
      </c>
      <c r="K8" s="307" t="s">
        <v>31</v>
      </c>
    </row>
    <row r="9" spans="1:11">
      <c r="A9" s="307" t="s">
        <v>32</v>
      </c>
      <c r="B9" s="307" t="s">
        <v>33</v>
      </c>
      <c r="C9" s="307" t="s">
        <v>34</v>
      </c>
      <c r="D9" s="307" t="s">
        <v>35</v>
      </c>
      <c r="E9" s="307" t="s">
        <v>36</v>
      </c>
      <c r="F9" s="307" t="s">
        <v>37</v>
      </c>
      <c r="G9" s="307" t="s">
        <v>35</v>
      </c>
      <c r="H9" s="307" t="s">
        <v>38</v>
      </c>
      <c r="I9" s="307" t="s">
        <v>39</v>
      </c>
      <c r="J9" s="307" t="s">
        <v>40</v>
      </c>
      <c r="K9" s="307" t="s">
        <v>41</v>
      </c>
    </row>
    <row r="10" spans="1:11" ht="45">
      <c r="A10" s="307" t="s">
        <v>42</v>
      </c>
      <c r="B10" s="307" t="s">
        <v>43</v>
      </c>
      <c r="C10" s="307" t="s">
        <v>44</v>
      </c>
      <c r="D10" s="307" t="s">
        <v>45</v>
      </c>
      <c r="E10" s="307" t="s">
        <v>46</v>
      </c>
      <c r="F10" s="307" t="s">
        <v>44</v>
      </c>
      <c r="G10" s="307" t="s">
        <v>47</v>
      </c>
      <c r="H10" s="307" t="s">
        <v>25</v>
      </c>
      <c r="I10" s="307" t="s">
        <v>44</v>
      </c>
      <c r="J10" s="307" t="s">
        <v>48</v>
      </c>
      <c r="K10" s="307" t="s">
        <v>49</v>
      </c>
    </row>
    <row r="11" spans="1:11" ht="30">
      <c r="A11" s="307" t="s">
        <v>50</v>
      </c>
      <c r="B11" s="307" t="s">
        <v>51</v>
      </c>
      <c r="C11" s="307" t="s">
        <v>52</v>
      </c>
      <c r="D11" s="307" t="s">
        <v>53</v>
      </c>
      <c r="E11" s="307" t="s">
        <v>54</v>
      </c>
      <c r="F11" s="307" t="s">
        <v>55</v>
      </c>
      <c r="G11" s="307" t="s">
        <v>56</v>
      </c>
      <c r="H11" s="307" t="s">
        <v>56</v>
      </c>
      <c r="I11" s="307" t="s">
        <v>57</v>
      </c>
      <c r="J11" s="307" t="s">
        <v>58</v>
      </c>
      <c r="K11" s="307" t="s">
        <v>59</v>
      </c>
    </row>
    <row r="12" spans="1:11" ht="30">
      <c r="A12" s="307" t="s">
        <v>60</v>
      </c>
      <c r="B12" s="307" t="s">
        <v>44</v>
      </c>
      <c r="C12" s="307" t="s">
        <v>61</v>
      </c>
      <c r="D12" s="307" t="s">
        <v>62</v>
      </c>
      <c r="E12" s="307" t="s">
        <v>63</v>
      </c>
      <c r="F12" s="307" t="s">
        <v>64</v>
      </c>
      <c r="G12" s="307" t="s">
        <v>65</v>
      </c>
      <c r="H12" s="307" t="s">
        <v>66</v>
      </c>
      <c r="I12" s="307" t="s">
        <v>64</v>
      </c>
      <c r="J12" s="307" t="s">
        <v>67</v>
      </c>
      <c r="K12" s="307" t="s">
        <v>68</v>
      </c>
    </row>
    <row r="13" spans="1:11" ht="30">
      <c r="A13" s="307" t="s">
        <v>69</v>
      </c>
      <c r="B13" s="307" t="s">
        <v>51</v>
      </c>
      <c r="C13" s="307" t="s">
        <v>70</v>
      </c>
      <c r="D13" s="307" t="s">
        <v>71</v>
      </c>
      <c r="E13" s="307" t="s">
        <v>72</v>
      </c>
      <c r="F13" s="307" t="s">
        <v>73</v>
      </c>
      <c r="G13" s="307" t="s">
        <v>74</v>
      </c>
      <c r="H13" s="307" t="s">
        <v>75</v>
      </c>
      <c r="I13" s="307" t="s">
        <v>76</v>
      </c>
      <c r="J13" s="307" t="s">
        <v>77</v>
      </c>
      <c r="K13" s="307" t="s">
        <v>78</v>
      </c>
    </row>
    <row r="14" spans="1:11" ht="30">
      <c r="A14" s="307" t="s">
        <v>79</v>
      </c>
      <c r="B14" s="307" t="s">
        <v>80</v>
      </c>
      <c r="C14" s="307" t="s">
        <v>44</v>
      </c>
      <c r="D14" s="307" t="s">
        <v>81</v>
      </c>
      <c r="E14" s="307" t="s">
        <v>82</v>
      </c>
      <c r="F14" s="307" t="s">
        <v>44</v>
      </c>
      <c r="G14" s="307" t="s">
        <v>83</v>
      </c>
      <c r="H14" s="307" t="s">
        <v>84</v>
      </c>
      <c r="I14" s="307" t="s">
        <v>44</v>
      </c>
      <c r="J14" s="307" t="s">
        <v>85</v>
      </c>
      <c r="K14" s="307" t="s">
        <v>86</v>
      </c>
    </row>
    <row r="15" spans="1:11" ht="30">
      <c r="A15" s="307" t="s">
        <v>87</v>
      </c>
      <c r="B15" s="307" t="s">
        <v>88</v>
      </c>
      <c r="C15" s="307" t="s">
        <v>44</v>
      </c>
      <c r="D15" s="307" t="s">
        <v>89</v>
      </c>
      <c r="E15" s="307" t="s">
        <v>90</v>
      </c>
      <c r="F15" s="307" t="s">
        <v>44</v>
      </c>
      <c r="G15" s="307" t="s">
        <v>91</v>
      </c>
      <c r="H15" s="307" t="s">
        <v>92</v>
      </c>
      <c r="I15" s="307" t="s">
        <v>44</v>
      </c>
      <c r="J15" s="307" t="s">
        <v>93</v>
      </c>
      <c r="K15" s="307" t="s">
        <v>94</v>
      </c>
    </row>
    <row r="16" spans="1:11" ht="30">
      <c r="A16" s="307" t="s">
        <v>95</v>
      </c>
      <c r="B16" s="307" t="s">
        <v>96</v>
      </c>
      <c r="C16" s="307" t="s">
        <v>97</v>
      </c>
      <c r="D16" s="307" t="s">
        <v>98</v>
      </c>
      <c r="E16" s="307" t="s">
        <v>99</v>
      </c>
      <c r="F16" s="307" t="s">
        <v>100</v>
      </c>
      <c r="G16" s="307" t="s">
        <v>101</v>
      </c>
      <c r="H16" s="307" t="s">
        <v>102</v>
      </c>
      <c r="I16" s="307" t="s">
        <v>103</v>
      </c>
      <c r="J16" s="307" t="s">
        <v>104</v>
      </c>
      <c r="K16" s="307" t="s">
        <v>99</v>
      </c>
    </row>
    <row r="17" spans="1:11" ht="45">
      <c r="A17" s="307" t="s">
        <v>105</v>
      </c>
      <c r="B17" s="307" t="s">
        <v>103</v>
      </c>
      <c r="C17" s="307" t="s">
        <v>39</v>
      </c>
      <c r="D17" s="307" t="s">
        <v>106</v>
      </c>
      <c r="E17" s="307" t="s">
        <v>107</v>
      </c>
      <c r="F17" s="307" t="s">
        <v>44</v>
      </c>
      <c r="G17" s="307" t="s">
        <v>108</v>
      </c>
      <c r="H17" s="307" t="s">
        <v>109</v>
      </c>
      <c r="I17" s="307" t="s">
        <v>44</v>
      </c>
      <c r="J17" s="307" t="s">
        <v>110</v>
      </c>
      <c r="K17" s="307" t="s">
        <v>111</v>
      </c>
    </row>
    <row r="18" spans="1:11" ht="31.5" customHeight="1">
      <c r="A18" s="307" t="s">
        <v>112</v>
      </c>
      <c r="B18" s="307" t="s">
        <v>113</v>
      </c>
      <c r="C18" s="307" t="s">
        <v>2</v>
      </c>
      <c r="D18" s="307" t="s">
        <v>114</v>
      </c>
      <c r="E18" s="307" t="s">
        <v>115</v>
      </c>
      <c r="F18" s="307" t="s">
        <v>2</v>
      </c>
      <c r="G18" s="307" t="s">
        <v>116</v>
      </c>
      <c r="H18" s="307" t="s">
        <v>117</v>
      </c>
      <c r="I18" s="307" t="s">
        <v>2</v>
      </c>
      <c r="J18" s="307" t="s">
        <v>118</v>
      </c>
      <c r="K18" s="309" t="s">
        <v>119</v>
      </c>
    </row>
  </sheetData>
  <mergeCells count="1">
    <mergeCell ref="A1: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5B56-A629-42C6-BEB9-ADA792F9E110}">
  <dimension ref="A1:AQ1011"/>
  <sheetViews>
    <sheetView workbookViewId="0">
      <selection sqref="A1:H3"/>
    </sheetView>
  </sheetViews>
  <sheetFormatPr defaultColWidth="14.5" defaultRowHeight="14.25"/>
  <cols>
    <col min="1" max="1" width="23.875" style="1" customWidth="1"/>
    <col min="2" max="2" width="12.875" style="1" customWidth="1"/>
    <col min="3" max="3" width="14" style="1" customWidth="1"/>
    <col min="4" max="7" width="8.625" style="1" customWidth="1"/>
    <col min="8" max="8" width="16.875" style="1" customWidth="1"/>
    <col min="9" max="11" width="8.625" style="1" customWidth="1"/>
    <col min="12" max="12" width="14.625" style="1" customWidth="1"/>
    <col min="13" max="13" width="12" style="1" customWidth="1"/>
    <col min="14" max="14" width="8.625" style="1" customWidth="1"/>
    <col min="15" max="15" width="29.625" style="1" customWidth="1"/>
    <col min="16" max="42" width="8.625" style="1" customWidth="1"/>
    <col min="43" max="16384" width="14.5" style="1"/>
  </cols>
  <sheetData>
    <row r="1" spans="1:43">
      <c r="A1" s="238" t="s">
        <v>120</v>
      </c>
      <c r="B1" s="239"/>
      <c r="C1" s="239"/>
      <c r="D1" s="239"/>
      <c r="E1" s="239"/>
      <c r="F1" s="239"/>
      <c r="G1" s="239"/>
      <c r="H1" s="240"/>
    </row>
    <row r="2" spans="1:43">
      <c r="A2" s="241"/>
      <c r="B2" s="242"/>
      <c r="C2" s="242"/>
      <c r="D2" s="242"/>
      <c r="E2" s="242"/>
      <c r="F2" s="242"/>
      <c r="G2" s="242"/>
      <c r="H2" s="243"/>
    </row>
    <row r="3" spans="1:43" ht="22.5" customHeight="1">
      <c r="A3" s="244"/>
      <c r="B3" s="245"/>
      <c r="C3" s="245"/>
      <c r="D3" s="245"/>
      <c r="E3" s="245"/>
      <c r="F3" s="245"/>
      <c r="G3" s="245"/>
      <c r="H3" s="246"/>
    </row>
    <row r="5" spans="1:43" ht="15" customHeight="1">
      <c r="A5" s="2" t="s">
        <v>121</v>
      </c>
      <c r="B5" s="3"/>
      <c r="C5" s="3"/>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5"/>
    </row>
    <row r="6" spans="1:43" ht="42">
      <c r="A6" s="6" t="s">
        <v>122</v>
      </c>
      <c r="B6" s="7" t="s">
        <v>123</v>
      </c>
      <c r="C6" s="8" t="s">
        <v>124</v>
      </c>
      <c r="D6" s="9" t="s">
        <v>125</v>
      </c>
      <c r="E6" s="7" t="s">
        <v>126</v>
      </c>
      <c r="F6" s="7" t="s">
        <v>127</v>
      </c>
      <c r="G6" s="7" t="s">
        <v>128</v>
      </c>
      <c r="H6" s="7" t="s">
        <v>129</v>
      </c>
      <c r="I6" s="7" t="s">
        <v>130</v>
      </c>
      <c r="J6" s="7" t="s">
        <v>131</v>
      </c>
      <c r="K6" s="9" t="s">
        <v>132</v>
      </c>
      <c r="L6" s="9" t="s">
        <v>133</v>
      </c>
      <c r="M6" s="9" t="s">
        <v>134</v>
      </c>
      <c r="N6" s="9" t="s">
        <v>135</v>
      </c>
      <c r="O6" s="7" t="s">
        <v>136</v>
      </c>
      <c r="P6" s="7" t="s">
        <v>137</v>
      </c>
      <c r="Q6" s="7"/>
      <c r="R6" s="7"/>
      <c r="S6" s="7"/>
      <c r="T6" s="7"/>
      <c r="U6" s="7"/>
      <c r="V6" s="10" t="s">
        <v>138</v>
      </c>
      <c r="W6" s="10" t="s">
        <v>139</v>
      </c>
      <c r="X6" s="10" t="s">
        <v>140</v>
      </c>
      <c r="Y6" s="10" t="s">
        <v>141</v>
      </c>
      <c r="Z6" s="7" t="s">
        <v>142</v>
      </c>
      <c r="AA6" s="7" t="s">
        <v>143</v>
      </c>
      <c r="AB6" s="7" t="s">
        <v>144</v>
      </c>
      <c r="AC6" s="7" t="s">
        <v>145</v>
      </c>
      <c r="AD6" s="11" t="s">
        <v>146</v>
      </c>
      <c r="AE6" s="7" t="s">
        <v>147</v>
      </c>
      <c r="AF6" s="12"/>
      <c r="AG6" s="12" t="s">
        <v>148</v>
      </c>
      <c r="AH6" s="7"/>
      <c r="AI6" s="7" t="s">
        <v>149</v>
      </c>
      <c r="AJ6" s="7" t="s">
        <v>150</v>
      </c>
      <c r="AK6" s="7" t="s">
        <v>151</v>
      </c>
      <c r="AL6" s="7"/>
      <c r="AM6" s="7" t="s">
        <v>152</v>
      </c>
      <c r="AN6" s="7" t="s">
        <v>153</v>
      </c>
      <c r="AO6" s="13" t="s">
        <v>154</v>
      </c>
      <c r="AP6" s="7" t="s">
        <v>155</v>
      </c>
      <c r="AQ6" s="14"/>
    </row>
    <row r="7" spans="1:43">
      <c r="A7" s="15"/>
      <c r="B7" s="16" t="s">
        <v>156</v>
      </c>
      <c r="C7" s="17" t="s">
        <v>157</v>
      </c>
      <c r="D7" s="18" t="s">
        <v>157</v>
      </c>
      <c r="E7" s="16"/>
      <c r="F7" s="16"/>
      <c r="G7" s="16"/>
      <c r="H7" s="16"/>
      <c r="I7" s="16"/>
      <c r="J7" s="16"/>
      <c r="K7" s="18"/>
      <c r="L7" s="18"/>
      <c r="M7" s="18"/>
      <c r="N7" s="18"/>
      <c r="O7" s="16"/>
      <c r="P7" s="16"/>
      <c r="Q7" s="16"/>
      <c r="R7" s="16"/>
      <c r="S7" s="16"/>
      <c r="T7" s="16"/>
      <c r="U7" s="16"/>
      <c r="V7" s="19" t="s">
        <v>158</v>
      </c>
      <c r="W7" s="19" t="s">
        <v>158</v>
      </c>
      <c r="X7" s="19" t="s">
        <v>158</v>
      </c>
      <c r="Y7" s="19" t="s">
        <v>158</v>
      </c>
      <c r="Z7" s="16" t="s">
        <v>159</v>
      </c>
      <c r="AA7" s="16" t="s">
        <v>160</v>
      </c>
      <c r="AB7" s="16"/>
      <c r="AC7" s="16" t="s">
        <v>161</v>
      </c>
      <c r="AD7" s="20" t="s">
        <v>161</v>
      </c>
      <c r="AE7" s="16"/>
      <c r="AF7" s="16"/>
      <c r="AG7" s="16" t="s">
        <v>161</v>
      </c>
      <c r="AH7" s="16"/>
      <c r="AI7" s="16" t="s">
        <v>162</v>
      </c>
      <c r="AJ7" s="16" t="s">
        <v>162</v>
      </c>
      <c r="AK7" s="16" t="s">
        <v>161</v>
      </c>
      <c r="AL7" s="16"/>
      <c r="AM7" s="16" t="s">
        <v>162</v>
      </c>
      <c r="AN7" s="16" t="s">
        <v>162</v>
      </c>
      <c r="AO7" s="21" t="s">
        <v>163</v>
      </c>
      <c r="AP7" s="16"/>
      <c r="AQ7" s="14"/>
    </row>
    <row r="8" spans="1:43">
      <c r="A8" s="15"/>
      <c r="B8" s="16" t="s">
        <v>164</v>
      </c>
      <c r="C8" s="17"/>
      <c r="D8" s="18"/>
      <c r="E8" s="16"/>
      <c r="F8" s="16"/>
      <c r="G8" s="16"/>
      <c r="H8" s="16"/>
      <c r="I8" s="16"/>
      <c r="J8" s="16"/>
      <c r="K8" s="18"/>
      <c r="L8" s="18"/>
      <c r="M8" s="18"/>
      <c r="N8" s="18"/>
      <c r="O8" s="16"/>
      <c r="P8" s="16"/>
      <c r="Q8" s="16"/>
      <c r="R8" s="16"/>
      <c r="S8" s="16"/>
      <c r="T8" s="16"/>
      <c r="U8" s="16"/>
      <c r="V8" s="19" t="s">
        <v>165</v>
      </c>
      <c r="W8" s="19"/>
      <c r="X8" s="19" t="s">
        <v>166</v>
      </c>
      <c r="Y8" s="19" t="s">
        <v>166</v>
      </c>
      <c r="Z8" s="16"/>
      <c r="AA8" s="16"/>
      <c r="AB8" s="16" t="s">
        <v>167</v>
      </c>
      <c r="AC8" s="16" t="s">
        <v>167</v>
      </c>
      <c r="AD8" s="20"/>
      <c r="AE8" s="16" t="s">
        <v>168</v>
      </c>
      <c r="AF8" s="16"/>
      <c r="AG8" s="16" t="s">
        <v>168</v>
      </c>
      <c r="AH8" s="16"/>
      <c r="AI8" s="16" t="s">
        <v>169</v>
      </c>
      <c r="AJ8" s="16" t="s">
        <v>169</v>
      </c>
      <c r="AK8" s="16" t="s">
        <v>169</v>
      </c>
      <c r="AL8" s="16"/>
      <c r="AM8" s="16" t="s">
        <v>170</v>
      </c>
      <c r="AN8" s="16" t="s">
        <v>171</v>
      </c>
      <c r="AO8" s="21" t="s">
        <v>171</v>
      </c>
      <c r="AP8" s="16"/>
      <c r="AQ8" s="14"/>
    </row>
    <row r="9" spans="1:43">
      <c r="A9" s="15"/>
      <c r="B9" s="16" t="s">
        <v>172</v>
      </c>
      <c r="C9" s="17"/>
      <c r="D9" s="18"/>
      <c r="E9" s="16"/>
      <c r="F9" s="16"/>
      <c r="G9" s="16"/>
      <c r="H9" s="16"/>
      <c r="I9" s="16"/>
      <c r="J9" s="16"/>
      <c r="K9" s="18"/>
      <c r="L9" s="18"/>
      <c r="M9" s="18"/>
      <c r="N9" s="18"/>
      <c r="O9" s="16"/>
      <c r="P9" s="16"/>
      <c r="Q9" s="16"/>
      <c r="R9" s="16"/>
      <c r="S9" s="16"/>
      <c r="T9" s="16"/>
      <c r="U9" s="16"/>
      <c r="V9" s="19"/>
      <c r="W9" s="19"/>
      <c r="X9" s="19"/>
      <c r="Y9" s="19"/>
      <c r="Z9" s="16"/>
      <c r="AA9" s="16"/>
      <c r="AB9" s="16">
        <v>0.01</v>
      </c>
      <c r="AC9" s="22">
        <v>0.04</v>
      </c>
      <c r="AD9" s="20"/>
      <c r="AE9" s="22" t="s">
        <v>173</v>
      </c>
      <c r="AF9" s="22"/>
      <c r="AG9" s="22" t="s">
        <v>174</v>
      </c>
      <c r="AH9" s="16"/>
      <c r="AI9" s="22">
        <v>0.05</v>
      </c>
      <c r="AJ9" s="22">
        <v>0.05</v>
      </c>
      <c r="AK9" s="16"/>
      <c r="AL9" s="16"/>
      <c r="AM9" s="16"/>
      <c r="AN9" s="16" t="s">
        <v>175</v>
      </c>
      <c r="AO9" s="21"/>
      <c r="AP9" s="16"/>
      <c r="AQ9" s="14"/>
    </row>
    <row r="10" spans="1:43">
      <c r="A10" s="15"/>
      <c r="B10" s="16" t="s">
        <v>176</v>
      </c>
      <c r="C10" s="23"/>
      <c r="D10" s="18"/>
      <c r="E10" s="16" t="s">
        <v>177</v>
      </c>
      <c r="F10" s="16"/>
      <c r="G10" s="16"/>
      <c r="H10" s="16"/>
      <c r="I10" s="16"/>
      <c r="J10" s="16" t="s">
        <v>178</v>
      </c>
      <c r="K10" s="18"/>
      <c r="L10" s="18"/>
      <c r="M10" s="18"/>
      <c r="N10" s="18"/>
      <c r="O10" s="16"/>
      <c r="P10" s="16"/>
      <c r="Q10" s="16"/>
      <c r="R10" s="16"/>
      <c r="S10" s="16"/>
      <c r="T10" s="16"/>
      <c r="U10" s="16"/>
      <c r="V10" s="19"/>
      <c r="W10" s="19">
        <v>2.2000000000000002</v>
      </c>
      <c r="X10" s="19">
        <v>2.2000000000000002</v>
      </c>
      <c r="Y10" s="19"/>
      <c r="Z10" s="16"/>
      <c r="AA10" s="16">
        <v>0</v>
      </c>
      <c r="AB10" s="24">
        <v>8</v>
      </c>
      <c r="AC10" s="25">
        <v>1E-3</v>
      </c>
      <c r="AD10" s="20">
        <v>541</v>
      </c>
      <c r="AE10" s="16"/>
      <c r="AF10" s="16"/>
      <c r="AG10" s="16">
        <v>52.7</v>
      </c>
      <c r="AH10" s="16"/>
      <c r="AI10" s="16">
        <v>1E-3</v>
      </c>
      <c r="AJ10" s="16">
        <v>2E-3</v>
      </c>
      <c r="AK10" s="16">
        <v>2.2999999999999998</v>
      </c>
      <c r="AL10" s="16"/>
      <c r="AM10" s="16">
        <v>39</v>
      </c>
      <c r="AN10" s="16"/>
      <c r="AO10" s="21"/>
      <c r="AP10" s="16"/>
      <c r="AQ10" s="14"/>
    </row>
    <row r="11" spans="1:43" ht="15">
      <c r="A11" s="15" t="s">
        <v>179</v>
      </c>
      <c r="B11" s="16" t="s">
        <v>180</v>
      </c>
      <c r="C11" s="23">
        <v>41523</v>
      </c>
      <c r="D11" s="26">
        <v>0.44166666666666665</v>
      </c>
      <c r="E11" s="16" t="s">
        <v>181</v>
      </c>
      <c r="F11" s="16" t="s">
        <v>182</v>
      </c>
      <c r="G11" s="16" t="s">
        <v>183</v>
      </c>
      <c r="H11" s="16" t="s">
        <v>184</v>
      </c>
      <c r="I11" s="27" t="s">
        <v>185</v>
      </c>
      <c r="J11" s="16" t="s">
        <v>186</v>
      </c>
      <c r="K11" s="18">
        <v>1542.4</v>
      </c>
      <c r="L11" s="18">
        <v>-130.0137</v>
      </c>
      <c r="M11" s="18">
        <v>45.933219999999999</v>
      </c>
      <c r="N11" s="18">
        <v>218</v>
      </c>
      <c r="O11" s="16"/>
      <c r="P11" s="16"/>
      <c r="Q11" s="16"/>
      <c r="R11" s="16"/>
      <c r="S11" s="16"/>
      <c r="T11" s="16"/>
      <c r="U11" s="16"/>
      <c r="V11" s="19"/>
      <c r="W11" s="19">
        <v>30.9</v>
      </c>
      <c r="X11" s="19">
        <v>29.2</v>
      </c>
      <c r="Y11" s="19"/>
      <c r="Z11" s="18">
        <v>4.1500000000000004</v>
      </c>
      <c r="AA11" s="20">
        <f t="shared" ref="AA11:AA17" si="0">Z11*(AVERAGE(W11:X11)-2.2)</f>
        <v>115.5775</v>
      </c>
      <c r="AB11" s="16"/>
      <c r="AC11" s="25">
        <v>1.071158803136369</v>
      </c>
      <c r="AD11" s="28">
        <v>515.04</v>
      </c>
      <c r="AE11" s="16" t="s">
        <v>187</v>
      </c>
      <c r="AF11" s="20"/>
      <c r="AG11" s="29">
        <v>46.79</v>
      </c>
      <c r="AH11" s="16"/>
      <c r="AI11" s="30">
        <v>3.6286497255458046</v>
      </c>
      <c r="AJ11" s="30">
        <v>10.625368617270414</v>
      </c>
      <c r="AK11" s="16"/>
      <c r="AL11" s="16"/>
      <c r="AM11" s="31"/>
      <c r="AN11" s="32"/>
      <c r="AO11" s="33"/>
      <c r="AP11" s="16"/>
      <c r="AQ11" s="14"/>
    </row>
    <row r="12" spans="1:43" ht="15">
      <c r="A12" s="15" t="s">
        <v>188</v>
      </c>
      <c r="B12" s="34" t="s">
        <v>189</v>
      </c>
      <c r="C12" s="23">
        <v>41523</v>
      </c>
      <c r="D12" s="26">
        <v>0.44513888888888892</v>
      </c>
      <c r="E12" s="16" t="s">
        <v>181</v>
      </c>
      <c r="F12" s="16" t="s">
        <v>182</v>
      </c>
      <c r="G12" s="16" t="s">
        <v>183</v>
      </c>
      <c r="H12" s="16" t="s">
        <v>184</v>
      </c>
      <c r="I12" s="27" t="s">
        <v>185</v>
      </c>
      <c r="J12" s="16" t="s">
        <v>186</v>
      </c>
      <c r="K12" s="18">
        <v>1542.4</v>
      </c>
      <c r="L12" s="18">
        <v>-130.0137</v>
      </c>
      <c r="M12" s="18">
        <v>45.933219999999999</v>
      </c>
      <c r="N12" s="18">
        <v>218</v>
      </c>
      <c r="O12" s="16"/>
      <c r="P12" s="16"/>
      <c r="Q12" s="16"/>
      <c r="R12" s="16"/>
      <c r="S12" s="16"/>
      <c r="T12" s="16"/>
      <c r="U12" s="16"/>
      <c r="V12" s="19"/>
      <c r="W12" s="19">
        <v>35.9</v>
      </c>
      <c r="X12" s="19">
        <v>34.299999999999997</v>
      </c>
      <c r="Y12" s="19"/>
      <c r="Z12" s="18">
        <v>4.1500000000000004</v>
      </c>
      <c r="AA12" s="20">
        <f t="shared" si="0"/>
        <v>136.53499999999997</v>
      </c>
      <c r="AB12" s="32">
        <v>5.518389126604581</v>
      </c>
      <c r="AC12" s="25">
        <v>0.21808954620801549</v>
      </c>
      <c r="AD12" s="28">
        <v>507.16</v>
      </c>
      <c r="AE12" s="16" t="s">
        <v>187</v>
      </c>
      <c r="AF12" s="20"/>
      <c r="AG12" s="29">
        <v>45.77</v>
      </c>
      <c r="AH12" s="16"/>
      <c r="AI12" s="30">
        <v>8.3513343616418858</v>
      </c>
      <c r="AJ12" s="30">
        <v>15.604832726137246</v>
      </c>
      <c r="AK12" s="16">
        <v>9.6</v>
      </c>
      <c r="AL12" s="16"/>
      <c r="AM12" s="31">
        <v>34.450000000000003</v>
      </c>
      <c r="AN12" s="32">
        <v>14.37</v>
      </c>
      <c r="AO12" s="33">
        <v>5.6</v>
      </c>
      <c r="AP12" s="16" t="s">
        <v>190</v>
      </c>
      <c r="AQ12" s="14"/>
    </row>
    <row r="13" spans="1:43" ht="15">
      <c r="A13" s="15" t="s">
        <v>191</v>
      </c>
      <c r="B13" s="34" t="s">
        <v>192</v>
      </c>
      <c r="C13" s="23">
        <v>41523</v>
      </c>
      <c r="D13" s="26">
        <v>0.4381944444444445</v>
      </c>
      <c r="E13" s="16" t="s">
        <v>181</v>
      </c>
      <c r="F13" s="16" t="s">
        <v>182</v>
      </c>
      <c r="G13" s="16" t="s">
        <v>183</v>
      </c>
      <c r="H13" s="16" t="s">
        <v>184</v>
      </c>
      <c r="I13" s="27" t="s">
        <v>185</v>
      </c>
      <c r="J13" s="16" t="s">
        <v>193</v>
      </c>
      <c r="K13" s="18">
        <v>1542.4</v>
      </c>
      <c r="L13" s="18">
        <v>-130.0137</v>
      </c>
      <c r="M13" s="18">
        <v>45.933219999999999</v>
      </c>
      <c r="N13" s="18">
        <v>218</v>
      </c>
      <c r="O13" s="16"/>
      <c r="P13" s="16"/>
      <c r="Q13" s="16"/>
      <c r="R13" s="16"/>
      <c r="S13" s="16"/>
      <c r="T13" s="16"/>
      <c r="U13" s="16"/>
      <c r="V13" s="19"/>
      <c r="W13" s="19">
        <v>29.1</v>
      </c>
      <c r="X13" s="19">
        <v>28.2</v>
      </c>
      <c r="Y13" s="19"/>
      <c r="Z13" s="18">
        <v>4.1500000000000004</v>
      </c>
      <c r="AA13" s="20">
        <f t="shared" si="0"/>
        <v>109.76750000000001</v>
      </c>
      <c r="AB13" s="32">
        <v>5.5337931034482759</v>
      </c>
      <c r="AC13" s="25">
        <v>1.0358114071099069</v>
      </c>
      <c r="AD13" s="28">
        <v>513.42999999999995</v>
      </c>
      <c r="AE13" s="16" t="s">
        <v>187</v>
      </c>
      <c r="AF13" s="20"/>
      <c r="AG13" s="29">
        <v>46.53</v>
      </c>
      <c r="AH13" s="16"/>
      <c r="AI13" s="30">
        <v>10.454977509282164</v>
      </c>
      <c r="AJ13" s="30">
        <v>14.787017159834623</v>
      </c>
      <c r="AK13" s="16">
        <v>9.4</v>
      </c>
      <c r="AL13" s="16"/>
      <c r="AM13" s="31">
        <v>35.47</v>
      </c>
      <c r="AN13" s="32"/>
      <c r="AO13" s="33"/>
      <c r="AP13" s="16"/>
      <c r="AQ13" s="14"/>
    </row>
    <row r="14" spans="1:43" ht="15">
      <c r="A14" s="15" t="s">
        <v>194</v>
      </c>
      <c r="B14" s="16" t="s">
        <v>195</v>
      </c>
      <c r="C14" s="23">
        <v>41523</v>
      </c>
      <c r="D14" s="26">
        <v>0.42222222222222222</v>
      </c>
      <c r="E14" s="16" t="s">
        <v>181</v>
      </c>
      <c r="F14" s="16" t="s">
        <v>182</v>
      </c>
      <c r="G14" s="16" t="s">
        <v>183</v>
      </c>
      <c r="H14" s="16" t="s">
        <v>184</v>
      </c>
      <c r="I14" s="27" t="s">
        <v>185</v>
      </c>
      <c r="J14" s="16" t="s">
        <v>196</v>
      </c>
      <c r="K14" s="18">
        <v>1542.4</v>
      </c>
      <c r="L14" s="18">
        <v>-130.0137</v>
      </c>
      <c r="M14" s="18">
        <v>45.933219999999999</v>
      </c>
      <c r="N14" s="18">
        <v>218</v>
      </c>
      <c r="O14" s="16"/>
      <c r="P14" s="16"/>
      <c r="Q14" s="16"/>
      <c r="R14" s="16"/>
      <c r="S14" s="16"/>
      <c r="T14" s="16"/>
      <c r="U14" s="16"/>
      <c r="V14" s="19"/>
      <c r="W14" s="19">
        <v>30.6</v>
      </c>
      <c r="X14" s="19">
        <v>28.5</v>
      </c>
      <c r="Y14" s="19"/>
      <c r="Z14" s="18">
        <v>4.1500000000000004</v>
      </c>
      <c r="AA14" s="20">
        <f t="shared" si="0"/>
        <v>113.50250000000001</v>
      </c>
      <c r="AB14" s="16"/>
      <c r="AC14" s="25">
        <v>1.1230016506418465</v>
      </c>
      <c r="AD14" s="28">
        <v>513.28</v>
      </c>
      <c r="AE14" s="16" t="s">
        <v>187</v>
      </c>
      <c r="AF14" s="20"/>
      <c r="AG14" s="29">
        <v>46.06</v>
      </c>
      <c r="AH14" s="16"/>
      <c r="AI14" s="30">
        <v>13.855029702538854</v>
      </c>
      <c r="AJ14" s="30">
        <v>16.69371294506054</v>
      </c>
      <c r="AK14" s="16">
        <v>10</v>
      </c>
      <c r="AL14" s="16"/>
      <c r="AM14" s="16"/>
      <c r="AN14" s="32"/>
      <c r="AO14" s="21"/>
      <c r="AP14" s="16"/>
      <c r="AQ14" s="14"/>
    </row>
    <row r="15" spans="1:43" s="50" customFormat="1" ht="15">
      <c r="A15" s="35" t="s">
        <v>194</v>
      </c>
      <c r="B15" s="36" t="s">
        <v>195</v>
      </c>
      <c r="C15" s="37">
        <v>41523</v>
      </c>
      <c r="D15" s="38">
        <v>0.42222222222222222</v>
      </c>
      <c r="E15" s="36" t="s">
        <v>181</v>
      </c>
      <c r="F15" s="36" t="s">
        <v>182</v>
      </c>
      <c r="G15" s="36" t="s">
        <v>183</v>
      </c>
      <c r="H15" s="36" t="s">
        <v>184</v>
      </c>
      <c r="I15" s="39" t="s">
        <v>185</v>
      </c>
      <c r="J15" s="36" t="s">
        <v>196</v>
      </c>
      <c r="K15" s="40">
        <v>1542.4</v>
      </c>
      <c r="L15" s="40">
        <v>-130.0137</v>
      </c>
      <c r="M15" s="40">
        <v>45.933219999999999</v>
      </c>
      <c r="N15" s="40">
        <v>218</v>
      </c>
      <c r="O15" s="36" t="s">
        <v>197</v>
      </c>
      <c r="P15" s="36"/>
      <c r="Q15" s="36"/>
      <c r="R15" s="36"/>
      <c r="S15" s="36"/>
      <c r="T15" s="36"/>
      <c r="U15" s="36"/>
      <c r="V15" s="41"/>
      <c r="W15" s="41">
        <v>30.6</v>
      </c>
      <c r="X15" s="41">
        <v>28.2</v>
      </c>
      <c r="Y15" s="41"/>
      <c r="Z15" s="40">
        <v>4.1500000000000004</v>
      </c>
      <c r="AA15" s="42">
        <f>Z15*(AVERAGE(W15:X15)-2.2)</f>
        <v>112.88000000000001</v>
      </c>
      <c r="AB15" s="36"/>
      <c r="AC15" s="43">
        <v>1036</v>
      </c>
      <c r="AD15" s="44">
        <v>513.28</v>
      </c>
      <c r="AE15" s="36" t="s">
        <v>187</v>
      </c>
      <c r="AF15" s="42"/>
      <c r="AG15" s="45">
        <v>46.5</v>
      </c>
      <c r="AH15" s="36"/>
      <c r="AI15" s="46">
        <v>13.9</v>
      </c>
      <c r="AJ15" s="46">
        <v>14.8</v>
      </c>
      <c r="AK15" s="36">
        <v>10</v>
      </c>
      <c r="AL15" s="36"/>
      <c r="AM15" s="36">
        <v>35.5</v>
      </c>
      <c r="AN15" s="47"/>
      <c r="AO15" s="48"/>
      <c r="AP15" s="36"/>
      <c r="AQ15" s="49"/>
    </row>
    <row r="16" spans="1:43">
      <c r="A16" s="51" t="s">
        <v>198</v>
      </c>
      <c r="B16" s="52" t="s">
        <v>198</v>
      </c>
      <c r="C16" s="53">
        <v>41544</v>
      </c>
      <c r="D16" s="26">
        <v>0.83680555555555547</v>
      </c>
      <c r="E16" s="52" t="s">
        <v>181</v>
      </c>
      <c r="F16" s="52" t="s">
        <v>182</v>
      </c>
      <c r="G16" s="16" t="s">
        <v>183</v>
      </c>
      <c r="H16" s="16" t="s">
        <v>184</v>
      </c>
      <c r="I16" s="27" t="s">
        <v>185</v>
      </c>
      <c r="J16" s="52" t="s">
        <v>199</v>
      </c>
      <c r="K16" s="54">
        <v>1542.1</v>
      </c>
      <c r="L16" s="54">
        <v>-130.013645</v>
      </c>
      <c r="M16" s="54">
        <v>45.933231666666664</v>
      </c>
      <c r="N16" s="18">
        <v>201</v>
      </c>
      <c r="O16" s="52" t="s">
        <v>200</v>
      </c>
      <c r="P16" s="16"/>
      <c r="Q16" s="16"/>
      <c r="R16" s="16"/>
      <c r="S16" s="16"/>
      <c r="T16" s="16"/>
      <c r="U16" s="16"/>
      <c r="V16" s="19">
        <v>220</v>
      </c>
      <c r="W16" s="55">
        <v>212.7</v>
      </c>
      <c r="X16" s="55">
        <v>207.7</v>
      </c>
      <c r="Y16" s="19"/>
      <c r="Z16" s="16">
        <v>4.16</v>
      </c>
      <c r="AA16" s="20">
        <f t="shared" si="0"/>
        <v>865.28</v>
      </c>
      <c r="AB16" s="16">
        <v>4.54</v>
      </c>
      <c r="AC16" s="25">
        <v>5.6821692621161395</v>
      </c>
      <c r="AD16" s="32">
        <v>380.83351273333335</v>
      </c>
      <c r="AE16" s="16" t="s">
        <v>201</v>
      </c>
      <c r="AF16" s="20"/>
      <c r="AG16" s="32">
        <v>12.050079100000001</v>
      </c>
      <c r="AH16" s="16"/>
      <c r="AI16" s="56">
        <v>272.48</v>
      </c>
      <c r="AJ16" s="56">
        <v>156.2742424242424</v>
      </c>
      <c r="AK16" s="16">
        <v>55.1</v>
      </c>
      <c r="AL16" s="16"/>
      <c r="AM16" s="16"/>
      <c r="AN16" s="32"/>
      <c r="AO16" s="33"/>
      <c r="AP16" s="16"/>
      <c r="AQ16" s="14"/>
    </row>
    <row r="17" spans="1:43">
      <c r="A17" s="51" t="s">
        <v>202</v>
      </c>
      <c r="B17" s="52" t="s">
        <v>202</v>
      </c>
      <c r="C17" s="53">
        <v>41544</v>
      </c>
      <c r="D17" s="26">
        <v>0.92291666666666661</v>
      </c>
      <c r="E17" s="52" t="s">
        <v>181</v>
      </c>
      <c r="F17" s="52" t="s">
        <v>182</v>
      </c>
      <c r="G17" s="16" t="s">
        <v>183</v>
      </c>
      <c r="H17" s="16" t="s">
        <v>184</v>
      </c>
      <c r="I17" s="27" t="s">
        <v>185</v>
      </c>
      <c r="J17" s="52" t="s">
        <v>199</v>
      </c>
      <c r="K17" s="54">
        <v>1542.8</v>
      </c>
      <c r="L17" s="54">
        <v>-130.01368833333333</v>
      </c>
      <c r="M17" s="54">
        <v>45.933201666666669</v>
      </c>
      <c r="N17" s="18"/>
      <c r="O17" s="52" t="s">
        <v>203</v>
      </c>
      <c r="P17" s="16"/>
      <c r="Q17" s="16"/>
      <c r="R17" s="16"/>
      <c r="S17" s="16"/>
      <c r="T17" s="16"/>
      <c r="U17" s="16"/>
      <c r="V17" s="19">
        <v>220</v>
      </c>
      <c r="W17" s="55">
        <v>232.4</v>
      </c>
      <c r="X17" s="55">
        <v>227.8</v>
      </c>
      <c r="Y17" s="19"/>
      <c r="Z17" s="16">
        <v>4.2</v>
      </c>
      <c r="AA17" s="20">
        <f t="shared" si="0"/>
        <v>957.18000000000018</v>
      </c>
      <c r="AB17" s="16">
        <v>4.28</v>
      </c>
      <c r="AC17" s="25">
        <v>7.1448901278254811</v>
      </c>
      <c r="AD17" s="32">
        <v>340.51768436666663</v>
      </c>
      <c r="AE17" s="16" t="s">
        <v>201</v>
      </c>
      <c r="AF17" s="20"/>
      <c r="AG17" s="32">
        <v>1.7621187500000002</v>
      </c>
      <c r="AH17" s="16"/>
      <c r="AI17" s="56">
        <v>351.21</v>
      </c>
      <c r="AJ17" s="56">
        <v>200.08108108108107</v>
      </c>
      <c r="AK17" s="16">
        <v>67.400000000000006</v>
      </c>
      <c r="AL17" s="16"/>
      <c r="AM17" s="16">
        <v>0.2</v>
      </c>
      <c r="AN17" s="32"/>
      <c r="AO17" s="33"/>
      <c r="AP17" s="16"/>
      <c r="AQ17" s="14"/>
    </row>
    <row r="18" spans="1:43">
      <c r="A18" s="15" t="s">
        <v>204</v>
      </c>
      <c r="B18" s="16" t="s">
        <v>205</v>
      </c>
      <c r="C18" s="23">
        <v>41544</v>
      </c>
      <c r="D18" s="26">
        <v>0.875</v>
      </c>
      <c r="E18" s="16" t="s">
        <v>181</v>
      </c>
      <c r="F18" s="16" t="s">
        <v>182</v>
      </c>
      <c r="G18" s="16" t="s">
        <v>183</v>
      </c>
      <c r="H18" s="16" t="s">
        <v>184</v>
      </c>
      <c r="I18" s="27" t="s">
        <v>185</v>
      </c>
      <c r="J18" s="16" t="s">
        <v>206</v>
      </c>
      <c r="K18" s="18">
        <v>1542.4</v>
      </c>
      <c r="L18" s="18">
        <v>-130.01371</v>
      </c>
      <c r="M18" s="18">
        <v>45.933213000000002</v>
      </c>
      <c r="N18" s="18"/>
      <c r="O18" s="16" t="s">
        <v>207</v>
      </c>
      <c r="P18" s="16"/>
      <c r="Q18" s="16"/>
      <c r="R18" s="16"/>
      <c r="S18" s="16"/>
      <c r="T18" s="16"/>
      <c r="U18" s="16"/>
      <c r="V18" s="19"/>
      <c r="W18" s="19"/>
      <c r="X18" s="19"/>
      <c r="Y18" s="19"/>
      <c r="Z18" s="16"/>
      <c r="AA18" s="20"/>
      <c r="AB18" s="32"/>
      <c r="AC18" s="25" t="s">
        <v>208</v>
      </c>
      <c r="AD18" s="32">
        <v>416.67565780000001</v>
      </c>
      <c r="AE18" s="16" t="s">
        <v>201</v>
      </c>
      <c r="AF18" s="20"/>
      <c r="AG18" s="32">
        <v>37.024535333333333</v>
      </c>
      <c r="AH18" s="16"/>
      <c r="AI18" s="30"/>
      <c r="AJ18" s="30"/>
      <c r="AK18" s="16"/>
      <c r="AL18" s="16"/>
      <c r="AM18" s="16"/>
      <c r="AN18" s="32"/>
      <c r="AO18" s="33"/>
      <c r="AP18" s="16"/>
      <c r="AQ18" s="14"/>
    </row>
    <row r="19" spans="1:43" ht="15">
      <c r="A19" s="57" t="s">
        <v>209</v>
      </c>
      <c r="B19" s="16" t="s">
        <v>210</v>
      </c>
      <c r="C19" s="23">
        <v>41866</v>
      </c>
      <c r="D19" s="26">
        <v>0.18333333333333335</v>
      </c>
      <c r="E19" s="27" t="s">
        <v>181</v>
      </c>
      <c r="F19" s="27" t="s">
        <v>182</v>
      </c>
      <c r="G19" s="27" t="s">
        <v>183</v>
      </c>
      <c r="H19" s="27" t="s">
        <v>184</v>
      </c>
      <c r="I19" s="27" t="s">
        <v>185</v>
      </c>
      <c r="J19" s="16" t="s">
        <v>186</v>
      </c>
      <c r="K19" s="58">
        <v>1539</v>
      </c>
      <c r="L19" s="59">
        <v>-130.01381499999999</v>
      </c>
      <c r="M19" s="59">
        <v>45.933244999999999</v>
      </c>
      <c r="N19" s="58">
        <v>174</v>
      </c>
      <c r="O19" s="27" t="s">
        <v>211</v>
      </c>
      <c r="P19" s="16" t="s">
        <v>212</v>
      </c>
      <c r="Q19" s="16"/>
      <c r="R19" s="16"/>
      <c r="S19" s="16"/>
      <c r="T19" s="16"/>
      <c r="U19" s="16"/>
      <c r="V19" s="19"/>
      <c r="W19" s="19">
        <v>37.6</v>
      </c>
      <c r="X19" s="60">
        <v>35.799999999999997</v>
      </c>
      <c r="Y19" s="19"/>
      <c r="Z19" s="18">
        <v>4.1500000000000004</v>
      </c>
      <c r="AA19" s="20">
        <f t="shared" ref="AA19:AA29" si="1">Z19*(AVERAGE(W19:X19)-2.2)</f>
        <v>143.17500000000001</v>
      </c>
      <c r="AB19" s="16">
        <v>5.1139999999999999</v>
      </c>
      <c r="AC19" s="25">
        <v>0.9291804576293734</v>
      </c>
      <c r="AD19" s="61">
        <v>510.95</v>
      </c>
      <c r="AE19" s="16" t="s">
        <v>187</v>
      </c>
      <c r="AF19" s="20"/>
      <c r="AG19" s="28">
        <v>45.53</v>
      </c>
      <c r="AH19" s="16"/>
      <c r="AI19" s="30">
        <v>17.384</v>
      </c>
      <c r="AJ19" s="30">
        <v>26.513000000000002</v>
      </c>
      <c r="AK19" s="20">
        <v>11.498331291675461</v>
      </c>
      <c r="AL19" s="20"/>
      <c r="AM19" s="62">
        <v>33.801280391904022</v>
      </c>
      <c r="AN19" s="32"/>
      <c r="AO19" s="33"/>
      <c r="AP19" s="16"/>
      <c r="AQ19" s="14"/>
    </row>
    <row r="20" spans="1:43" ht="15">
      <c r="A20" s="57" t="s">
        <v>213</v>
      </c>
      <c r="B20" s="16" t="s">
        <v>214</v>
      </c>
      <c r="C20" s="23">
        <v>41866</v>
      </c>
      <c r="D20" s="26">
        <v>0.18819444444444444</v>
      </c>
      <c r="E20" s="27" t="s">
        <v>181</v>
      </c>
      <c r="F20" s="27" t="s">
        <v>182</v>
      </c>
      <c r="G20" s="27" t="s">
        <v>183</v>
      </c>
      <c r="H20" s="27" t="s">
        <v>184</v>
      </c>
      <c r="I20" s="27" t="s">
        <v>185</v>
      </c>
      <c r="J20" s="16" t="s">
        <v>186</v>
      </c>
      <c r="K20" s="58">
        <v>1539</v>
      </c>
      <c r="L20" s="59">
        <v>-130.01381499999999</v>
      </c>
      <c r="M20" s="59">
        <v>45.933244999999999</v>
      </c>
      <c r="N20" s="58">
        <v>174</v>
      </c>
      <c r="O20" s="27" t="s">
        <v>211</v>
      </c>
      <c r="P20" s="27" t="s">
        <v>215</v>
      </c>
      <c r="Q20" s="27"/>
      <c r="R20" s="27"/>
      <c r="S20" s="27"/>
      <c r="T20" s="27"/>
      <c r="U20" s="27"/>
      <c r="V20" s="19"/>
      <c r="W20" s="19">
        <v>25.9</v>
      </c>
      <c r="X20" s="60">
        <v>20.3</v>
      </c>
      <c r="Y20" s="19"/>
      <c r="Z20" s="18">
        <v>4.1500000000000004</v>
      </c>
      <c r="AA20" s="20">
        <f t="shared" si="1"/>
        <v>86.735000000000014</v>
      </c>
      <c r="AB20" s="16">
        <v>5.1139999999999999</v>
      </c>
      <c r="AC20" s="25">
        <v>0.96467699880271385</v>
      </c>
      <c r="AD20" s="20">
        <v>518.27211806666662</v>
      </c>
      <c r="AE20" s="16" t="s">
        <v>201</v>
      </c>
      <c r="AF20" s="20"/>
      <c r="AG20" s="28">
        <v>45.57</v>
      </c>
      <c r="AH20" s="16"/>
      <c r="AI20" s="30">
        <v>27.73</v>
      </c>
      <c r="AJ20" s="30">
        <v>31.658999999999999</v>
      </c>
      <c r="AK20" s="16"/>
      <c r="AL20" s="16"/>
      <c r="AM20" s="32">
        <v>35.205126429597541</v>
      </c>
      <c r="AN20" s="32"/>
      <c r="AO20" s="33"/>
      <c r="AP20" s="16"/>
      <c r="AQ20" s="14"/>
    </row>
    <row r="21" spans="1:43" s="50" customFormat="1" ht="15">
      <c r="A21" s="63" t="s">
        <v>213</v>
      </c>
      <c r="B21" s="36" t="s">
        <v>214</v>
      </c>
      <c r="C21" s="37">
        <v>41866</v>
      </c>
      <c r="D21" s="38">
        <v>0.18819444444444444</v>
      </c>
      <c r="E21" s="39" t="s">
        <v>181</v>
      </c>
      <c r="F21" s="39" t="s">
        <v>182</v>
      </c>
      <c r="G21" s="39" t="s">
        <v>183</v>
      </c>
      <c r="H21" s="39" t="s">
        <v>184</v>
      </c>
      <c r="I21" s="39" t="s">
        <v>185</v>
      </c>
      <c r="J21" s="36" t="s">
        <v>186</v>
      </c>
      <c r="K21" s="64">
        <v>1539</v>
      </c>
      <c r="L21" s="65">
        <v>-130.01381499999999</v>
      </c>
      <c r="M21" s="65">
        <v>45.933244999999999</v>
      </c>
      <c r="N21" s="64">
        <v>174</v>
      </c>
      <c r="O21" s="39" t="s">
        <v>216</v>
      </c>
      <c r="P21" s="39" t="s">
        <v>215</v>
      </c>
      <c r="Q21" s="39"/>
      <c r="R21" s="39"/>
      <c r="S21" s="39"/>
      <c r="T21" s="39"/>
      <c r="U21" s="39"/>
      <c r="V21" s="41"/>
      <c r="W21" s="41">
        <v>25.9</v>
      </c>
      <c r="X21" s="66">
        <v>20.3</v>
      </c>
      <c r="Y21" s="41"/>
      <c r="Z21" s="40">
        <v>4.1500000000000004</v>
      </c>
      <c r="AA21" s="42">
        <f>Z21*(AVERAGE(W21:X21)-2.2)</f>
        <v>86.735000000000014</v>
      </c>
      <c r="AB21" s="36">
        <v>5.1139999999999999</v>
      </c>
      <c r="AC21" s="67">
        <v>0.96467699880271385</v>
      </c>
      <c r="AD21" s="42">
        <v>518.27211806666662</v>
      </c>
      <c r="AE21" s="36" t="s">
        <v>201</v>
      </c>
      <c r="AF21" s="42"/>
      <c r="AG21" s="44">
        <v>45.57</v>
      </c>
      <c r="AH21" s="36"/>
      <c r="AI21" s="46">
        <v>27.73</v>
      </c>
      <c r="AJ21" s="46">
        <v>31.658999999999999</v>
      </c>
      <c r="AK21" s="36"/>
      <c r="AL21" s="36"/>
      <c r="AM21" s="68">
        <v>35.205126429597541</v>
      </c>
      <c r="AN21" s="47"/>
      <c r="AO21" s="69"/>
      <c r="AP21" s="36"/>
      <c r="AQ21" s="49"/>
    </row>
    <row r="22" spans="1:43" ht="15">
      <c r="A22" s="57" t="s">
        <v>217</v>
      </c>
      <c r="B22" s="16" t="s">
        <v>218</v>
      </c>
      <c r="C22" s="23">
        <v>41866</v>
      </c>
      <c r="D22" s="26">
        <v>0.35347222222222219</v>
      </c>
      <c r="E22" s="27" t="s">
        <v>181</v>
      </c>
      <c r="F22" s="27" t="s">
        <v>182</v>
      </c>
      <c r="G22" s="27" t="s">
        <v>183</v>
      </c>
      <c r="H22" s="27" t="s">
        <v>184</v>
      </c>
      <c r="I22" s="27" t="s">
        <v>185</v>
      </c>
      <c r="J22" s="16" t="s">
        <v>186</v>
      </c>
      <c r="K22" s="58">
        <v>1539</v>
      </c>
      <c r="L22" s="59">
        <v>-130.01378333333332</v>
      </c>
      <c r="M22" s="59">
        <v>45.933186666666664</v>
      </c>
      <c r="N22" s="58">
        <v>8</v>
      </c>
      <c r="O22" s="27" t="s">
        <v>219</v>
      </c>
      <c r="P22" s="27" t="s">
        <v>220</v>
      </c>
      <c r="Q22" s="27"/>
      <c r="R22" s="27"/>
      <c r="S22" s="27"/>
      <c r="T22" s="27"/>
      <c r="U22" s="27"/>
      <c r="V22" s="19"/>
      <c r="W22" s="19">
        <v>36.4</v>
      </c>
      <c r="X22" s="60">
        <v>35</v>
      </c>
      <c r="Y22" s="19"/>
      <c r="Z22" s="18">
        <v>4.1500000000000004</v>
      </c>
      <c r="AA22" s="20">
        <f t="shared" si="1"/>
        <v>139.02500000000001</v>
      </c>
      <c r="AB22" s="16"/>
      <c r="AC22" s="25"/>
      <c r="AD22" s="28">
        <v>514.13</v>
      </c>
      <c r="AE22" s="16" t="s">
        <v>187</v>
      </c>
      <c r="AF22" s="16"/>
      <c r="AG22" s="28">
        <v>46.09</v>
      </c>
      <c r="AH22" s="16"/>
      <c r="AI22" s="16"/>
      <c r="AJ22" s="16"/>
      <c r="AK22" s="16"/>
      <c r="AL22" s="16"/>
      <c r="AM22" s="16"/>
      <c r="AN22" s="16"/>
      <c r="AO22" s="21"/>
      <c r="AP22" s="16"/>
      <c r="AQ22" s="14"/>
    </row>
    <row r="23" spans="1:43" ht="15">
      <c r="A23" s="57" t="s">
        <v>221</v>
      </c>
      <c r="B23" s="16" t="s">
        <v>222</v>
      </c>
      <c r="C23" s="23">
        <v>41866</v>
      </c>
      <c r="D23" s="26">
        <v>0.3923611111111111</v>
      </c>
      <c r="E23" s="27" t="s">
        <v>181</v>
      </c>
      <c r="F23" s="27" t="s">
        <v>182</v>
      </c>
      <c r="G23" s="27" t="s">
        <v>183</v>
      </c>
      <c r="H23" s="27" t="s">
        <v>184</v>
      </c>
      <c r="I23" s="27" t="s">
        <v>185</v>
      </c>
      <c r="J23" s="16" t="s">
        <v>223</v>
      </c>
      <c r="K23" s="58">
        <v>1539</v>
      </c>
      <c r="L23" s="59">
        <v>-130.01378333333332</v>
      </c>
      <c r="M23" s="59">
        <v>45.933186666666664</v>
      </c>
      <c r="N23" s="58">
        <v>250</v>
      </c>
      <c r="O23" s="27" t="s">
        <v>219</v>
      </c>
      <c r="P23" s="27" t="s">
        <v>224</v>
      </c>
      <c r="Q23" s="27"/>
      <c r="R23" s="27"/>
      <c r="S23" s="27"/>
      <c r="T23" s="27"/>
      <c r="U23" s="27"/>
      <c r="V23" s="19"/>
      <c r="W23" s="19">
        <v>34.299999999999997</v>
      </c>
      <c r="X23" s="60">
        <v>34.299999999999997</v>
      </c>
      <c r="Y23" s="19"/>
      <c r="Z23" s="18">
        <v>4.1500000000000004</v>
      </c>
      <c r="AA23" s="20">
        <f t="shared" si="1"/>
        <v>133.21499999999997</v>
      </c>
      <c r="AB23" s="16"/>
      <c r="AC23" s="25">
        <v>0.2</v>
      </c>
      <c r="AD23" s="28">
        <v>508.61</v>
      </c>
      <c r="AE23" s="16" t="s">
        <v>187</v>
      </c>
      <c r="AF23" s="16"/>
      <c r="AG23" s="28">
        <v>50.95</v>
      </c>
      <c r="AH23" s="16"/>
      <c r="AI23" s="30">
        <v>31.2</v>
      </c>
      <c r="AJ23" s="30">
        <v>29.2</v>
      </c>
      <c r="AK23" s="16">
        <v>9.4700000000000006</v>
      </c>
      <c r="AL23" s="16"/>
      <c r="AM23" s="16"/>
      <c r="AN23" s="16"/>
      <c r="AO23" s="21"/>
      <c r="AP23" s="16"/>
      <c r="AQ23" s="14"/>
    </row>
    <row r="24" spans="1:43" ht="15">
      <c r="A24" s="57" t="s">
        <v>225</v>
      </c>
      <c r="B24" s="16" t="s">
        <v>226</v>
      </c>
      <c r="C24" s="23">
        <v>41866</v>
      </c>
      <c r="D24" s="26">
        <v>0.40902777777777777</v>
      </c>
      <c r="E24" s="27" t="s">
        <v>181</v>
      </c>
      <c r="F24" s="27" t="s">
        <v>182</v>
      </c>
      <c r="G24" s="27" t="s">
        <v>183</v>
      </c>
      <c r="H24" s="27" t="s">
        <v>184</v>
      </c>
      <c r="I24" s="27" t="s">
        <v>185</v>
      </c>
      <c r="J24" s="16" t="s">
        <v>199</v>
      </c>
      <c r="K24" s="58">
        <v>1539</v>
      </c>
      <c r="L24" s="59">
        <v>-130.01378333333332</v>
      </c>
      <c r="M24" s="59">
        <v>45.933186666666664</v>
      </c>
      <c r="N24" s="58">
        <v>247</v>
      </c>
      <c r="O24" s="27" t="s">
        <v>227</v>
      </c>
      <c r="P24" s="27" t="s">
        <v>228</v>
      </c>
      <c r="Q24" s="27"/>
      <c r="R24" s="27"/>
      <c r="S24" s="27"/>
      <c r="T24" s="27"/>
      <c r="U24" s="27"/>
      <c r="V24" s="19"/>
      <c r="W24" s="19">
        <v>56</v>
      </c>
      <c r="X24" s="60"/>
      <c r="Y24" s="19"/>
      <c r="Z24" s="18">
        <v>4.1500000000000004</v>
      </c>
      <c r="AA24" s="20">
        <f t="shared" si="1"/>
        <v>223.27</v>
      </c>
      <c r="AB24" s="16">
        <v>4.7329999999999997</v>
      </c>
      <c r="AC24" s="25">
        <v>1.2399590262072633</v>
      </c>
      <c r="AD24" s="28">
        <v>497.51</v>
      </c>
      <c r="AE24" s="16" t="s">
        <v>187</v>
      </c>
      <c r="AF24" s="20"/>
      <c r="AG24" s="28">
        <v>42.12</v>
      </c>
      <c r="AH24" s="16"/>
      <c r="AI24" s="30">
        <v>71.2</v>
      </c>
      <c r="AJ24" s="30">
        <v>40.4</v>
      </c>
      <c r="AK24" s="20">
        <v>14.419826520360241</v>
      </c>
      <c r="AL24" s="20"/>
      <c r="AM24" s="16"/>
      <c r="AN24" s="16"/>
      <c r="AO24" s="21"/>
      <c r="AP24" s="16"/>
      <c r="AQ24" s="14"/>
    </row>
    <row r="25" spans="1:43" ht="15">
      <c r="A25" s="57" t="s">
        <v>229</v>
      </c>
      <c r="B25" s="16" t="s">
        <v>230</v>
      </c>
      <c r="C25" s="23">
        <v>41866</v>
      </c>
      <c r="D25" s="26">
        <v>0.4201388888888889</v>
      </c>
      <c r="E25" s="27" t="s">
        <v>181</v>
      </c>
      <c r="F25" s="27" t="s">
        <v>182</v>
      </c>
      <c r="G25" s="27" t="s">
        <v>183</v>
      </c>
      <c r="H25" s="27" t="s">
        <v>184</v>
      </c>
      <c r="I25" s="27" t="s">
        <v>185</v>
      </c>
      <c r="J25" s="16" t="s">
        <v>199</v>
      </c>
      <c r="K25" s="58">
        <v>1539</v>
      </c>
      <c r="L25" s="59">
        <v>-130.01378333333332</v>
      </c>
      <c r="M25" s="59">
        <v>45.933186666666664</v>
      </c>
      <c r="N25" s="58">
        <v>247</v>
      </c>
      <c r="O25" s="27" t="s">
        <v>227</v>
      </c>
      <c r="P25" s="27" t="s">
        <v>231</v>
      </c>
      <c r="Q25" s="27"/>
      <c r="R25" s="27"/>
      <c r="S25" s="27"/>
      <c r="T25" s="27"/>
      <c r="U25" s="27"/>
      <c r="V25" s="19"/>
      <c r="W25" s="19">
        <v>41</v>
      </c>
      <c r="X25" s="60"/>
      <c r="Y25" s="19"/>
      <c r="Z25" s="18">
        <v>4.1500000000000004</v>
      </c>
      <c r="AA25" s="20">
        <f t="shared" si="1"/>
        <v>161.02000000000001</v>
      </c>
      <c r="AB25" s="16">
        <v>4.9000000000000004</v>
      </c>
      <c r="AC25" s="25">
        <v>1.3724794465877341</v>
      </c>
      <c r="AD25" s="28">
        <v>495.06</v>
      </c>
      <c r="AE25" s="16" t="s">
        <v>187</v>
      </c>
      <c r="AF25" s="20"/>
      <c r="AG25" s="28">
        <v>41.49</v>
      </c>
      <c r="AH25" s="16"/>
      <c r="AI25" s="30">
        <v>79.400000000000006</v>
      </c>
      <c r="AJ25" s="30">
        <v>45.6</v>
      </c>
      <c r="AK25" s="20">
        <v>13.982429292516672</v>
      </c>
      <c r="AL25" s="20"/>
      <c r="AM25" s="16"/>
      <c r="AN25" s="16"/>
      <c r="AO25" s="21"/>
      <c r="AP25" s="16"/>
      <c r="AQ25" s="14"/>
    </row>
    <row r="26" spans="1:43" ht="15.75">
      <c r="A26" s="57" t="s">
        <v>232</v>
      </c>
      <c r="B26" s="16" t="s">
        <v>233</v>
      </c>
      <c r="C26" s="23">
        <v>41866</v>
      </c>
      <c r="D26" s="26">
        <v>0.22291666666666665</v>
      </c>
      <c r="E26" s="27" t="s">
        <v>181</v>
      </c>
      <c r="F26" s="27" t="s">
        <v>182</v>
      </c>
      <c r="G26" s="27" t="s">
        <v>183</v>
      </c>
      <c r="H26" s="27" t="s">
        <v>184</v>
      </c>
      <c r="I26" s="27" t="s">
        <v>185</v>
      </c>
      <c r="J26" s="16" t="s">
        <v>206</v>
      </c>
      <c r="K26" s="58">
        <v>1539</v>
      </c>
      <c r="L26" s="59">
        <v>-130.01378333333332</v>
      </c>
      <c r="M26" s="59">
        <v>45.933186666666664</v>
      </c>
      <c r="N26" s="58">
        <v>8</v>
      </c>
      <c r="O26" s="27" t="s">
        <v>219</v>
      </c>
      <c r="P26" s="16" t="s">
        <v>234</v>
      </c>
      <c r="Q26" s="16"/>
      <c r="R26" s="16"/>
      <c r="S26" s="16"/>
      <c r="T26" s="16"/>
      <c r="U26" s="16"/>
      <c r="V26" s="19"/>
      <c r="W26" s="19">
        <v>36.1</v>
      </c>
      <c r="X26" s="60">
        <v>33.799999999999997</v>
      </c>
      <c r="Y26" s="19"/>
      <c r="Z26" s="18">
        <v>4.1500000000000004</v>
      </c>
      <c r="AA26" s="20">
        <f t="shared" si="1"/>
        <v>135.91250000000002</v>
      </c>
      <c r="AB26" s="16"/>
      <c r="AC26" s="25"/>
      <c r="AD26" s="16"/>
      <c r="AE26" s="16"/>
      <c r="AF26" s="16"/>
      <c r="AG26" s="20">
        <v>45.065666133333337</v>
      </c>
      <c r="AH26" s="16"/>
      <c r="AI26" s="16"/>
      <c r="AJ26" s="16"/>
      <c r="AK26" s="16"/>
      <c r="AL26" s="16"/>
      <c r="AM26" s="70"/>
      <c r="AN26" s="16"/>
      <c r="AO26" s="21"/>
      <c r="AP26" s="16"/>
      <c r="AQ26" s="14"/>
    </row>
    <row r="27" spans="1:43" ht="15">
      <c r="A27" s="57" t="s">
        <v>235</v>
      </c>
      <c r="B27" s="16" t="s">
        <v>236</v>
      </c>
      <c r="C27" s="23">
        <v>41866</v>
      </c>
      <c r="D27" s="26">
        <v>0.3576388888888889</v>
      </c>
      <c r="E27" s="27" t="s">
        <v>181</v>
      </c>
      <c r="F27" s="27" t="s">
        <v>182</v>
      </c>
      <c r="G27" s="27" t="s">
        <v>183</v>
      </c>
      <c r="H27" s="27" t="s">
        <v>184</v>
      </c>
      <c r="I27" s="27" t="s">
        <v>185</v>
      </c>
      <c r="J27" s="16" t="s">
        <v>237</v>
      </c>
      <c r="K27" s="58">
        <v>1539</v>
      </c>
      <c r="L27" s="59">
        <v>-130.01378333333332</v>
      </c>
      <c r="M27" s="59">
        <v>45.933186666666664</v>
      </c>
      <c r="N27" s="58">
        <v>8</v>
      </c>
      <c r="O27" s="27" t="s">
        <v>219</v>
      </c>
      <c r="P27" s="27" t="s">
        <v>238</v>
      </c>
      <c r="Q27" s="27"/>
      <c r="R27" s="27"/>
      <c r="S27" s="27"/>
      <c r="T27" s="27"/>
      <c r="U27" s="27"/>
      <c r="V27" s="19"/>
      <c r="W27" s="19">
        <v>38.6</v>
      </c>
      <c r="X27" s="60">
        <v>35.5</v>
      </c>
      <c r="Y27" s="19"/>
      <c r="Z27" s="18">
        <v>4.1500000000000004</v>
      </c>
      <c r="AA27" s="20">
        <f t="shared" si="1"/>
        <v>144.6275</v>
      </c>
      <c r="AB27" s="16">
        <v>5.4219999999999997</v>
      </c>
      <c r="AC27" s="25">
        <v>0.97489144605560718</v>
      </c>
      <c r="AD27" s="28">
        <v>526.79</v>
      </c>
      <c r="AE27" s="16" t="s">
        <v>187</v>
      </c>
      <c r="AF27" s="20"/>
      <c r="AG27" s="28">
        <v>49.19</v>
      </c>
      <c r="AH27" s="16"/>
      <c r="AI27" s="30">
        <v>22.138000000000002</v>
      </c>
      <c r="AJ27" s="30">
        <v>16.556999999999999</v>
      </c>
      <c r="AK27" s="20">
        <v>6.7097496403357617</v>
      </c>
      <c r="AL27" s="20"/>
      <c r="AM27" s="62">
        <v>38.679488815176185</v>
      </c>
      <c r="AN27" s="32"/>
      <c r="AO27" s="33"/>
      <c r="AP27" s="16"/>
      <c r="AQ27" s="14"/>
    </row>
    <row r="28" spans="1:43" ht="15" customHeight="1">
      <c r="A28" s="15" t="s">
        <v>239</v>
      </c>
      <c r="B28" s="16" t="s">
        <v>240</v>
      </c>
      <c r="C28" s="23">
        <v>42240</v>
      </c>
      <c r="D28" s="26">
        <v>0.99097222222222225</v>
      </c>
      <c r="E28" s="16" t="s">
        <v>181</v>
      </c>
      <c r="F28" s="16" t="s">
        <v>182</v>
      </c>
      <c r="G28" s="16" t="s">
        <v>183</v>
      </c>
      <c r="H28" s="16" t="s">
        <v>241</v>
      </c>
      <c r="I28" s="16" t="s">
        <v>242</v>
      </c>
      <c r="J28" s="16" t="s">
        <v>243</v>
      </c>
      <c r="K28" s="18">
        <v>1541</v>
      </c>
      <c r="L28" s="18" t="s">
        <v>244</v>
      </c>
      <c r="M28" s="18" t="s">
        <v>245</v>
      </c>
      <c r="N28" s="18">
        <v>181</v>
      </c>
      <c r="O28" s="16"/>
      <c r="P28" s="16"/>
      <c r="Q28" s="16"/>
      <c r="R28" s="16"/>
      <c r="S28" s="16"/>
      <c r="T28" s="16"/>
      <c r="U28" s="16"/>
      <c r="V28" s="19"/>
      <c r="W28" s="19">
        <v>20.5</v>
      </c>
      <c r="X28" s="19">
        <v>19.7</v>
      </c>
      <c r="Y28" s="19">
        <v>10</v>
      </c>
      <c r="Z28" s="18">
        <v>4.1500000000000004</v>
      </c>
      <c r="AA28" s="20">
        <f t="shared" si="1"/>
        <v>74.285000000000011</v>
      </c>
      <c r="AB28" s="16"/>
      <c r="AC28" s="25">
        <v>0.48456413146228955</v>
      </c>
      <c r="AD28" s="28">
        <v>524.45000000000005</v>
      </c>
      <c r="AE28" s="16" t="s">
        <v>187</v>
      </c>
      <c r="AF28" s="16"/>
      <c r="AG28" s="28">
        <v>48.97</v>
      </c>
      <c r="AH28" s="16"/>
      <c r="AI28" s="16">
        <v>14.82</v>
      </c>
      <c r="AJ28" s="16">
        <v>16.350000000000001</v>
      </c>
      <c r="AK28" s="16"/>
      <c r="AL28" s="16"/>
      <c r="AM28" s="16"/>
      <c r="AN28" s="16">
        <v>23.83</v>
      </c>
      <c r="AO28" s="21"/>
      <c r="AP28" s="16"/>
      <c r="AQ28" s="14"/>
    </row>
    <row r="29" spans="1:43" ht="15" customHeight="1">
      <c r="A29" s="15" t="s">
        <v>246</v>
      </c>
      <c r="B29" s="16" t="s">
        <v>247</v>
      </c>
      <c r="C29" s="23">
        <v>42240</v>
      </c>
      <c r="D29" s="26">
        <v>0.9916666666666667</v>
      </c>
      <c r="E29" s="16" t="s">
        <v>181</v>
      </c>
      <c r="F29" s="16" t="s">
        <v>182</v>
      </c>
      <c r="G29" s="16" t="s">
        <v>183</v>
      </c>
      <c r="H29" s="16" t="s">
        <v>241</v>
      </c>
      <c r="I29" s="16" t="s">
        <v>242</v>
      </c>
      <c r="J29" s="16" t="s">
        <v>248</v>
      </c>
      <c r="K29" s="18">
        <v>1542</v>
      </c>
      <c r="L29" s="18" t="s">
        <v>249</v>
      </c>
      <c r="M29" s="18" t="s">
        <v>250</v>
      </c>
      <c r="N29" s="18">
        <v>178</v>
      </c>
      <c r="O29" s="16"/>
      <c r="P29" s="16"/>
      <c r="Q29" s="16"/>
      <c r="R29" s="16"/>
      <c r="S29" s="16"/>
      <c r="T29" s="16"/>
      <c r="U29" s="16"/>
      <c r="V29" s="19"/>
      <c r="W29" s="19">
        <v>20.399999999999999</v>
      </c>
      <c r="X29" s="19">
        <v>17.899999999999999</v>
      </c>
      <c r="Y29" s="19">
        <v>8.5</v>
      </c>
      <c r="Z29" s="18">
        <v>4.1500000000000004</v>
      </c>
      <c r="AA29" s="20">
        <f t="shared" si="1"/>
        <v>70.342500000000001</v>
      </c>
      <c r="AB29" s="30">
        <v>5.7731096695722677</v>
      </c>
      <c r="AC29" s="25">
        <v>0.45597450302503845</v>
      </c>
      <c r="AD29" s="28">
        <v>523.16</v>
      </c>
      <c r="AE29" s="16" t="s">
        <v>187</v>
      </c>
      <c r="AF29" s="16"/>
      <c r="AG29" s="28">
        <v>49.24</v>
      </c>
      <c r="AH29" s="16"/>
      <c r="AI29" s="16">
        <v>10.23</v>
      </c>
      <c r="AJ29" s="16">
        <v>13.71</v>
      </c>
      <c r="AK29" s="16"/>
      <c r="AL29" s="16"/>
      <c r="AM29" s="71">
        <v>35.9</v>
      </c>
      <c r="AN29" s="16"/>
      <c r="AO29" s="21"/>
      <c r="AP29" s="16"/>
      <c r="AQ29" s="14"/>
    </row>
    <row r="30" spans="1:43" ht="15" customHeight="1">
      <c r="A30" s="15"/>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21"/>
      <c r="AP30" s="16"/>
      <c r="AQ30" s="14"/>
    </row>
    <row r="31" spans="1:43" ht="15" customHeight="1">
      <c r="A31" s="51" t="s">
        <v>251</v>
      </c>
      <c r="B31" s="52" t="s">
        <v>251</v>
      </c>
      <c r="C31" s="53">
        <v>41545</v>
      </c>
      <c r="D31" s="23"/>
      <c r="E31" s="16" t="s">
        <v>252</v>
      </c>
      <c r="F31" s="16" t="s">
        <v>253</v>
      </c>
      <c r="G31" s="16" t="s">
        <v>183</v>
      </c>
      <c r="H31" s="16" t="s">
        <v>184</v>
      </c>
      <c r="I31" s="16" t="s">
        <v>254</v>
      </c>
      <c r="J31" s="52" t="s">
        <v>199</v>
      </c>
      <c r="K31" s="54">
        <v>1515.85</v>
      </c>
      <c r="L31" s="54">
        <v>-129.98223333333334</v>
      </c>
      <c r="M31" s="54">
        <v>45.93324333333333</v>
      </c>
      <c r="N31" s="18">
        <v>210</v>
      </c>
      <c r="O31" s="52" t="s">
        <v>255</v>
      </c>
      <c r="P31" s="16"/>
      <c r="Q31" s="16"/>
      <c r="R31" s="16"/>
      <c r="S31" s="16"/>
      <c r="T31" s="16"/>
      <c r="U31" s="16"/>
      <c r="V31" s="19"/>
      <c r="W31" s="55">
        <v>40.700000000000003</v>
      </c>
      <c r="X31" s="55">
        <v>39.4</v>
      </c>
      <c r="Y31" s="19"/>
      <c r="Z31" s="18">
        <v>4.1500000000000004</v>
      </c>
      <c r="AA31" s="20">
        <f t="shared" ref="AA31:AA51" si="2">Z31*(AVERAGE(W31:X31)-2.2)</f>
        <v>157.07749999999999</v>
      </c>
      <c r="AB31" s="16">
        <v>5.43</v>
      </c>
      <c r="AC31" s="25">
        <v>0.73352277688837142</v>
      </c>
      <c r="AD31" s="28">
        <v>512.29</v>
      </c>
      <c r="AE31" s="16" t="s">
        <v>187</v>
      </c>
      <c r="AF31" s="20"/>
      <c r="AG31" s="29">
        <v>42.96</v>
      </c>
      <c r="AH31" s="16"/>
      <c r="AI31" s="56">
        <v>1.31</v>
      </c>
      <c r="AJ31" s="56">
        <v>30.121830550401977</v>
      </c>
      <c r="AK31" s="16">
        <v>15.1</v>
      </c>
      <c r="AL31" s="16"/>
      <c r="AM31" s="16"/>
      <c r="AN31" s="32"/>
      <c r="AO31" s="33"/>
      <c r="AP31" s="16"/>
      <c r="AQ31" s="14"/>
    </row>
    <row r="32" spans="1:43" ht="15.75" customHeight="1">
      <c r="A32" s="15" t="s">
        <v>256</v>
      </c>
      <c r="B32" s="16" t="s">
        <v>257</v>
      </c>
      <c r="C32" s="23">
        <v>41545</v>
      </c>
      <c r="D32" s="72" t="s">
        <v>258</v>
      </c>
      <c r="E32" s="16" t="s">
        <v>252</v>
      </c>
      <c r="F32" s="16" t="s">
        <v>253</v>
      </c>
      <c r="G32" s="16" t="s">
        <v>183</v>
      </c>
      <c r="H32" s="16" t="s">
        <v>184</v>
      </c>
      <c r="I32" s="16" t="s">
        <v>254</v>
      </c>
      <c r="J32" s="16" t="s">
        <v>186</v>
      </c>
      <c r="K32" s="18">
        <v>1516.5</v>
      </c>
      <c r="L32" s="18">
        <v>-129.98224999999999</v>
      </c>
      <c r="M32" s="18">
        <v>45.933219999999999</v>
      </c>
      <c r="N32" s="18">
        <v>210</v>
      </c>
      <c r="O32" s="16" t="s">
        <v>259</v>
      </c>
      <c r="P32" s="16" t="s">
        <v>260</v>
      </c>
      <c r="Q32" s="16"/>
      <c r="R32" s="16"/>
      <c r="S32" s="16"/>
      <c r="T32" s="16"/>
      <c r="U32" s="16"/>
      <c r="V32" s="19"/>
      <c r="W32" s="19">
        <v>28.5</v>
      </c>
      <c r="X32" s="19">
        <v>27.3</v>
      </c>
      <c r="Y32" s="19"/>
      <c r="Z32" s="18">
        <v>4.1500000000000004</v>
      </c>
      <c r="AA32" s="20">
        <f t="shared" si="2"/>
        <v>106.655</v>
      </c>
      <c r="AB32" s="32">
        <v>5.5365175638109676</v>
      </c>
      <c r="AC32" s="25">
        <v>0.54532212438752248</v>
      </c>
      <c r="AD32" s="28">
        <v>519.95000000000005</v>
      </c>
      <c r="AE32" s="16" t="s">
        <v>187</v>
      </c>
      <c r="AF32" s="20"/>
      <c r="AG32" s="29">
        <v>45.89</v>
      </c>
      <c r="AH32" s="16"/>
      <c r="AI32" s="30" t="s">
        <v>261</v>
      </c>
      <c r="AJ32" s="30">
        <v>18.986999999999998</v>
      </c>
      <c r="AK32" s="16"/>
      <c r="AL32" s="73" t="s">
        <v>256</v>
      </c>
      <c r="AM32" s="74">
        <v>18.344818426786048</v>
      </c>
      <c r="AN32" s="32"/>
      <c r="AO32" s="33"/>
      <c r="AP32" s="16"/>
      <c r="AQ32" s="14"/>
    </row>
    <row r="33" spans="1:43" s="50" customFormat="1" ht="15.75" customHeight="1">
      <c r="A33" s="35" t="s">
        <v>256</v>
      </c>
      <c r="B33" s="36" t="s">
        <v>257</v>
      </c>
      <c r="C33" s="37">
        <v>41545</v>
      </c>
      <c r="D33" s="75" t="s">
        <v>258</v>
      </c>
      <c r="E33" s="36" t="s">
        <v>252</v>
      </c>
      <c r="F33" s="36" t="s">
        <v>253</v>
      </c>
      <c r="G33" s="36" t="s">
        <v>183</v>
      </c>
      <c r="H33" s="36" t="s">
        <v>184</v>
      </c>
      <c r="I33" s="36" t="s">
        <v>254</v>
      </c>
      <c r="J33" s="36" t="s">
        <v>186</v>
      </c>
      <c r="K33" s="40">
        <v>1516.5</v>
      </c>
      <c r="L33" s="40">
        <v>-129.98224999999999</v>
      </c>
      <c r="M33" s="40">
        <v>45.933219999999999</v>
      </c>
      <c r="N33" s="40">
        <v>210</v>
      </c>
      <c r="O33" s="36" t="s">
        <v>262</v>
      </c>
      <c r="P33" s="36" t="s">
        <v>260</v>
      </c>
      <c r="Q33" s="36"/>
      <c r="R33" s="36"/>
      <c r="S33" s="36"/>
      <c r="T33" s="36"/>
      <c r="U33" s="36"/>
      <c r="V33" s="41"/>
      <c r="W33" s="41">
        <v>28.5</v>
      </c>
      <c r="X33" s="41">
        <v>27.3</v>
      </c>
      <c r="Y33" s="41"/>
      <c r="Z33" s="40">
        <v>4.1500000000000004</v>
      </c>
      <c r="AA33" s="42">
        <f t="shared" si="2"/>
        <v>106.655</v>
      </c>
      <c r="AB33" s="47">
        <v>5.5365175638109676</v>
      </c>
      <c r="AC33" s="43">
        <v>0.54532212438752248</v>
      </c>
      <c r="AD33" s="44">
        <v>519.95000000000005</v>
      </c>
      <c r="AE33" s="36" t="s">
        <v>187</v>
      </c>
      <c r="AF33" s="42"/>
      <c r="AG33" s="45">
        <v>45.89</v>
      </c>
      <c r="AH33" s="36"/>
      <c r="AI33" s="46">
        <v>1.5</v>
      </c>
      <c r="AJ33" s="46">
        <v>18.986999999999998</v>
      </c>
      <c r="AK33" s="36"/>
      <c r="AL33" s="76" t="s">
        <v>256</v>
      </c>
      <c r="AM33" s="77">
        <v>18.344818426786048</v>
      </c>
      <c r="AN33" s="47"/>
      <c r="AO33" s="69"/>
      <c r="AP33" s="36"/>
      <c r="AQ33" s="49"/>
    </row>
    <row r="34" spans="1:43" ht="15" customHeight="1">
      <c r="A34" s="15" t="s">
        <v>263</v>
      </c>
      <c r="B34" s="16" t="s">
        <v>264</v>
      </c>
      <c r="C34" s="23">
        <v>41545</v>
      </c>
      <c r="D34" s="72" t="s">
        <v>265</v>
      </c>
      <c r="E34" s="16" t="s">
        <v>252</v>
      </c>
      <c r="F34" s="16" t="s">
        <v>253</v>
      </c>
      <c r="G34" s="16" t="s">
        <v>183</v>
      </c>
      <c r="H34" s="16" t="s">
        <v>184</v>
      </c>
      <c r="I34" s="16" t="s">
        <v>254</v>
      </c>
      <c r="J34" s="16" t="s">
        <v>186</v>
      </c>
      <c r="K34" s="18">
        <v>1516.5</v>
      </c>
      <c r="L34" s="18">
        <v>-129.98224999999999</v>
      </c>
      <c r="M34" s="18">
        <v>45.933219999999999</v>
      </c>
      <c r="N34" s="18">
        <v>210</v>
      </c>
      <c r="O34" s="16" t="s">
        <v>259</v>
      </c>
      <c r="P34" s="16" t="s">
        <v>260</v>
      </c>
      <c r="Q34" s="16"/>
      <c r="R34" s="16"/>
      <c r="S34" s="16"/>
      <c r="T34" s="16"/>
      <c r="U34" s="16"/>
      <c r="V34" s="19"/>
      <c r="W34" s="19">
        <v>28.2</v>
      </c>
      <c r="X34" s="19">
        <v>26.7</v>
      </c>
      <c r="Y34" s="19"/>
      <c r="Z34" s="18">
        <v>4.1500000000000004</v>
      </c>
      <c r="AA34" s="20">
        <f t="shared" si="2"/>
        <v>104.78750000000001</v>
      </c>
      <c r="AB34" s="16"/>
      <c r="AC34" s="25">
        <v>0.49072301955689757</v>
      </c>
      <c r="AD34" s="16"/>
      <c r="AE34" s="16"/>
      <c r="AF34" s="20"/>
      <c r="AG34" s="78">
        <v>45.89</v>
      </c>
      <c r="AH34" s="16"/>
      <c r="AI34" s="30">
        <v>1.85</v>
      </c>
      <c r="AJ34" s="30">
        <v>18.399999999999999</v>
      </c>
      <c r="AK34" s="16"/>
      <c r="AL34" s="16"/>
      <c r="AM34" s="16"/>
      <c r="AN34" s="32">
        <v>12.58</v>
      </c>
      <c r="AO34" s="33">
        <v>6.14</v>
      </c>
      <c r="AP34" s="16" t="s">
        <v>266</v>
      </c>
      <c r="AQ34" s="14"/>
    </row>
    <row r="35" spans="1:43" ht="15" customHeight="1">
      <c r="A35" s="15" t="s">
        <v>267</v>
      </c>
      <c r="B35" s="16" t="s">
        <v>268</v>
      </c>
      <c r="C35" s="23">
        <v>41545</v>
      </c>
      <c r="D35" s="72" t="s">
        <v>269</v>
      </c>
      <c r="E35" s="16" t="s">
        <v>252</v>
      </c>
      <c r="F35" s="16" t="s">
        <v>253</v>
      </c>
      <c r="G35" s="16" t="s">
        <v>183</v>
      </c>
      <c r="H35" s="16" t="s">
        <v>184</v>
      </c>
      <c r="I35" s="16" t="s">
        <v>254</v>
      </c>
      <c r="J35" s="16" t="s">
        <v>196</v>
      </c>
      <c r="K35" s="18">
        <v>1516.5</v>
      </c>
      <c r="L35" s="18">
        <v>-129.98224999999999</v>
      </c>
      <c r="M35" s="18">
        <v>45.933219999999999</v>
      </c>
      <c r="N35" s="18">
        <v>210</v>
      </c>
      <c r="O35" s="16" t="s">
        <v>270</v>
      </c>
      <c r="P35" s="16"/>
      <c r="Q35" s="16"/>
      <c r="R35" s="16"/>
      <c r="S35" s="16"/>
      <c r="T35" s="16"/>
      <c r="U35" s="16"/>
      <c r="V35" s="19"/>
      <c r="W35" s="19">
        <v>29.1</v>
      </c>
      <c r="X35" s="19">
        <v>27.6</v>
      </c>
      <c r="Y35" s="19"/>
      <c r="Z35" s="18">
        <v>4.1500000000000004</v>
      </c>
      <c r="AA35" s="20">
        <f t="shared" si="2"/>
        <v>108.52250000000002</v>
      </c>
      <c r="AB35" s="32"/>
      <c r="AC35" s="25">
        <v>0.47799999999999998</v>
      </c>
      <c r="AD35" s="28">
        <v>517.25</v>
      </c>
      <c r="AE35" s="16" t="s">
        <v>187</v>
      </c>
      <c r="AF35" s="20"/>
      <c r="AG35" s="29">
        <v>45.8</v>
      </c>
      <c r="AH35" s="16"/>
      <c r="AI35" s="30">
        <v>2.6</v>
      </c>
      <c r="AJ35" s="30">
        <v>53.53</v>
      </c>
      <c r="AK35" s="16"/>
      <c r="AL35" s="16"/>
      <c r="AM35" s="16"/>
      <c r="AN35" s="32"/>
      <c r="AO35" s="33"/>
      <c r="AP35" s="16"/>
      <c r="AQ35" s="14"/>
    </row>
    <row r="36" spans="1:43" ht="15.75" customHeight="1">
      <c r="A36" s="15" t="s">
        <v>271</v>
      </c>
      <c r="B36" s="16" t="s">
        <v>272</v>
      </c>
      <c r="C36" s="23">
        <v>41545</v>
      </c>
      <c r="D36" s="72" t="s">
        <v>273</v>
      </c>
      <c r="E36" s="16" t="s">
        <v>252</v>
      </c>
      <c r="F36" s="16" t="s">
        <v>253</v>
      </c>
      <c r="G36" s="16" t="s">
        <v>183</v>
      </c>
      <c r="H36" s="16" t="s">
        <v>184</v>
      </c>
      <c r="I36" s="16" t="s">
        <v>254</v>
      </c>
      <c r="J36" s="16" t="s">
        <v>274</v>
      </c>
      <c r="K36" s="18">
        <v>1516.5</v>
      </c>
      <c r="L36" s="18">
        <v>-129.98224999999999</v>
      </c>
      <c r="M36" s="18">
        <v>45.933219999999999</v>
      </c>
      <c r="N36" s="18">
        <v>210</v>
      </c>
      <c r="O36" s="16" t="s">
        <v>275</v>
      </c>
      <c r="P36" s="16" t="s">
        <v>260</v>
      </c>
      <c r="Q36" s="16"/>
      <c r="R36" s="16"/>
      <c r="S36" s="16"/>
      <c r="T36" s="16"/>
      <c r="U36" s="16"/>
      <c r="V36" s="19"/>
      <c r="W36" s="19">
        <v>28.4</v>
      </c>
      <c r="X36" s="19">
        <v>27.8</v>
      </c>
      <c r="Y36" s="19"/>
      <c r="Z36" s="18">
        <v>4.1500000000000004</v>
      </c>
      <c r="AA36" s="20">
        <f t="shared" si="2"/>
        <v>107.48500000000001</v>
      </c>
      <c r="AB36" s="32">
        <v>5.5193328278999241</v>
      </c>
      <c r="AC36" s="25">
        <v>0.5610805802163682</v>
      </c>
      <c r="AD36" s="28">
        <v>509.48</v>
      </c>
      <c r="AE36" s="16" t="s">
        <v>187</v>
      </c>
      <c r="AF36" s="20"/>
      <c r="AG36" s="29">
        <v>44.97</v>
      </c>
      <c r="AH36" s="16"/>
      <c r="AI36" s="30">
        <v>1.2310000000000001</v>
      </c>
      <c r="AJ36" s="30">
        <v>15.824</v>
      </c>
      <c r="AK36" s="16"/>
      <c r="AL36" s="73" t="s">
        <v>271</v>
      </c>
      <c r="AM36" s="79">
        <v>17.307880016270673</v>
      </c>
      <c r="AN36" s="32"/>
      <c r="AO36" s="33"/>
      <c r="AP36" s="16"/>
      <c r="AQ36" s="14"/>
    </row>
    <row r="37" spans="1:43" ht="15.75" customHeight="1">
      <c r="A37" s="15" t="s">
        <v>276</v>
      </c>
      <c r="B37" s="16" t="s">
        <v>277</v>
      </c>
      <c r="C37" s="23">
        <v>41545</v>
      </c>
      <c r="D37" s="72" t="s">
        <v>278</v>
      </c>
      <c r="E37" s="16" t="s">
        <v>252</v>
      </c>
      <c r="F37" s="16" t="s">
        <v>253</v>
      </c>
      <c r="G37" s="16" t="s">
        <v>183</v>
      </c>
      <c r="H37" s="16" t="s">
        <v>184</v>
      </c>
      <c r="I37" s="16" t="s">
        <v>254</v>
      </c>
      <c r="J37" s="16" t="s">
        <v>279</v>
      </c>
      <c r="K37" s="18">
        <v>1516.5</v>
      </c>
      <c r="L37" s="18">
        <v>-129.98224999999999</v>
      </c>
      <c r="M37" s="18">
        <v>45.933219999999999</v>
      </c>
      <c r="N37" s="18">
        <v>210</v>
      </c>
      <c r="O37" s="16" t="s">
        <v>280</v>
      </c>
      <c r="P37" s="16" t="s">
        <v>260</v>
      </c>
      <c r="Q37" s="16"/>
      <c r="R37" s="16"/>
      <c r="S37" s="16"/>
      <c r="T37" s="16"/>
      <c r="U37" s="16"/>
      <c r="V37" s="19"/>
      <c r="W37" s="19">
        <v>29.1</v>
      </c>
      <c r="X37" s="19">
        <v>28.3</v>
      </c>
      <c r="Y37" s="19"/>
      <c r="Z37" s="18">
        <v>4.1500000000000004</v>
      </c>
      <c r="AA37" s="20">
        <f t="shared" si="2"/>
        <v>109.97500000000002</v>
      </c>
      <c r="AB37" s="32">
        <v>5.5021480919888797</v>
      </c>
      <c r="AC37" s="25">
        <v>0.59056187842623586</v>
      </c>
      <c r="AD37" s="28">
        <v>516.26</v>
      </c>
      <c r="AE37" s="16" t="s">
        <v>187</v>
      </c>
      <c r="AF37" s="20"/>
      <c r="AG37" s="29">
        <v>45.55</v>
      </c>
      <c r="AH37" s="16"/>
      <c r="AI37" s="30" t="s">
        <v>261</v>
      </c>
      <c r="AJ37" s="30">
        <v>17.995999999999999</v>
      </c>
      <c r="AK37" s="16"/>
      <c r="AL37" s="73" t="s">
        <v>276</v>
      </c>
      <c r="AM37" s="79">
        <v>17.832601800278262</v>
      </c>
      <c r="AN37" s="32"/>
      <c r="AO37" s="33"/>
      <c r="AP37" s="16"/>
      <c r="AQ37" s="14"/>
    </row>
    <row r="38" spans="1:43" ht="15.75" customHeight="1">
      <c r="A38" s="15" t="s">
        <v>281</v>
      </c>
      <c r="B38" s="16" t="s">
        <v>282</v>
      </c>
      <c r="C38" s="23">
        <v>41545</v>
      </c>
      <c r="D38" s="72" t="s">
        <v>283</v>
      </c>
      <c r="E38" s="16" t="s">
        <v>252</v>
      </c>
      <c r="F38" s="16" t="s">
        <v>253</v>
      </c>
      <c r="G38" s="16" t="s">
        <v>183</v>
      </c>
      <c r="H38" s="16" t="s">
        <v>184</v>
      </c>
      <c r="I38" s="16" t="s">
        <v>254</v>
      </c>
      <c r="J38" s="16" t="s">
        <v>279</v>
      </c>
      <c r="K38" s="18">
        <v>1516.1</v>
      </c>
      <c r="L38" s="18">
        <v>-129.982235</v>
      </c>
      <c r="M38" s="18">
        <v>45.933227000000002</v>
      </c>
      <c r="N38" s="18">
        <v>206</v>
      </c>
      <c r="O38" s="16" t="s">
        <v>284</v>
      </c>
      <c r="P38" s="16" t="s">
        <v>260</v>
      </c>
      <c r="Q38" s="16"/>
      <c r="R38" s="16"/>
      <c r="S38" s="16"/>
      <c r="T38" s="16"/>
      <c r="U38" s="16"/>
      <c r="V38" s="19"/>
      <c r="W38" s="19">
        <v>27.4</v>
      </c>
      <c r="X38" s="19">
        <v>27</v>
      </c>
      <c r="Y38" s="19"/>
      <c r="Z38" s="18">
        <v>4.1500000000000004</v>
      </c>
      <c r="AA38" s="20">
        <f t="shared" si="2"/>
        <v>103.75000000000001</v>
      </c>
      <c r="AB38" s="32">
        <v>5.6052565074551426</v>
      </c>
      <c r="AC38" s="25">
        <v>0.39664045020132926</v>
      </c>
      <c r="AD38" s="28">
        <v>516.92999999999995</v>
      </c>
      <c r="AE38" s="16" t="s">
        <v>187</v>
      </c>
      <c r="AF38" s="20"/>
      <c r="AG38" s="29">
        <v>46.69</v>
      </c>
      <c r="AH38" s="16"/>
      <c r="AI38" s="30" t="s">
        <v>261</v>
      </c>
      <c r="AJ38" s="30">
        <v>10.85</v>
      </c>
      <c r="AK38" s="16"/>
      <c r="AL38" s="73" t="s">
        <v>281</v>
      </c>
      <c r="AM38" s="79">
        <v>17.620484468140777</v>
      </c>
      <c r="AN38" s="32"/>
      <c r="AO38" s="33"/>
      <c r="AP38" s="16"/>
      <c r="AQ38" s="14"/>
    </row>
    <row r="39" spans="1:43" ht="15" customHeight="1">
      <c r="A39" s="57" t="s">
        <v>285</v>
      </c>
      <c r="B39" s="16" t="s">
        <v>286</v>
      </c>
      <c r="C39" s="23">
        <v>41867</v>
      </c>
      <c r="D39" s="26">
        <v>0.8256944444444444</v>
      </c>
      <c r="E39" s="16" t="s">
        <v>252</v>
      </c>
      <c r="F39" s="16" t="s">
        <v>253</v>
      </c>
      <c r="G39" s="27" t="s">
        <v>183</v>
      </c>
      <c r="H39" s="27" t="s">
        <v>184</v>
      </c>
      <c r="I39" s="27" t="s">
        <v>254</v>
      </c>
      <c r="J39" s="16" t="s">
        <v>186</v>
      </c>
      <c r="K39" s="18">
        <v>1514</v>
      </c>
      <c r="L39" s="59">
        <v>-129.98226</v>
      </c>
      <c r="M39" s="59">
        <v>45.933161666666663</v>
      </c>
      <c r="N39" s="18">
        <v>175</v>
      </c>
      <c r="O39" s="27" t="s">
        <v>287</v>
      </c>
      <c r="P39" s="27" t="s">
        <v>288</v>
      </c>
      <c r="Q39" s="27"/>
      <c r="R39" s="27"/>
      <c r="S39" s="27"/>
      <c r="T39" s="27"/>
      <c r="U39" s="27"/>
      <c r="V39" s="19"/>
      <c r="W39" s="19">
        <v>19.7</v>
      </c>
      <c r="X39" s="19">
        <v>18.5</v>
      </c>
      <c r="Y39" s="19"/>
      <c r="Z39" s="18">
        <v>4.1500000000000004</v>
      </c>
      <c r="AA39" s="20">
        <f t="shared" si="2"/>
        <v>70.135000000000019</v>
      </c>
      <c r="AB39" s="16">
        <v>5.5949999999999998</v>
      </c>
      <c r="AC39" s="80">
        <v>0.26145419715311952</v>
      </c>
      <c r="AD39" s="28">
        <v>525.85</v>
      </c>
      <c r="AE39" s="16" t="s">
        <v>187</v>
      </c>
      <c r="AF39" s="20"/>
      <c r="AG39" s="28">
        <v>48.12</v>
      </c>
      <c r="AH39" s="16"/>
      <c r="AI39" s="30">
        <v>3.3000000000000002E-2</v>
      </c>
      <c r="AJ39" s="30">
        <v>6.3570000000000002</v>
      </c>
      <c r="AK39" s="16"/>
      <c r="AL39" s="16"/>
      <c r="AM39" s="32">
        <v>28.224360341062916</v>
      </c>
      <c r="AN39" s="32"/>
      <c r="AO39" s="33"/>
      <c r="AP39" s="16"/>
      <c r="AQ39" s="14"/>
    </row>
    <row r="40" spans="1:43" s="50" customFormat="1" ht="15" customHeight="1">
      <c r="A40" s="63" t="s">
        <v>285</v>
      </c>
      <c r="B40" s="36" t="s">
        <v>286</v>
      </c>
      <c r="C40" s="37">
        <v>41867</v>
      </c>
      <c r="D40" s="38">
        <v>0.8256944444444444</v>
      </c>
      <c r="E40" s="36" t="s">
        <v>252</v>
      </c>
      <c r="F40" s="36" t="s">
        <v>253</v>
      </c>
      <c r="G40" s="39" t="s">
        <v>183</v>
      </c>
      <c r="H40" s="39" t="s">
        <v>184</v>
      </c>
      <c r="I40" s="39" t="s">
        <v>254</v>
      </c>
      <c r="J40" s="36" t="s">
        <v>186</v>
      </c>
      <c r="K40" s="40">
        <v>1514</v>
      </c>
      <c r="L40" s="65">
        <v>-129.98226</v>
      </c>
      <c r="M40" s="65">
        <v>45.933161666666663</v>
      </c>
      <c r="N40" s="40">
        <v>175</v>
      </c>
      <c r="O40" s="39" t="s">
        <v>289</v>
      </c>
      <c r="P40" s="39" t="s">
        <v>288</v>
      </c>
      <c r="Q40" s="39"/>
      <c r="R40" s="39"/>
      <c r="S40" s="39"/>
      <c r="T40" s="39"/>
      <c r="U40" s="39"/>
      <c r="V40" s="41"/>
      <c r="W40" s="41">
        <v>19.7</v>
      </c>
      <c r="X40" s="41">
        <v>18.5</v>
      </c>
      <c r="Y40" s="41"/>
      <c r="Z40" s="40">
        <v>4.1500000000000004</v>
      </c>
      <c r="AA40" s="42">
        <f t="shared" si="2"/>
        <v>70.135000000000019</v>
      </c>
      <c r="AB40" s="36">
        <v>5.5949999999999998</v>
      </c>
      <c r="AC40" s="67">
        <v>0.26145419715311952</v>
      </c>
      <c r="AD40" s="44">
        <v>525.85</v>
      </c>
      <c r="AE40" s="36" t="s">
        <v>187</v>
      </c>
      <c r="AF40" s="42"/>
      <c r="AG40" s="44">
        <v>48.12</v>
      </c>
      <c r="AH40" s="36"/>
      <c r="AI40" s="46">
        <v>1.5</v>
      </c>
      <c r="AJ40" s="46">
        <v>6.3570000000000002</v>
      </c>
      <c r="AK40" s="36"/>
      <c r="AL40" s="36"/>
      <c r="AM40" s="68">
        <v>28.224360341062916</v>
      </c>
      <c r="AN40" s="47"/>
      <c r="AO40" s="69"/>
      <c r="AP40" s="36"/>
      <c r="AQ40" s="49"/>
    </row>
    <row r="41" spans="1:43" ht="15" customHeight="1">
      <c r="A41" s="57" t="s">
        <v>290</v>
      </c>
      <c r="B41" s="16" t="s">
        <v>291</v>
      </c>
      <c r="C41" s="23">
        <v>41867</v>
      </c>
      <c r="D41" s="26">
        <v>0.82916666666666661</v>
      </c>
      <c r="E41" s="16" t="s">
        <v>252</v>
      </c>
      <c r="F41" s="16" t="s">
        <v>253</v>
      </c>
      <c r="G41" s="27" t="s">
        <v>183</v>
      </c>
      <c r="H41" s="27" t="s">
        <v>184</v>
      </c>
      <c r="I41" s="27" t="s">
        <v>254</v>
      </c>
      <c r="J41" s="16" t="s">
        <v>186</v>
      </c>
      <c r="K41" s="18">
        <v>1514</v>
      </c>
      <c r="L41" s="59">
        <v>-129.98226</v>
      </c>
      <c r="M41" s="59">
        <v>45.933161666666663</v>
      </c>
      <c r="N41" s="18">
        <v>175</v>
      </c>
      <c r="O41" s="27" t="s">
        <v>287</v>
      </c>
      <c r="P41" s="27" t="s">
        <v>292</v>
      </c>
      <c r="Q41" s="27"/>
      <c r="R41" s="27"/>
      <c r="S41" s="27"/>
      <c r="T41" s="27"/>
      <c r="U41" s="27"/>
      <c r="V41" s="19"/>
      <c r="W41" s="19">
        <v>19.600000000000001</v>
      </c>
      <c r="X41" s="19">
        <v>18.7</v>
      </c>
      <c r="Y41" s="19"/>
      <c r="Z41" s="18">
        <v>4.1500000000000004</v>
      </c>
      <c r="AA41" s="20">
        <f t="shared" si="2"/>
        <v>70.342500000000001</v>
      </c>
      <c r="AB41" s="16">
        <v>5.5110000000000001</v>
      </c>
      <c r="AC41" s="25">
        <v>0.26524049487827583</v>
      </c>
      <c r="AD41" s="28">
        <v>526.91</v>
      </c>
      <c r="AE41" s="16" t="s">
        <v>187</v>
      </c>
      <c r="AF41" s="20"/>
      <c r="AG41" s="28">
        <v>48.36</v>
      </c>
      <c r="AH41" s="16"/>
      <c r="AI41" s="30">
        <v>0</v>
      </c>
      <c r="AJ41" s="30">
        <v>3.6970000000000001</v>
      </c>
      <c r="AK41" s="16"/>
      <c r="AL41" s="16"/>
      <c r="AM41" s="16"/>
      <c r="AN41" s="16"/>
      <c r="AO41" s="21"/>
      <c r="AP41" s="16"/>
      <c r="AQ41" s="14"/>
    </row>
    <row r="42" spans="1:43" ht="15" customHeight="1">
      <c r="A42" s="57" t="s">
        <v>293</v>
      </c>
      <c r="B42" s="16" t="s">
        <v>294</v>
      </c>
      <c r="C42" s="23">
        <v>41867</v>
      </c>
      <c r="D42" s="26">
        <v>0.87708333333333333</v>
      </c>
      <c r="E42" s="16" t="s">
        <v>252</v>
      </c>
      <c r="F42" s="16" t="s">
        <v>253</v>
      </c>
      <c r="G42" s="27" t="s">
        <v>183</v>
      </c>
      <c r="H42" s="27" t="s">
        <v>184</v>
      </c>
      <c r="I42" s="27" t="s">
        <v>254</v>
      </c>
      <c r="J42" s="16" t="s">
        <v>199</v>
      </c>
      <c r="K42" s="18">
        <v>1514</v>
      </c>
      <c r="L42" s="59">
        <v>-129.98226</v>
      </c>
      <c r="M42" s="59">
        <v>45.933161666666663</v>
      </c>
      <c r="N42" s="18">
        <v>175</v>
      </c>
      <c r="O42" s="27" t="s">
        <v>287</v>
      </c>
      <c r="P42" s="27" t="s">
        <v>295</v>
      </c>
      <c r="Q42" s="27"/>
      <c r="R42" s="27"/>
      <c r="S42" s="27"/>
      <c r="T42" s="27"/>
      <c r="U42" s="27"/>
      <c r="V42" s="19"/>
      <c r="W42" s="19">
        <v>31.8</v>
      </c>
      <c r="X42" s="19"/>
      <c r="Y42" s="19"/>
      <c r="Z42" s="18">
        <v>4.1500000000000004</v>
      </c>
      <c r="AA42" s="20">
        <f t="shared" si="2"/>
        <v>122.84000000000002</v>
      </c>
      <c r="AB42" s="16">
        <v>5.1470000000000002</v>
      </c>
      <c r="AC42" s="25">
        <v>0.53949394705334563</v>
      </c>
      <c r="AD42" s="61">
        <v>516.48</v>
      </c>
      <c r="AE42" s="16" t="s">
        <v>187</v>
      </c>
      <c r="AF42" s="16"/>
      <c r="AG42" s="28">
        <v>44.09</v>
      </c>
      <c r="AH42" s="16"/>
      <c r="AI42" s="30">
        <v>1.6</v>
      </c>
      <c r="AJ42" s="30">
        <v>24.3</v>
      </c>
      <c r="AK42" s="20">
        <v>12.174058005903078</v>
      </c>
      <c r="AL42" s="20"/>
      <c r="AM42" s="16"/>
      <c r="AN42" s="16"/>
      <c r="AO42" s="21"/>
      <c r="AP42" s="16"/>
      <c r="AQ42" s="14"/>
    </row>
    <row r="43" spans="1:43" ht="15" customHeight="1">
      <c r="A43" s="57" t="s">
        <v>296</v>
      </c>
      <c r="B43" s="16" t="s">
        <v>297</v>
      </c>
      <c r="C43" s="23">
        <v>41867</v>
      </c>
      <c r="D43" s="26">
        <v>0.87013888888888891</v>
      </c>
      <c r="E43" s="16" t="s">
        <v>252</v>
      </c>
      <c r="F43" s="16" t="s">
        <v>253</v>
      </c>
      <c r="G43" s="27" t="s">
        <v>183</v>
      </c>
      <c r="H43" s="27" t="s">
        <v>184</v>
      </c>
      <c r="I43" s="27" t="s">
        <v>254</v>
      </c>
      <c r="J43" s="16" t="s">
        <v>199</v>
      </c>
      <c r="K43" s="18">
        <v>1514</v>
      </c>
      <c r="L43" s="59">
        <v>-129.98226</v>
      </c>
      <c r="M43" s="59">
        <v>45.933161666666663</v>
      </c>
      <c r="N43" s="18">
        <v>175</v>
      </c>
      <c r="O43" s="27" t="s">
        <v>298</v>
      </c>
      <c r="P43" s="27" t="s">
        <v>299</v>
      </c>
      <c r="Q43" s="27"/>
      <c r="R43" s="27"/>
      <c r="S43" s="27"/>
      <c r="T43" s="27"/>
      <c r="U43" s="27"/>
      <c r="V43" s="19"/>
      <c r="W43" s="19">
        <v>21.3</v>
      </c>
      <c r="X43" s="19"/>
      <c r="Y43" s="19"/>
      <c r="Z43" s="18">
        <v>4.1500000000000004</v>
      </c>
      <c r="AA43" s="20">
        <f t="shared" si="2"/>
        <v>79.265000000000015</v>
      </c>
      <c r="AB43" s="16">
        <v>5.085</v>
      </c>
      <c r="AC43" s="25">
        <v>0.3073104696022349</v>
      </c>
      <c r="AD43" s="28">
        <v>522.22</v>
      </c>
      <c r="AE43" s="16" t="s">
        <v>187</v>
      </c>
      <c r="AF43" s="16"/>
      <c r="AG43" s="28">
        <v>46.25</v>
      </c>
      <c r="AH43" s="16"/>
      <c r="AI43" s="30">
        <v>1.3</v>
      </c>
      <c r="AJ43" s="30">
        <v>18.5</v>
      </c>
      <c r="AK43" s="20">
        <v>9.7105782519465507</v>
      </c>
      <c r="AL43" s="20"/>
      <c r="AM43" s="16"/>
      <c r="AN43" s="16"/>
      <c r="AO43" s="21"/>
      <c r="AP43" s="16"/>
      <c r="AQ43" s="14"/>
    </row>
    <row r="44" spans="1:43" ht="15" customHeight="1">
      <c r="A44" s="57" t="s">
        <v>300</v>
      </c>
      <c r="B44" s="16" t="s">
        <v>301</v>
      </c>
      <c r="C44" s="23">
        <v>41867</v>
      </c>
      <c r="D44" s="26">
        <v>0.80763888888888891</v>
      </c>
      <c r="E44" s="16" t="s">
        <v>252</v>
      </c>
      <c r="F44" s="16" t="s">
        <v>253</v>
      </c>
      <c r="G44" s="27" t="s">
        <v>183</v>
      </c>
      <c r="H44" s="27" t="s">
        <v>184</v>
      </c>
      <c r="I44" s="27" t="s">
        <v>254</v>
      </c>
      <c r="J44" s="16" t="s">
        <v>196</v>
      </c>
      <c r="K44" s="18">
        <v>1514</v>
      </c>
      <c r="L44" s="59">
        <v>-129.98226</v>
      </c>
      <c r="M44" s="59">
        <v>45.933161666666663</v>
      </c>
      <c r="N44" s="18">
        <v>176</v>
      </c>
      <c r="O44" s="27" t="s">
        <v>287</v>
      </c>
      <c r="P44" s="27" t="s">
        <v>302</v>
      </c>
      <c r="Q44" s="27"/>
      <c r="R44" s="27"/>
      <c r="S44" s="27"/>
      <c r="T44" s="27"/>
      <c r="U44" s="27"/>
      <c r="V44" s="19"/>
      <c r="W44" s="19">
        <v>20.5</v>
      </c>
      <c r="X44" s="19">
        <v>19</v>
      </c>
      <c r="Y44" s="19"/>
      <c r="Z44" s="18">
        <v>4.1500000000000004</v>
      </c>
      <c r="AA44" s="20">
        <f t="shared" si="2"/>
        <v>72.83250000000001</v>
      </c>
      <c r="AB44" s="16"/>
      <c r="AC44" s="25"/>
      <c r="AD44" s="81">
        <v>538.58000000000004</v>
      </c>
      <c r="AE44" s="16" t="s">
        <v>187</v>
      </c>
      <c r="AF44" s="16"/>
      <c r="AG44" s="28">
        <v>49.1</v>
      </c>
      <c r="AH44" s="16"/>
      <c r="AI44" s="16"/>
      <c r="AJ44" s="16"/>
      <c r="AK44" s="16"/>
      <c r="AL44" s="16"/>
      <c r="AM44" s="16"/>
      <c r="AN44" s="16"/>
      <c r="AO44" s="21"/>
      <c r="AP44" s="16"/>
      <c r="AQ44" s="14"/>
    </row>
    <row r="45" spans="1:43" ht="15" customHeight="1">
      <c r="A45" s="57" t="s">
        <v>303</v>
      </c>
      <c r="B45" s="16" t="s">
        <v>304</v>
      </c>
      <c r="C45" s="23">
        <v>41867</v>
      </c>
      <c r="D45" s="26">
        <v>0.91111111111111109</v>
      </c>
      <c r="E45" s="16" t="s">
        <v>252</v>
      </c>
      <c r="F45" s="16" t="s">
        <v>253</v>
      </c>
      <c r="G45" s="27" t="s">
        <v>183</v>
      </c>
      <c r="H45" s="27" t="s">
        <v>184</v>
      </c>
      <c r="I45" s="27" t="s">
        <v>254</v>
      </c>
      <c r="J45" s="16" t="s">
        <v>206</v>
      </c>
      <c r="K45" s="18">
        <v>1515</v>
      </c>
      <c r="L45" s="59">
        <v>-129.98226</v>
      </c>
      <c r="M45" s="59">
        <v>45.933161666666663</v>
      </c>
      <c r="N45" s="18">
        <v>240</v>
      </c>
      <c r="O45" s="27" t="s">
        <v>305</v>
      </c>
      <c r="P45" s="27" t="s">
        <v>306</v>
      </c>
      <c r="Q45" s="27"/>
      <c r="R45" s="27"/>
      <c r="S45" s="27"/>
      <c r="T45" s="27"/>
      <c r="U45" s="27"/>
      <c r="V45" s="19"/>
      <c r="W45" s="19"/>
      <c r="X45" s="19"/>
      <c r="Y45" s="19"/>
      <c r="Z45" s="18">
        <v>4.1500000000000004</v>
      </c>
      <c r="AA45" s="20" t="e">
        <f t="shared" si="2"/>
        <v>#DIV/0!</v>
      </c>
      <c r="AB45" s="16"/>
      <c r="AC45" s="25"/>
      <c r="AD45" s="81">
        <v>520.79</v>
      </c>
      <c r="AE45" s="16" t="s">
        <v>187</v>
      </c>
      <c r="AF45" s="16"/>
      <c r="AG45" s="20">
        <v>48.00963466666667</v>
      </c>
      <c r="AH45" s="16"/>
      <c r="AI45" s="16"/>
      <c r="AJ45" s="16"/>
      <c r="AK45" s="16"/>
      <c r="AL45" s="16"/>
      <c r="AM45" s="31" t="s">
        <v>307</v>
      </c>
      <c r="AN45" s="16"/>
      <c r="AO45" s="21"/>
      <c r="AP45" s="16"/>
      <c r="AQ45" s="14"/>
    </row>
    <row r="46" spans="1:43" ht="15" customHeight="1">
      <c r="A46" s="15" t="s">
        <v>308</v>
      </c>
      <c r="B46" s="16" t="s">
        <v>309</v>
      </c>
      <c r="C46" s="23">
        <v>42237</v>
      </c>
      <c r="D46" s="26">
        <v>0.10555555555555556</v>
      </c>
      <c r="E46" s="16" t="s">
        <v>252</v>
      </c>
      <c r="F46" s="16" t="s">
        <v>253</v>
      </c>
      <c r="G46" s="16" t="s">
        <v>183</v>
      </c>
      <c r="H46" s="16" t="s">
        <v>310</v>
      </c>
      <c r="I46" s="16" t="s">
        <v>311</v>
      </c>
      <c r="J46" s="16" t="s">
        <v>243</v>
      </c>
      <c r="K46" s="18">
        <v>1516</v>
      </c>
      <c r="L46" s="18" t="s">
        <v>312</v>
      </c>
      <c r="M46" s="18" t="s">
        <v>313</v>
      </c>
      <c r="N46" s="18">
        <v>244</v>
      </c>
      <c r="O46" s="16"/>
      <c r="P46" s="16"/>
      <c r="Q46" s="16"/>
      <c r="R46" s="16"/>
      <c r="S46" s="16"/>
      <c r="T46" s="16"/>
      <c r="U46" s="16"/>
      <c r="V46" s="19"/>
      <c r="W46" s="19">
        <v>33.200000000000003</v>
      </c>
      <c r="X46" s="82">
        <v>33</v>
      </c>
      <c r="Y46" s="19">
        <v>14</v>
      </c>
      <c r="Z46" s="18">
        <v>4.1500000000000004</v>
      </c>
      <c r="AA46" s="20">
        <f t="shared" si="2"/>
        <v>128.23500000000001</v>
      </c>
      <c r="AB46" s="16"/>
      <c r="AC46" s="25" t="s">
        <v>314</v>
      </c>
      <c r="AD46" s="28">
        <v>517.35</v>
      </c>
      <c r="AE46" s="16" t="s">
        <v>187</v>
      </c>
      <c r="AF46" s="16"/>
      <c r="AG46" s="28">
        <v>44.49</v>
      </c>
      <c r="AH46" s="16"/>
      <c r="AI46" s="16">
        <v>9.1999999999999998E-2</v>
      </c>
      <c r="AJ46" s="16">
        <v>19.215</v>
      </c>
      <c r="AK46" s="16"/>
      <c r="AL46" s="16"/>
      <c r="AM46" s="16"/>
      <c r="AN46" s="16"/>
      <c r="AO46" s="21"/>
      <c r="AP46" s="16"/>
      <c r="AQ46" s="14"/>
    </row>
    <row r="47" spans="1:43" ht="15" customHeight="1">
      <c r="A47" s="15" t="s">
        <v>315</v>
      </c>
      <c r="B47" s="16" t="s">
        <v>316</v>
      </c>
      <c r="C47" s="23">
        <v>42237</v>
      </c>
      <c r="D47" s="26">
        <v>0.10902777777777778</v>
      </c>
      <c r="E47" s="16" t="s">
        <v>252</v>
      </c>
      <c r="F47" s="16" t="s">
        <v>253</v>
      </c>
      <c r="G47" s="16" t="s">
        <v>183</v>
      </c>
      <c r="H47" s="16" t="s">
        <v>310</v>
      </c>
      <c r="I47" s="16" t="s">
        <v>311</v>
      </c>
      <c r="J47" s="16" t="s">
        <v>243</v>
      </c>
      <c r="K47" s="18">
        <v>1516</v>
      </c>
      <c r="L47" s="18" t="s">
        <v>317</v>
      </c>
      <c r="M47" s="18" t="s">
        <v>318</v>
      </c>
      <c r="N47" s="18">
        <v>244</v>
      </c>
      <c r="O47" s="16"/>
      <c r="P47" s="16"/>
      <c r="Q47" s="16"/>
      <c r="R47" s="16"/>
      <c r="S47" s="16"/>
      <c r="T47" s="16"/>
      <c r="U47" s="16"/>
      <c r="V47" s="19"/>
      <c r="W47" s="19">
        <v>34.6</v>
      </c>
      <c r="X47" s="82">
        <v>34</v>
      </c>
      <c r="Y47" s="19">
        <v>15</v>
      </c>
      <c r="Z47" s="18">
        <v>4.1500000000000004</v>
      </c>
      <c r="AA47" s="20">
        <f t="shared" si="2"/>
        <v>133.21499999999997</v>
      </c>
      <c r="AB47" s="16">
        <v>5.58</v>
      </c>
      <c r="AC47" s="25">
        <v>0.63888498397602311</v>
      </c>
      <c r="AD47" s="28">
        <v>521.73</v>
      </c>
      <c r="AE47" s="16" t="s">
        <v>187</v>
      </c>
      <c r="AF47" s="16"/>
      <c r="AG47" s="28">
        <v>44.9</v>
      </c>
      <c r="AH47" s="16"/>
      <c r="AI47" s="16">
        <v>0.13600000000000001</v>
      </c>
      <c r="AJ47" s="16">
        <v>19.721</v>
      </c>
      <c r="AK47" s="16"/>
      <c r="AL47" s="16"/>
      <c r="AM47" s="71">
        <v>7.56</v>
      </c>
      <c r="AN47" s="16">
        <v>13.7</v>
      </c>
      <c r="AO47" s="21"/>
      <c r="AP47" s="16"/>
      <c r="AQ47" s="14"/>
    </row>
    <row r="48" spans="1:43" ht="15" customHeight="1">
      <c r="A48" s="15" t="s">
        <v>319</v>
      </c>
      <c r="B48" s="16" t="s">
        <v>320</v>
      </c>
      <c r="C48" s="23">
        <v>42237</v>
      </c>
      <c r="D48" s="26">
        <v>9.0277777777777776E-2</v>
      </c>
      <c r="E48" s="16" t="s">
        <v>252</v>
      </c>
      <c r="F48" s="16" t="s">
        <v>253</v>
      </c>
      <c r="G48" s="16" t="s">
        <v>183</v>
      </c>
      <c r="H48" s="16" t="s">
        <v>310</v>
      </c>
      <c r="I48" s="16" t="s">
        <v>311</v>
      </c>
      <c r="J48" s="16" t="s">
        <v>196</v>
      </c>
      <c r="K48" s="18">
        <v>1516</v>
      </c>
      <c r="L48" s="18" t="s">
        <v>321</v>
      </c>
      <c r="M48" s="18" t="s">
        <v>322</v>
      </c>
      <c r="N48" s="18">
        <v>244</v>
      </c>
      <c r="O48" s="16"/>
      <c r="P48" s="16"/>
      <c r="Q48" s="16"/>
      <c r="R48" s="16"/>
      <c r="S48" s="16"/>
      <c r="T48" s="16"/>
      <c r="U48" s="16"/>
      <c r="V48" s="19"/>
      <c r="W48" s="19">
        <v>33.700000000000003</v>
      </c>
      <c r="X48" s="19">
        <v>33.1</v>
      </c>
      <c r="Y48" s="19">
        <v>14</v>
      </c>
      <c r="Z48" s="18">
        <v>4.1500000000000004</v>
      </c>
      <c r="AA48" s="20">
        <f t="shared" si="2"/>
        <v>129.48000000000005</v>
      </c>
      <c r="AB48" s="16"/>
      <c r="AC48" s="25">
        <v>0.54</v>
      </c>
      <c r="AD48" s="28">
        <v>521</v>
      </c>
      <c r="AE48" s="16" t="s">
        <v>187</v>
      </c>
      <c r="AF48" s="16"/>
      <c r="AG48" s="28">
        <v>44.75</v>
      </c>
      <c r="AH48" s="16"/>
      <c r="AI48" s="16"/>
      <c r="AJ48" s="16"/>
      <c r="AK48" s="16"/>
      <c r="AL48" s="16"/>
      <c r="AM48" s="71">
        <v>9.26</v>
      </c>
      <c r="AN48" s="16"/>
      <c r="AO48" s="21"/>
      <c r="AP48" s="16"/>
      <c r="AQ48" s="14"/>
    </row>
    <row r="49" spans="1:43" ht="15" customHeight="1">
      <c r="A49" s="15" t="s">
        <v>323</v>
      </c>
      <c r="B49" s="16" t="s">
        <v>324</v>
      </c>
      <c r="C49" s="23">
        <v>42242</v>
      </c>
      <c r="D49" s="26">
        <v>0.7729166666666667</v>
      </c>
      <c r="E49" s="16" t="s">
        <v>252</v>
      </c>
      <c r="F49" s="16" t="s">
        <v>253</v>
      </c>
      <c r="G49" s="16" t="s">
        <v>183</v>
      </c>
      <c r="H49" s="16" t="s">
        <v>310</v>
      </c>
      <c r="I49" s="16" t="s">
        <v>311</v>
      </c>
      <c r="J49" s="16" t="s">
        <v>243</v>
      </c>
      <c r="K49" s="18">
        <v>1516</v>
      </c>
      <c r="L49" s="18" t="s">
        <v>325</v>
      </c>
      <c r="M49" s="18" t="s">
        <v>326</v>
      </c>
      <c r="N49" s="18">
        <v>249</v>
      </c>
      <c r="O49" s="16"/>
      <c r="P49" s="16"/>
      <c r="Q49" s="16"/>
      <c r="R49" s="16"/>
      <c r="S49" s="16"/>
      <c r="T49" s="16"/>
      <c r="U49" s="16"/>
      <c r="V49" s="19"/>
      <c r="W49" s="19">
        <v>40.4</v>
      </c>
      <c r="X49" s="19">
        <v>40.299999999999997</v>
      </c>
      <c r="Y49" s="19">
        <v>21</v>
      </c>
      <c r="Z49" s="18">
        <v>4.1500000000000004</v>
      </c>
      <c r="AA49" s="20">
        <f t="shared" si="2"/>
        <v>158.32249999999999</v>
      </c>
      <c r="AB49" s="16"/>
      <c r="AC49" s="25">
        <v>0.7314255266887485</v>
      </c>
      <c r="AD49" s="28">
        <v>513.37</v>
      </c>
      <c r="AE49" s="16" t="s">
        <v>327</v>
      </c>
      <c r="AF49" s="16"/>
      <c r="AG49" s="28">
        <v>42.78</v>
      </c>
      <c r="AH49" s="16"/>
      <c r="AI49" s="16"/>
      <c r="AJ49" s="16"/>
      <c r="AK49" s="16"/>
      <c r="AL49" s="16"/>
      <c r="AM49" s="16"/>
      <c r="AN49" s="16"/>
      <c r="AO49" s="21"/>
      <c r="AP49" s="16"/>
      <c r="AQ49" s="14"/>
    </row>
    <row r="50" spans="1:43" ht="15" customHeight="1">
      <c r="A50" s="15" t="s">
        <v>328</v>
      </c>
      <c r="B50" s="16" t="s">
        <v>329</v>
      </c>
      <c r="C50" s="23">
        <v>42242</v>
      </c>
      <c r="D50" s="26">
        <v>0.73472222222222217</v>
      </c>
      <c r="E50" s="16" t="s">
        <v>252</v>
      </c>
      <c r="F50" s="16" t="s">
        <v>253</v>
      </c>
      <c r="G50" s="16" t="s">
        <v>183</v>
      </c>
      <c r="H50" s="16" t="s">
        <v>310</v>
      </c>
      <c r="I50" s="16" t="s">
        <v>311</v>
      </c>
      <c r="J50" s="16" t="s">
        <v>248</v>
      </c>
      <c r="K50" s="18">
        <v>1516</v>
      </c>
      <c r="L50" s="18" t="s">
        <v>330</v>
      </c>
      <c r="M50" s="18" t="s">
        <v>331</v>
      </c>
      <c r="N50" s="18">
        <v>245</v>
      </c>
      <c r="O50" s="16"/>
      <c r="P50" s="16"/>
      <c r="Q50" s="16"/>
      <c r="R50" s="16"/>
      <c r="S50" s="16"/>
      <c r="T50" s="16"/>
      <c r="U50" s="16"/>
      <c r="V50" s="19"/>
      <c r="W50" s="19">
        <v>40.700000000000003</v>
      </c>
      <c r="X50" s="19">
        <v>40.6</v>
      </c>
      <c r="Y50" s="19">
        <v>22.7</v>
      </c>
      <c r="Z50" s="18">
        <v>4.1500000000000004</v>
      </c>
      <c r="AA50" s="20">
        <f t="shared" si="2"/>
        <v>159.56750000000002</v>
      </c>
      <c r="AB50" s="30">
        <v>5.5525542266369339</v>
      </c>
      <c r="AC50" s="25">
        <v>0.62769189687516636</v>
      </c>
      <c r="AD50" s="28">
        <v>522.63</v>
      </c>
      <c r="AE50" s="16" t="s">
        <v>327</v>
      </c>
      <c r="AF50" s="16"/>
      <c r="AG50" s="28">
        <v>44.5</v>
      </c>
      <c r="AH50" s="16"/>
      <c r="AI50" s="16">
        <v>0.13200000000000001</v>
      </c>
      <c r="AJ50" s="16">
        <v>25.7</v>
      </c>
      <c r="AK50" s="16"/>
      <c r="AL50" s="16"/>
      <c r="AM50" s="16"/>
      <c r="AN50" s="16"/>
      <c r="AO50" s="21"/>
      <c r="AP50" s="16"/>
      <c r="AQ50" s="14"/>
    </row>
    <row r="51" spans="1:43" ht="15" customHeight="1">
      <c r="A51" s="15" t="s">
        <v>332</v>
      </c>
      <c r="B51" s="16" t="s">
        <v>333</v>
      </c>
      <c r="C51" s="23">
        <v>42242</v>
      </c>
      <c r="D51" s="26">
        <v>0.72916666666666663</v>
      </c>
      <c r="E51" s="16" t="s">
        <v>252</v>
      </c>
      <c r="F51" s="16" t="s">
        <v>253</v>
      </c>
      <c r="G51" s="16" t="s">
        <v>183</v>
      </c>
      <c r="H51" s="16" t="s">
        <v>310</v>
      </c>
      <c r="I51" s="16" t="s">
        <v>311</v>
      </c>
      <c r="J51" s="16" t="s">
        <v>196</v>
      </c>
      <c r="K51" s="18">
        <v>1516</v>
      </c>
      <c r="L51" s="18" t="s">
        <v>330</v>
      </c>
      <c r="M51" s="18" t="s">
        <v>331</v>
      </c>
      <c r="N51" s="18">
        <v>245</v>
      </c>
      <c r="O51" s="16"/>
      <c r="P51" s="16"/>
      <c r="Q51" s="16"/>
      <c r="R51" s="16"/>
      <c r="S51" s="16"/>
      <c r="T51" s="16"/>
      <c r="U51" s="16"/>
      <c r="V51" s="19"/>
      <c r="W51" s="19">
        <v>40.6</v>
      </c>
      <c r="X51" s="19">
        <v>40.5</v>
      </c>
      <c r="Y51" s="19">
        <v>22</v>
      </c>
      <c r="Z51" s="18">
        <v>4.1500000000000004</v>
      </c>
      <c r="AA51" s="20">
        <f t="shared" si="2"/>
        <v>159.1525</v>
      </c>
      <c r="AB51" s="30">
        <v>5.5725093937239771</v>
      </c>
      <c r="AC51" s="25">
        <v>0.2643604992185804</v>
      </c>
      <c r="AD51" s="28">
        <v>517.1</v>
      </c>
      <c r="AE51" s="16" t="s">
        <v>327</v>
      </c>
      <c r="AF51" s="16"/>
      <c r="AG51" s="28">
        <v>43.03</v>
      </c>
      <c r="AH51" s="16"/>
      <c r="AI51" s="16"/>
      <c r="AJ51" s="16"/>
      <c r="AK51" s="16"/>
      <c r="AL51" s="16"/>
      <c r="AM51" s="71">
        <v>1.07</v>
      </c>
      <c r="AN51" s="16"/>
      <c r="AO51" s="21"/>
      <c r="AP51" s="16"/>
      <c r="AQ51" s="14"/>
    </row>
    <row r="52" spans="1:43" ht="15" customHeight="1">
      <c r="A52" s="15"/>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21"/>
      <c r="AP52" s="16"/>
      <c r="AQ52" s="14"/>
    </row>
    <row r="53" spans="1:43" ht="15" customHeight="1">
      <c r="A53" s="51" t="s">
        <v>334</v>
      </c>
      <c r="B53" s="52" t="s">
        <v>334</v>
      </c>
      <c r="C53" s="53">
        <v>41544</v>
      </c>
      <c r="D53" s="26">
        <v>0.1013888888888889</v>
      </c>
      <c r="E53" s="16" t="s">
        <v>335</v>
      </c>
      <c r="F53" s="16" t="s">
        <v>336</v>
      </c>
      <c r="G53" s="16" t="s">
        <v>183</v>
      </c>
      <c r="H53" s="16" t="s">
        <v>184</v>
      </c>
      <c r="I53" s="16" t="s">
        <v>337</v>
      </c>
      <c r="J53" s="52" t="s">
        <v>199</v>
      </c>
      <c r="K53" s="54">
        <v>1521.8</v>
      </c>
      <c r="L53" s="54">
        <v>-129.98817</v>
      </c>
      <c r="M53" s="54">
        <v>45.922784999999998</v>
      </c>
      <c r="N53" s="18"/>
      <c r="O53" s="52" t="s">
        <v>338</v>
      </c>
      <c r="P53" s="16"/>
      <c r="Q53" s="16"/>
      <c r="R53" s="16"/>
      <c r="S53" s="16"/>
      <c r="T53" s="16"/>
      <c r="U53" s="16"/>
      <c r="V53" s="19"/>
      <c r="W53" s="55">
        <v>24.6</v>
      </c>
      <c r="X53" s="55">
        <v>21.1</v>
      </c>
      <c r="Y53" s="19"/>
      <c r="Z53" s="18">
        <v>4.1500000000000004</v>
      </c>
      <c r="AA53" s="20">
        <f t="shared" ref="AA53:AA77" si="3">Z53*(AVERAGE(W53:X53)-2.2)</f>
        <v>85.697500000000019</v>
      </c>
      <c r="AB53" s="16">
        <v>6.24</v>
      </c>
      <c r="AC53" s="25">
        <v>0.21627080635036222</v>
      </c>
      <c r="AD53" s="28">
        <v>529.44000000000005</v>
      </c>
      <c r="AE53" s="16" t="s">
        <v>187</v>
      </c>
      <c r="AF53" s="20"/>
      <c r="AG53" s="29">
        <v>51.12</v>
      </c>
      <c r="AH53" s="16"/>
      <c r="AI53" s="56" t="s">
        <v>339</v>
      </c>
      <c r="AJ53" s="56">
        <v>17.731503716409375</v>
      </c>
      <c r="AK53" s="16">
        <v>4.5</v>
      </c>
      <c r="AL53" s="16"/>
      <c r="AM53" s="16"/>
      <c r="AN53" s="32"/>
      <c r="AO53" s="33"/>
      <c r="AP53" s="16"/>
      <c r="AQ53" s="14"/>
    </row>
    <row r="54" spans="1:43" ht="15" customHeight="1">
      <c r="A54" s="51" t="s">
        <v>340</v>
      </c>
      <c r="B54" s="52" t="s">
        <v>340</v>
      </c>
      <c r="C54" s="53">
        <v>41544</v>
      </c>
      <c r="D54" s="26">
        <v>0.11180555555555556</v>
      </c>
      <c r="E54" s="16" t="s">
        <v>335</v>
      </c>
      <c r="F54" s="16" t="s">
        <v>336</v>
      </c>
      <c r="G54" s="16" t="s">
        <v>183</v>
      </c>
      <c r="H54" s="16" t="s">
        <v>184</v>
      </c>
      <c r="I54" s="16" t="s">
        <v>337</v>
      </c>
      <c r="J54" s="52" t="s">
        <v>199</v>
      </c>
      <c r="K54" s="54">
        <v>1521.9</v>
      </c>
      <c r="L54" s="54">
        <v>-129.98815166666665</v>
      </c>
      <c r="M54" s="54">
        <v>45.922750000000001</v>
      </c>
      <c r="N54" s="18"/>
      <c r="O54" s="52" t="s">
        <v>341</v>
      </c>
      <c r="P54" s="16"/>
      <c r="Q54" s="16"/>
      <c r="R54" s="16"/>
      <c r="S54" s="16"/>
      <c r="T54" s="16"/>
      <c r="U54" s="16"/>
      <c r="V54" s="19"/>
      <c r="W54" s="55">
        <v>23.8</v>
      </c>
      <c r="X54" s="55">
        <v>23.3</v>
      </c>
      <c r="Y54" s="19"/>
      <c r="Z54" s="18">
        <v>4.1500000000000004</v>
      </c>
      <c r="AA54" s="20">
        <f t="shared" si="3"/>
        <v>88.60250000000002</v>
      </c>
      <c r="AB54" s="16">
        <v>6.14</v>
      </c>
      <c r="AC54" s="25">
        <v>0.41436079033928436</v>
      </c>
      <c r="AD54" s="28">
        <v>524.35</v>
      </c>
      <c r="AE54" s="16" t="s">
        <v>187</v>
      </c>
      <c r="AF54" s="20"/>
      <c r="AG54" s="29">
        <v>50.39</v>
      </c>
      <c r="AH54" s="16"/>
      <c r="AI54" s="56" t="s">
        <v>339</v>
      </c>
      <c r="AJ54" s="56">
        <v>18.272357723577237</v>
      </c>
      <c r="AK54" s="16">
        <v>4.5999999999999996</v>
      </c>
      <c r="AL54" s="16"/>
      <c r="AM54" s="31" t="s">
        <v>307</v>
      </c>
      <c r="AN54" s="32"/>
      <c r="AO54" s="33"/>
      <c r="AP54" s="16"/>
      <c r="AQ54" s="14"/>
    </row>
    <row r="55" spans="1:43" ht="15" customHeight="1">
      <c r="A55" s="15" t="s">
        <v>342</v>
      </c>
      <c r="B55" s="16" t="s">
        <v>343</v>
      </c>
      <c r="C55" s="23">
        <v>41544</v>
      </c>
      <c r="D55" s="72">
        <v>0.40137731481481481</v>
      </c>
      <c r="E55" s="16" t="s">
        <v>335</v>
      </c>
      <c r="F55" s="16" t="s">
        <v>336</v>
      </c>
      <c r="G55" s="16" t="s">
        <v>183</v>
      </c>
      <c r="H55" s="16" t="s">
        <v>184</v>
      </c>
      <c r="I55" s="16" t="s">
        <v>337</v>
      </c>
      <c r="J55" s="16" t="s">
        <v>186</v>
      </c>
      <c r="K55" s="18">
        <v>1520.3</v>
      </c>
      <c r="L55" s="18">
        <v>-129.98821000000001</v>
      </c>
      <c r="M55" s="18">
        <v>45.922787</v>
      </c>
      <c r="N55" s="18">
        <v>63</v>
      </c>
      <c r="O55" s="16" t="s">
        <v>259</v>
      </c>
      <c r="P55" s="16" t="s">
        <v>344</v>
      </c>
      <c r="Q55" s="16"/>
      <c r="R55" s="16"/>
      <c r="S55" s="16"/>
      <c r="T55" s="16"/>
      <c r="U55" s="16"/>
      <c r="V55" s="19"/>
      <c r="W55" s="19">
        <v>24.5</v>
      </c>
      <c r="X55" s="19">
        <v>24.4</v>
      </c>
      <c r="Y55" s="19"/>
      <c r="Z55" s="18">
        <v>4.1500000000000004</v>
      </c>
      <c r="AA55" s="20">
        <f t="shared" si="3"/>
        <v>92.337500000000006</v>
      </c>
      <c r="AB55" s="32">
        <v>7.7705332322466507</v>
      </c>
      <c r="AC55" s="25">
        <v>0.66420860380604618</v>
      </c>
      <c r="AD55" s="28">
        <v>520.07000000000005</v>
      </c>
      <c r="AE55" s="16" t="s">
        <v>187</v>
      </c>
      <c r="AF55" s="20"/>
      <c r="AG55" s="29">
        <v>50.19</v>
      </c>
      <c r="AH55" s="16"/>
      <c r="AI55" s="30" t="s">
        <v>261</v>
      </c>
      <c r="AJ55" s="30">
        <v>16.332999999999998</v>
      </c>
      <c r="AK55" s="16"/>
      <c r="AL55" s="16"/>
      <c r="AM55" s="16"/>
      <c r="AN55" s="32"/>
      <c r="AO55" s="33"/>
      <c r="AP55" s="16"/>
      <c r="AQ55" s="14"/>
    </row>
    <row r="56" spans="1:43" ht="15.75" customHeight="1">
      <c r="A56" s="15" t="s">
        <v>345</v>
      </c>
      <c r="B56" s="16" t="s">
        <v>346</v>
      </c>
      <c r="C56" s="23">
        <v>41544</v>
      </c>
      <c r="D56" s="72">
        <v>0.40392361111111108</v>
      </c>
      <c r="E56" s="16" t="s">
        <v>335</v>
      </c>
      <c r="F56" s="16" t="s">
        <v>336</v>
      </c>
      <c r="G56" s="16" t="s">
        <v>183</v>
      </c>
      <c r="H56" s="16" t="s">
        <v>184</v>
      </c>
      <c r="I56" s="16" t="s">
        <v>337</v>
      </c>
      <c r="J56" s="16" t="s">
        <v>186</v>
      </c>
      <c r="K56" s="18">
        <v>1520.3</v>
      </c>
      <c r="L56" s="18">
        <v>-129.98821000000001</v>
      </c>
      <c r="M56" s="18">
        <v>45.922787</v>
      </c>
      <c r="N56" s="18">
        <v>63</v>
      </c>
      <c r="O56" s="16" t="s">
        <v>259</v>
      </c>
      <c r="P56" s="16" t="s">
        <v>344</v>
      </c>
      <c r="Q56" s="16"/>
      <c r="R56" s="16"/>
      <c r="S56" s="16"/>
      <c r="T56" s="16"/>
      <c r="U56" s="16"/>
      <c r="V56" s="19"/>
      <c r="W56" s="19">
        <v>24.8</v>
      </c>
      <c r="X56" s="19">
        <v>24.5</v>
      </c>
      <c r="Y56" s="19"/>
      <c r="Z56" s="18">
        <v>4.1500000000000004</v>
      </c>
      <c r="AA56" s="20">
        <f t="shared" si="3"/>
        <v>93.167500000000004</v>
      </c>
      <c r="AB56" s="32">
        <v>6.1723527925195851</v>
      </c>
      <c r="AC56" s="25">
        <v>0.72920674607633162</v>
      </c>
      <c r="AD56" s="28">
        <v>521.35</v>
      </c>
      <c r="AE56" s="16" t="s">
        <v>187</v>
      </c>
      <c r="AF56" s="20"/>
      <c r="AG56" s="29">
        <v>50.23</v>
      </c>
      <c r="AH56" s="16"/>
      <c r="AI56" s="30" t="s">
        <v>261</v>
      </c>
      <c r="AJ56" s="30">
        <v>16.867000000000001</v>
      </c>
      <c r="AK56" s="16"/>
      <c r="AL56" s="73" t="s">
        <v>345</v>
      </c>
      <c r="AM56" s="74">
        <v>7.1728752834647631</v>
      </c>
      <c r="AN56" s="32">
        <v>7.21</v>
      </c>
      <c r="AO56" s="33">
        <v>6.28</v>
      </c>
      <c r="AP56" s="16" t="s">
        <v>347</v>
      </c>
      <c r="AQ56" s="14"/>
    </row>
    <row r="57" spans="1:43" s="50" customFormat="1" ht="15.75" customHeight="1">
      <c r="A57" s="35" t="s">
        <v>345</v>
      </c>
      <c r="B57" s="36" t="s">
        <v>346</v>
      </c>
      <c r="C57" s="37">
        <v>41544</v>
      </c>
      <c r="D57" s="75">
        <v>0.40392361111111108</v>
      </c>
      <c r="E57" s="36" t="s">
        <v>335</v>
      </c>
      <c r="F57" s="36" t="s">
        <v>336</v>
      </c>
      <c r="G57" s="36" t="s">
        <v>183</v>
      </c>
      <c r="H57" s="36" t="s">
        <v>184</v>
      </c>
      <c r="I57" s="36" t="s">
        <v>337</v>
      </c>
      <c r="J57" s="36" t="s">
        <v>186</v>
      </c>
      <c r="K57" s="40">
        <v>1520.3</v>
      </c>
      <c r="L57" s="40">
        <v>-129.98821000000001</v>
      </c>
      <c r="M57" s="40">
        <v>45.922787</v>
      </c>
      <c r="N57" s="40">
        <v>63</v>
      </c>
      <c r="O57" s="36" t="s">
        <v>262</v>
      </c>
      <c r="P57" s="36" t="s">
        <v>344</v>
      </c>
      <c r="Q57" s="36"/>
      <c r="R57" s="36"/>
      <c r="S57" s="36"/>
      <c r="T57" s="36"/>
      <c r="U57" s="36"/>
      <c r="V57" s="41"/>
      <c r="W57" s="41">
        <v>24.8</v>
      </c>
      <c r="X57" s="41">
        <v>24.5</v>
      </c>
      <c r="Y57" s="41"/>
      <c r="Z57" s="40">
        <v>4.1500000000000004</v>
      </c>
      <c r="AA57" s="42">
        <f t="shared" si="3"/>
        <v>93.167500000000004</v>
      </c>
      <c r="AB57" s="47">
        <v>6.1723527925195851</v>
      </c>
      <c r="AC57" s="43">
        <v>0.72920674607633162</v>
      </c>
      <c r="AD57" s="44">
        <v>521.35</v>
      </c>
      <c r="AE57" s="36" t="s">
        <v>187</v>
      </c>
      <c r="AF57" s="42"/>
      <c r="AG57" s="45">
        <v>50.23</v>
      </c>
      <c r="AH57" s="36"/>
      <c r="AI57" s="46">
        <v>1.4</v>
      </c>
      <c r="AJ57" s="46">
        <v>16.867000000000001</v>
      </c>
      <c r="AK57" s="36"/>
      <c r="AL57" s="76" t="s">
        <v>345</v>
      </c>
      <c r="AM57" s="77">
        <v>7.1728752834647631</v>
      </c>
      <c r="AN57" s="47">
        <v>7.21</v>
      </c>
      <c r="AO57" s="69">
        <v>6.28</v>
      </c>
      <c r="AP57" s="36" t="s">
        <v>347</v>
      </c>
      <c r="AQ57" s="49"/>
    </row>
    <row r="58" spans="1:43" ht="15.75" customHeight="1">
      <c r="A58" s="15" t="s">
        <v>348</v>
      </c>
      <c r="B58" s="16" t="s">
        <v>349</v>
      </c>
      <c r="C58" s="23">
        <v>41544</v>
      </c>
      <c r="D58" s="72">
        <v>0.34899305555555554</v>
      </c>
      <c r="E58" s="16" t="s">
        <v>335</v>
      </c>
      <c r="F58" s="16" t="s">
        <v>336</v>
      </c>
      <c r="G58" s="16" t="s">
        <v>183</v>
      </c>
      <c r="H58" s="16" t="s">
        <v>184</v>
      </c>
      <c r="I58" s="16" t="s">
        <v>337</v>
      </c>
      <c r="J58" s="16" t="s">
        <v>196</v>
      </c>
      <c r="K58" s="18">
        <v>1520.3</v>
      </c>
      <c r="L58" s="18">
        <v>-129.98821000000001</v>
      </c>
      <c r="M58" s="18">
        <v>45.922787</v>
      </c>
      <c r="N58" s="18">
        <v>63</v>
      </c>
      <c r="O58" s="16" t="s">
        <v>350</v>
      </c>
      <c r="P58" s="16" t="s">
        <v>344</v>
      </c>
      <c r="Q58" s="16"/>
      <c r="R58" s="16"/>
      <c r="S58" s="16"/>
      <c r="T58" s="16"/>
      <c r="U58" s="16"/>
      <c r="V58" s="19"/>
      <c r="W58" s="19">
        <v>24.7</v>
      </c>
      <c r="X58" s="19">
        <v>24.1</v>
      </c>
      <c r="Y58" s="19"/>
      <c r="Z58" s="18">
        <v>4.1500000000000004</v>
      </c>
      <c r="AA58" s="20">
        <f t="shared" si="3"/>
        <v>92.13000000000001</v>
      </c>
      <c r="AB58" s="16"/>
      <c r="AC58" s="25">
        <v>0.57910799568133142</v>
      </c>
      <c r="AD58" s="28">
        <v>521.46</v>
      </c>
      <c r="AE58" s="16" t="s">
        <v>187</v>
      </c>
      <c r="AF58" s="20"/>
      <c r="AG58" s="29">
        <v>50.34</v>
      </c>
      <c r="AH58" s="16"/>
      <c r="AI58" s="30" t="s">
        <v>261</v>
      </c>
      <c r="AJ58" s="30">
        <v>13.24</v>
      </c>
      <c r="AK58" s="16"/>
      <c r="AL58" s="73" t="s">
        <v>348</v>
      </c>
      <c r="AM58" s="79">
        <v>4.9110132292868522</v>
      </c>
      <c r="AN58" s="32"/>
      <c r="AO58" s="33"/>
      <c r="AP58" s="16"/>
      <c r="AQ58" s="14"/>
    </row>
    <row r="59" spans="1:43" ht="15.75" customHeight="1">
      <c r="A59" s="15" t="s">
        <v>351</v>
      </c>
      <c r="B59" s="16" t="s">
        <v>352</v>
      </c>
      <c r="C59" s="23">
        <v>41544</v>
      </c>
      <c r="D59" s="72">
        <v>0.36167824074074079</v>
      </c>
      <c r="E59" s="16" t="s">
        <v>335</v>
      </c>
      <c r="F59" s="16" t="s">
        <v>336</v>
      </c>
      <c r="G59" s="16" t="s">
        <v>183</v>
      </c>
      <c r="H59" s="16" t="s">
        <v>184</v>
      </c>
      <c r="I59" s="16" t="s">
        <v>337</v>
      </c>
      <c r="J59" s="16" t="s">
        <v>353</v>
      </c>
      <c r="K59" s="18">
        <v>1520.3</v>
      </c>
      <c r="L59" s="18">
        <v>-129.98821000000001</v>
      </c>
      <c r="M59" s="18">
        <v>45.922787</v>
      </c>
      <c r="N59" s="18">
        <v>63</v>
      </c>
      <c r="O59" s="16" t="s">
        <v>354</v>
      </c>
      <c r="P59" s="16" t="s">
        <v>344</v>
      </c>
      <c r="Q59" s="16"/>
      <c r="R59" s="16"/>
      <c r="S59" s="16"/>
      <c r="T59" s="16"/>
      <c r="U59" s="16"/>
      <c r="V59" s="19"/>
      <c r="W59" s="19">
        <v>24.3</v>
      </c>
      <c r="X59" s="19">
        <v>24</v>
      </c>
      <c r="Y59" s="19"/>
      <c r="Z59" s="18">
        <v>4.1500000000000004</v>
      </c>
      <c r="AA59" s="20">
        <f t="shared" si="3"/>
        <v>91.092500000000001</v>
      </c>
      <c r="AB59" s="32">
        <v>6.1723527925195851</v>
      </c>
      <c r="AC59" s="25">
        <v>0.58169409110755355</v>
      </c>
      <c r="AD59" s="28">
        <v>516.55999999999995</v>
      </c>
      <c r="AE59" s="16" t="s">
        <v>187</v>
      </c>
      <c r="AF59" s="20"/>
      <c r="AG59" s="29">
        <v>49.82</v>
      </c>
      <c r="AH59" s="16"/>
      <c r="AI59" s="30">
        <v>1.35</v>
      </c>
      <c r="AJ59" s="30">
        <v>14.4</v>
      </c>
      <c r="AK59" s="16"/>
      <c r="AL59" s="73" t="s">
        <v>351</v>
      </c>
      <c r="AM59" s="79">
        <v>7.3224258109323568</v>
      </c>
      <c r="AN59" s="32"/>
      <c r="AO59" s="33"/>
      <c r="AP59" s="16"/>
      <c r="AQ59" s="14"/>
    </row>
    <row r="60" spans="1:43" ht="15.75" customHeight="1">
      <c r="A60" s="15" t="s">
        <v>355</v>
      </c>
      <c r="B60" s="16" t="s">
        <v>356</v>
      </c>
      <c r="C60" s="23">
        <v>41544</v>
      </c>
      <c r="D60" s="72">
        <v>0.36760416666666668</v>
      </c>
      <c r="E60" s="16" t="s">
        <v>335</v>
      </c>
      <c r="F60" s="16" t="s">
        <v>336</v>
      </c>
      <c r="G60" s="16" t="s">
        <v>183</v>
      </c>
      <c r="H60" s="16" t="s">
        <v>184</v>
      </c>
      <c r="I60" s="16" t="s">
        <v>337</v>
      </c>
      <c r="J60" s="16" t="s">
        <v>357</v>
      </c>
      <c r="K60" s="18">
        <v>1520.3</v>
      </c>
      <c r="L60" s="18">
        <v>-129.98821000000001</v>
      </c>
      <c r="M60" s="18">
        <v>45.922787</v>
      </c>
      <c r="N60" s="18">
        <v>63</v>
      </c>
      <c r="O60" s="16" t="s">
        <v>354</v>
      </c>
      <c r="P60" s="16" t="s">
        <v>344</v>
      </c>
      <c r="Q60" s="16"/>
      <c r="R60" s="16"/>
      <c r="S60" s="16"/>
      <c r="T60" s="16"/>
      <c r="U60" s="16"/>
      <c r="V60" s="19"/>
      <c r="W60" s="19">
        <v>23.9</v>
      </c>
      <c r="X60" s="19">
        <v>23.5</v>
      </c>
      <c r="Y60" s="19"/>
      <c r="Z60" s="18">
        <v>4.1500000000000004</v>
      </c>
      <c r="AA60" s="20">
        <f t="shared" si="3"/>
        <v>89.225000000000009</v>
      </c>
      <c r="AB60" s="32">
        <v>6.1895375284306287</v>
      </c>
      <c r="AC60" s="25">
        <v>0.57579783146557983</v>
      </c>
      <c r="AD60" s="28">
        <v>510.14</v>
      </c>
      <c r="AE60" s="16" t="s">
        <v>187</v>
      </c>
      <c r="AF60" s="20"/>
      <c r="AG60" s="29">
        <v>49.18</v>
      </c>
      <c r="AH60" s="16"/>
      <c r="AI60" s="30" t="s">
        <v>261</v>
      </c>
      <c r="AJ60" s="30">
        <v>13.05</v>
      </c>
      <c r="AK60" s="16"/>
      <c r="AL60" s="73" t="s">
        <v>355</v>
      </c>
      <c r="AM60" s="79">
        <v>6.6044420200555631</v>
      </c>
      <c r="AN60" s="32"/>
      <c r="AO60" s="33"/>
      <c r="AP60" s="16"/>
      <c r="AQ60" s="14"/>
    </row>
    <row r="61" spans="1:43" ht="15.75" customHeight="1">
      <c r="A61" s="15" t="s">
        <v>358</v>
      </c>
      <c r="B61" s="83" t="s">
        <v>359</v>
      </c>
      <c r="C61" s="23">
        <v>41544</v>
      </c>
      <c r="D61" s="72">
        <v>0.36475694444444445</v>
      </c>
      <c r="E61" s="16" t="s">
        <v>335</v>
      </c>
      <c r="F61" s="16" t="s">
        <v>336</v>
      </c>
      <c r="G61" s="16" t="s">
        <v>183</v>
      </c>
      <c r="H61" s="16" t="s">
        <v>184</v>
      </c>
      <c r="I61" s="16" t="s">
        <v>337</v>
      </c>
      <c r="J61" s="16" t="s">
        <v>360</v>
      </c>
      <c r="K61" s="18">
        <v>1520.3</v>
      </c>
      <c r="L61" s="18">
        <v>-129.98821000000001</v>
      </c>
      <c r="M61" s="18">
        <v>45.922787</v>
      </c>
      <c r="N61" s="18">
        <v>63</v>
      </c>
      <c r="O61" s="16" t="s">
        <v>361</v>
      </c>
      <c r="P61" s="16" t="s">
        <v>344</v>
      </c>
      <c r="Q61" s="16"/>
      <c r="R61" s="16"/>
      <c r="S61" s="16"/>
      <c r="T61" s="16"/>
      <c r="U61" s="16"/>
      <c r="V61" s="19"/>
      <c r="W61" s="19">
        <v>24.1</v>
      </c>
      <c r="X61" s="19">
        <v>23.6</v>
      </c>
      <c r="Y61" s="19"/>
      <c r="Z61" s="18">
        <v>4.1500000000000004</v>
      </c>
      <c r="AA61" s="20">
        <f t="shared" si="3"/>
        <v>89.847500000000011</v>
      </c>
      <c r="AB61" s="32">
        <v>7.1175132676269897</v>
      </c>
      <c r="AC61" s="25">
        <v>2.1550187051971346E-2</v>
      </c>
      <c r="AD61" s="28">
        <v>537.49</v>
      </c>
      <c r="AE61" s="16" t="s">
        <v>187</v>
      </c>
      <c r="AF61" s="20"/>
      <c r="AG61" s="29">
        <v>52.33</v>
      </c>
      <c r="AH61" s="16"/>
      <c r="AI61" s="30"/>
      <c r="AJ61" s="30"/>
      <c r="AK61" s="16"/>
      <c r="AL61" s="73" t="s">
        <v>358</v>
      </c>
      <c r="AM61" s="79">
        <v>39.818783834348835</v>
      </c>
      <c r="AN61" s="32"/>
      <c r="AO61" s="33"/>
      <c r="AP61" s="16"/>
      <c r="AQ61" s="14"/>
    </row>
    <row r="62" spans="1:43" ht="15.75" customHeight="1">
      <c r="A62" s="15" t="s">
        <v>362</v>
      </c>
      <c r="B62" s="16" t="s">
        <v>363</v>
      </c>
      <c r="C62" s="23">
        <v>41544</v>
      </c>
      <c r="D62" s="18"/>
      <c r="E62" s="16" t="s">
        <v>335</v>
      </c>
      <c r="F62" s="16" t="s">
        <v>336</v>
      </c>
      <c r="G62" s="16" t="s">
        <v>183</v>
      </c>
      <c r="H62" s="16" t="s">
        <v>184</v>
      </c>
      <c r="I62" s="16" t="s">
        <v>337</v>
      </c>
      <c r="J62" s="16" t="s">
        <v>364</v>
      </c>
      <c r="K62" s="18">
        <v>1520.3</v>
      </c>
      <c r="L62" s="18">
        <v>-129.98821000000001</v>
      </c>
      <c r="M62" s="18">
        <v>45.922787</v>
      </c>
      <c r="N62" s="18">
        <v>63</v>
      </c>
      <c r="O62" s="16" t="s">
        <v>365</v>
      </c>
      <c r="P62" s="16" t="s">
        <v>344</v>
      </c>
      <c r="Q62" s="16"/>
      <c r="R62" s="16"/>
      <c r="S62" s="16"/>
      <c r="T62" s="16"/>
      <c r="U62" s="16"/>
      <c r="V62" s="19"/>
      <c r="W62" s="19"/>
      <c r="X62" s="19"/>
      <c r="Y62" s="19"/>
      <c r="Z62" s="18"/>
      <c r="AA62" s="20" t="e">
        <f t="shared" si="3"/>
        <v>#DIV/0!</v>
      </c>
      <c r="AB62" s="16" t="s">
        <v>366</v>
      </c>
      <c r="AC62" s="25"/>
      <c r="AD62" s="32"/>
      <c r="AE62" s="16"/>
      <c r="AF62" s="20"/>
      <c r="AG62" s="16"/>
      <c r="AH62" s="16"/>
      <c r="AI62" s="30"/>
      <c r="AJ62" s="30"/>
      <c r="AK62" s="16"/>
      <c r="AL62" s="73" t="s">
        <v>367</v>
      </c>
      <c r="AM62" s="79">
        <v>2.8164388557743525</v>
      </c>
      <c r="AN62" s="32"/>
      <c r="AO62" s="33"/>
      <c r="AP62" s="16"/>
      <c r="AQ62" s="14"/>
    </row>
    <row r="63" spans="1:43" ht="15" customHeight="1">
      <c r="A63" s="57" t="s">
        <v>368</v>
      </c>
      <c r="B63" s="27" t="s">
        <v>369</v>
      </c>
      <c r="C63" s="23">
        <v>41863</v>
      </c>
      <c r="D63" s="26">
        <v>0.36944444444444446</v>
      </c>
      <c r="E63" s="16" t="s">
        <v>335</v>
      </c>
      <c r="F63" s="16" t="s">
        <v>336</v>
      </c>
      <c r="G63" s="27" t="s">
        <v>183</v>
      </c>
      <c r="H63" s="16" t="s">
        <v>184</v>
      </c>
      <c r="I63" s="27" t="s">
        <v>370</v>
      </c>
      <c r="J63" s="16" t="s">
        <v>371</v>
      </c>
      <c r="K63" s="58">
        <v>1521.06</v>
      </c>
      <c r="L63" s="18">
        <v>-129.98822666666666</v>
      </c>
      <c r="M63" s="18">
        <v>45.922766666666668</v>
      </c>
      <c r="N63" s="58">
        <v>228</v>
      </c>
      <c r="O63" s="27" t="s">
        <v>372</v>
      </c>
      <c r="P63" s="27" t="s">
        <v>373</v>
      </c>
      <c r="Q63" s="27"/>
      <c r="R63" s="27"/>
      <c r="S63" s="27"/>
      <c r="T63" s="27"/>
      <c r="U63" s="27"/>
      <c r="V63" s="19"/>
      <c r="W63" s="19">
        <v>25.1</v>
      </c>
      <c r="X63" s="19">
        <v>24.3</v>
      </c>
      <c r="Y63" s="19"/>
      <c r="Z63" s="18">
        <v>4.1500000000000004</v>
      </c>
      <c r="AA63" s="20">
        <f t="shared" si="3"/>
        <v>93.375000000000028</v>
      </c>
      <c r="AB63" s="16">
        <v>5.7759999999999998</v>
      </c>
      <c r="AC63" s="25">
        <v>0.55600000000000005</v>
      </c>
      <c r="AD63" s="61">
        <v>522.55999999999995</v>
      </c>
      <c r="AE63" s="16" t="s">
        <v>187</v>
      </c>
      <c r="AF63" s="32"/>
      <c r="AG63" s="28">
        <v>50.49</v>
      </c>
      <c r="AH63" s="16"/>
      <c r="AI63" s="30">
        <v>4.0000000000000001E-3</v>
      </c>
      <c r="AJ63" s="30">
        <v>34.835999999999999</v>
      </c>
      <c r="AK63" s="16"/>
      <c r="AL63" s="16"/>
      <c r="AM63" s="62">
        <v>8.1138585366411125</v>
      </c>
      <c r="AN63" s="32"/>
      <c r="AO63" s="33"/>
      <c r="AP63" s="16"/>
      <c r="AQ63" s="14"/>
    </row>
    <row r="64" spans="1:43" ht="15" customHeight="1">
      <c r="A64" s="57" t="s">
        <v>374</v>
      </c>
      <c r="B64" s="27" t="s">
        <v>375</v>
      </c>
      <c r="C64" s="23">
        <v>41863</v>
      </c>
      <c r="D64" s="26">
        <v>0.37916666666666665</v>
      </c>
      <c r="E64" s="16" t="s">
        <v>335</v>
      </c>
      <c r="F64" s="16" t="s">
        <v>336</v>
      </c>
      <c r="G64" s="27" t="s">
        <v>183</v>
      </c>
      <c r="H64" s="16" t="s">
        <v>184</v>
      </c>
      <c r="I64" s="27" t="s">
        <v>370</v>
      </c>
      <c r="J64" s="16" t="s">
        <v>186</v>
      </c>
      <c r="K64" s="58">
        <v>1521.07</v>
      </c>
      <c r="L64" s="18">
        <v>-129.98822666666666</v>
      </c>
      <c r="M64" s="18">
        <v>45.922766666666668</v>
      </c>
      <c r="N64" s="58">
        <v>228.29</v>
      </c>
      <c r="O64" s="27" t="s">
        <v>372</v>
      </c>
      <c r="P64" s="27" t="s">
        <v>376</v>
      </c>
      <c r="Q64" s="27"/>
      <c r="R64" s="27"/>
      <c r="S64" s="27"/>
      <c r="T64" s="27"/>
      <c r="U64" s="27"/>
      <c r="V64" s="19"/>
      <c r="W64" s="19">
        <v>25.5</v>
      </c>
      <c r="X64" s="19">
        <v>25.1</v>
      </c>
      <c r="Y64" s="19"/>
      <c r="Z64" s="18">
        <v>4.1500000000000004</v>
      </c>
      <c r="AA64" s="20">
        <f t="shared" si="3"/>
        <v>95.865000000000009</v>
      </c>
      <c r="AB64" s="16"/>
      <c r="AC64" s="25"/>
      <c r="AD64" s="28">
        <v>522.16999999999996</v>
      </c>
      <c r="AE64" s="16" t="s">
        <v>187</v>
      </c>
      <c r="AF64" s="16"/>
      <c r="AG64" s="28">
        <v>50.46</v>
      </c>
      <c r="AH64" s="16"/>
      <c r="AI64" s="16"/>
      <c r="AJ64" s="16"/>
      <c r="AK64" s="16"/>
      <c r="AL64" s="16"/>
      <c r="AM64" s="16"/>
      <c r="AN64" s="84"/>
      <c r="AO64" s="21"/>
      <c r="AP64" s="16"/>
      <c r="AQ64" s="14"/>
    </row>
    <row r="65" spans="1:43" ht="15" customHeight="1">
      <c r="A65" s="57" t="s">
        <v>377</v>
      </c>
      <c r="B65" s="27" t="s">
        <v>378</v>
      </c>
      <c r="C65" s="23">
        <v>41863</v>
      </c>
      <c r="D65" s="26">
        <v>0.4069444444444445</v>
      </c>
      <c r="E65" s="16" t="s">
        <v>335</v>
      </c>
      <c r="F65" s="16" t="s">
        <v>336</v>
      </c>
      <c r="G65" s="27" t="s">
        <v>183</v>
      </c>
      <c r="H65" s="16" t="s">
        <v>184</v>
      </c>
      <c r="I65" s="27" t="s">
        <v>370</v>
      </c>
      <c r="J65" s="16" t="s">
        <v>196</v>
      </c>
      <c r="K65" s="58">
        <v>1520.9</v>
      </c>
      <c r="L65" s="18">
        <v>-129.98822666666666</v>
      </c>
      <c r="M65" s="18">
        <v>45.922766666666668</v>
      </c>
      <c r="N65" s="58">
        <v>227</v>
      </c>
      <c r="O65" s="27" t="s">
        <v>372</v>
      </c>
      <c r="P65" s="27" t="s">
        <v>379</v>
      </c>
      <c r="Q65" s="27"/>
      <c r="R65" s="27"/>
      <c r="S65" s="27"/>
      <c r="T65" s="27"/>
      <c r="U65" s="27"/>
      <c r="V65" s="19"/>
      <c r="W65" s="19">
        <v>25.9</v>
      </c>
      <c r="X65" s="19">
        <v>24.9</v>
      </c>
      <c r="Y65" s="19"/>
      <c r="Z65" s="18">
        <v>4.1500000000000004</v>
      </c>
      <c r="AA65" s="20">
        <f t="shared" si="3"/>
        <v>96.28</v>
      </c>
      <c r="AB65" s="16"/>
      <c r="AC65" s="25">
        <v>0.51600000000000001</v>
      </c>
      <c r="AD65" s="16"/>
      <c r="AE65" s="16"/>
      <c r="AF65" s="32"/>
      <c r="AG65" s="28">
        <v>50.42</v>
      </c>
      <c r="AH65" s="16"/>
      <c r="AI65" s="16"/>
      <c r="AJ65" s="16"/>
      <c r="AK65" s="16"/>
      <c r="AL65" s="16"/>
      <c r="AM65" s="16"/>
      <c r="AN65" s="16"/>
      <c r="AO65" s="21"/>
      <c r="AP65" s="16"/>
      <c r="AQ65" s="14"/>
    </row>
    <row r="66" spans="1:43" ht="15" customHeight="1">
      <c r="A66" s="57" t="s">
        <v>380</v>
      </c>
      <c r="B66" s="27" t="s">
        <v>381</v>
      </c>
      <c r="C66" s="23">
        <v>41863</v>
      </c>
      <c r="D66" s="26">
        <v>0.60625000000000007</v>
      </c>
      <c r="E66" s="16" t="s">
        <v>335</v>
      </c>
      <c r="F66" s="16" t="s">
        <v>336</v>
      </c>
      <c r="G66" s="27" t="s">
        <v>183</v>
      </c>
      <c r="H66" s="16" t="s">
        <v>184</v>
      </c>
      <c r="I66" s="27" t="s">
        <v>370</v>
      </c>
      <c r="J66" s="16" t="s">
        <v>206</v>
      </c>
      <c r="K66" s="58">
        <v>1518</v>
      </c>
      <c r="L66" s="18">
        <v>-129.98817166666666</v>
      </c>
      <c r="M66" s="18">
        <v>45.922735000000003</v>
      </c>
      <c r="N66" s="58">
        <v>354</v>
      </c>
      <c r="O66" s="27" t="s">
        <v>382</v>
      </c>
      <c r="P66" s="27" t="s">
        <v>383</v>
      </c>
      <c r="Q66" s="27"/>
      <c r="R66" s="27"/>
      <c r="S66" s="27"/>
      <c r="T66" s="27"/>
      <c r="U66" s="27"/>
      <c r="V66" s="19"/>
      <c r="W66" s="19"/>
      <c r="X66" s="19">
        <v>25.1</v>
      </c>
      <c r="Y66" s="19"/>
      <c r="Z66" s="18">
        <v>4.1500000000000004</v>
      </c>
      <c r="AA66" s="20">
        <f t="shared" si="3"/>
        <v>95.035000000000011</v>
      </c>
      <c r="AB66" s="16">
        <v>5.6890000000000001</v>
      </c>
      <c r="AC66" s="25">
        <v>0.40200000000000002</v>
      </c>
      <c r="AD66" s="28">
        <v>515.73</v>
      </c>
      <c r="AE66" s="16" t="s">
        <v>187</v>
      </c>
      <c r="AF66" s="32"/>
      <c r="AG66" s="28">
        <v>49.67</v>
      </c>
      <c r="AH66" s="16"/>
      <c r="AI66" s="16"/>
      <c r="AJ66" s="16"/>
      <c r="AK66" s="16"/>
      <c r="AL66" s="16"/>
      <c r="AM66" s="16">
        <v>8.3800000000000008</v>
      </c>
      <c r="AN66" s="16"/>
      <c r="AO66" s="21"/>
      <c r="AP66" s="16"/>
      <c r="AQ66" s="14"/>
    </row>
    <row r="67" spans="1:43" ht="15" customHeight="1">
      <c r="A67" s="57" t="s">
        <v>384</v>
      </c>
      <c r="B67" s="27" t="s">
        <v>385</v>
      </c>
      <c r="C67" s="23">
        <v>41863</v>
      </c>
      <c r="D67" s="26">
        <v>0.70347222222222217</v>
      </c>
      <c r="E67" s="16" t="s">
        <v>335</v>
      </c>
      <c r="F67" s="16" t="s">
        <v>336</v>
      </c>
      <c r="G67" s="27" t="s">
        <v>183</v>
      </c>
      <c r="H67" s="16" t="s">
        <v>184</v>
      </c>
      <c r="I67" s="27" t="s">
        <v>370</v>
      </c>
      <c r="J67" s="16" t="s">
        <v>386</v>
      </c>
      <c r="K67" s="58">
        <v>1518.18</v>
      </c>
      <c r="L67" s="18">
        <v>-129.98817166666666</v>
      </c>
      <c r="M67" s="18">
        <v>45.922735000000003</v>
      </c>
      <c r="N67" s="58">
        <v>359.44</v>
      </c>
      <c r="O67" s="27" t="s">
        <v>382</v>
      </c>
      <c r="P67" s="27" t="s">
        <v>387</v>
      </c>
      <c r="Q67" s="27"/>
      <c r="R67" s="27"/>
      <c r="S67" s="27"/>
      <c r="T67" s="27"/>
      <c r="U67" s="27"/>
      <c r="V67" s="19"/>
      <c r="W67" s="19">
        <v>26.4</v>
      </c>
      <c r="X67" s="19"/>
      <c r="Y67" s="19"/>
      <c r="Z67" s="18">
        <v>4.1500000000000004</v>
      </c>
      <c r="AA67" s="20">
        <f t="shared" si="3"/>
        <v>100.43</v>
      </c>
      <c r="AB67" s="16">
        <v>5.9550000000000001</v>
      </c>
      <c r="AC67" s="25">
        <v>0.64800000000000002</v>
      </c>
      <c r="AD67" s="61">
        <v>521.95000000000005</v>
      </c>
      <c r="AE67" s="16" t="s">
        <v>187</v>
      </c>
      <c r="AF67" s="32"/>
      <c r="AG67" s="28">
        <v>50.4</v>
      </c>
      <c r="AH67" s="16"/>
      <c r="AI67" s="30">
        <v>3.5999999999999997E-2</v>
      </c>
      <c r="AJ67" s="30">
        <v>34.908999999999999</v>
      </c>
      <c r="AK67" s="16"/>
      <c r="AL67" s="16"/>
      <c r="AM67" s="32">
        <v>8.1534391303450917</v>
      </c>
      <c r="AN67" s="32"/>
      <c r="AO67" s="33"/>
      <c r="AP67" s="16"/>
      <c r="AQ67" s="14"/>
    </row>
    <row r="68" spans="1:43" ht="15" customHeight="1">
      <c r="A68" s="57" t="s">
        <v>388</v>
      </c>
      <c r="B68" s="27" t="s">
        <v>389</v>
      </c>
      <c r="C68" s="23">
        <v>41863</v>
      </c>
      <c r="D68" s="26">
        <v>0.69444444444444453</v>
      </c>
      <c r="E68" s="16" t="s">
        <v>335</v>
      </c>
      <c r="F68" s="16" t="s">
        <v>336</v>
      </c>
      <c r="G68" s="27" t="s">
        <v>183</v>
      </c>
      <c r="H68" s="16" t="s">
        <v>184</v>
      </c>
      <c r="I68" s="27" t="s">
        <v>370</v>
      </c>
      <c r="J68" s="16" t="s">
        <v>386</v>
      </c>
      <c r="K68" s="58">
        <v>1518</v>
      </c>
      <c r="L68" s="18">
        <v>-129.98817166666666</v>
      </c>
      <c r="M68" s="18">
        <v>45.922735000000003</v>
      </c>
      <c r="N68" s="58">
        <v>0.28000000000000003</v>
      </c>
      <c r="O68" s="27" t="s">
        <v>382</v>
      </c>
      <c r="P68" s="27" t="s">
        <v>390</v>
      </c>
      <c r="Q68" s="27"/>
      <c r="R68" s="27"/>
      <c r="S68" s="27"/>
      <c r="T68" s="27"/>
      <c r="U68" s="27"/>
      <c r="V68" s="19"/>
      <c r="W68" s="19">
        <v>27.4</v>
      </c>
      <c r="X68" s="19"/>
      <c r="Y68" s="19"/>
      <c r="Z68" s="18">
        <v>4.1500000000000004</v>
      </c>
      <c r="AA68" s="20">
        <f t="shared" si="3"/>
        <v>104.58000000000001</v>
      </c>
      <c r="AB68" s="16">
        <v>5.86</v>
      </c>
      <c r="AC68" s="25">
        <v>0.80400000000000005</v>
      </c>
      <c r="AD68" s="61">
        <v>518.65</v>
      </c>
      <c r="AE68" s="16" t="s">
        <v>187</v>
      </c>
      <c r="AF68" s="32"/>
      <c r="AG68" s="28">
        <v>49.93</v>
      </c>
      <c r="AH68" s="16"/>
      <c r="AI68" s="30">
        <v>2.1000000000000001E-2</v>
      </c>
      <c r="AJ68" s="30">
        <v>38.039000000000001</v>
      </c>
      <c r="AK68" s="16"/>
      <c r="AL68" s="16"/>
      <c r="AM68" s="32">
        <v>1.4999998399080374</v>
      </c>
      <c r="AN68" s="32"/>
      <c r="AO68" s="33"/>
      <c r="AP68" s="16"/>
      <c r="AQ68" s="14"/>
    </row>
    <row r="69" spans="1:43" s="50" customFormat="1" ht="15" customHeight="1">
      <c r="A69" s="63" t="s">
        <v>388</v>
      </c>
      <c r="B69" s="39" t="s">
        <v>389</v>
      </c>
      <c r="C69" s="37">
        <v>41863</v>
      </c>
      <c r="D69" s="38">
        <v>0.69444444444444453</v>
      </c>
      <c r="E69" s="36" t="s">
        <v>335</v>
      </c>
      <c r="F69" s="36" t="s">
        <v>336</v>
      </c>
      <c r="G69" s="39" t="s">
        <v>183</v>
      </c>
      <c r="H69" s="36" t="s">
        <v>184</v>
      </c>
      <c r="I69" s="39" t="s">
        <v>370</v>
      </c>
      <c r="J69" s="36" t="s">
        <v>386</v>
      </c>
      <c r="K69" s="64">
        <v>1518</v>
      </c>
      <c r="L69" s="40">
        <v>-129.98817166666666</v>
      </c>
      <c r="M69" s="40">
        <v>45.922735000000003</v>
      </c>
      <c r="N69" s="64">
        <v>0.28000000000000003</v>
      </c>
      <c r="O69" s="39" t="s">
        <v>391</v>
      </c>
      <c r="P69" s="39" t="s">
        <v>390</v>
      </c>
      <c r="Q69" s="39"/>
      <c r="R69" s="39"/>
      <c r="S69" s="39"/>
      <c r="T69" s="39"/>
      <c r="U69" s="39"/>
      <c r="V69" s="41"/>
      <c r="W69" s="41">
        <v>27.4</v>
      </c>
      <c r="X69" s="41">
        <v>24.3</v>
      </c>
      <c r="Y69" s="41"/>
      <c r="Z69" s="40">
        <v>4.1500000000000004</v>
      </c>
      <c r="AA69" s="42">
        <f t="shared" si="3"/>
        <v>98.147500000000022</v>
      </c>
      <c r="AB69" s="36">
        <v>5.86</v>
      </c>
      <c r="AC69" s="43">
        <v>0.55600000000000005</v>
      </c>
      <c r="AD69" s="85">
        <v>518.65</v>
      </c>
      <c r="AE69" s="36" t="s">
        <v>187</v>
      </c>
      <c r="AF69" s="47"/>
      <c r="AG69" s="44">
        <v>48.8</v>
      </c>
      <c r="AH69" s="36"/>
      <c r="AI69" s="46">
        <v>1</v>
      </c>
      <c r="AJ69" s="46">
        <v>38.039000000000001</v>
      </c>
      <c r="AK69" s="36"/>
      <c r="AL69" s="36"/>
      <c r="AM69" s="68">
        <v>8.1</v>
      </c>
      <c r="AN69" s="47"/>
      <c r="AO69" s="69"/>
      <c r="AP69" s="36"/>
      <c r="AQ69" s="49"/>
    </row>
    <row r="70" spans="1:43" ht="15" customHeight="1">
      <c r="A70" s="57" t="s">
        <v>392</v>
      </c>
      <c r="B70" s="27" t="s">
        <v>392</v>
      </c>
      <c r="C70" s="23">
        <v>41863</v>
      </c>
      <c r="D70" s="26">
        <v>0.46666666666666662</v>
      </c>
      <c r="E70" s="16" t="s">
        <v>335</v>
      </c>
      <c r="F70" s="16" t="s">
        <v>336</v>
      </c>
      <c r="G70" s="27" t="s">
        <v>183</v>
      </c>
      <c r="H70" s="16" t="s">
        <v>184</v>
      </c>
      <c r="I70" s="27" t="s">
        <v>370</v>
      </c>
      <c r="J70" s="16" t="s">
        <v>199</v>
      </c>
      <c r="K70" s="58">
        <v>1520.26</v>
      </c>
      <c r="L70" s="18">
        <v>-129.98822666666666</v>
      </c>
      <c r="M70" s="18">
        <v>45.922766666666668</v>
      </c>
      <c r="N70" s="58">
        <v>227.49</v>
      </c>
      <c r="O70" s="27" t="s">
        <v>372</v>
      </c>
      <c r="P70" s="27" t="s">
        <v>393</v>
      </c>
      <c r="Q70" s="27"/>
      <c r="R70" s="27"/>
      <c r="S70" s="27"/>
      <c r="T70" s="27"/>
      <c r="U70" s="27"/>
      <c r="V70" s="19"/>
      <c r="W70" s="19"/>
      <c r="X70" s="19">
        <v>26.4</v>
      </c>
      <c r="Y70" s="19"/>
      <c r="Z70" s="18">
        <v>4.1500000000000004</v>
      </c>
      <c r="AA70" s="20">
        <f t="shared" si="3"/>
        <v>100.43</v>
      </c>
      <c r="AB70" s="16">
        <v>5.83</v>
      </c>
      <c r="AC70" s="25">
        <v>0.71099999999999997</v>
      </c>
      <c r="AD70" s="28">
        <v>522.84</v>
      </c>
      <c r="AE70" s="16" t="s">
        <v>187</v>
      </c>
      <c r="AF70" s="32"/>
      <c r="AG70" s="28">
        <v>50.37</v>
      </c>
      <c r="AH70" s="16"/>
      <c r="AI70" s="30">
        <v>1.7</v>
      </c>
      <c r="AJ70" s="30">
        <v>36.700000000000003</v>
      </c>
      <c r="AK70" s="20">
        <v>4.8188320026852018</v>
      </c>
      <c r="AL70" s="20"/>
      <c r="AM70" s="16"/>
      <c r="AN70" s="16"/>
      <c r="AO70" s="21"/>
      <c r="AP70" s="16"/>
      <c r="AQ70" s="14"/>
    </row>
    <row r="71" spans="1:43" ht="15" customHeight="1">
      <c r="A71" s="57" t="s">
        <v>394</v>
      </c>
      <c r="B71" s="27" t="s">
        <v>395</v>
      </c>
      <c r="C71" s="23">
        <v>41863</v>
      </c>
      <c r="D71" s="26">
        <v>0.47291666666666665</v>
      </c>
      <c r="E71" s="16" t="s">
        <v>335</v>
      </c>
      <c r="F71" s="16" t="s">
        <v>336</v>
      </c>
      <c r="G71" s="27" t="s">
        <v>183</v>
      </c>
      <c r="H71" s="16" t="s">
        <v>184</v>
      </c>
      <c r="I71" s="27" t="s">
        <v>370</v>
      </c>
      <c r="J71" s="16" t="s">
        <v>199</v>
      </c>
      <c r="K71" s="58">
        <v>1519.87</v>
      </c>
      <c r="L71" s="18">
        <v>-129.98822666666666</v>
      </c>
      <c r="M71" s="18">
        <v>45.922766666666668</v>
      </c>
      <c r="N71" s="58">
        <v>228.23</v>
      </c>
      <c r="O71" s="27" t="s">
        <v>372</v>
      </c>
      <c r="P71" s="27" t="s">
        <v>396</v>
      </c>
      <c r="Q71" s="27"/>
      <c r="R71" s="27"/>
      <c r="S71" s="27"/>
      <c r="T71" s="27"/>
      <c r="U71" s="27"/>
      <c r="V71" s="19"/>
      <c r="W71" s="19">
        <v>27.4</v>
      </c>
      <c r="X71" s="19"/>
      <c r="Y71" s="19"/>
      <c r="Z71" s="18">
        <v>4.1500000000000004</v>
      </c>
      <c r="AA71" s="20">
        <f t="shared" si="3"/>
        <v>104.58000000000001</v>
      </c>
      <c r="AB71" s="16">
        <v>5.782</v>
      </c>
      <c r="AC71" s="25">
        <v>0.68500000000000005</v>
      </c>
      <c r="AD71" s="20">
        <v>514.34738306666668</v>
      </c>
      <c r="AE71" s="16" t="s">
        <v>201</v>
      </c>
      <c r="AF71" s="32"/>
      <c r="AG71" s="28">
        <v>50.35</v>
      </c>
      <c r="AH71" s="16"/>
      <c r="AI71" s="30">
        <v>0.6</v>
      </c>
      <c r="AJ71" s="30">
        <v>40.299999999999997</v>
      </c>
      <c r="AK71" s="20">
        <v>7.3834921950342745</v>
      </c>
      <c r="AL71" s="20"/>
      <c r="AM71" s="16"/>
      <c r="AN71" s="16"/>
      <c r="AO71" s="21"/>
      <c r="AP71" s="16"/>
      <c r="AQ71" s="14"/>
    </row>
    <row r="72" spans="1:43" ht="15" customHeight="1">
      <c r="A72" s="57" t="s">
        <v>397</v>
      </c>
      <c r="B72" s="16" t="s">
        <v>398</v>
      </c>
      <c r="C72" s="23">
        <v>41869</v>
      </c>
      <c r="D72" s="26">
        <v>9.5138888888888884E-2</v>
      </c>
      <c r="E72" s="16" t="s">
        <v>335</v>
      </c>
      <c r="F72" s="16" t="s">
        <v>336</v>
      </c>
      <c r="G72" s="27" t="s">
        <v>183</v>
      </c>
      <c r="H72" s="27" t="s">
        <v>184</v>
      </c>
      <c r="I72" s="27" t="s">
        <v>370</v>
      </c>
      <c r="J72" s="16" t="s">
        <v>199</v>
      </c>
      <c r="K72" s="18">
        <v>1522</v>
      </c>
      <c r="L72" s="59">
        <v>-129.98820000000001</v>
      </c>
      <c r="M72" s="59">
        <v>45.922736666666665</v>
      </c>
      <c r="N72" s="18">
        <v>5</v>
      </c>
      <c r="O72" s="27" t="s">
        <v>399</v>
      </c>
      <c r="P72" s="27" t="s">
        <v>400</v>
      </c>
      <c r="Q72" s="27"/>
      <c r="R72" s="27"/>
      <c r="S72" s="27"/>
      <c r="T72" s="27"/>
      <c r="U72" s="27"/>
      <c r="V72" s="19"/>
      <c r="W72" s="19">
        <v>30.6</v>
      </c>
      <c r="X72" s="19"/>
      <c r="Y72" s="19"/>
      <c r="Z72" s="18">
        <v>4.1500000000000004</v>
      </c>
      <c r="AA72" s="20">
        <f t="shared" si="3"/>
        <v>117.86000000000001</v>
      </c>
      <c r="AB72" s="16"/>
      <c r="AC72" s="25">
        <v>2.4E-2</v>
      </c>
      <c r="AD72" s="28">
        <v>519.46</v>
      </c>
      <c r="AE72" s="16" t="s">
        <v>187</v>
      </c>
      <c r="AF72" s="16"/>
      <c r="AG72" s="28">
        <v>49.97</v>
      </c>
      <c r="AH72" s="16"/>
      <c r="AI72" s="30">
        <v>1.1000000000000001</v>
      </c>
      <c r="AJ72" s="30">
        <v>43.3</v>
      </c>
      <c r="AK72" s="20">
        <v>5.5417981799162916</v>
      </c>
      <c r="AL72" s="20"/>
      <c r="AM72" s="16"/>
      <c r="AN72" s="16"/>
      <c r="AO72" s="21"/>
      <c r="AP72" s="16"/>
      <c r="AQ72" s="14"/>
    </row>
    <row r="73" spans="1:43" ht="15" customHeight="1">
      <c r="A73" s="57" t="s">
        <v>401</v>
      </c>
      <c r="B73" s="16" t="s">
        <v>402</v>
      </c>
      <c r="C73" s="23">
        <v>41869</v>
      </c>
      <c r="D73" s="26">
        <v>8.4027777777777771E-2</v>
      </c>
      <c r="E73" s="16" t="s">
        <v>335</v>
      </c>
      <c r="F73" s="16" t="s">
        <v>336</v>
      </c>
      <c r="G73" s="27" t="s">
        <v>183</v>
      </c>
      <c r="H73" s="27" t="s">
        <v>184</v>
      </c>
      <c r="I73" s="27" t="s">
        <v>370</v>
      </c>
      <c r="J73" s="16" t="s">
        <v>403</v>
      </c>
      <c r="K73" s="18">
        <v>1522</v>
      </c>
      <c r="L73" s="59">
        <v>-129.98820000000001</v>
      </c>
      <c r="M73" s="59">
        <v>45.922736666666665</v>
      </c>
      <c r="N73" s="18">
        <v>5</v>
      </c>
      <c r="O73" s="27" t="s">
        <v>399</v>
      </c>
      <c r="P73" s="27" t="s">
        <v>404</v>
      </c>
      <c r="Q73" s="27"/>
      <c r="R73" s="27"/>
      <c r="S73" s="27"/>
      <c r="T73" s="27"/>
      <c r="U73" s="27"/>
      <c r="V73" s="19"/>
      <c r="W73" s="19">
        <v>32.299999999999997</v>
      </c>
      <c r="X73" s="19">
        <v>31.1</v>
      </c>
      <c r="Y73" s="19"/>
      <c r="Z73" s="18">
        <v>4.1500000000000004</v>
      </c>
      <c r="AA73" s="20">
        <f t="shared" si="3"/>
        <v>122.42500000000001</v>
      </c>
      <c r="AB73" s="16">
        <v>5.63</v>
      </c>
      <c r="AC73" s="25">
        <v>0.69687843554609541</v>
      </c>
      <c r="AD73" s="28">
        <v>518.59</v>
      </c>
      <c r="AE73" s="16" t="s">
        <v>187</v>
      </c>
      <c r="AF73" s="16"/>
      <c r="AG73" s="28">
        <v>49.89</v>
      </c>
      <c r="AH73" s="16"/>
      <c r="AI73" s="30">
        <v>0.72199999999999998</v>
      </c>
      <c r="AJ73" s="30">
        <v>49.323999999999998</v>
      </c>
      <c r="AK73" s="16"/>
      <c r="AL73" s="16"/>
      <c r="AM73" s="16"/>
      <c r="AN73" s="16"/>
      <c r="AO73" s="21"/>
      <c r="AP73" s="16"/>
      <c r="AQ73" s="14"/>
    </row>
    <row r="74" spans="1:43" ht="15" customHeight="1">
      <c r="A74" s="15" t="s">
        <v>405</v>
      </c>
      <c r="B74" s="16" t="s">
        <v>406</v>
      </c>
      <c r="C74" s="23">
        <v>42241</v>
      </c>
      <c r="D74" s="26">
        <v>0.6479166666666667</v>
      </c>
      <c r="E74" s="16" t="s">
        <v>335</v>
      </c>
      <c r="F74" s="16" t="s">
        <v>336</v>
      </c>
      <c r="G74" s="16" t="s">
        <v>183</v>
      </c>
      <c r="H74" s="16" t="s">
        <v>407</v>
      </c>
      <c r="I74" s="16" t="s">
        <v>408</v>
      </c>
      <c r="J74" s="16" t="s">
        <v>248</v>
      </c>
      <c r="K74" s="18">
        <v>1520</v>
      </c>
      <c r="L74" s="18" t="s">
        <v>409</v>
      </c>
      <c r="M74" s="18" t="s">
        <v>410</v>
      </c>
      <c r="N74" s="18">
        <v>323</v>
      </c>
      <c r="O74" s="16"/>
      <c r="P74" s="16"/>
      <c r="Q74" s="16"/>
      <c r="R74" s="16"/>
      <c r="S74" s="16"/>
      <c r="T74" s="16"/>
      <c r="U74" s="16"/>
      <c r="V74" s="19"/>
      <c r="W74" s="19">
        <v>25.2</v>
      </c>
      <c r="X74" s="19">
        <v>25.2</v>
      </c>
      <c r="Y74" s="19">
        <v>5.7</v>
      </c>
      <c r="Z74" s="18">
        <v>4.1500000000000004</v>
      </c>
      <c r="AA74" s="20">
        <f t="shared" si="3"/>
        <v>95.45</v>
      </c>
      <c r="AB74" s="30">
        <v>7.2532434623961066</v>
      </c>
      <c r="AC74" s="25">
        <v>0.48432399440521856</v>
      </c>
      <c r="AD74" s="28">
        <f>AVERAGE(524,517)</f>
        <v>520.5</v>
      </c>
      <c r="AE74" s="16" t="s">
        <v>187</v>
      </c>
      <c r="AF74" s="16"/>
      <c r="AG74" s="28">
        <v>49.72</v>
      </c>
      <c r="AH74" s="16"/>
      <c r="AI74" s="16">
        <v>0.39</v>
      </c>
      <c r="AJ74" s="16">
        <v>17.443000000000001</v>
      </c>
      <c r="AK74" s="16"/>
      <c r="AL74" s="16"/>
      <c r="AM74" s="71">
        <v>6.47</v>
      </c>
      <c r="AN74" s="16"/>
      <c r="AO74" s="21"/>
      <c r="AP74" s="16"/>
      <c r="AQ74" s="14"/>
    </row>
    <row r="75" spans="1:43" ht="15" customHeight="1">
      <c r="A75" s="15" t="s">
        <v>411</v>
      </c>
      <c r="B75" s="16" t="s">
        <v>412</v>
      </c>
      <c r="C75" s="23">
        <v>42241</v>
      </c>
      <c r="D75" s="26">
        <v>0.68819444444444444</v>
      </c>
      <c r="E75" s="16" t="s">
        <v>335</v>
      </c>
      <c r="F75" s="16" t="s">
        <v>336</v>
      </c>
      <c r="G75" s="16" t="s">
        <v>183</v>
      </c>
      <c r="H75" s="16" t="s">
        <v>407</v>
      </c>
      <c r="I75" s="16" t="s">
        <v>408</v>
      </c>
      <c r="J75" s="16" t="s">
        <v>248</v>
      </c>
      <c r="K75" s="18">
        <v>1520</v>
      </c>
      <c r="L75" s="18" t="s">
        <v>413</v>
      </c>
      <c r="M75" s="18" t="s">
        <v>414</v>
      </c>
      <c r="N75" s="18">
        <v>324</v>
      </c>
      <c r="O75" s="16"/>
      <c r="P75" s="16"/>
      <c r="Q75" s="16"/>
      <c r="R75" s="16"/>
      <c r="S75" s="16"/>
      <c r="T75" s="16"/>
      <c r="U75" s="16"/>
      <c r="V75" s="19"/>
      <c r="W75" s="19">
        <v>25.5</v>
      </c>
      <c r="X75" s="19">
        <v>25.4</v>
      </c>
      <c r="Y75" s="19">
        <v>6.4</v>
      </c>
      <c r="Z75" s="18">
        <v>4.1500000000000004</v>
      </c>
      <c r="AA75" s="20">
        <f t="shared" si="3"/>
        <v>96.487500000000011</v>
      </c>
      <c r="AB75" s="30">
        <v>6.6432698155280754</v>
      </c>
      <c r="AC75" s="25">
        <v>0.57821843435297127</v>
      </c>
      <c r="AD75" s="28">
        <v>522.88</v>
      </c>
      <c r="AE75" s="16" t="s">
        <v>187</v>
      </c>
      <c r="AF75" s="16"/>
      <c r="AG75" s="28">
        <v>50.17</v>
      </c>
      <c r="AH75" s="16"/>
      <c r="AI75" s="16">
        <v>0.24</v>
      </c>
      <c r="AJ75" s="16">
        <v>22.27</v>
      </c>
      <c r="AK75" s="16"/>
      <c r="AL75" s="16"/>
      <c r="AM75" s="71">
        <v>7.99</v>
      </c>
      <c r="AN75" s="16">
        <v>7.33</v>
      </c>
      <c r="AO75" s="21"/>
      <c r="AP75" s="16"/>
      <c r="AQ75" s="14"/>
    </row>
    <row r="76" spans="1:43" ht="15" customHeight="1">
      <c r="A76" s="15" t="s">
        <v>415</v>
      </c>
      <c r="B76" s="16" t="s">
        <v>416</v>
      </c>
      <c r="C76" s="23">
        <v>42241</v>
      </c>
      <c r="D76" s="26">
        <v>0.63055555555555554</v>
      </c>
      <c r="E76" s="16" t="s">
        <v>335</v>
      </c>
      <c r="F76" s="16" t="s">
        <v>336</v>
      </c>
      <c r="G76" s="16" t="s">
        <v>183</v>
      </c>
      <c r="H76" s="16" t="s">
        <v>407</v>
      </c>
      <c r="I76" s="16" t="s">
        <v>408</v>
      </c>
      <c r="J76" s="16" t="s">
        <v>196</v>
      </c>
      <c r="K76" s="18">
        <v>1520</v>
      </c>
      <c r="L76" s="18" t="s">
        <v>417</v>
      </c>
      <c r="M76" s="18" t="s">
        <v>410</v>
      </c>
      <c r="N76" s="18">
        <v>322</v>
      </c>
      <c r="O76" s="16"/>
      <c r="P76" s="16"/>
      <c r="Q76" s="16"/>
      <c r="R76" s="16"/>
      <c r="S76" s="16"/>
      <c r="T76" s="16"/>
      <c r="U76" s="16"/>
      <c r="V76" s="19"/>
      <c r="W76" s="19">
        <v>25.5</v>
      </c>
      <c r="X76" s="19">
        <v>25.4</v>
      </c>
      <c r="Y76" s="19">
        <v>5.6</v>
      </c>
      <c r="Z76" s="18">
        <v>4.1500000000000004</v>
      </c>
      <c r="AA76" s="20">
        <f t="shared" si="3"/>
        <v>96.487500000000011</v>
      </c>
      <c r="AB76" s="16"/>
      <c r="AC76" s="25"/>
      <c r="AD76" s="81">
        <v>520.29</v>
      </c>
      <c r="AE76" s="16" t="s">
        <v>187</v>
      </c>
      <c r="AF76" s="16"/>
      <c r="AG76" s="28">
        <v>49.72</v>
      </c>
      <c r="AH76" s="16"/>
      <c r="AI76" s="16"/>
      <c r="AJ76" s="16"/>
      <c r="AK76" s="16"/>
      <c r="AL76" s="16"/>
      <c r="AM76" s="16"/>
      <c r="AN76" s="16"/>
      <c r="AO76" s="21"/>
      <c r="AP76" s="16"/>
      <c r="AQ76" s="14"/>
    </row>
    <row r="77" spans="1:43" ht="15" customHeight="1">
      <c r="A77" s="86" t="s">
        <v>418</v>
      </c>
      <c r="B77" s="87" t="s">
        <v>419</v>
      </c>
      <c r="C77" s="88">
        <v>42241</v>
      </c>
      <c r="D77" s="89">
        <v>0.69236111111111109</v>
      </c>
      <c r="E77" s="87" t="s">
        <v>335</v>
      </c>
      <c r="F77" s="87" t="s">
        <v>336</v>
      </c>
      <c r="G77" s="87" t="s">
        <v>183</v>
      </c>
      <c r="H77" s="87" t="s">
        <v>407</v>
      </c>
      <c r="I77" s="87" t="s">
        <v>408</v>
      </c>
      <c r="J77" s="87" t="s">
        <v>196</v>
      </c>
      <c r="K77" s="90">
        <v>1520</v>
      </c>
      <c r="L77" s="90" t="s">
        <v>413</v>
      </c>
      <c r="M77" s="90" t="s">
        <v>420</v>
      </c>
      <c r="N77" s="90">
        <v>322</v>
      </c>
      <c r="O77" s="87"/>
      <c r="P77" s="87"/>
      <c r="Q77" s="87"/>
      <c r="R77" s="87"/>
      <c r="S77" s="87"/>
      <c r="T77" s="87"/>
      <c r="U77" s="87"/>
      <c r="V77" s="91"/>
      <c r="W77" s="91">
        <v>3.1</v>
      </c>
      <c r="X77" s="91">
        <v>2.9</v>
      </c>
      <c r="Y77" s="91">
        <v>2.5</v>
      </c>
      <c r="Z77" s="90">
        <v>4.1500000000000004</v>
      </c>
      <c r="AA77" s="92">
        <f t="shared" si="3"/>
        <v>3.3199999999999994</v>
      </c>
      <c r="AB77" s="87"/>
      <c r="AC77" s="93"/>
      <c r="AD77" s="94">
        <v>534.78</v>
      </c>
      <c r="AE77" s="87" t="s">
        <v>187</v>
      </c>
      <c r="AF77" s="87"/>
      <c r="AG77" s="95">
        <v>52.18</v>
      </c>
      <c r="AH77" s="87"/>
      <c r="AI77" s="87"/>
      <c r="AJ77" s="87"/>
      <c r="AK77" s="87"/>
      <c r="AL77" s="87"/>
      <c r="AM77" s="87"/>
      <c r="AN77" s="87"/>
      <c r="AO77" s="96"/>
      <c r="AP77" s="87"/>
      <c r="AQ77" s="97"/>
    </row>
    <row r="78" spans="1:43" ht="15" customHeight="1">
      <c r="AO78" s="98"/>
    </row>
    <row r="79" spans="1:43" ht="15" customHeight="1">
      <c r="AO79" s="98"/>
    </row>
    <row r="80" spans="1:43" ht="15" customHeight="1"/>
    <row r="81" spans="5:13" ht="15" customHeight="1"/>
    <row r="82" spans="5:13" ht="15" customHeight="1"/>
    <row r="83" spans="5:13" ht="15" customHeight="1">
      <c r="E83" s="99" t="s">
        <v>421</v>
      </c>
      <c r="F83" s="100"/>
      <c r="G83" s="100"/>
      <c r="H83" s="100"/>
      <c r="I83" s="100"/>
      <c r="J83" s="100"/>
      <c r="K83" s="100"/>
      <c r="L83" s="100"/>
      <c r="M83" s="101"/>
    </row>
    <row r="84" spans="5:13" ht="15" customHeight="1">
      <c r="E84" s="102"/>
      <c r="F84" s="1" t="s">
        <v>422</v>
      </c>
      <c r="G84" s="1" t="s">
        <v>148</v>
      </c>
      <c r="H84" s="1" t="s">
        <v>152</v>
      </c>
      <c r="I84" s="1" t="s">
        <v>145</v>
      </c>
      <c r="J84" s="1" t="s">
        <v>149</v>
      </c>
      <c r="K84" s="1" t="s">
        <v>150</v>
      </c>
      <c r="L84" s="1" t="s">
        <v>146</v>
      </c>
      <c r="M84" s="103" t="s">
        <v>423</v>
      </c>
    </row>
    <row r="85" spans="5:13" ht="15" customHeight="1">
      <c r="E85" s="102"/>
      <c r="F85" s="1" t="s">
        <v>424</v>
      </c>
      <c r="G85" s="1">
        <v>52.7</v>
      </c>
      <c r="H85" s="1">
        <v>39</v>
      </c>
      <c r="I85" s="1">
        <v>0</v>
      </c>
      <c r="J85" s="1">
        <v>2E-3</v>
      </c>
      <c r="K85" s="1">
        <v>2E-3</v>
      </c>
      <c r="L85" s="1">
        <v>541</v>
      </c>
      <c r="M85" s="103">
        <v>52.7</v>
      </c>
    </row>
    <row r="86" spans="5:13" ht="15" customHeight="1">
      <c r="E86" s="104" t="s">
        <v>425</v>
      </c>
      <c r="F86" s="1" t="s">
        <v>426</v>
      </c>
      <c r="G86" s="1">
        <v>0</v>
      </c>
      <c r="H86" s="1">
        <v>0</v>
      </c>
      <c r="I86" s="1" t="s">
        <v>427</v>
      </c>
      <c r="J86" s="105">
        <v>950</v>
      </c>
      <c r="K86" s="105">
        <v>70</v>
      </c>
      <c r="L86" s="1">
        <v>100</v>
      </c>
      <c r="M86" s="103">
        <v>0</v>
      </c>
    </row>
    <row r="87" spans="5:13" ht="15" customHeight="1">
      <c r="E87" s="102"/>
      <c r="M87" s="103"/>
    </row>
    <row r="88" spans="5:13" ht="15" customHeight="1">
      <c r="E88" s="102"/>
      <c r="F88" s="1" t="s">
        <v>424</v>
      </c>
      <c r="G88" s="1">
        <v>52.7</v>
      </c>
      <c r="H88" s="1">
        <v>39</v>
      </c>
      <c r="I88" s="1">
        <v>0</v>
      </c>
      <c r="J88" s="1">
        <v>2E-3</v>
      </c>
      <c r="K88" s="1">
        <v>2E-3</v>
      </c>
      <c r="L88" s="1">
        <v>541</v>
      </c>
      <c r="M88" s="103">
        <v>52.7</v>
      </c>
    </row>
    <row r="89" spans="5:13" ht="15" customHeight="1">
      <c r="E89" s="104" t="s">
        <v>425</v>
      </c>
      <c r="F89" s="1" t="s">
        <v>428</v>
      </c>
      <c r="G89" s="1">
        <v>0</v>
      </c>
      <c r="H89" s="1">
        <v>0</v>
      </c>
      <c r="I89" s="1" t="s">
        <v>427</v>
      </c>
      <c r="J89" s="105">
        <v>300</v>
      </c>
      <c r="K89" s="105">
        <v>56</v>
      </c>
      <c r="L89" s="106">
        <v>390</v>
      </c>
      <c r="M89" s="103">
        <v>0</v>
      </c>
    </row>
    <row r="90" spans="5:13" ht="15" customHeight="1">
      <c r="E90" s="102"/>
      <c r="M90" s="103"/>
    </row>
    <row r="91" spans="5:13" ht="15" customHeight="1">
      <c r="E91" s="102"/>
      <c r="F91" s="1" t="s">
        <v>424</v>
      </c>
      <c r="G91" s="1">
        <v>52.7</v>
      </c>
      <c r="H91" s="1">
        <v>39</v>
      </c>
      <c r="I91" s="1">
        <v>0</v>
      </c>
      <c r="J91" s="1">
        <v>2E-3</v>
      </c>
      <c r="K91" s="1">
        <v>2E-3</v>
      </c>
      <c r="L91" s="1">
        <v>541</v>
      </c>
      <c r="M91" s="103">
        <v>52.7</v>
      </c>
    </row>
    <row r="92" spans="5:13" ht="15" customHeight="1">
      <c r="E92" s="102" t="s">
        <v>425</v>
      </c>
      <c r="F92" s="1" t="s">
        <v>181</v>
      </c>
      <c r="G92" s="1">
        <v>0</v>
      </c>
      <c r="H92" s="1">
        <v>0</v>
      </c>
      <c r="I92" s="1">
        <v>7.4</v>
      </c>
      <c r="J92" s="1">
        <v>360</v>
      </c>
      <c r="K92" s="106">
        <v>205</v>
      </c>
      <c r="L92" s="1">
        <v>315</v>
      </c>
      <c r="M92" s="103">
        <v>0</v>
      </c>
    </row>
    <row r="93" spans="5:13" ht="15" customHeight="1">
      <c r="E93" s="102"/>
      <c r="M93" s="103"/>
    </row>
    <row r="94" spans="5:13" ht="15" customHeight="1">
      <c r="E94" s="102"/>
      <c r="M94" s="103"/>
    </row>
    <row r="95" spans="5:13" ht="15" customHeight="1">
      <c r="E95" s="107"/>
      <c r="F95" s="108"/>
      <c r="G95" s="108"/>
      <c r="H95" s="108"/>
      <c r="I95" s="108"/>
      <c r="J95" s="108"/>
      <c r="K95" s="108"/>
      <c r="L95" s="108"/>
      <c r="M95" s="109"/>
    </row>
    <row r="96" spans="5:13" ht="15" customHeight="1">
      <c r="F96" s="310"/>
      <c r="G96" s="311"/>
      <c r="H96" s="110"/>
      <c r="I96" s="110"/>
      <c r="J96" s="110"/>
      <c r="K96" s="110"/>
    </row>
    <row r="97" spans="1:13" ht="15" customHeight="1">
      <c r="F97" s="310" t="s">
        <v>429</v>
      </c>
      <c r="G97" s="311"/>
      <c r="H97" s="110"/>
      <c r="I97" s="110" t="s">
        <v>430</v>
      </c>
      <c r="J97" s="110" t="s">
        <v>431</v>
      </c>
      <c r="K97" s="110" t="s">
        <v>432</v>
      </c>
    </row>
    <row r="98" spans="1:13" ht="15" customHeight="1">
      <c r="F98" s="110" t="s">
        <v>335</v>
      </c>
      <c r="G98" s="106">
        <v>100</v>
      </c>
      <c r="H98" s="110"/>
      <c r="I98" s="110" t="s">
        <v>427</v>
      </c>
      <c r="J98" s="105">
        <v>950</v>
      </c>
      <c r="K98" s="105">
        <v>56</v>
      </c>
    </row>
    <row r="99" spans="1:13" ht="15" customHeight="1">
      <c r="F99" s="110" t="s">
        <v>252</v>
      </c>
      <c r="G99" s="106">
        <v>390</v>
      </c>
      <c r="H99" s="110"/>
      <c r="I99" s="110" t="s">
        <v>427</v>
      </c>
      <c r="J99" s="105">
        <v>300</v>
      </c>
      <c r="K99" s="105">
        <v>70</v>
      </c>
    </row>
    <row r="100" spans="1:13" ht="15" customHeight="1">
      <c r="F100" s="110" t="s">
        <v>181</v>
      </c>
      <c r="G100" s="106">
        <v>315</v>
      </c>
      <c r="H100" s="110"/>
      <c r="I100" s="106">
        <v>7.4</v>
      </c>
      <c r="J100" s="106">
        <v>360</v>
      </c>
      <c r="K100" s="106">
        <v>205</v>
      </c>
    </row>
    <row r="101" spans="1:13" ht="15" customHeight="1"/>
    <row r="102" spans="1:13" ht="15" customHeight="1">
      <c r="J102" s="247" t="s">
        <v>433</v>
      </c>
      <c r="K102" s="247"/>
      <c r="L102" s="247"/>
      <c r="M102" s="247"/>
    </row>
    <row r="103" spans="1:13" ht="15" customHeight="1"/>
    <row r="104" spans="1:13" ht="15" customHeight="1">
      <c r="A104" s="111"/>
      <c r="B104" s="111"/>
      <c r="C104" s="111"/>
      <c r="D104" s="111"/>
      <c r="E104" s="111"/>
      <c r="F104" s="111"/>
      <c r="G104" s="111"/>
      <c r="H104" s="111"/>
      <c r="I104" s="111"/>
      <c r="J104" s="111"/>
      <c r="K104" s="111"/>
      <c r="L104" s="111"/>
      <c r="M104" s="111"/>
    </row>
    <row r="105" spans="1:13" ht="15" customHeight="1">
      <c r="A105" s="111"/>
      <c r="B105" s="111"/>
      <c r="C105" s="111"/>
      <c r="D105" s="111"/>
      <c r="E105" s="111"/>
      <c r="F105" s="111"/>
      <c r="G105" s="111"/>
      <c r="H105" s="111"/>
      <c r="I105" s="111"/>
      <c r="J105" s="111"/>
      <c r="K105" s="111"/>
      <c r="L105" s="111"/>
      <c r="M105" s="111"/>
    </row>
    <row r="106" spans="1:13" ht="15" customHeight="1">
      <c r="A106" s="111"/>
      <c r="B106" s="111"/>
      <c r="C106" s="111"/>
      <c r="D106" s="111"/>
      <c r="E106" s="111"/>
      <c r="F106" s="111"/>
      <c r="G106" s="111"/>
      <c r="H106" s="111"/>
      <c r="I106" s="111"/>
      <c r="J106" s="111"/>
      <c r="K106" s="111"/>
      <c r="L106" s="111"/>
      <c r="M106" s="111"/>
    </row>
    <row r="107" spans="1:13" ht="15" customHeight="1">
      <c r="A107" s="111"/>
      <c r="B107" s="111"/>
      <c r="C107" s="111"/>
      <c r="D107" s="111"/>
      <c r="E107" s="111"/>
      <c r="F107" s="111"/>
      <c r="G107" s="111"/>
      <c r="H107" s="111"/>
      <c r="I107" s="111"/>
      <c r="J107" s="111"/>
      <c r="K107" s="111"/>
      <c r="L107" s="111"/>
      <c r="M107" s="111"/>
    </row>
    <row r="108" spans="1:13" ht="15" customHeight="1">
      <c r="A108" s="111"/>
      <c r="B108" s="111"/>
      <c r="C108" s="111"/>
      <c r="D108" s="111"/>
      <c r="E108" s="111"/>
      <c r="F108" s="111"/>
      <c r="G108" s="111"/>
      <c r="H108" s="111"/>
      <c r="I108" s="111"/>
      <c r="J108" s="111"/>
      <c r="K108" s="111"/>
      <c r="L108" s="111"/>
      <c r="M108" s="111"/>
    </row>
    <row r="109" spans="1:13" ht="15" customHeight="1">
      <c r="A109" s="111"/>
      <c r="B109" s="111"/>
      <c r="C109" s="111"/>
      <c r="D109" s="111"/>
      <c r="E109" s="111"/>
      <c r="F109" s="111"/>
      <c r="G109" s="111"/>
      <c r="H109" s="111"/>
      <c r="I109" s="111"/>
      <c r="J109" s="111"/>
      <c r="K109" s="111"/>
      <c r="L109" s="111"/>
      <c r="M109" s="111"/>
    </row>
    <row r="110" spans="1:13" ht="15" customHeight="1"/>
    <row r="111" spans="1:13" ht="15" customHeight="1"/>
    <row r="112" spans="1:13" ht="15" customHeight="1"/>
    <row r="113" s="1" customFormat="1" ht="15" customHeight="1"/>
    <row r="114" s="1" customFormat="1" ht="15" customHeight="1"/>
    <row r="115" s="1" customFormat="1" ht="15" customHeight="1"/>
    <row r="116" s="1" customFormat="1" ht="15" customHeight="1"/>
    <row r="117" s="1" customFormat="1" ht="15" customHeight="1"/>
    <row r="118" s="1" customFormat="1" ht="15" customHeight="1"/>
    <row r="119" s="1" customFormat="1" ht="15" customHeight="1"/>
    <row r="120" s="1" customFormat="1" ht="15" customHeight="1"/>
    <row r="121" s="1" customFormat="1" ht="15" customHeight="1"/>
    <row r="122" s="1" customFormat="1" ht="15" customHeight="1"/>
    <row r="123" s="1" customFormat="1" ht="15" customHeight="1"/>
    <row r="124" s="1" customFormat="1" ht="15" customHeight="1"/>
    <row r="125" s="1" customFormat="1" ht="15" customHeight="1"/>
    <row r="126" s="1" customFormat="1" ht="15" customHeight="1"/>
    <row r="127" s="1" customFormat="1" ht="15" customHeight="1"/>
    <row r="128" s="1" customFormat="1" ht="15" customHeight="1"/>
    <row r="129" s="1" customFormat="1" ht="15" customHeight="1"/>
    <row r="130" s="1" customFormat="1" ht="15" customHeight="1"/>
    <row r="131" s="1" customFormat="1" ht="15" customHeight="1"/>
    <row r="132" s="1" customFormat="1" ht="15" customHeight="1"/>
    <row r="133" s="1" customFormat="1" ht="15" customHeight="1"/>
    <row r="134" s="1" customFormat="1" ht="15" customHeight="1"/>
    <row r="135" s="1" customFormat="1" ht="15" customHeight="1"/>
    <row r="136" s="1" customFormat="1" ht="15" customHeight="1"/>
    <row r="137" s="1" customFormat="1" ht="15" customHeight="1"/>
    <row r="138" s="1" customFormat="1" ht="15" customHeight="1"/>
    <row r="139" s="1" customFormat="1" ht="15" customHeight="1"/>
    <row r="140" s="1" customFormat="1" ht="15" customHeight="1"/>
    <row r="141" s="1" customFormat="1" ht="15" customHeight="1"/>
    <row r="142" s="1" customFormat="1" ht="15" customHeight="1"/>
    <row r="143" s="1" customFormat="1" ht="15" customHeight="1"/>
    <row r="144" s="1" customFormat="1" ht="15" customHeight="1"/>
    <row r="145" s="1" customFormat="1" ht="15" customHeight="1"/>
    <row r="146" s="1" customFormat="1" ht="15" customHeight="1"/>
    <row r="147" s="1" customFormat="1" ht="15" customHeight="1"/>
    <row r="148" s="1" customFormat="1" ht="15" customHeight="1"/>
    <row r="149" s="1" customFormat="1" ht="15" customHeight="1"/>
    <row r="150" s="1" customFormat="1" ht="15" customHeight="1"/>
    <row r="151" s="1" customFormat="1" ht="15" customHeight="1"/>
    <row r="152" s="1" customFormat="1" ht="15" customHeight="1"/>
    <row r="153" s="1" customFormat="1" ht="15" customHeight="1"/>
    <row r="154" s="1" customFormat="1" ht="15" customHeight="1"/>
    <row r="155" s="1" customFormat="1" ht="15" customHeight="1"/>
    <row r="156" s="1" customFormat="1" ht="15" customHeight="1"/>
    <row r="157" s="1" customFormat="1" ht="15" customHeight="1"/>
    <row r="158" s="1" customFormat="1" ht="15" customHeight="1"/>
    <row r="159" s="1" customFormat="1" ht="15" customHeight="1"/>
    <row r="160" s="1" customFormat="1" ht="15" customHeight="1"/>
    <row r="161" s="1" customFormat="1" ht="15" customHeight="1"/>
    <row r="162" s="1" customFormat="1" ht="15" customHeight="1"/>
    <row r="163" s="1" customFormat="1" ht="15" customHeight="1"/>
    <row r="164" s="1" customFormat="1" ht="15" customHeight="1"/>
    <row r="165" s="1" customFormat="1" ht="15" customHeight="1"/>
    <row r="166" s="1" customFormat="1" ht="15" customHeight="1"/>
    <row r="167" s="1" customFormat="1" ht="15" customHeight="1"/>
    <row r="168" s="1" customFormat="1" ht="15" customHeight="1"/>
    <row r="169" s="1" customFormat="1" ht="15" customHeight="1"/>
    <row r="170" s="1" customFormat="1" ht="15" customHeight="1"/>
    <row r="171" s="1" customFormat="1" ht="15" customHeight="1"/>
    <row r="172" s="1" customFormat="1" ht="15" customHeight="1"/>
    <row r="173" s="1" customFormat="1" ht="15" customHeight="1"/>
    <row r="174" s="1" customFormat="1" ht="15" customHeight="1"/>
    <row r="175" s="1" customFormat="1" ht="15" customHeight="1"/>
    <row r="176" s="1" customFormat="1" ht="15" customHeight="1"/>
    <row r="177" s="1" customFormat="1" ht="15" customHeight="1"/>
    <row r="178" s="1" customFormat="1" ht="15" customHeight="1"/>
    <row r="179" s="1" customFormat="1" ht="15" customHeight="1"/>
    <row r="180" s="1" customFormat="1" ht="15" customHeight="1"/>
    <row r="181" s="1" customFormat="1" ht="15" customHeight="1"/>
    <row r="182" s="1" customFormat="1" ht="15" customHeight="1"/>
    <row r="183" s="1" customFormat="1" ht="15" customHeight="1"/>
    <row r="184" s="1" customFormat="1" ht="15" customHeight="1"/>
    <row r="185" s="1" customFormat="1" ht="15" customHeight="1"/>
    <row r="186" s="1" customFormat="1" ht="15" customHeight="1"/>
    <row r="187" s="1" customFormat="1" ht="15" customHeight="1"/>
    <row r="188" s="1" customFormat="1" ht="15" customHeight="1"/>
    <row r="189" s="1" customFormat="1" ht="15" customHeight="1"/>
    <row r="190" s="1" customFormat="1" ht="15" customHeight="1"/>
    <row r="191" s="1" customFormat="1" ht="15" customHeight="1"/>
    <row r="192" s="1" customFormat="1" ht="15" customHeight="1"/>
    <row r="193" s="1" customFormat="1" ht="15" customHeight="1"/>
    <row r="194" s="1" customFormat="1" ht="15" customHeight="1"/>
    <row r="195" s="1" customFormat="1" ht="15" customHeight="1"/>
    <row r="196" s="1" customFormat="1" ht="15" customHeight="1"/>
    <row r="197" s="1" customFormat="1" ht="15" customHeight="1"/>
    <row r="198" s="1" customFormat="1" ht="15" customHeight="1"/>
    <row r="199" s="1" customFormat="1" ht="15" customHeight="1"/>
    <row r="200" s="1" customFormat="1" ht="15" customHeight="1"/>
    <row r="201" s="1" customFormat="1" ht="15" customHeight="1"/>
    <row r="202" s="1" customFormat="1" ht="15" customHeight="1"/>
    <row r="203" s="1" customFormat="1" ht="15" customHeight="1"/>
    <row r="204" s="1" customFormat="1" ht="15" customHeight="1"/>
    <row r="205" s="1" customFormat="1" ht="15" customHeight="1"/>
    <row r="206" s="1" customFormat="1" ht="15" customHeight="1"/>
    <row r="207" s="1" customFormat="1" ht="15" customHeight="1"/>
    <row r="208" s="1" customFormat="1" ht="15" customHeight="1"/>
    <row r="209" s="1" customFormat="1" ht="15" customHeight="1"/>
    <row r="210" s="1" customFormat="1" ht="15" customHeight="1"/>
    <row r="211" s="1" customFormat="1" ht="15" customHeight="1"/>
    <row r="212" s="1" customFormat="1" ht="15" customHeight="1"/>
    <row r="213" s="1" customFormat="1" ht="15" customHeight="1"/>
    <row r="214" s="1" customFormat="1" ht="15" customHeight="1"/>
    <row r="215" s="1" customFormat="1" ht="15" customHeight="1"/>
    <row r="216" s="1" customFormat="1" ht="15" customHeight="1"/>
    <row r="217" s="1" customFormat="1" ht="15" customHeight="1"/>
    <row r="218" s="1" customFormat="1" ht="15" customHeight="1"/>
    <row r="219" s="1" customFormat="1" ht="15" customHeight="1"/>
    <row r="220" s="1" customFormat="1" ht="15" customHeight="1"/>
    <row r="221" s="1" customFormat="1" ht="15" customHeight="1"/>
    <row r="222" s="1" customFormat="1" ht="15" customHeight="1"/>
    <row r="223" s="1" customFormat="1" ht="15" customHeight="1"/>
    <row r="224" s="1" customFormat="1" ht="15" customHeight="1"/>
    <row r="225" s="1" customFormat="1" ht="15" customHeight="1"/>
    <row r="226" s="1" customFormat="1" ht="15" customHeight="1"/>
    <row r="227" s="1" customFormat="1" ht="15" customHeight="1"/>
    <row r="228" s="1" customFormat="1" ht="15" customHeight="1"/>
    <row r="229" s="1" customFormat="1" ht="15" customHeight="1"/>
    <row r="230" s="1" customFormat="1" ht="15" customHeight="1"/>
    <row r="231" s="1" customFormat="1" ht="15" customHeight="1"/>
    <row r="232" s="1" customFormat="1" ht="15" customHeight="1"/>
    <row r="233" s="1" customFormat="1" ht="15" customHeight="1"/>
    <row r="234" s="1" customFormat="1" ht="15" customHeight="1"/>
    <row r="235" s="1" customFormat="1" ht="15" customHeight="1"/>
    <row r="236" s="1" customFormat="1" ht="15" customHeight="1"/>
    <row r="237" s="1" customFormat="1" ht="15" customHeight="1"/>
    <row r="238" s="1" customFormat="1" ht="15" customHeight="1"/>
    <row r="239" s="1" customFormat="1" ht="15" customHeight="1"/>
    <row r="240" s="1" customFormat="1" ht="15" customHeight="1"/>
    <row r="241" s="1" customFormat="1" ht="15" customHeight="1"/>
    <row r="242" s="1" customFormat="1" ht="15" customHeight="1"/>
    <row r="243" s="1" customFormat="1" ht="15" customHeight="1"/>
    <row r="244" s="1" customFormat="1" ht="15" customHeight="1"/>
    <row r="245" s="1" customFormat="1" ht="15" customHeight="1"/>
    <row r="246" s="1" customFormat="1" ht="15" customHeight="1"/>
    <row r="247" s="1" customFormat="1" ht="15" customHeight="1"/>
    <row r="248" s="1" customFormat="1" ht="15" customHeight="1"/>
    <row r="249" s="1" customFormat="1" ht="15" customHeight="1"/>
    <row r="250" s="1" customFormat="1" ht="15" customHeight="1"/>
    <row r="251" s="1" customFormat="1" ht="15" customHeight="1"/>
    <row r="252" s="1" customFormat="1" ht="15" customHeight="1"/>
    <row r="253" s="1" customFormat="1" ht="15" customHeight="1"/>
    <row r="254" s="1" customFormat="1" ht="15" customHeight="1"/>
    <row r="255" s="1" customFormat="1" ht="15" customHeight="1"/>
    <row r="256" s="1" customFormat="1" ht="15" customHeight="1"/>
    <row r="257" s="1" customFormat="1" ht="15" customHeight="1"/>
    <row r="258" s="1" customFormat="1" ht="15" customHeight="1"/>
    <row r="259" s="1" customFormat="1" ht="15" customHeight="1"/>
    <row r="260" s="1" customFormat="1" ht="15" customHeight="1"/>
    <row r="261" s="1" customFormat="1" ht="15" customHeight="1"/>
    <row r="262" s="1" customFormat="1" ht="15" customHeight="1"/>
    <row r="263" s="1" customFormat="1" ht="15" customHeight="1"/>
    <row r="264" s="1" customFormat="1" ht="15" customHeight="1"/>
    <row r="265" s="1" customFormat="1" ht="15" customHeight="1"/>
    <row r="266" s="1" customFormat="1" ht="15" customHeight="1"/>
    <row r="267" s="1" customFormat="1" ht="15" customHeight="1"/>
    <row r="268" s="1" customFormat="1" ht="15" customHeight="1"/>
    <row r="269" s="1" customFormat="1" ht="15" customHeight="1"/>
    <row r="270" s="1" customFormat="1" ht="15" customHeight="1"/>
    <row r="271" s="1" customFormat="1" ht="15" customHeight="1"/>
    <row r="272" s="1" customFormat="1" ht="15" customHeight="1"/>
    <row r="273" s="1" customFormat="1" ht="15" customHeight="1"/>
    <row r="274" s="1" customFormat="1" ht="15" customHeight="1"/>
    <row r="275" s="1" customFormat="1" ht="15" customHeight="1"/>
    <row r="276" s="1" customFormat="1" ht="15" customHeight="1"/>
    <row r="277" s="1" customFormat="1" ht="15" customHeight="1"/>
    <row r="278" s="1" customFormat="1" ht="15" customHeight="1"/>
    <row r="279" s="1" customFormat="1" ht="15" customHeight="1"/>
    <row r="280" s="1" customFormat="1" ht="15" customHeight="1"/>
    <row r="281" s="1" customFormat="1" ht="15" customHeight="1"/>
    <row r="282" s="1" customFormat="1" ht="15" customHeight="1"/>
    <row r="283" s="1" customFormat="1" ht="15" customHeight="1"/>
    <row r="284" s="1" customFormat="1" ht="15" customHeight="1"/>
    <row r="285" s="1" customFormat="1" ht="15" customHeight="1"/>
    <row r="286" s="1" customFormat="1" ht="15" customHeight="1"/>
    <row r="287" s="1" customFormat="1" ht="15" customHeight="1"/>
    <row r="288" s="1" customFormat="1" ht="15" customHeight="1"/>
    <row r="289" s="1" customFormat="1" ht="15" customHeight="1"/>
    <row r="290" s="1" customFormat="1" ht="15" customHeight="1"/>
    <row r="291" s="1" customFormat="1" ht="15" customHeight="1"/>
    <row r="292" s="1" customFormat="1" ht="15" customHeight="1"/>
    <row r="293" s="1" customFormat="1" ht="15" customHeight="1"/>
    <row r="294" s="1" customFormat="1" ht="15" customHeight="1"/>
    <row r="295" s="1" customFormat="1" ht="15" customHeight="1"/>
    <row r="296" s="1" customFormat="1" ht="15" customHeight="1"/>
    <row r="297" s="1" customFormat="1" ht="15" customHeight="1"/>
    <row r="298" s="1" customFormat="1" ht="15" customHeight="1"/>
    <row r="299" s="1" customFormat="1" ht="15" customHeight="1"/>
    <row r="300" s="1" customFormat="1" ht="15" customHeight="1"/>
    <row r="301" s="1" customFormat="1" ht="15" customHeight="1"/>
    <row r="302" s="1" customFormat="1" ht="15" customHeight="1"/>
    <row r="303" s="1" customFormat="1" ht="15" customHeight="1"/>
    <row r="304" s="1" customFormat="1" ht="15" customHeight="1"/>
    <row r="305" s="1" customFormat="1" ht="15" customHeight="1"/>
    <row r="306" s="1" customFormat="1" ht="15" customHeight="1"/>
    <row r="307" s="1" customFormat="1" ht="15" customHeight="1"/>
    <row r="308" s="1" customFormat="1" ht="15" customHeight="1"/>
    <row r="309" s="1" customFormat="1" ht="15" customHeight="1"/>
    <row r="310" s="1" customFormat="1" ht="15" customHeight="1"/>
    <row r="311" s="1" customFormat="1" ht="15" customHeight="1"/>
    <row r="312" s="1" customFormat="1" ht="15" customHeight="1"/>
    <row r="313" s="1" customFormat="1" ht="15" customHeight="1"/>
    <row r="314" s="1" customFormat="1" ht="15" customHeight="1"/>
    <row r="315" s="1" customFormat="1" ht="15" customHeight="1"/>
    <row r="316" s="1" customFormat="1" ht="15" customHeight="1"/>
    <row r="317" s="1" customFormat="1" ht="15" customHeight="1"/>
    <row r="318" s="1" customFormat="1" ht="15" customHeight="1"/>
    <row r="319" s="1" customFormat="1" ht="15" customHeight="1"/>
    <row r="320" s="1" customFormat="1" ht="15" customHeight="1"/>
    <row r="321" s="1" customFormat="1" ht="15" customHeight="1"/>
    <row r="322" s="1" customFormat="1" ht="15" customHeight="1"/>
    <row r="323" s="1" customFormat="1" ht="15" customHeight="1"/>
    <row r="324" s="1" customFormat="1" ht="15" customHeight="1"/>
    <row r="325" s="1" customFormat="1" ht="15" customHeight="1"/>
    <row r="326" s="1" customFormat="1" ht="15" customHeight="1"/>
    <row r="327" s="1" customFormat="1" ht="15" customHeight="1"/>
    <row r="328" s="1" customFormat="1" ht="15" customHeight="1"/>
    <row r="329" s="1" customFormat="1" ht="15" customHeight="1"/>
    <row r="330" s="1" customFormat="1" ht="15" customHeight="1"/>
    <row r="331" s="1" customFormat="1" ht="15" customHeight="1"/>
    <row r="332" s="1" customFormat="1" ht="15" customHeight="1"/>
    <row r="333" s="1" customFormat="1" ht="15" customHeight="1"/>
    <row r="334" s="1" customFormat="1" ht="15" customHeight="1"/>
    <row r="335" s="1" customFormat="1" ht="15" customHeight="1"/>
    <row r="336" s="1" customFormat="1" ht="15" customHeight="1"/>
    <row r="337" s="1" customFormat="1" ht="15" customHeight="1"/>
    <row r="338" s="1" customFormat="1" ht="15" customHeight="1"/>
    <row r="339" s="1" customFormat="1" ht="15" customHeight="1"/>
    <row r="340" s="1" customFormat="1" ht="15" customHeight="1"/>
    <row r="341" s="1" customFormat="1" ht="15" customHeight="1"/>
    <row r="342" s="1" customFormat="1" ht="15" customHeight="1"/>
    <row r="343" s="1" customFormat="1" ht="15" customHeight="1"/>
    <row r="344" s="1" customFormat="1" ht="15" customHeight="1"/>
    <row r="345" s="1" customFormat="1" ht="15" customHeight="1"/>
    <row r="346" s="1" customFormat="1" ht="15" customHeight="1"/>
    <row r="347" s="1" customFormat="1" ht="15" customHeight="1"/>
    <row r="348" s="1" customFormat="1" ht="15" customHeight="1"/>
    <row r="349" s="1" customFormat="1" ht="15" customHeight="1"/>
    <row r="350" s="1" customFormat="1" ht="15" customHeight="1"/>
    <row r="351" s="1" customFormat="1" ht="15" customHeight="1"/>
    <row r="352" s="1" customFormat="1" ht="15" customHeight="1"/>
    <row r="353" s="1" customFormat="1" ht="15" customHeight="1"/>
    <row r="354" s="1" customFormat="1" ht="15" customHeight="1"/>
    <row r="355" s="1" customFormat="1" ht="15" customHeight="1"/>
    <row r="356" s="1" customFormat="1" ht="15" customHeight="1"/>
    <row r="357" s="1" customFormat="1" ht="15" customHeight="1"/>
    <row r="358" s="1" customFormat="1" ht="15" customHeight="1"/>
    <row r="359" s="1" customFormat="1" ht="15" customHeight="1"/>
    <row r="360" s="1" customFormat="1" ht="15" customHeight="1"/>
    <row r="361" s="1" customFormat="1" ht="15" customHeight="1"/>
    <row r="362" s="1" customFormat="1" ht="15" customHeight="1"/>
    <row r="363" s="1" customFormat="1" ht="15" customHeight="1"/>
    <row r="364" s="1" customFormat="1" ht="15" customHeight="1"/>
    <row r="365" s="1" customFormat="1" ht="15" customHeight="1"/>
    <row r="366" s="1" customFormat="1" ht="15" customHeight="1"/>
    <row r="367" s="1" customFormat="1" ht="15" customHeight="1"/>
    <row r="368" s="1" customFormat="1" ht="15" customHeight="1"/>
    <row r="369" s="1" customFormat="1" ht="15" customHeight="1"/>
    <row r="370" s="1" customFormat="1" ht="15" customHeight="1"/>
    <row r="371" s="1" customFormat="1" ht="15" customHeight="1"/>
    <row r="372" s="1" customFormat="1" ht="15" customHeight="1"/>
    <row r="373" s="1" customFormat="1" ht="15" customHeight="1"/>
    <row r="374" s="1" customFormat="1" ht="15" customHeight="1"/>
    <row r="375" s="1" customFormat="1" ht="15" customHeight="1"/>
    <row r="376" s="1" customFormat="1" ht="15" customHeight="1"/>
    <row r="377" s="1" customFormat="1" ht="15" customHeight="1"/>
    <row r="378" s="1" customFormat="1" ht="15" customHeight="1"/>
    <row r="379" s="1" customFormat="1" ht="15" customHeight="1"/>
    <row r="380" s="1" customFormat="1" ht="15" customHeight="1"/>
    <row r="381" s="1" customFormat="1" ht="15" customHeight="1"/>
    <row r="382" s="1" customFormat="1" ht="15" customHeight="1"/>
    <row r="383" s="1" customFormat="1" ht="15" customHeight="1"/>
    <row r="384" s="1" customFormat="1" ht="15" customHeight="1"/>
    <row r="385" s="1" customFormat="1" ht="15" customHeight="1"/>
    <row r="386" s="1" customFormat="1" ht="15" customHeight="1"/>
    <row r="387" s="1" customFormat="1" ht="15" customHeight="1"/>
    <row r="388" s="1" customFormat="1" ht="15" customHeight="1"/>
    <row r="389" s="1" customFormat="1" ht="15" customHeight="1"/>
    <row r="390" s="1" customFormat="1" ht="15" customHeight="1"/>
    <row r="391" s="1" customFormat="1" ht="15" customHeight="1"/>
    <row r="392" s="1" customFormat="1" ht="15" customHeight="1"/>
    <row r="393" s="1" customFormat="1" ht="15" customHeight="1"/>
    <row r="394" s="1" customFormat="1" ht="15" customHeight="1"/>
    <row r="395" s="1" customFormat="1" ht="15" customHeight="1"/>
    <row r="396" s="1" customFormat="1" ht="15" customHeight="1"/>
    <row r="397" s="1" customFormat="1" ht="15" customHeight="1"/>
    <row r="398" s="1" customFormat="1" ht="15" customHeight="1"/>
    <row r="399" s="1" customFormat="1" ht="15" customHeight="1"/>
    <row r="400" s="1" customFormat="1" ht="15" customHeight="1"/>
    <row r="401" s="1" customFormat="1" ht="15" customHeight="1"/>
    <row r="402" s="1" customFormat="1" ht="15" customHeight="1"/>
    <row r="403" s="1" customFormat="1" ht="15" customHeight="1"/>
    <row r="404" s="1" customFormat="1" ht="15" customHeight="1"/>
    <row r="405" s="1" customFormat="1" ht="15" customHeight="1"/>
    <row r="406" s="1" customFormat="1" ht="15" customHeight="1"/>
    <row r="407" s="1" customFormat="1" ht="15" customHeight="1"/>
    <row r="408" s="1" customFormat="1" ht="15" customHeight="1"/>
    <row r="409" s="1" customFormat="1" ht="15" customHeight="1"/>
    <row r="410" s="1" customFormat="1" ht="15" customHeight="1"/>
    <row r="411" s="1" customFormat="1" ht="15" customHeight="1"/>
    <row r="412" s="1" customFormat="1" ht="15" customHeight="1"/>
    <row r="413" s="1" customFormat="1" ht="15" customHeight="1"/>
    <row r="414" s="1" customFormat="1" ht="15" customHeight="1"/>
    <row r="415" s="1" customFormat="1" ht="15" customHeight="1"/>
    <row r="416" s="1" customFormat="1" ht="15" customHeight="1"/>
    <row r="417" s="1" customFormat="1" ht="15" customHeight="1"/>
    <row r="418" s="1" customFormat="1" ht="15" customHeight="1"/>
    <row r="419" s="1" customFormat="1" ht="15" customHeight="1"/>
    <row r="420" s="1" customFormat="1" ht="15" customHeight="1"/>
    <row r="421" s="1" customFormat="1" ht="15" customHeight="1"/>
    <row r="422" s="1" customFormat="1" ht="15" customHeight="1"/>
    <row r="423" s="1" customFormat="1" ht="15" customHeight="1"/>
    <row r="424" s="1" customFormat="1" ht="15" customHeight="1"/>
    <row r="425" s="1" customFormat="1" ht="15" customHeight="1"/>
    <row r="426" s="1" customFormat="1" ht="15" customHeight="1"/>
    <row r="427" s="1" customFormat="1" ht="15" customHeight="1"/>
    <row r="428" s="1" customFormat="1" ht="15" customHeight="1"/>
    <row r="429" s="1" customFormat="1" ht="15" customHeight="1"/>
    <row r="430" s="1" customFormat="1" ht="15" customHeight="1"/>
    <row r="431" s="1" customFormat="1" ht="15" customHeight="1"/>
    <row r="432" s="1" customFormat="1" ht="15" customHeight="1"/>
    <row r="433" s="1" customFormat="1" ht="15" customHeight="1"/>
    <row r="434" s="1" customFormat="1" ht="15" customHeight="1"/>
    <row r="435" s="1" customFormat="1" ht="15" customHeight="1"/>
    <row r="436" s="1" customFormat="1" ht="15" customHeight="1"/>
    <row r="437" s="1" customFormat="1" ht="15" customHeight="1"/>
    <row r="438" s="1" customFormat="1" ht="15" customHeight="1"/>
    <row r="439" s="1" customFormat="1" ht="15" customHeight="1"/>
    <row r="440" s="1" customFormat="1" ht="15" customHeight="1"/>
    <row r="441" s="1" customFormat="1" ht="15" customHeight="1"/>
    <row r="442" s="1" customFormat="1" ht="15" customHeight="1"/>
    <row r="443" s="1" customFormat="1" ht="15" customHeight="1"/>
    <row r="444" s="1" customFormat="1" ht="15" customHeight="1"/>
    <row r="445" s="1" customFormat="1" ht="15" customHeight="1"/>
    <row r="446" s="1" customFormat="1" ht="15" customHeight="1"/>
    <row r="447" s="1" customFormat="1" ht="15" customHeight="1"/>
    <row r="448" s="1" customFormat="1" ht="15" customHeight="1"/>
    <row r="449" s="1" customFormat="1" ht="15" customHeight="1"/>
    <row r="450" s="1" customFormat="1" ht="15" customHeight="1"/>
    <row r="451" s="1" customFormat="1" ht="15" customHeight="1"/>
    <row r="452" s="1" customFormat="1" ht="15" customHeight="1"/>
    <row r="453" s="1" customFormat="1" ht="15" customHeight="1"/>
    <row r="454" s="1" customFormat="1" ht="15" customHeight="1"/>
    <row r="455" s="1" customFormat="1" ht="15" customHeight="1"/>
    <row r="456" s="1" customFormat="1" ht="15" customHeight="1"/>
    <row r="457" s="1" customFormat="1" ht="15" customHeight="1"/>
    <row r="458" s="1" customFormat="1" ht="15" customHeight="1"/>
    <row r="459" s="1" customFormat="1" ht="15" customHeight="1"/>
    <row r="460" s="1" customFormat="1" ht="15" customHeight="1"/>
    <row r="461" s="1" customFormat="1" ht="15" customHeight="1"/>
    <row r="462" s="1" customFormat="1" ht="15" customHeight="1"/>
    <row r="463" s="1" customFormat="1" ht="15" customHeight="1"/>
    <row r="464" s="1" customFormat="1" ht="15" customHeight="1"/>
    <row r="465" s="1" customFormat="1" ht="15" customHeight="1"/>
    <row r="466" s="1" customFormat="1" ht="15" customHeight="1"/>
    <row r="467" s="1" customFormat="1" ht="15" customHeight="1"/>
    <row r="468" s="1" customFormat="1" ht="15" customHeight="1"/>
    <row r="469" s="1" customFormat="1" ht="15" customHeight="1"/>
    <row r="470" s="1" customFormat="1" ht="15" customHeight="1"/>
    <row r="471" s="1" customFormat="1" ht="15" customHeight="1"/>
    <row r="472" s="1" customFormat="1" ht="15" customHeight="1"/>
    <row r="473" s="1" customFormat="1" ht="15" customHeight="1"/>
    <row r="474" s="1" customFormat="1" ht="15" customHeight="1"/>
    <row r="475" s="1" customFormat="1" ht="15" customHeight="1"/>
    <row r="476" s="1" customFormat="1" ht="15" customHeight="1"/>
    <row r="477" s="1" customFormat="1" ht="15" customHeight="1"/>
    <row r="478" s="1" customFormat="1" ht="15" customHeight="1"/>
    <row r="479" s="1" customFormat="1" ht="15" customHeight="1"/>
    <row r="480" s="1" customFormat="1" ht="15" customHeight="1"/>
    <row r="481" s="1" customFormat="1" ht="15" customHeight="1"/>
    <row r="482" s="1" customFormat="1" ht="15" customHeight="1"/>
    <row r="483" s="1" customFormat="1" ht="15" customHeight="1"/>
    <row r="484" s="1" customFormat="1" ht="15" customHeight="1"/>
    <row r="485" s="1" customFormat="1" ht="15" customHeight="1"/>
    <row r="486" s="1" customFormat="1" ht="15" customHeight="1"/>
    <row r="487" s="1" customFormat="1" ht="15" customHeight="1"/>
    <row r="488" s="1" customFormat="1" ht="15" customHeight="1"/>
    <row r="489" s="1" customFormat="1" ht="15" customHeight="1"/>
    <row r="490" s="1" customFormat="1" ht="15" customHeight="1"/>
    <row r="491" s="1" customFormat="1" ht="15" customHeight="1"/>
    <row r="492" s="1" customFormat="1" ht="15" customHeight="1"/>
    <row r="493" s="1" customFormat="1" ht="15" customHeight="1"/>
    <row r="494" s="1" customFormat="1" ht="15" customHeight="1"/>
    <row r="495" s="1" customFormat="1" ht="15" customHeight="1"/>
    <row r="496" s="1" customFormat="1" ht="15" customHeight="1"/>
    <row r="497" s="1" customFormat="1" ht="15" customHeight="1"/>
    <row r="498" s="1" customFormat="1" ht="15" customHeight="1"/>
    <row r="499" s="1" customFormat="1" ht="15" customHeight="1"/>
    <row r="500" s="1" customFormat="1" ht="15" customHeight="1"/>
    <row r="501" s="1" customFormat="1" ht="15" customHeight="1"/>
    <row r="502" s="1" customFormat="1" ht="15" customHeight="1"/>
    <row r="503" s="1" customFormat="1" ht="15" customHeight="1"/>
    <row r="504" s="1" customFormat="1" ht="15" customHeight="1"/>
    <row r="505" s="1" customFormat="1" ht="15" customHeight="1"/>
    <row r="506" s="1" customFormat="1" ht="15" customHeight="1"/>
    <row r="507" s="1" customFormat="1" ht="15" customHeight="1"/>
    <row r="508" s="1" customFormat="1" ht="15" customHeight="1"/>
    <row r="509" s="1" customFormat="1" ht="15" customHeight="1"/>
    <row r="510" s="1" customFormat="1" ht="15" customHeight="1"/>
    <row r="511" s="1" customFormat="1" ht="15" customHeight="1"/>
    <row r="512" s="1" customFormat="1" ht="15" customHeight="1"/>
    <row r="513" s="1" customFormat="1" ht="15" customHeight="1"/>
    <row r="514" s="1" customFormat="1" ht="15" customHeight="1"/>
    <row r="515" s="1" customFormat="1" ht="15" customHeight="1"/>
    <row r="516" s="1" customFormat="1" ht="15" customHeight="1"/>
    <row r="517" s="1" customFormat="1" ht="15" customHeight="1"/>
    <row r="518" s="1" customFormat="1" ht="15" customHeight="1"/>
    <row r="519" s="1" customFormat="1" ht="15" customHeight="1"/>
    <row r="520" s="1" customFormat="1" ht="15" customHeight="1"/>
    <row r="521" s="1" customFormat="1" ht="15" customHeight="1"/>
    <row r="522" s="1" customFormat="1" ht="15" customHeight="1"/>
    <row r="523" s="1" customFormat="1" ht="15" customHeight="1"/>
    <row r="524" s="1" customFormat="1" ht="15" customHeight="1"/>
    <row r="525" s="1" customFormat="1" ht="15" customHeight="1"/>
    <row r="526" s="1" customFormat="1" ht="15" customHeight="1"/>
    <row r="527" s="1" customFormat="1" ht="15" customHeight="1"/>
    <row r="528" s="1" customFormat="1" ht="15" customHeight="1"/>
    <row r="529" s="1" customFormat="1" ht="15" customHeight="1"/>
    <row r="530" s="1" customFormat="1" ht="15" customHeight="1"/>
    <row r="531" s="1" customFormat="1" ht="15" customHeight="1"/>
    <row r="532" s="1" customFormat="1" ht="15" customHeight="1"/>
    <row r="533" s="1" customFormat="1" ht="15" customHeight="1"/>
    <row r="534" s="1" customFormat="1" ht="15" customHeight="1"/>
    <row r="535" s="1" customFormat="1" ht="15" customHeight="1"/>
    <row r="536" s="1" customFormat="1" ht="15" customHeight="1"/>
    <row r="537" s="1" customFormat="1" ht="15" customHeight="1"/>
    <row r="538" s="1" customFormat="1" ht="15" customHeight="1"/>
    <row r="539" s="1" customFormat="1" ht="15" customHeight="1"/>
    <row r="540" s="1" customFormat="1" ht="15" customHeight="1"/>
    <row r="541" s="1" customFormat="1" ht="15" customHeight="1"/>
    <row r="542" s="1" customFormat="1" ht="15" customHeight="1"/>
    <row r="543" s="1" customFormat="1" ht="15" customHeight="1"/>
    <row r="544" s="1" customFormat="1" ht="15" customHeight="1"/>
    <row r="545" s="1" customFormat="1" ht="15" customHeight="1"/>
    <row r="546" s="1" customFormat="1" ht="15" customHeight="1"/>
    <row r="547" s="1" customFormat="1" ht="15" customHeight="1"/>
    <row r="548" s="1" customFormat="1" ht="15" customHeight="1"/>
    <row r="549" s="1" customFormat="1" ht="15" customHeight="1"/>
    <row r="550" s="1" customFormat="1" ht="15" customHeight="1"/>
    <row r="551" s="1" customFormat="1" ht="15" customHeight="1"/>
    <row r="552" s="1" customFormat="1" ht="15" customHeight="1"/>
    <row r="553" s="1" customFormat="1" ht="15" customHeight="1"/>
    <row r="554" s="1" customFormat="1" ht="15" customHeight="1"/>
    <row r="555" s="1" customFormat="1" ht="15" customHeight="1"/>
    <row r="556" s="1" customFormat="1" ht="15" customHeight="1"/>
    <row r="557" s="1" customFormat="1" ht="15" customHeight="1"/>
    <row r="558" s="1" customFormat="1" ht="15" customHeight="1"/>
    <row r="559" s="1" customFormat="1" ht="15" customHeight="1"/>
    <row r="560" s="1" customFormat="1" ht="15" customHeight="1"/>
    <row r="561" s="1" customFormat="1" ht="15" customHeight="1"/>
    <row r="562" s="1" customFormat="1" ht="15" customHeight="1"/>
    <row r="563" s="1" customFormat="1" ht="15" customHeight="1"/>
    <row r="564" s="1" customFormat="1" ht="15" customHeight="1"/>
    <row r="565" s="1" customFormat="1" ht="15" customHeight="1"/>
    <row r="566" s="1" customFormat="1" ht="15" customHeight="1"/>
    <row r="567" s="1" customFormat="1" ht="15" customHeight="1"/>
    <row r="568" s="1" customFormat="1" ht="15" customHeight="1"/>
    <row r="569" s="1" customFormat="1" ht="15" customHeight="1"/>
    <row r="570" s="1" customFormat="1" ht="15" customHeight="1"/>
    <row r="571" s="1" customFormat="1" ht="15" customHeight="1"/>
    <row r="572" s="1" customFormat="1" ht="15" customHeight="1"/>
    <row r="573" s="1" customFormat="1" ht="15" customHeight="1"/>
    <row r="574" s="1" customFormat="1" ht="15" customHeight="1"/>
    <row r="575" s="1" customFormat="1" ht="15" customHeight="1"/>
    <row r="576" s="1" customFormat="1" ht="15" customHeight="1"/>
    <row r="577" s="1" customFormat="1" ht="15" customHeight="1"/>
    <row r="578" s="1" customFormat="1" ht="15" customHeight="1"/>
    <row r="579" s="1" customFormat="1" ht="15" customHeight="1"/>
    <row r="580" s="1" customFormat="1" ht="15" customHeight="1"/>
    <row r="581" s="1" customFormat="1" ht="15" customHeight="1"/>
    <row r="582" s="1" customFormat="1" ht="15" customHeight="1"/>
    <row r="583" s="1" customFormat="1" ht="15" customHeight="1"/>
    <row r="584" s="1" customFormat="1" ht="15" customHeight="1"/>
    <row r="585" s="1" customFormat="1" ht="15" customHeight="1"/>
    <row r="586" s="1" customFormat="1" ht="15" customHeight="1"/>
    <row r="587" s="1" customFormat="1" ht="15" customHeight="1"/>
    <row r="588" s="1" customFormat="1" ht="15" customHeight="1"/>
    <row r="589" s="1" customFormat="1" ht="15" customHeight="1"/>
    <row r="590" s="1" customFormat="1" ht="15" customHeight="1"/>
    <row r="591" s="1" customFormat="1" ht="15" customHeight="1"/>
    <row r="592" s="1" customFormat="1" ht="15" customHeight="1"/>
    <row r="593" s="1" customFormat="1" ht="15" customHeight="1"/>
    <row r="594" s="1" customFormat="1" ht="15" customHeight="1"/>
    <row r="595" s="1" customFormat="1" ht="15" customHeight="1"/>
    <row r="596" s="1" customFormat="1" ht="15" customHeight="1"/>
    <row r="597" s="1" customFormat="1" ht="15" customHeight="1"/>
    <row r="598" s="1" customFormat="1" ht="15" customHeight="1"/>
    <row r="599" s="1" customFormat="1" ht="15" customHeight="1"/>
    <row r="600" s="1" customFormat="1" ht="15" customHeight="1"/>
    <row r="601" s="1" customFormat="1" ht="15" customHeight="1"/>
    <row r="602" s="1" customFormat="1" ht="15" customHeight="1"/>
    <row r="603" s="1" customFormat="1" ht="15" customHeight="1"/>
    <row r="604" s="1" customFormat="1" ht="15" customHeight="1"/>
    <row r="605" s="1" customFormat="1" ht="15" customHeight="1"/>
    <row r="606" s="1" customFormat="1" ht="15" customHeight="1"/>
    <row r="607" s="1" customFormat="1" ht="15" customHeight="1"/>
    <row r="608" s="1" customFormat="1" ht="15" customHeight="1"/>
    <row r="609" s="1" customFormat="1" ht="15" customHeight="1"/>
    <row r="610" s="1" customFormat="1" ht="15" customHeight="1"/>
    <row r="611" s="1" customFormat="1" ht="15" customHeight="1"/>
    <row r="612" s="1" customFormat="1" ht="15" customHeight="1"/>
    <row r="613" s="1" customFormat="1" ht="15" customHeight="1"/>
    <row r="614" s="1" customFormat="1" ht="15" customHeight="1"/>
    <row r="615" s="1" customFormat="1" ht="15" customHeight="1"/>
    <row r="616" s="1" customFormat="1" ht="15" customHeight="1"/>
    <row r="617" s="1" customFormat="1" ht="15" customHeight="1"/>
    <row r="618" s="1" customFormat="1" ht="15" customHeight="1"/>
    <row r="619" s="1" customFormat="1" ht="15" customHeight="1"/>
    <row r="620" s="1" customFormat="1" ht="15" customHeight="1"/>
    <row r="621" s="1" customFormat="1" ht="15" customHeight="1"/>
    <row r="622" s="1" customFormat="1" ht="15" customHeight="1"/>
    <row r="623" s="1" customFormat="1" ht="15" customHeight="1"/>
    <row r="624" s="1" customFormat="1" ht="15" customHeight="1"/>
    <row r="625" s="1" customFormat="1" ht="15" customHeight="1"/>
    <row r="626" s="1" customFormat="1" ht="15" customHeight="1"/>
    <row r="627" s="1" customFormat="1" ht="15" customHeight="1"/>
    <row r="628" s="1" customFormat="1" ht="15" customHeight="1"/>
    <row r="629" s="1" customFormat="1" ht="15" customHeight="1"/>
    <row r="630" s="1" customFormat="1" ht="15" customHeight="1"/>
    <row r="631" s="1" customFormat="1" ht="15" customHeight="1"/>
    <row r="632" s="1" customFormat="1" ht="15" customHeight="1"/>
    <row r="633" s="1" customFormat="1" ht="15" customHeight="1"/>
    <row r="634" s="1" customFormat="1" ht="15" customHeight="1"/>
    <row r="635" s="1" customFormat="1" ht="15" customHeight="1"/>
    <row r="636" s="1" customFormat="1" ht="15" customHeight="1"/>
    <row r="637" s="1" customFormat="1" ht="15" customHeight="1"/>
    <row r="638" s="1" customFormat="1" ht="15" customHeight="1"/>
    <row r="639" s="1" customFormat="1" ht="15" customHeight="1"/>
    <row r="640" s="1" customFormat="1" ht="15" customHeight="1"/>
    <row r="641" s="1" customFormat="1" ht="15" customHeight="1"/>
    <row r="642" s="1" customFormat="1" ht="15" customHeight="1"/>
    <row r="643" s="1" customFormat="1" ht="15" customHeight="1"/>
    <row r="644" s="1" customFormat="1" ht="15" customHeight="1"/>
    <row r="645" s="1" customFormat="1" ht="15" customHeight="1"/>
    <row r="646" s="1" customFormat="1" ht="15" customHeight="1"/>
    <row r="647" s="1" customFormat="1" ht="15" customHeight="1"/>
    <row r="648" s="1" customFormat="1" ht="15" customHeight="1"/>
    <row r="649" s="1" customFormat="1" ht="15" customHeight="1"/>
    <row r="650" s="1" customFormat="1" ht="15" customHeight="1"/>
    <row r="651" s="1" customFormat="1" ht="15" customHeight="1"/>
    <row r="652" s="1" customFormat="1" ht="15" customHeight="1"/>
    <row r="653" s="1" customFormat="1" ht="15" customHeight="1"/>
    <row r="654" s="1" customFormat="1" ht="15" customHeight="1"/>
    <row r="655" s="1" customFormat="1" ht="15" customHeight="1"/>
    <row r="656" s="1" customFormat="1" ht="15" customHeight="1"/>
    <row r="657" s="1" customFormat="1" ht="15" customHeight="1"/>
    <row r="658" s="1" customFormat="1" ht="15" customHeight="1"/>
    <row r="659" s="1" customFormat="1" ht="15" customHeight="1"/>
    <row r="660" s="1" customFormat="1" ht="15" customHeight="1"/>
    <row r="661" s="1" customFormat="1" ht="15" customHeight="1"/>
    <row r="662" s="1" customFormat="1" ht="15" customHeight="1"/>
    <row r="663" s="1" customFormat="1" ht="15" customHeight="1"/>
    <row r="664" s="1" customFormat="1" ht="15" customHeight="1"/>
    <row r="665" s="1" customFormat="1" ht="15" customHeight="1"/>
    <row r="666" s="1" customFormat="1" ht="15" customHeight="1"/>
    <row r="667" s="1" customFormat="1" ht="15" customHeight="1"/>
    <row r="668" s="1" customFormat="1" ht="15" customHeight="1"/>
    <row r="669" s="1" customFormat="1" ht="15" customHeight="1"/>
    <row r="670" s="1" customFormat="1" ht="15" customHeight="1"/>
    <row r="671" s="1" customFormat="1" ht="15" customHeight="1"/>
    <row r="672" s="1" customFormat="1" ht="15" customHeight="1"/>
    <row r="673" s="1" customFormat="1" ht="15" customHeight="1"/>
    <row r="674" s="1" customFormat="1" ht="15" customHeight="1"/>
    <row r="675" s="1" customFormat="1" ht="15" customHeight="1"/>
    <row r="676" s="1" customFormat="1" ht="15" customHeight="1"/>
    <row r="677" s="1" customFormat="1" ht="15" customHeight="1"/>
    <row r="678" s="1" customFormat="1" ht="15" customHeight="1"/>
    <row r="679" s="1" customFormat="1" ht="15" customHeight="1"/>
    <row r="680" s="1" customFormat="1" ht="15" customHeight="1"/>
    <row r="681" s="1" customFormat="1" ht="15" customHeight="1"/>
    <row r="682" s="1" customFormat="1" ht="15" customHeight="1"/>
    <row r="683" s="1" customFormat="1" ht="15" customHeight="1"/>
    <row r="684" s="1" customFormat="1" ht="15" customHeight="1"/>
    <row r="685" s="1" customFormat="1" ht="15" customHeight="1"/>
    <row r="686" s="1" customFormat="1" ht="15" customHeight="1"/>
    <row r="687" s="1" customFormat="1" ht="15" customHeight="1"/>
    <row r="688" s="1" customFormat="1" ht="15" customHeight="1"/>
    <row r="689" s="1" customFormat="1" ht="15" customHeight="1"/>
    <row r="690" s="1" customFormat="1" ht="15" customHeight="1"/>
    <row r="691" s="1" customFormat="1" ht="15" customHeight="1"/>
    <row r="692" s="1" customFormat="1" ht="15" customHeight="1"/>
    <row r="693" s="1" customFormat="1" ht="15" customHeight="1"/>
    <row r="694" s="1" customFormat="1" ht="15" customHeight="1"/>
    <row r="695" s="1" customFormat="1" ht="15" customHeight="1"/>
    <row r="696" s="1" customFormat="1" ht="15" customHeight="1"/>
    <row r="697" s="1" customFormat="1" ht="15" customHeight="1"/>
    <row r="698" s="1" customFormat="1" ht="15" customHeight="1"/>
    <row r="699" s="1" customFormat="1" ht="15" customHeight="1"/>
    <row r="700" s="1" customFormat="1" ht="15" customHeight="1"/>
    <row r="701" s="1" customFormat="1" ht="15" customHeight="1"/>
    <row r="702" s="1" customFormat="1" ht="15" customHeight="1"/>
    <row r="703" s="1" customFormat="1" ht="15" customHeight="1"/>
    <row r="704" s="1" customFormat="1" ht="15" customHeight="1"/>
    <row r="705" s="1" customFormat="1" ht="15" customHeight="1"/>
    <row r="706" s="1" customFormat="1" ht="15" customHeight="1"/>
    <row r="707" s="1" customFormat="1" ht="15" customHeight="1"/>
    <row r="708" s="1" customFormat="1" ht="15" customHeight="1"/>
    <row r="709" s="1" customFormat="1" ht="15" customHeight="1"/>
    <row r="710" s="1" customFormat="1" ht="15" customHeight="1"/>
    <row r="711" s="1" customFormat="1" ht="15" customHeight="1"/>
    <row r="712" s="1" customFormat="1" ht="15" customHeight="1"/>
    <row r="713" s="1" customFormat="1" ht="15" customHeight="1"/>
    <row r="714" s="1" customFormat="1" ht="15" customHeight="1"/>
    <row r="715" s="1" customFormat="1" ht="15" customHeight="1"/>
    <row r="716" s="1" customFormat="1" ht="15" customHeight="1"/>
    <row r="717" s="1" customFormat="1" ht="15" customHeight="1"/>
    <row r="718" s="1" customFormat="1" ht="15" customHeight="1"/>
    <row r="719" s="1" customFormat="1" ht="15" customHeight="1"/>
    <row r="720" s="1" customFormat="1" ht="15" customHeight="1"/>
    <row r="721" s="1" customFormat="1" ht="15" customHeight="1"/>
    <row r="722" s="1" customFormat="1" ht="15" customHeight="1"/>
    <row r="723" s="1" customFormat="1" ht="15" customHeight="1"/>
    <row r="724" s="1" customFormat="1" ht="15" customHeight="1"/>
    <row r="725" s="1" customFormat="1" ht="15" customHeight="1"/>
    <row r="726" s="1" customFormat="1" ht="15" customHeight="1"/>
    <row r="727" s="1" customFormat="1" ht="15" customHeight="1"/>
    <row r="728" s="1" customFormat="1" ht="15" customHeight="1"/>
    <row r="729" s="1" customFormat="1" ht="15" customHeight="1"/>
    <row r="730" s="1" customFormat="1" ht="15" customHeight="1"/>
    <row r="731" s="1" customFormat="1" ht="15" customHeight="1"/>
    <row r="732" s="1" customFormat="1" ht="15" customHeight="1"/>
    <row r="733" s="1" customFormat="1" ht="15" customHeight="1"/>
    <row r="734" s="1" customFormat="1" ht="15" customHeight="1"/>
    <row r="735" s="1" customFormat="1" ht="15" customHeight="1"/>
    <row r="736" s="1" customFormat="1" ht="15" customHeight="1"/>
    <row r="737" s="1" customFormat="1" ht="15" customHeight="1"/>
    <row r="738" s="1" customFormat="1" ht="15" customHeight="1"/>
    <row r="739" s="1" customFormat="1" ht="15" customHeight="1"/>
    <row r="740" s="1" customFormat="1" ht="15" customHeight="1"/>
    <row r="741" s="1" customFormat="1" ht="15" customHeight="1"/>
    <row r="742" s="1" customFormat="1" ht="15" customHeight="1"/>
    <row r="743" s="1" customFormat="1" ht="15" customHeight="1"/>
    <row r="744" s="1" customFormat="1" ht="15" customHeight="1"/>
    <row r="745" s="1" customFormat="1" ht="15" customHeight="1"/>
    <row r="746" s="1" customFormat="1" ht="15" customHeight="1"/>
    <row r="747" s="1" customFormat="1" ht="15" customHeight="1"/>
    <row r="748" s="1" customFormat="1" ht="15" customHeight="1"/>
    <row r="749" s="1" customFormat="1" ht="15" customHeight="1"/>
    <row r="750" s="1" customFormat="1" ht="15" customHeight="1"/>
    <row r="751" s="1" customFormat="1" ht="15" customHeight="1"/>
    <row r="752" s="1" customFormat="1" ht="15" customHeight="1"/>
    <row r="753" s="1" customFormat="1" ht="15" customHeight="1"/>
    <row r="754" s="1" customFormat="1" ht="15" customHeight="1"/>
    <row r="755" s="1" customFormat="1" ht="15" customHeight="1"/>
    <row r="756" s="1" customFormat="1" ht="15" customHeight="1"/>
    <row r="757" s="1" customFormat="1" ht="15" customHeight="1"/>
    <row r="758" s="1" customFormat="1" ht="15" customHeight="1"/>
    <row r="759" s="1" customFormat="1" ht="15" customHeight="1"/>
    <row r="760" s="1" customFormat="1" ht="15" customHeight="1"/>
    <row r="761" s="1" customFormat="1" ht="15" customHeight="1"/>
    <row r="762" s="1" customFormat="1" ht="15" customHeight="1"/>
    <row r="763" s="1" customFormat="1" ht="15" customHeight="1"/>
    <row r="764" s="1" customFormat="1" ht="15" customHeight="1"/>
    <row r="765" s="1" customFormat="1" ht="15" customHeight="1"/>
    <row r="766" s="1" customFormat="1" ht="15" customHeight="1"/>
    <row r="767" s="1" customFormat="1" ht="15" customHeight="1"/>
    <row r="768" s="1" customFormat="1" ht="15" customHeight="1"/>
    <row r="769" s="1" customFormat="1" ht="15" customHeight="1"/>
    <row r="770" s="1" customFormat="1" ht="15" customHeight="1"/>
    <row r="771" s="1" customFormat="1" ht="15" customHeight="1"/>
    <row r="772" s="1" customFormat="1" ht="15" customHeight="1"/>
    <row r="773" s="1" customFormat="1" ht="15" customHeight="1"/>
    <row r="774" s="1" customFormat="1" ht="15" customHeight="1"/>
    <row r="775" s="1" customFormat="1" ht="15" customHeight="1"/>
    <row r="776" s="1" customFormat="1" ht="15" customHeight="1"/>
    <row r="777" s="1" customFormat="1" ht="15" customHeight="1"/>
    <row r="778" s="1" customFormat="1" ht="15" customHeight="1"/>
    <row r="779" s="1" customFormat="1" ht="15" customHeight="1"/>
    <row r="780" s="1" customFormat="1" ht="15" customHeight="1"/>
    <row r="781" s="1" customFormat="1" ht="15" customHeight="1"/>
    <row r="782" s="1" customFormat="1" ht="15" customHeight="1"/>
    <row r="783" s="1" customFormat="1" ht="15" customHeight="1"/>
    <row r="784" s="1" customFormat="1" ht="15" customHeight="1"/>
    <row r="785" s="1" customFormat="1" ht="15" customHeight="1"/>
    <row r="786" s="1" customFormat="1" ht="15" customHeight="1"/>
    <row r="787" s="1" customFormat="1" ht="15" customHeight="1"/>
    <row r="788" s="1" customFormat="1" ht="15" customHeight="1"/>
    <row r="789" s="1" customFormat="1" ht="15" customHeight="1"/>
    <row r="790" s="1" customFormat="1" ht="15" customHeight="1"/>
    <row r="791" s="1" customFormat="1" ht="15" customHeight="1"/>
    <row r="792" s="1" customFormat="1" ht="15" customHeight="1"/>
    <row r="793" s="1" customFormat="1" ht="15" customHeight="1"/>
    <row r="794" s="1" customFormat="1" ht="15" customHeight="1"/>
    <row r="795" s="1" customFormat="1" ht="15" customHeight="1"/>
    <row r="796" s="1" customFormat="1" ht="15" customHeight="1"/>
    <row r="797" s="1" customFormat="1" ht="15" customHeight="1"/>
    <row r="798" s="1" customFormat="1" ht="15" customHeight="1"/>
    <row r="799" s="1" customFormat="1" ht="15" customHeight="1"/>
    <row r="800" s="1" customFormat="1" ht="15" customHeight="1"/>
    <row r="801" s="1" customFormat="1" ht="15" customHeight="1"/>
    <row r="802" s="1" customFormat="1" ht="15" customHeight="1"/>
    <row r="803" s="1" customFormat="1" ht="15" customHeight="1"/>
    <row r="804" s="1" customFormat="1" ht="15" customHeight="1"/>
    <row r="805" s="1" customFormat="1" ht="15" customHeight="1"/>
    <row r="806" s="1" customFormat="1" ht="15" customHeight="1"/>
    <row r="807" s="1" customFormat="1" ht="15" customHeight="1"/>
    <row r="808" s="1" customFormat="1" ht="15" customHeight="1"/>
    <row r="809" s="1" customFormat="1" ht="15" customHeight="1"/>
    <row r="810" s="1" customFormat="1" ht="15" customHeight="1"/>
    <row r="811" s="1" customFormat="1" ht="15" customHeight="1"/>
    <row r="812" s="1" customFormat="1" ht="15" customHeight="1"/>
    <row r="813" s="1" customFormat="1" ht="15" customHeight="1"/>
    <row r="814" s="1" customFormat="1" ht="15" customHeight="1"/>
    <row r="815" s="1" customFormat="1" ht="15" customHeight="1"/>
    <row r="816" s="1" customFormat="1" ht="15" customHeight="1"/>
    <row r="817" s="1" customFormat="1" ht="15" customHeight="1"/>
    <row r="818" s="1" customFormat="1" ht="15" customHeight="1"/>
    <row r="819" s="1" customFormat="1" ht="15" customHeight="1"/>
    <row r="820" s="1" customFormat="1" ht="15" customHeight="1"/>
    <row r="821" s="1" customFormat="1" ht="15" customHeight="1"/>
    <row r="822" s="1" customFormat="1" ht="15" customHeight="1"/>
    <row r="823" s="1" customFormat="1" ht="15" customHeight="1"/>
    <row r="824" s="1" customFormat="1" ht="15" customHeight="1"/>
    <row r="825" s="1" customFormat="1" ht="15" customHeight="1"/>
    <row r="826" s="1" customFormat="1" ht="15" customHeight="1"/>
    <row r="827" s="1" customFormat="1" ht="15" customHeight="1"/>
    <row r="828" s="1" customFormat="1" ht="15" customHeight="1"/>
    <row r="829" s="1" customFormat="1" ht="15" customHeight="1"/>
    <row r="830" s="1" customFormat="1" ht="15" customHeight="1"/>
    <row r="831" s="1" customFormat="1" ht="15" customHeight="1"/>
    <row r="832" s="1" customFormat="1" ht="15" customHeight="1"/>
    <row r="833" s="1" customFormat="1" ht="15" customHeight="1"/>
    <row r="834" s="1" customFormat="1" ht="15" customHeight="1"/>
    <row r="835" s="1" customFormat="1" ht="15" customHeight="1"/>
    <row r="836" s="1" customFormat="1" ht="15" customHeight="1"/>
    <row r="837" s="1" customFormat="1" ht="15" customHeight="1"/>
    <row r="838" s="1" customFormat="1" ht="15" customHeight="1"/>
    <row r="839" s="1" customFormat="1" ht="15" customHeight="1"/>
    <row r="840" s="1" customFormat="1" ht="15" customHeight="1"/>
    <row r="841" s="1" customFormat="1" ht="15" customHeight="1"/>
    <row r="842" s="1" customFormat="1" ht="15" customHeight="1"/>
    <row r="843" s="1" customFormat="1" ht="15" customHeight="1"/>
    <row r="844" s="1" customFormat="1" ht="15" customHeight="1"/>
    <row r="845" s="1" customFormat="1" ht="15" customHeight="1"/>
    <row r="846" s="1" customFormat="1" ht="15" customHeight="1"/>
    <row r="847" s="1" customFormat="1" ht="15" customHeight="1"/>
    <row r="848" s="1" customFormat="1" ht="15" customHeight="1"/>
    <row r="849" s="1" customFormat="1" ht="15" customHeight="1"/>
    <row r="850" s="1" customFormat="1" ht="15" customHeight="1"/>
    <row r="851" s="1" customFormat="1" ht="15" customHeight="1"/>
    <row r="852" s="1" customFormat="1" ht="15" customHeight="1"/>
    <row r="853" s="1" customFormat="1" ht="15" customHeight="1"/>
    <row r="854" s="1" customFormat="1" ht="15" customHeight="1"/>
    <row r="855" s="1" customFormat="1" ht="15" customHeight="1"/>
    <row r="856" s="1" customFormat="1" ht="15" customHeight="1"/>
    <row r="857" s="1" customFormat="1" ht="15" customHeight="1"/>
    <row r="858" s="1" customFormat="1" ht="15" customHeight="1"/>
    <row r="859" s="1" customFormat="1" ht="15" customHeight="1"/>
    <row r="860" s="1" customFormat="1" ht="15" customHeight="1"/>
    <row r="861" s="1" customFormat="1" ht="15" customHeight="1"/>
    <row r="862" s="1" customFormat="1" ht="15" customHeight="1"/>
    <row r="863" s="1" customFormat="1" ht="15" customHeight="1"/>
    <row r="864" s="1" customFormat="1" ht="15" customHeight="1"/>
    <row r="865" s="1" customFormat="1" ht="15" customHeight="1"/>
    <row r="866" s="1" customFormat="1" ht="15" customHeight="1"/>
    <row r="867" s="1" customFormat="1" ht="15" customHeight="1"/>
    <row r="868" s="1" customFormat="1" ht="15" customHeight="1"/>
    <row r="869" s="1" customFormat="1" ht="15" customHeight="1"/>
    <row r="870" s="1" customFormat="1" ht="15" customHeight="1"/>
    <row r="871" s="1" customFormat="1" ht="15" customHeight="1"/>
    <row r="872" s="1" customFormat="1" ht="15" customHeight="1"/>
    <row r="873" s="1" customFormat="1" ht="15" customHeight="1"/>
    <row r="874" s="1" customFormat="1" ht="15" customHeight="1"/>
    <row r="875" s="1" customFormat="1" ht="15" customHeight="1"/>
    <row r="876" s="1" customFormat="1" ht="15" customHeight="1"/>
    <row r="877" s="1" customFormat="1" ht="15" customHeight="1"/>
    <row r="878" s="1" customFormat="1" ht="15" customHeight="1"/>
    <row r="879" s="1" customFormat="1" ht="15" customHeight="1"/>
    <row r="880" s="1" customFormat="1" ht="15" customHeight="1"/>
    <row r="881" s="1" customFormat="1" ht="15" customHeight="1"/>
    <row r="882" s="1" customFormat="1" ht="15" customHeight="1"/>
    <row r="883" s="1" customFormat="1" ht="15" customHeight="1"/>
    <row r="884" s="1" customFormat="1" ht="15" customHeight="1"/>
    <row r="885" s="1" customFormat="1" ht="15" customHeight="1"/>
    <row r="886" s="1" customFormat="1" ht="15" customHeight="1"/>
    <row r="887" s="1" customFormat="1" ht="15" customHeight="1"/>
    <row r="888" s="1" customFormat="1" ht="15" customHeight="1"/>
    <row r="889" s="1" customFormat="1" ht="15" customHeight="1"/>
    <row r="890" s="1" customFormat="1" ht="15" customHeight="1"/>
    <row r="891" s="1" customFormat="1" ht="15" customHeight="1"/>
    <row r="892" s="1" customFormat="1" ht="15" customHeight="1"/>
    <row r="893" s="1" customFormat="1" ht="15" customHeight="1"/>
    <row r="894" s="1" customFormat="1" ht="15" customHeight="1"/>
    <row r="895" s="1" customFormat="1" ht="15" customHeight="1"/>
    <row r="896" s="1" customFormat="1" ht="15" customHeight="1"/>
    <row r="897" s="1" customFormat="1" ht="15" customHeight="1"/>
    <row r="898" s="1" customFormat="1" ht="15" customHeight="1"/>
    <row r="899" s="1" customFormat="1" ht="15" customHeight="1"/>
    <row r="900" s="1" customFormat="1" ht="15" customHeight="1"/>
    <row r="901" s="1" customFormat="1" ht="15" customHeight="1"/>
    <row r="902" s="1" customFormat="1" ht="15" customHeight="1"/>
    <row r="903" s="1" customFormat="1" ht="15" customHeight="1"/>
    <row r="904" s="1" customFormat="1" ht="15" customHeight="1"/>
    <row r="905" s="1" customFormat="1" ht="15" customHeight="1"/>
    <row r="906" s="1" customFormat="1" ht="15" customHeight="1"/>
    <row r="907" s="1" customFormat="1" ht="15" customHeight="1"/>
    <row r="908" s="1" customFormat="1" ht="15" customHeight="1"/>
    <row r="909" s="1" customFormat="1" ht="15" customHeight="1"/>
    <row r="910" s="1" customFormat="1" ht="15" customHeight="1"/>
    <row r="911" s="1" customFormat="1" ht="15" customHeight="1"/>
    <row r="912" s="1" customFormat="1" ht="15" customHeight="1"/>
    <row r="913" s="1" customFormat="1" ht="15" customHeight="1"/>
    <row r="914" s="1" customFormat="1" ht="15" customHeight="1"/>
    <row r="915" s="1" customFormat="1" ht="15" customHeight="1"/>
    <row r="916" s="1" customFormat="1" ht="15" customHeight="1"/>
    <row r="917" s="1" customFormat="1" ht="15" customHeight="1"/>
    <row r="918" s="1" customFormat="1" ht="15" customHeight="1"/>
    <row r="919" s="1" customFormat="1" ht="15" customHeight="1"/>
    <row r="920" s="1" customFormat="1" ht="15" customHeight="1"/>
    <row r="921" s="1" customFormat="1" ht="15" customHeight="1"/>
    <row r="922" s="1" customFormat="1" ht="15" customHeight="1"/>
    <row r="923" s="1" customFormat="1" ht="15" customHeight="1"/>
    <row r="924" s="1" customFormat="1" ht="15" customHeight="1"/>
    <row r="925" s="1" customFormat="1" ht="15" customHeight="1"/>
    <row r="926" s="1" customFormat="1" ht="15" customHeight="1"/>
    <row r="927" s="1" customFormat="1" ht="15" customHeight="1"/>
    <row r="928" s="1" customFormat="1" ht="15" customHeight="1"/>
    <row r="929" s="1" customFormat="1" ht="15" customHeight="1"/>
    <row r="930" s="1" customFormat="1" ht="15" customHeight="1"/>
    <row r="931" s="1" customFormat="1" ht="15" customHeight="1"/>
    <row r="932" s="1" customFormat="1" ht="15" customHeight="1"/>
    <row r="933" s="1" customFormat="1" ht="15" customHeight="1"/>
    <row r="934" s="1" customFormat="1" ht="15" customHeight="1"/>
    <row r="935" s="1" customFormat="1" ht="15" customHeight="1"/>
    <row r="936" s="1" customFormat="1" ht="15" customHeight="1"/>
    <row r="937" s="1" customFormat="1" ht="15" customHeight="1"/>
    <row r="938" s="1" customFormat="1" ht="15" customHeight="1"/>
    <row r="939" s="1" customFormat="1" ht="15" customHeight="1"/>
    <row r="940" s="1" customFormat="1" ht="15" customHeight="1"/>
    <row r="941" s="1" customFormat="1" ht="15" customHeight="1"/>
    <row r="942" s="1" customFormat="1" ht="15" customHeight="1"/>
    <row r="943" s="1" customFormat="1" ht="15" customHeight="1"/>
    <row r="944" s="1" customFormat="1" ht="15" customHeight="1"/>
    <row r="945" s="1" customFormat="1" ht="15" customHeight="1"/>
    <row r="946" s="1" customFormat="1" ht="15" customHeight="1"/>
    <row r="947" s="1" customFormat="1" ht="15" customHeight="1"/>
    <row r="948" s="1" customFormat="1" ht="15" customHeight="1"/>
    <row r="949" s="1" customFormat="1" ht="15" customHeight="1"/>
    <row r="950" s="1" customFormat="1" ht="15" customHeight="1"/>
    <row r="951" s="1" customFormat="1" ht="15" customHeight="1"/>
    <row r="952" s="1" customFormat="1" ht="15" customHeight="1"/>
    <row r="953" s="1" customFormat="1" ht="15" customHeight="1"/>
    <row r="954" s="1" customFormat="1" ht="15" customHeight="1"/>
    <row r="955" s="1" customFormat="1" ht="15" customHeight="1"/>
    <row r="956" s="1" customFormat="1" ht="15" customHeight="1"/>
    <row r="957" s="1" customFormat="1" ht="15" customHeight="1"/>
    <row r="958" s="1" customFormat="1" ht="15" customHeight="1"/>
    <row r="959" s="1" customFormat="1" ht="15" customHeight="1"/>
    <row r="960" s="1" customFormat="1" ht="15" customHeight="1"/>
    <row r="961" s="1" customFormat="1" ht="15" customHeight="1"/>
    <row r="962" s="1" customFormat="1" ht="15" customHeight="1"/>
    <row r="963" s="1" customFormat="1" ht="15" customHeight="1"/>
    <row r="964" s="1" customFormat="1" ht="15" customHeight="1"/>
    <row r="965" s="1" customFormat="1" ht="15" customHeight="1"/>
    <row r="966" s="1" customFormat="1" ht="15" customHeight="1"/>
    <row r="967" s="1" customFormat="1" ht="15" customHeight="1"/>
    <row r="968" s="1" customFormat="1" ht="15" customHeight="1"/>
    <row r="969" s="1" customFormat="1" ht="15" customHeight="1"/>
    <row r="970" s="1" customFormat="1" ht="15" customHeight="1"/>
    <row r="971" s="1" customFormat="1" ht="15" customHeight="1"/>
    <row r="972" s="1" customFormat="1" ht="15" customHeight="1"/>
    <row r="973" s="1" customFormat="1" ht="15" customHeight="1"/>
    <row r="974" s="1" customFormat="1" ht="15" customHeight="1"/>
    <row r="975" s="1" customFormat="1" ht="15" customHeight="1"/>
    <row r="976" s="1" customFormat="1" ht="15" customHeight="1"/>
    <row r="977" s="1" customFormat="1" ht="15" customHeight="1"/>
    <row r="978" s="1" customFormat="1" ht="15" customHeight="1"/>
    <row r="979" s="1" customFormat="1" ht="15" customHeight="1"/>
    <row r="980" s="1" customFormat="1" ht="15" customHeight="1"/>
    <row r="981" s="1" customFormat="1" ht="15" customHeight="1"/>
    <row r="982" s="1" customFormat="1" ht="15" customHeight="1"/>
    <row r="983" s="1" customFormat="1" ht="15" customHeight="1"/>
    <row r="984" s="1" customFormat="1" ht="15" customHeight="1"/>
    <row r="985" s="1" customFormat="1" ht="15" customHeight="1"/>
    <row r="986" s="1" customFormat="1" ht="15" customHeight="1"/>
    <row r="987" s="1" customFormat="1" ht="15" customHeight="1"/>
    <row r="988" s="1" customFormat="1" ht="15" customHeight="1"/>
    <row r="989" s="1" customFormat="1" ht="15" customHeight="1"/>
    <row r="990" s="1" customFormat="1" ht="15" customHeight="1"/>
    <row r="991" s="1" customFormat="1" ht="15" customHeight="1"/>
    <row r="992" s="1" customFormat="1" ht="15" customHeight="1"/>
    <row r="993" s="1" customFormat="1" ht="15" customHeight="1"/>
    <row r="994" s="1" customFormat="1" ht="15" customHeight="1"/>
    <row r="995" s="1" customFormat="1" ht="15" customHeight="1"/>
    <row r="996" s="1" customFormat="1" ht="15" customHeight="1"/>
    <row r="997" s="1" customFormat="1" ht="15" customHeight="1"/>
    <row r="998" s="1" customFormat="1" ht="15" customHeight="1"/>
    <row r="999" s="1" customFormat="1" ht="15" customHeight="1"/>
    <row r="1000" s="1" customFormat="1" ht="15" customHeight="1"/>
    <row r="1001" s="1" customFormat="1" ht="15" customHeight="1"/>
    <row r="1002" s="1" customFormat="1" ht="15" customHeight="1"/>
    <row r="1003" s="1" customFormat="1" ht="15" customHeight="1"/>
    <row r="1004" s="1" customFormat="1" ht="15" customHeight="1"/>
    <row r="1005" s="1" customFormat="1" ht="15" customHeight="1"/>
    <row r="1006" s="1" customFormat="1" ht="15" customHeight="1"/>
    <row r="1007" s="1" customFormat="1" ht="15" customHeight="1"/>
    <row r="1008" s="1" customFormat="1" ht="15" customHeight="1"/>
    <row r="1009" s="1" customFormat="1" ht="15" customHeight="1"/>
    <row r="1010" s="1" customFormat="1" ht="15" customHeight="1"/>
    <row r="1011" s="1" customFormat="1" ht="15" customHeight="1"/>
  </sheetData>
  <mergeCells count="4">
    <mergeCell ref="F96:G96"/>
    <mergeCell ref="F97:G97"/>
    <mergeCell ref="A1:H3"/>
    <mergeCell ref="J102:M10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5EAC-0D23-4572-BCE7-94A7BEA1CE86}">
  <dimension ref="A1:S60"/>
  <sheetViews>
    <sheetView workbookViewId="0">
      <selection sqref="A1:E3"/>
    </sheetView>
  </sheetViews>
  <sheetFormatPr defaultColWidth="8.875" defaultRowHeight="15"/>
  <cols>
    <col min="1" max="1" width="18.125" style="112" bestFit="1" customWidth="1"/>
    <col min="2" max="2" width="18.125" style="112" customWidth="1"/>
    <col min="3" max="3" width="17.625" style="112" bestFit="1" customWidth="1"/>
    <col min="4" max="4" width="16.375" style="112" bestFit="1" customWidth="1"/>
    <col min="5" max="5" width="15.125" style="112" customWidth="1"/>
    <col min="6" max="6" width="15" style="112" hidden="1" customWidth="1"/>
    <col min="7" max="7" width="15" style="112" bestFit="1" customWidth="1"/>
    <col min="8" max="9" width="8.875" style="112"/>
    <col min="10" max="11" width="9.125" style="112" bestFit="1" customWidth="1"/>
    <col min="12" max="16384" width="8.875" style="112"/>
  </cols>
  <sheetData>
    <row r="1" spans="1:13" ht="11.25" customHeight="1">
      <c r="A1" s="248" t="s">
        <v>434</v>
      </c>
      <c r="B1" s="249"/>
      <c r="C1" s="249"/>
      <c r="D1" s="249"/>
      <c r="E1" s="250"/>
    </row>
    <row r="2" spans="1:13" ht="10.5" customHeight="1">
      <c r="A2" s="251"/>
      <c r="B2" s="252"/>
      <c r="C2" s="252"/>
      <c r="D2" s="252"/>
      <c r="E2" s="253"/>
    </row>
    <row r="3" spans="1:13">
      <c r="A3" s="254"/>
      <c r="B3" s="255"/>
      <c r="C3" s="255"/>
      <c r="D3" s="255"/>
      <c r="E3" s="256"/>
    </row>
    <row r="5" spans="1:13" s="116" customFormat="1" ht="15.75">
      <c r="A5" s="113" t="s">
        <v>435</v>
      </c>
      <c r="B5" s="114" t="s">
        <v>436</v>
      </c>
      <c r="C5" s="114" t="s">
        <v>437</v>
      </c>
      <c r="D5" s="114" t="s">
        <v>438</v>
      </c>
      <c r="E5" s="115" t="s">
        <v>439</v>
      </c>
      <c r="F5" s="116" t="s">
        <v>154</v>
      </c>
      <c r="G5" s="117"/>
      <c r="H5" s="118"/>
      <c r="I5" s="118"/>
      <c r="J5" s="118"/>
      <c r="K5" s="118"/>
      <c r="L5" s="118"/>
      <c r="M5" s="118"/>
    </row>
    <row r="6" spans="1:13">
      <c r="A6" s="119" t="s">
        <v>440</v>
      </c>
      <c r="B6" s="120" t="s">
        <v>181</v>
      </c>
      <c r="C6" s="120">
        <v>2013</v>
      </c>
      <c r="D6" s="121">
        <v>55.111250000000005</v>
      </c>
      <c r="E6" s="122">
        <v>14.370062892684055</v>
      </c>
      <c r="F6" s="123">
        <v>5.6016813364061422</v>
      </c>
      <c r="G6" s="123"/>
      <c r="H6" s="123"/>
    </row>
    <row r="7" spans="1:13">
      <c r="A7" s="124" t="s">
        <v>441</v>
      </c>
      <c r="B7" s="120" t="s">
        <v>181</v>
      </c>
      <c r="C7" s="125">
        <v>2014</v>
      </c>
      <c r="D7" s="125">
        <v>32.9</v>
      </c>
      <c r="E7" s="126">
        <v>19.920000000000002</v>
      </c>
      <c r="F7" s="127">
        <v>5.22</v>
      </c>
    </row>
    <row r="8" spans="1:13">
      <c r="A8" s="124" t="s">
        <v>442</v>
      </c>
      <c r="B8" s="120" t="s">
        <v>181</v>
      </c>
      <c r="C8" s="125">
        <v>2014</v>
      </c>
      <c r="D8" s="125">
        <v>8.6</v>
      </c>
      <c r="E8" s="126">
        <v>18.29</v>
      </c>
      <c r="F8" s="127">
        <v>5.97</v>
      </c>
    </row>
    <row r="9" spans="1:13">
      <c r="A9" s="124" t="s">
        <v>443</v>
      </c>
      <c r="B9" s="120" t="s">
        <v>181</v>
      </c>
      <c r="C9" s="125">
        <v>2014</v>
      </c>
      <c r="D9" s="125">
        <v>7.3</v>
      </c>
      <c r="E9" s="126">
        <v>19.98</v>
      </c>
      <c r="F9" s="127">
        <v>6.38</v>
      </c>
    </row>
    <row r="10" spans="1:13">
      <c r="A10" s="124" t="s">
        <v>444</v>
      </c>
      <c r="B10" s="120" t="s">
        <v>181</v>
      </c>
      <c r="C10" s="125">
        <v>2014</v>
      </c>
      <c r="D10" s="125">
        <v>13.6</v>
      </c>
      <c r="E10" s="126">
        <v>17.38</v>
      </c>
      <c r="F10" s="127">
        <v>6.19</v>
      </c>
    </row>
    <row r="11" spans="1:13" s="127" customFormat="1">
      <c r="A11" s="124" t="s">
        <v>445</v>
      </c>
      <c r="B11" s="120" t="s">
        <v>181</v>
      </c>
      <c r="C11" s="125">
        <v>2014</v>
      </c>
      <c r="D11" s="125">
        <v>26</v>
      </c>
      <c r="E11" s="126">
        <v>12.42</v>
      </c>
      <c r="F11" s="127">
        <v>5.84</v>
      </c>
    </row>
    <row r="12" spans="1:13">
      <c r="A12" s="119" t="s">
        <v>446</v>
      </c>
      <c r="B12" s="120" t="s">
        <v>181</v>
      </c>
      <c r="C12" s="125">
        <v>2015</v>
      </c>
      <c r="D12" s="120">
        <v>19.3</v>
      </c>
      <c r="E12" s="128">
        <v>23.83</v>
      </c>
    </row>
    <row r="13" spans="1:13">
      <c r="A13" s="119" t="s">
        <v>447</v>
      </c>
      <c r="B13" s="120" t="s">
        <v>448</v>
      </c>
      <c r="C13" s="120"/>
      <c r="D13" s="120">
        <v>2.1</v>
      </c>
      <c r="E13" s="128">
        <v>31</v>
      </c>
    </row>
    <row r="14" spans="1:13" s="127" customFormat="1">
      <c r="A14" s="119" t="s">
        <v>347</v>
      </c>
      <c r="B14" s="120" t="s">
        <v>449</v>
      </c>
      <c r="C14" s="120">
        <v>2013</v>
      </c>
      <c r="D14" s="121">
        <v>24.522033898305089</v>
      </c>
      <c r="E14" s="122">
        <v>7.2126097584699274</v>
      </c>
      <c r="F14" s="123">
        <v>6.2789084586932491</v>
      </c>
    </row>
    <row r="15" spans="1:13" s="127" customFormat="1">
      <c r="A15" s="119" t="s">
        <v>450</v>
      </c>
      <c r="B15" s="120" t="s">
        <v>449</v>
      </c>
      <c r="C15" s="120">
        <v>2013</v>
      </c>
      <c r="D15" s="121">
        <v>24.345126353790672</v>
      </c>
      <c r="E15" s="122">
        <v>6.7404969066755713</v>
      </c>
      <c r="F15" s="123">
        <v>6.2862567302263948</v>
      </c>
    </row>
    <row r="16" spans="1:13" s="127" customFormat="1">
      <c r="A16" s="124" t="s">
        <v>347</v>
      </c>
      <c r="B16" s="120" t="s">
        <v>449</v>
      </c>
      <c r="C16" s="125">
        <v>2014</v>
      </c>
      <c r="D16" s="125">
        <v>24.4</v>
      </c>
      <c r="E16" s="126">
        <v>11.28</v>
      </c>
      <c r="F16" s="127">
        <v>5.83</v>
      </c>
    </row>
    <row r="17" spans="1:13" s="127" customFormat="1">
      <c r="A17" s="124" t="s">
        <v>450</v>
      </c>
      <c r="B17" s="120" t="s">
        <v>449</v>
      </c>
      <c r="C17" s="125">
        <v>2014</v>
      </c>
      <c r="D17" s="125">
        <v>25.2</v>
      </c>
      <c r="E17" s="126">
        <v>8.48</v>
      </c>
      <c r="F17" s="127">
        <v>5.78</v>
      </c>
    </row>
    <row r="18" spans="1:13" s="127" customFormat="1">
      <c r="A18" s="119" t="s">
        <v>347</v>
      </c>
      <c r="B18" s="120" t="s">
        <v>449</v>
      </c>
      <c r="C18" s="125">
        <v>2015</v>
      </c>
      <c r="D18" s="120">
        <v>24.5</v>
      </c>
      <c r="E18" s="128">
        <v>10.93</v>
      </c>
      <c r="F18" s="112"/>
    </row>
    <row r="19" spans="1:13" s="127" customFormat="1">
      <c r="A19" s="119" t="s">
        <v>450</v>
      </c>
      <c r="B19" s="120" t="s">
        <v>449</v>
      </c>
      <c r="C19" s="125">
        <v>2015</v>
      </c>
      <c r="D19" s="120">
        <v>25.5</v>
      </c>
      <c r="E19" s="128">
        <v>7.33</v>
      </c>
      <c r="F19" s="112"/>
    </row>
    <row r="20" spans="1:13" s="127" customFormat="1">
      <c r="A20" s="119" t="s">
        <v>451</v>
      </c>
      <c r="B20" s="120" t="s">
        <v>452</v>
      </c>
      <c r="C20" s="120">
        <v>2013</v>
      </c>
      <c r="D20" s="121">
        <v>26.097080291970816</v>
      </c>
      <c r="E20" s="122">
        <v>15.642392786256487</v>
      </c>
      <c r="F20" s="123">
        <v>6.1692816739525078</v>
      </c>
    </row>
    <row r="21" spans="1:13" s="127" customFormat="1">
      <c r="A21" s="119" t="s">
        <v>453</v>
      </c>
      <c r="B21" s="120" t="s">
        <v>452</v>
      </c>
      <c r="C21" s="120">
        <v>2013</v>
      </c>
      <c r="D21" s="121">
        <v>24.792307692307713</v>
      </c>
      <c r="E21" s="122">
        <v>15.790661787198067</v>
      </c>
      <c r="F21" s="123">
        <v>6.2185341911090992</v>
      </c>
      <c r="G21" s="112"/>
      <c r="H21" s="112"/>
      <c r="I21" s="112"/>
      <c r="J21" s="112"/>
      <c r="K21" s="112"/>
      <c r="L21" s="112"/>
      <c r="M21" s="112"/>
    </row>
    <row r="22" spans="1:13" s="127" customFormat="1">
      <c r="A22" s="119" t="s">
        <v>266</v>
      </c>
      <c r="B22" s="120" t="s">
        <v>452</v>
      </c>
      <c r="C22" s="120">
        <v>2013</v>
      </c>
      <c r="D22" s="121">
        <v>26.8</v>
      </c>
      <c r="E22" s="122">
        <v>12.576402699004424</v>
      </c>
      <c r="F22" s="123">
        <v>6.1381908104374228</v>
      </c>
      <c r="G22" s="112"/>
      <c r="H22" s="112"/>
      <c r="I22" s="112"/>
      <c r="J22" s="112"/>
      <c r="K22" s="112"/>
      <c r="L22" s="112"/>
      <c r="M22" s="112"/>
    </row>
    <row r="23" spans="1:13" s="127" customFormat="1">
      <c r="A23" s="124" t="s">
        <v>451</v>
      </c>
      <c r="B23" s="120" t="s">
        <v>452</v>
      </c>
      <c r="C23" s="125">
        <v>2014</v>
      </c>
      <c r="D23" s="125">
        <v>16.600000000000001</v>
      </c>
      <c r="E23" s="126">
        <v>26.07</v>
      </c>
      <c r="F23" s="127">
        <v>5.6</v>
      </c>
    </row>
    <row r="24" spans="1:13">
      <c r="A24" s="124" t="s">
        <v>453</v>
      </c>
      <c r="B24" s="120" t="s">
        <v>452</v>
      </c>
      <c r="C24" s="125">
        <v>2014</v>
      </c>
      <c r="D24" s="125">
        <v>21.5</v>
      </c>
      <c r="E24" s="126">
        <v>21.88</v>
      </c>
      <c r="F24" s="127">
        <v>5.51</v>
      </c>
    </row>
    <row r="25" spans="1:13">
      <c r="A25" s="124" t="s">
        <v>266</v>
      </c>
      <c r="B25" s="120" t="s">
        <v>452</v>
      </c>
      <c r="C25" s="125">
        <v>2014</v>
      </c>
      <c r="D25" s="125">
        <v>16.2</v>
      </c>
      <c r="E25" s="126">
        <v>25.61</v>
      </c>
      <c r="F25" s="127">
        <v>5.63</v>
      </c>
    </row>
    <row r="26" spans="1:13">
      <c r="A26" s="124" t="s">
        <v>454</v>
      </c>
      <c r="B26" s="120" t="s">
        <v>452</v>
      </c>
      <c r="C26" s="125">
        <v>2014</v>
      </c>
      <c r="D26" s="125">
        <v>19</v>
      </c>
      <c r="E26" s="126">
        <v>19.8</v>
      </c>
      <c r="F26" s="127">
        <v>5.56</v>
      </c>
    </row>
    <row r="27" spans="1:13">
      <c r="A27" s="119" t="s">
        <v>455</v>
      </c>
      <c r="B27" s="120" t="s">
        <v>452</v>
      </c>
      <c r="C27" s="125">
        <v>2015</v>
      </c>
      <c r="D27" s="120">
        <v>40.4</v>
      </c>
      <c r="E27" s="128">
        <v>7.62</v>
      </c>
      <c r="G27" s="127"/>
      <c r="H27" s="127"/>
      <c r="I27" s="127"/>
      <c r="J27" s="127"/>
      <c r="K27" s="127"/>
      <c r="L27" s="127"/>
      <c r="M27" s="127"/>
    </row>
    <row r="28" spans="1:13">
      <c r="A28" s="119" t="s">
        <v>451</v>
      </c>
      <c r="B28" s="120" t="s">
        <v>452</v>
      </c>
      <c r="C28" s="125">
        <v>2015</v>
      </c>
      <c r="D28" s="120">
        <v>16.2</v>
      </c>
      <c r="E28" s="128">
        <v>27.57</v>
      </c>
      <c r="G28" s="127"/>
      <c r="H28" s="127"/>
      <c r="I28" s="127"/>
      <c r="J28" s="127"/>
      <c r="K28" s="127"/>
      <c r="L28" s="127"/>
      <c r="M28" s="127"/>
    </row>
    <row r="29" spans="1:13">
      <c r="A29" s="119" t="s">
        <v>453</v>
      </c>
      <c r="B29" s="120" t="s">
        <v>452</v>
      </c>
      <c r="C29" s="125">
        <v>2015</v>
      </c>
      <c r="D29" s="120">
        <v>27.2</v>
      </c>
      <c r="E29" s="128">
        <v>17.989999999999998</v>
      </c>
    </row>
    <row r="30" spans="1:13">
      <c r="A30" s="119" t="s">
        <v>266</v>
      </c>
      <c r="B30" s="120" t="s">
        <v>452</v>
      </c>
      <c r="C30" s="125">
        <v>2015</v>
      </c>
      <c r="D30" s="120">
        <v>35</v>
      </c>
      <c r="E30" s="128">
        <v>13.66</v>
      </c>
    </row>
    <row r="31" spans="1:13">
      <c r="A31" s="119" t="s">
        <v>447</v>
      </c>
      <c r="B31" s="120" t="s">
        <v>448</v>
      </c>
      <c r="C31" s="120"/>
      <c r="D31" s="120">
        <v>2.1</v>
      </c>
      <c r="E31" s="128">
        <v>31</v>
      </c>
    </row>
    <row r="32" spans="1:13">
      <c r="A32" s="119" t="s">
        <v>456</v>
      </c>
      <c r="B32" s="120" t="s">
        <v>457</v>
      </c>
      <c r="C32" s="125">
        <v>2015</v>
      </c>
      <c r="D32" s="120">
        <v>19.2</v>
      </c>
      <c r="E32" s="128">
        <v>25.67</v>
      </c>
    </row>
    <row r="33" spans="1:19">
      <c r="A33" s="119" t="s">
        <v>458</v>
      </c>
      <c r="B33" s="120" t="s">
        <v>457</v>
      </c>
      <c r="C33" s="125">
        <v>2015</v>
      </c>
      <c r="D33" s="120">
        <v>5</v>
      </c>
      <c r="E33" s="128">
        <v>48.46</v>
      </c>
    </row>
    <row r="34" spans="1:19">
      <c r="A34" s="119" t="s">
        <v>459</v>
      </c>
      <c r="B34" s="120" t="s">
        <v>457</v>
      </c>
      <c r="C34" s="125">
        <v>2015</v>
      </c>
      <c r="D34" s="120">
        <v>2.5</v>
      </c>
      <c r="E34" s="128">
        <v>50.67</v>
      </c>
    </row>
    <row r="35" spans="1:19">
      <c r="A35" s="119" t="s">
        <v>447</v>
      </c>
      <c r="B35" s="120" t="s">
        <v>448</v>
      </c>
      <c r="C35" s="120"/>
      <c r="D35" s="120">
        <v>2.1</v>
      </c>
      <c r="E35" s="128">
        <v>31</v>
      </c>
    </row>
    <row r="36" spans="1:19">
      <c r="A36" s="129" t="s">
        <v>460</v>
      </c>
      <c r="B36" s="130"/>
      <c r="C36" s="130"/>
      <c r="D36" s="130">
        <v>320</v>
      </c>
      <c r="E36" s="131">
        <v>0</v>
      </c>
    </row>
    <row r="38" spans="1:19">
      <c r="A38" s="132" t="s">
        <v>461</v>
      </c>
      <c r="B38" s="133" t="s">
        <v>462</v>
      </c>
      <c r="C38" s="133" t="s">
        <v>436</v>
      </c>
      <c r="D38" s="134" t="s">
        <v>463</v>
      </c>
      <c r="E38" s="134" t="s">
        <v>464</v>
      </c>
      <c r="F38" s="133" t="s">
        <v>465</v>
      </c>
      <c r="G38" s="133" t="s">
        <v>466</v>
      </c>
      <c r="H38" s="133" t="s">
        <v>467</v>
      </c>
      <c r="I38" s="133" t="s">
        <v>466</v>
      </c>
      <c r="J38" s="133" t="s">
        <v>468</v>
      </c>
      <c r="K38" s="133" t="s">
        <v>466</v>
      </c>
      <c r="L38" s="133" t="s">
        <v>469</v>
      </c>
      <c r="M38" s="133" t="s">
        <v>466</v>
      </c>
      <c r="N38" s="133" t="s">
        <v>470</v>
      </c>
      <c r="O38" s="133" t="s">
        <v>466</v>
      </c>
      <c r="P38" s="133" t="s">
        <v>439</v>
      </c>
      <c r="Q38" s="133" t="s">
        <v>466</v>
      </c>
      <c r="R38" s="133"/>
      <c r="S38" s="135"/>
    </row>
    <row r="39" spans="1:19">
      <c r="A39" s="119" t="s">
        <v>471</v>
      </c>
      <c r="B39" s="120" t="s">
        <v>472</v>
      </c>
      <c r="C39" s="120" t="s">
        <v>473</v>
      </c>
      <c r="D39" s="136">
        <v>40775.034872685188</v>
      </c>
      <c r="E39" s="136">
        <v>40775.03665509259</v>
      </c>
      <c r="F39" s="120">
        <v>2.7</v>
      </c>
      <c r="G39" s="120">
        <v>1.6E-2</v>
      </c>
      <c r="H39" s="120">
        <v>2.2999999999999998</v>
      </c>
      <c r="I39" s="120">
        <v>0.05</v>
      </c>
      <c r="J39" s="120">
        <v>1533.17</v>
      </c>
      <c r="K39" s="120">
        <v>0.16589999999999999</v>
      </c>
      <c r="L39" s="120">
        <v>34.520000000000003</v>
      </c>
      <c r="M39" s="120">
        <v>1.4E-3</v>
      </c>
      <c r="N39" s="120">
        <v>2.5</v>
      </c>
      <c r="O39" s="120">
        <v>6.0000000000000001E-3</v>
      </c>
      <c r="P39" s="120">
        <v>35.68</v>
      </c>
      <c r="Q39" s="120">
        <v>9.8000000000000004E-2</v>
      </c>
      <c r="R39" s="120">
        <v>2015</v>
      </c>
      <c r="S39" s="128"/>
    </row>
    <row r="40" spans="1:19">
      <c r="A40" s="119" t="s">
        <v>471</v>
      </c>
      <c r="B40" s="120" t="s">
        <v>472</v>
      </c>
      <c r="C40" s="120" t="s">
        <v>474</v>
      </c>
      <c r="D40" s="136">
        <v>40775.161678240744</v>
      </c>
      <c r="E40" s="136">
        <v>40775.207685185182</v>
      </c>
      <c r="F40" s="120">
        <v>2.6</v>
      </c>
      <c r="G40" s="120">
        <v>5.0999999999999997E-2</v>
      </c>
      <c r="H40" s="120">
        <v>2.2999999999999998</v>
      </c>
      <c r="I40" s="120">
        <v>0.05</v>
      </c>
      <c r="J40" s="120">
        <v>1530.63</v>
      </c>
      <c r="K40" s="120">
        <v>4.1620999999999997</v>
      </c>
      <c r="L40" s="120">
        <v>34.520000000000003</v>
      </c>
      <c r="M40" s="120">
        <v>5.8999999999999999E-3</v>
      </c>
      <c r="N40" s="120">
        <v>2.5</v>
      </c>
      <c r="O40" s="120">
        <v>0.02</v>
      </c>
      <c r="P40" s="120">
        <v>31.72</v>
      </c>
      <c r="Q40" s="120">
        <v>0.2782</v>
      </c>
      <c r="R40" s="120">
        <v>2015</v>
      </c>
      <c r="S40" s="128"/>
    </row>
    <row r="41" spans="1:19">
      <c r="A41" s="119" t="s">
        <v>471</v>
      </c>
      <c r="B41" s="120" t="s">
        <v>472</v>
      </c>
      <c r="C41" s="120" t="s">
        <v>475</v>
      </c>
      <c r="D41" s="136">
        <v>40775.605486111112</v>
      </c>
      <c r="E41" s="136">
        <v>40775.62096064815</v>
      </c>
      <c r="F41" s="120">
        <v>2.7</v>
      </c>
      <c r="G41" s="120">
        <v>3.1E-2</v>
      </c>
      <c r="H41" s="120">
        <v>2.4</v>
      </c>
      <c r="I41" s="120">
        <v>0.01</v>
      </c>
      <c r="J41" s="120">
        <v>1560.9</v>
      </c>
      <c r="K41" s="120">
        <v>1.0845</v>
      </c>
      <c r="L41" s="120">
        <v>34.520000000000003</v>
      </c>
      <c r="M41" s="120">
        <v>5.0000000000000001E-4</v>
      </c>
      <c r="N41" s="120">
        <v>2.5</v>
      </c>
      <c r="O41" s="120">
        <v>1E-3</v>
      </c>
      <c r="P41" s="120">
        <v>30.02</v>
      </c>
      <c r="Q41" s="120">
        <v>0.1258</v>
      </c>
      <c r="R41" s="120">
        <v>2015</v>
      </c>
      <c r="S41" s="128"/>
    </row>
    <row r="42" spans="1:19">
      <c r="A42" s="119" t="s">
        <v>476</v>
      </c>
      <c r="B42" s="120" t="s">
        <v>477</v>
      </c>
      <c r="C42" s="120" t="s">
        <v>478</v>
      </c>
      <c r="D42" s="136">
        <v>40779.360231481478</v>
      </c>
      <c r="E42" s="136">
        <v>40779.362951388888</v>
      </c>
      <c r="F42" s="120">
        <v>2.6</v>
      </c>
      <c r="G42" s="120">
        <v>0.05</v>
      </c>
      <c r="H42" s="120">
        <v>2.4</v>
      </c>
      <c r="I42" s="120">
        <v>8.9999999999999993E-3</v>
      </c>
      <c r="J42" s="120">
        <v>1534.43</v>
      </c>
      <c r="K42" s="120">
        <v>1.095</v>
      </c>
      <c r="L42" s="120">
        <v>34.520000000000003</v>
      </c>
      <c r="M42" s="120">
        <v>1.1000000000000001E-3</v>
      </c>
      <c r="N42" s="120">
        <v>2.5</v>
      </c>
      <c r="O42" s="120">
        <v>7.0000000000000001E-3</v>
      </c>
      <c r="P42" s="120">
        <v>28.43</v>
      </c>
      <c r="Q42" s="120">
        <v>0.44919999999999999</v>
      </c>
      <c r="R42" s="120">
        <v>2015</v>
      </c>
      <c r="S42" s="128"/>
    </row>
    <row r="43" spans="1:19">
      <c r="A43" s="119" t="s">
        <v>476</v>
      </c>
      <c r="B43" s="120" t="s">
        <v>477</v>
      </c>
      <c r="C43" s="120" t="s">
        <v>479</v>
      </c>
      <c r="D43" s="136">
        <v>40779.602916666663</v>
      </c>
      <c r="E43" s="136">
        <v>40779.618541666663</v>
      </c>
      <c r="F43" s="120">
        <v>2.7</v>
      </c>
      <c r="G43" s="120">
        <v>2.5000000000000001E-2</v>
      </c>
      <c r="H43" s="120">
        <v>2.4</v>
      </c>
      <c r="I43" s="120">
        <v>1.2E-2</v>
      </c>
      <c r="J43" s="137">
        <v>1515.54</v>
      </c>
      <c r="K43" s="120">
        <v>28.136199999999999</v>
      </c>
      <c r="L43" s="120">
        <v>34.51</v>
      </c>
      <c r="M43" s="120">
        <v>9.1999999999999998E-3</v>
      </c>
      <c r="N43" s="120">
        <v>2.5</v>
      </c>
      <c r="O43" s="120">
        <v>1.2E-2</v>
      </c>
      <c r="P43" s="120">
        <v>28.68</v>
      </c>
      <c r="Q43" s="120">
        <v>0.74790000000000001</v>
      </c>
      <c r="R43" s="120">
        <v>2015</v>
      </c>
      <c r="S43" s="128"/>
    </row>
    <row r="44" spans="1:19">
      <c r="A44" s="119" t="s">
        <v>476</v>
      </c>
      <c r="B44" s="120" t="s">
        <v>477</v>
      </c>
      <c r="C44" s="120" t="s">
        <v>480</v>
      </c>
      <c r="D44" s="136">
        <v>40779.727118055554</v>
      </c>
      <c r="E44" s="136">
        <v>40779.74491898148</v>
      </c>
      <c r="F44" s="120">
        <v>2.6</v>
      </c>
      <c r="G44" s="120">
        <v>4.2000000000000003E-2</v>
      </c>
      <c r="H44" s="120">
        <v>2.4</v>
      </c>
      <c r="I44" s="120">
        <v>4.2999999999999997E-2</v>
      </c>
      <c r="J44" s="120">
        <v>1543.93</v>
      </c>
      <c r="K44" s="120">
        <v>2.9277000000000002</v>
      </c>
      <c r="L44" s="120">
        <v>34.520000000000003</v>
      </c>
      <c r="M44" s="120">
        <v>1.4E-3</v>
      </c>
      <c r="N44" s="120">
        <v>2.5</v>
      </c>
      <c r="O44" s="120">
        <v>3.0000000000000001E-3</v>
      </c>
      <c r="P44" s="120">
        <v>29.01</v>
      </c>
      <c r="Q44" s="120">
        <v>0.2082</v>
      </c>
      <c r="R44" s="120">
        <v>2015</v>
      </c>
      <c r="S44" s="128"/>
    </row>
    <row r="45" spans="1:19">
      <c r="A45" s="124" t="s">
        <v>462</v>
      </c>
      <c r="B45" s="125" t="s">
        <v>436</v>
      </c>
      <c r="C45" s="125" t="s">
        <v>481</v>
      </c>
      <c r="D45" s="138" t="s">
        <v>463</v>
      </c>
      <c r="E45" s="138" t="s">
        <v>464</v>
      </c>
      <c r="F45" s="125" t="s">
        <v>465</v>
      </c>
      <c r="G45" s="125" t="s">
        <v>466</v>
      </c>
      <c r="H45" s="125" t="s">
        <v>467</v>
      </c>
      <c r="I45" s="125" t="s">
        <v>466</v>
      </c>
      <c r="J45" s="125" t="s">
        <v>468</v>
      </c>
      <c r="K45" s="125" t="s">
        <v>466</v>
      </c>
      <c r="L45" s="125" t="s">
        <v>469</v>
      </c>
      <c r="M45" s="125" t="s">
        <v>466</v>
      </c>
      <c r="N45" s="125" t="s">
        <v>470</v>
      </c>
      <c r="O45" s="125" t="s">
        <v>466</v>
      </c>
      <c r="P45" s="125" t="s">
        <v>439</v>
      </c>
      <c r="Q45" s="125" t="s">
        <v>466</v>
      </c>
      <c r="R45" s="125" t="s">
        <v>482</v>
      </c>
      <c r="S45" s="126" t="s">
        <v>466</v>
      </c>
    </row>
    <row r="46" spans="1:19">
      <c r="A46" s="124" t="s">
        <v>483</v>
      </c>
      <c r="B46" s="125" t="s">
        <v>473</v>
      </c>
      <c r="C46" s="125"/>
      <c r="D46" s="138">
        <v>41863.916284722225</v>
      </c>
      <c r="E46" s="138">
        <v>41863.942754629628</v>
      </c>
      <c r="F46" s="125">
        <v>2.9</v>
      </c>
      <c r="G46" s="125">
        <v>0.35299999999999998</v>
      </c>
      <c r="H46" s="125">
        <v>2.6</v>
      </c>
      <c r="I46" s="125">
        <v>0.23400000000000001</v>
      </c>
      <c r="J46" s="125">
        <v>1534.31</v>
      </c>
      <c r="K46" s="125">
        <v>1.8164</v>
      </c>
      <c r="L46" s="125">
        <v>34.51</v>
      </c>
      <c r="M46" s="125">
        <v>4.65E-2</v>
      </c>
      <c r="N46" s="125">
        <v>2.6</v>
      </c>
      <c r="O46" s="125">
        <v>0.20699999999999999</v>
      </c>
      <c r="P46" s="125">
        <v>32.72</v>
      </c>
      <c r="Q46" s="125">
        <v>0.40179999999999999</v>
      </c>
      <c r="R46" s="125">
        <v>6.98</v>
      </c>
      <c r="S46" s="126">
        <v>0.31209999999999999</v>
      </c>
    </row>
    <row r="47" spans="1:19" ht="15.75">
      <c r="A47" s="124" t="s">
        <v>484</v>
      </c>
      <c r="B47" s="139" t="s">
        <v>474</v>
      </c>
      <c r="C47" s="125"/>
      <c r="D47" s="138">
        <v>41867.232303240744</v>
      </c>
      <c r="E47" s="138">
        <v>41867.232395833336</v>
      </c>
      <c r="F47" s="125">
        <v>2.6</v>
      </c>
      <c r="G47" s="125">
        <v>0.05</v>
      </c>
      <c r="H47" s="125">
        <v>2.4</v>
      </c>
      <c r="I47" s="125">
        <v>0</v>
      </c>
      <c r="J47" s="140">
        <v>1482.49</v>
      </c>
      <c r="K47" s="125">
        <v>1.2476</v>
      </c>
      <c r="L47" s="125">
        <v>34.5</v>
      </c>
      <c r="M47" s="125">
        <v>2.5000000000000001E-3</v>
      </c>
      <c r="N47" s="125">
        <v>2.5</v>
      </c>
      <c r="O47" s="125">
        <v>1E-3</v>
      </c>
      <c r="P47" s="139">
        <v>22.58</v>
      </c>
      <c r="Q47" s="125">
        <v>0.26279999999999998</v>
      </c>
      <c r="R47" s="141" t="s">
        <v>485</v>
      </c>
      <c r="S47" s="142" t="s">
        <v>485</v>
      </c>
    </row>
    <row r="48" spans="1:19" ht="30">
      <c r="A48" s="124" t="s">
        <v>486</v>
      </c>
      <c r="B48" s="125" t="s">
        <v>475</v>
      </c>
      <c r="C48" s="143" t="s">
        <v>487</v>
      </c>
      <c r="D48" s="138">
        <v>41867.868101851855</v>
      </c>
      <c r="E48" s="138">
        <v>41867.869976851849</v>
      </c>
      <c r="F48" s="125">
        <v>2.7</v>
      </c>
      <c r="G48" s="125">
        <v>8.6999999999999994E-2</v>
      </c>
      <c r="H48" s="125">
        <v>2.6</v>
      </c>
      <c r="I48" s="125">
        <v>6.5000000000000002E-2</v>
      </c>
      <c r="J48" s="125">
        <v>1540</v>
      </c>
      <c r="K48" s="125">
        <v>0</v>
      </c>
      <c r="L48" s="125">
        <v>34.5</v>
      </c>
      <c r="M48" s="125">
        <v>0</v>
      </c>
      <c r="N48" s="125">
        <v>2.7</v>
      </c>
      <c r="O48" s="125">
        <v>0.05</v>
      </c>
      <c r="P48" s="125">
        <v>30.09</v>
      </c>
      <c r="Q48" s="125">
        <v>0.20680000000000001</v>
      </c>
      <c r="R48" s="125">
        <v>7.31</v>
      </c>
      <c r="S48" s="126">
        <v>4.53E-2</v>
      </c>
    </row>
    <row r="49" spans="1:19">
      <c r="A49" s="124" t="s">
        <v>486</v>
      </c>
      <c r="B49" s="125" t="s">
        <v>478</v>
      </c>
      <c r="C49" s="125" t="s">
        <v>488</v>
      </c>
      <c r="D49" s="138">
        <v>41868.188888888886</v>
      </c>
      <c r="E49" s="138">
        <v>41868.191874999997</v>
      </c>
      <c r="F49" s="125">
        <v>2.6</v>
      </c>
      <c r="G49" s="125">
        <v>0.03</v>
      </c>
      <c r="H49" s="125">
        <v>2.2999999999999998</v>
      </c>
      <c r="I49" s="125">
        <v>3.4000000000000002E-2</v>
      </c>
      <c r="J49" s="125">
        <v>1533.3</v>
      </c>
      <c r="K49" s="125">
        <v>0.88480000000000003</v>
      </c>
      <c r="L49" s="125">
        <v>34.5</v>
      </c>
      <c r="M49" s="125">
        <v>1.4E-3</v>
      </c>
      <c r="N49" s="125">
        <v>2.5</v>
      </c>
      <c r="O49" s="125">
        <v>4.0000000000000001E-3</v>
      </c>
      <c r="P49" s="125">
        <v>30.77</v>
      </c>
      <c r="Q49" s="125">
        <v>0.13869999999999999</v>
      </c>
      <c r="R49" s="125">
        <v>7.43</v>
      </c>
      <c r="S49" s="126">
        <v>7.4999999999999997E-3</v>
      </c>
    </row>
    <row r="50" spans="1:19">
      <c r="A50" s="124" t="s">
        <v>486</v>
      </c>
      <c r="B50" s="125" t="s">
        <v>480</v>
      </c>
      <c r="C50" s="125"/>
      <c r="D50" s="138">
        <v>41868.472199074073</v>
      </c>
      <c r="E50" s="138">
        <v>41868.47415509259</v>
      </c>
      <c r="F50" s="125">
        <v>2.6</v>
      </c>
      <c r="G50" s="125">
        <v>4.5999999999999999E-2</v>
      </c>
      <c r="H50" s="125">
        <v>2.2999999999999998</v>
      </c>
      <c r="I50" s="125">
        <v>4.2999999999999997E-2</v>
      </c>
      <c r="J50" s="125">
        <v>1539.14</v>
      </c>
      <c r="K50" s="125">
        <v>0.20399999999999999</v>
      </c>
      <c r="L50" s="125">
        <v>34.5</v>
      </c>
      <c r="M50" s="125">
        <v>8.9999999999999998E-4</v>
      </c>
      <c r="N50" s="125">
        <v>2.5</v>
      </c>
      <c r="O50" s="125">
        <v>1.2E-2</v>
      </c>
      <c r="P50" s="125">
        <v>27.52</v>
      </c>
      <c r="Q50" s="125">
        <v>0.8478</v>
      </c>
      <c r="R50" s="125">
        <v>7.04</v>
      </c>
      <c r="S50" s="126">
        <v>0.53659999999999997</v>
      </c>
    </row>
    <row r="51" spans="1:19">
      <c r="A51" s="119"/>
      <c r="B51" s="120"/>
      <c r="C51" s="120"/>
      <c r="D51" s="120"/>
      <c r="E51" s="120"/>
      <c r="F51" s="120"/>
      <c r="G51" s="120"/>
      <c r="H51" s="120"/>
      <c r="I51" s="120"/>
      <c r="J51" s="120"/>
      <c r="K51" s="120"/>
      <c r="L51" s="120"/>
      <c r="M51" s="120"/>
      <c r="N51" s="120"/>
      <c r="O51" s="120"/>
      <c r="P51" s="120"/>
      <c r="Q51" s="120"/>
      <c r="R51" s="120"/>
      <c r="S51" s="128"/>
    </row>
    <row r="52" spans="1:19">
      <c r="A52" s="119"/>
      <c r="B52" s="120"/>
      <c r="C52" s="120"/>
      <c r="D52" s="120"/>
      <c r="E52" s="120"/>
      <c r="F52" s="120"/>
      <c r="G52" s="120"/>
      <c r="H52" s="120"/>
      <c r="I52" s="120"/>
      <c r="J52" s="120"/>
      <c r="K52" s="120"/>
      <c r="L52" s="120"/>
      <c r="M52" s="120"/>
      <c r="N52" s="120"/>
      <c r="O52" s="120"/>
      <c r="P52" s="120">
        <f>AVERAGE(P39:P44)</f>
        <v>30.59</v>
      </c>
      <c r="Q52" s="120" t="s">
        <v>489</v>
      </c>
      <c r="R52" s="120"/>
      <c r="S52" s="128"/>
    </row>
    <row r="53" spans="1:19">
      <c r="A53" s="129"/>
      <c r="B53" s="130"/>
      <c r="C53" s="130"/>
      <c r="D53" s="130"/>
      <c r="E53" s="130"/>
      <c r="F53" s="130"/>
      <c r="G53" s="130"/>
      <c r="H53" s="130"/>
      <c r="I53" s="130"/>
      <c r="J53" s="130"/>
      <c r="K53" s="130"/>
      <c r="L53" s="130"/>
      <c r="M53" s="130"/>
      <c r="N53" s="130"/>
      <c r="O53" s="130"/>
      <c r="P53" s="130">
        <f>AVERAGE(P46,P48:P50)</f>
        <v>30.274999999999999</v>
      </c>
      <c r="Q53" s="130" t="s">
        <v>490</v>
      </c>
      <c r="R53" s="130"/>
      <c r="S53" s="131"/>
    </row>
    <row r="55" spans="1:19">
      <c r="A55" s="111"/>
      <c r="B55" s="111"/>
      <c r="C55" s="111"/>
      <c r="D55" s="111"/>
      <c r="E55" s="111"/>
      <c r="F55" s="111"/>
      <c r="G55" s="111"/>
      <c r="H55" s="111"/>
      <c r="I55" s="111"/>
      <c r="J55" s="111"/>
      <c r="K55" s="111"/>
      <c r="L55" s="111"/>
      <c r="M55" s="111"/>
    </row>
    <row r="56" spans="1:19">
      <c r="A56" s="111"/>
      <c r="B56" s="111"/>
      <c r="C56" s="111"/>
      <c r="D56" s="111"/>
      <c r="E56" s="111"/>
      <c r="F56" s="111"/>
      <c r="G56" s="111"/>
      <c r="H56" s="111"/>
      <c r="I56" s="111"/>
      <c r="J56" s="111"/>
      <c r="K56" s="111"/>
      <c r="L56" s="111"/>
      <c r="M56" s="111"/>
    </row>
    <row r="57" spans="1:19">
      <c r="A57" s="111"/>
      <c r="B57" s="111"/>
      <c r="C57" s="111"/>
      <c r="D57" s="111"/>
      <c r="E57" s="111"/>
      <c r="F57" s="111"/>
      <c r="G57" s="111"/>
      <c r="H57" s="111"/>
      <c r="I57" s="111"/>
      <c r="J57" s="111"/>
      <c r="K57" s="111"/>
      <c r="L57" s="111"/>
      <c r="M57" s="111"/>
    </row>
    <row r="58" spans="1:19">
      <c r="A58" s="111"/>
      <c r="B58" s="111"/>
      <c r="C58" s="111"/>
      <c r="D58" s="111"/>
      <c r="E58" s="111"/>
      <c r="F58" s="111"/>
      <c r="G58" s="111"/>
      <c r="H58" s="111"/>
      <c r="I58" s="111"/>
      <c r="J58" s="111"/>
      <c r="K58" s="111"/>
      <c r="L58" s="111"/>
      <c r="M58" s="111"/>
    </row>
    <row r="59" spans="1:19">
      <c r="A59" s="111"/>
      <c r="B59" s="111"/>
      <c r="C59" s="111"/>
      <c r="D59" s="111"/>
      <c r="E59" s="111"/>
      <c r="F59" s="111"/>
      <c r="G59" s="111"/>
      <c r="H59" s="111"/>
      <c r="I59" s="111"/>
      <c r="J59" s="111"/>
      <c r="K59" s="111"/>
      <c r="L59" s="111"/>
      <c r="M59" s="111"/>
    </row>
    <row r="60" spans="1:19">
      <c r="A60" s="111"/>
      <c r="B60" s="111"/>
      <c r="C60" s="111"/>
      <c r="D60" s="111"/>
      <c r="E60" s="111"/>
      <c r="F60" s="111"/>
      <c r="G60" s="111"/>
      <c r="H60" s="111"/>
      <c r="I60" s="111"/>
      <c r="J60" s="111"/>
      <c r="K60" s="111"/>
      <c r="L60" s="111"/>
      <c r="M60" s="111"/>
    </row>
  </sheetData>
  <mergeCells count="1">
    <mergeCell ref="A1: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423E-E530-7E45-9962-C93897010F51}">
  <dimension ref="A1:N178"/>
  <sheetViews>
    <sheetView workbookViewId="0">
      <selection sqref="A1:D3"/>
    </sheetView>
  </sheetViews>
  <sheetFormatPr defaultColWidth="11" defaultRowHeight="15.75" customHeight="1"/>
  <cols>
    <col min="1" max="1" width="11" style="155"/>
    <col min="2" max="2" width="31.625" style="155" customWidth="1"/>
    <col min="3" max="3" width="35.375" style="155" customWidth="1"/>
    <col min="4" max="4" width="20.875" style="155" customWidth="1"/>
    <col min="5" max="5" width="36" style="155" customWidth="1"/>
    <col min="6" max="8" width="19.125" style="155" customWidth="1"/>
    <col min="9" max="16384" width="11" style="155"/>
  </cols>
  <sheetData>
    <row r="1" spans="1:11" ht="15.75" customHeight="1">
      <c r="A1" s="260" t="s">
        <v>491</v>
      </c>
      <c r="B1" s="261"/>
      <c r="C1" s="261"/>
      <c r="D1" s="262"/>
      <c r="F1" s="156"/>
      <c r="G1" s="157"/>
      <c r="H1" s="157"/>
    </row>
    <row r="2" spans="1:11" ht="15.75" customHeight="1">
      <c r="A2" s="263"/>
      <c r="B2" s="264"/>
      <c r="C2" s="264"/>
      <c r="D2" s="265"/>
      <c r="F2" s="156"/>
      <c r="G2" s="157"/>
      <c r="H2" s="157"/>
    </row>
    <row r="3" spans="1:11" ht="25.5" customHeight="1">
      <c r="A3" s="266"/>
      <c r="B3" s="267"/>
      <c r="C3" s="267"/>
      <c r="D3" s="268"/>
      <c r="F3" s="156"/>
      <c r="G3" s="157"/>
      <c r="H3" s="157"/>
    </row>
    <row r="4" spans="1:11" ht="14.25">
      <c r="A4" s="158"/>
      <c r="B4" s="257"/>
      <c r="C4" s="258"/>
      <c r="D4" s="258"/>
      <c r="E4" s="258"/>
      <c r="F4" s="258"/>
      <c r="G4" s="258"/>
      <c r="H4" s="259"/>
    </row>
    <row r="5" spans="1:11" ht="28.5">
      <c r="A5" s="159" t="s">
        <v>492</v>
      </c>
      <c r="B5" s="149" t="s">
        <v>493</v>
      </c>
      <c r="C5" s="144" t="s">
        <v>494</v>
      </c>
      <c r="D5" s="144" t="s">
        <v>495</v>
      </c>
      <c r="E5" s="144" t="s">
        <v>496</v>
      </c>
      <c r="F5" s="144" t="s">
        <v>497</v>
      </c>
      <c r="G5" s="144" t="s">
        <v>498</v>
      </c>
      <c r="H5" s="151" t="s">
        <v>499</v>
      </c>
      <c r="I5" s="160"/>
    </row>
    <row r="6" spans="1:11" ht="14.25">
      <c r="A6" s="161">
        <v>1</v>
      </c>
      <c r="B6" s="162" t="s">
        <v>500</v>
      </c>
      <c r="C6" s="145" t="s">
        <v>501</v>
      </c>
      <c r="D6" s="145" t="s">
        <v>502</v>
      </c>
      <c r="E6" s="155" t="s">
        <v>503</v>
      </c>
      <c r="F6" s="145" t="s">
        <v>504</v>
      </c>
      <c r="G6" s="155" t="s">
        <v>505</v>
      </c>
      <c r="H6" s="163" t="s">
        <v>506</v>
      </c>
      <c r="I6" s="160"/>
    </row>
    <row r="7" spans="1:11" ht="14.25">
      <c r="A7" s="160">
        <v>2</v>
      </c>
      <c r="B7" s="164" t="s">
        <v>507</v>
      </c>
      <c r="C7" s="145" t="s">
        <v>508</v>
      </c>
      <c r="D7" s="145" t="s">
        <v>509</v>
      </c>
      <c r="E7" s="155" t="s">
        <v>510</v>
      </c>
      <c r="F7" s="145" t="s">
        <v>511</v>
      </c>
      <c r="G7" s="155" t="s">
        <v>512</v>
      </c>
      <c r="H7" s="163" t="s">
        <v>513</v>
      </c>
      <c r="I7" s="160"/>
    </row>
    <row r="8" spans="1:11" ht="14.25">
      <c r="A8" s="160">
        <v>3</v>
      </c>
      <c r="B8" s="164" t="s">
        <v>514</v>
      </c>
      <c r="C8" s="145" t="s">
        <v>515</v>
      </c>
      <c r="D8" s="145" t="s">
        <v>516</v>
      </c>
      <c r="E8" s="155" t="s">
        <v>517</v>
      </c>
      <c r="F8" s="145" t="s">
        <v>517</v>
      </c>
      <c r="G8" s="155" t="s">
        <v>518</v>
      </c>
      <c r="H8" s="163" t="s">
        <v>519</v>
      </c>
      <c r="I8" s="160"/>
    </row>
    <row r="9" spans="1:11" ht="14.25">
      <c r="A9" s="160">
        <v>4</v>
      </c>
      <c r="B9" s="162" t="s">
        <v>520</v>
      </c>
      <c r="C9" s="145" t="s">
        <v>521</v>
      </c>
      <c r="D9" s="145" t="s">
        <v>502</v>
      </c>
      <c r="E9" s="155" t="s">
        <v>522</v>
      </c>
      <c r="F9" s="145" t="s">
        <v>522</v>
      </c>
      <c r="G9" s="146" t="s">
        <v>523</v>
      </c>
      <c r="H9" s="163" t="s">
        <v>524</v>
      </c>
      <c r="I9" s="160"/>
    </row>
    <row r="10" spans="1:11" ht="14.25">
      <c r="A10" s="160">
        <v>5</v>
      </c>
      <c r="B10" s="164" t="s">
        <v>525</v>
      </c>
      <c r="C10" s="145" t="s">
        <v>526</v>
      </c>
      <c r="D10" s="145" t="s">
        <v>509</v>
      </c>
      <c r="E10" s="155" t="s">
        <v>527</v>
      </c>
      <c r="F10" s="145" t="s">
        <v>527</v>
      </c>
      <c r="G10" s="155" t="s">
        <v>528</v>
      </c>
      <c r="H10" s="163" t="s">
        <v>529</v>
      </c>
      <c r="I10" s="160"/>
    </row>
    <row r="11" spans="1:11" ht="14.25">
      <c r="A11" s="160">
        <v>6</v>
      </c>
      <c r="B11" s="164" t="s">
        <v>530</v>
      </c>
      <c r="C11" s="145" t="s">
        <v>531</v>
      </c>
      <c r="D11" s="145" t="s">
        <v>516</v>
      </c>
      <c r="E11" s="155" t="s">
        <v>532</v>
      </c>
      <c r="F11" s="145" t="s">
        <v>532</v>
      </c>
      <c r="G11" s="155" t="s">
        <v>533</v>
      </c>
      <c r="H11" s="163" t="s">
        <v>534</v>
      </c>
      <c r="I11" s="160"/>
    </row>
    <row r="12" spans="1:11" ht="17.25" customHeight="1">
      <c r="A12" s="160">
        <v>7</v>
      </c>
      <c r="B12" s="164" t="s">
        <v>535</v>
      </c>
      <c r="C12" s="145" t="s">
        <v>536</v>
      </c>
      <c r="D12" s="145" t="s">
        <v>502</v>
      </c>
      <c r="E12" s="155" t="s">
        <v>537</v>
      </c>
      <c r="F12" s="145" t="s">
        <v>537</v>
      </c>
      <c r="G12" s="145" t="s">
        <v>538</v>
      </c>
      <c r="H12" s="163" t="s">
        <v>539</v>
      </c>
      <c r="I12" s="160"/>
    </row>
    <row r="13" spans="1:11" ht="14.25">
      <c r="A13" s="160">
        <v>8</v>
      </c>
      <c r="B13" s="164" t="s">
        <v>540</v>
      </c>
      <c r="C13" s="145" t="s">
        <v>541</v>
      </c>
      <c r="D13" s="145" t="s">
        <v>509</v>
      </c>
      <c r="E13" s="155" t="s">
        <v>542</v>
      </c>
      <c r="F13" s="145" t="s">
        <v>542</v>
      </c>
      <c r="G13" s="155" t="s">
        <v>543</v>
      </c>
      <c r="H13" s="163" t="s">
        <v>544</v>
      </c>
      <c r="I13" s="160"/>
    </row>
    <row r="14" spans="1:11" ht="14.25">
      <c r="A14" s="160">
        <v>9</v>
      </c>
      <c r="B14" s="164" t="s">
        <v>545</v>
      </c>
      <c r="C14" s="145" t="s">
        <v>546</v>
      </c>
      <c r="D14" s="145" t="s">
        <v>516</v>
      </c>
      <c r="E14" s="155" t="s">
        <v>547</v>
      </c>
      <c r="F14" s="145" t="s">
        <v>547</v>
      </c>
      <c r="G14" s="155" t="s">
        <v>548</v>
      </c>
      <c r="H14" s="163" t="s">
        <v>549</v>
      </c>
      <c r="I14" s="160"/>
    </row>
    <row r="15" spans="1:11" ht="15.75" customHeight="1">
      <c r="A15" s="160">
        <v>10</v>
      </c>
      <c r="B15" s="164" t="s">
        <v>550</v>
      </c>
      <c r="C15" s="145" t="s">
        <v>551</v>
      </c>
      <c r="D15" s="145" t="s">
        <v>516</v>
      </c>
      <c r="E15" s="155" t="s">
        <v>552</v>
      </c>
      <c r="F15" s="145" t="s">
        <v>552</v>
      </c>
      <c r="G15" s="147" t="s">
        <v>553</v>
      </c>
      <c r="H15" s="163" t="s">
        <v>554</v>
      </c>
      <c r="I15" s="160"/>
    </row>
    <row r="16" spans="1:11" ht="14.25">
      <c r="A16" s="160">
        <v>11</v>
      </c>
      <c r="B16" s="164" t="s">
        <v>555</v>
      </c>
      <c r="C16" s="145" t="s">
        <v>556</v>
      </c>
      <c r="D16" s="145" t="s">
        <v>516</v>
      </c>
      <c r="E16" s="155" t="s">
        <v>557</v>
      </c>
      <c r="F16" s="145" t="s">
        <v>557</v>
      </c>
      <c r="G16" s="155" t="s">
        <v>558</v>
      </c>
      <c r="H16" s="163" t="s">
        <v>559</v>
      </c>
      <c r="I16" s="160"/>
    </row>
    <row r="17" spans="1:9" ht="14.25">
      <c r="A17" s="165" t="s">
        <v>560</v>
      </c>
      <c r="B17" s="166" t="s">
        <v>561</v>
      </c>
      <c r="C17" s="167" t="s">
        <v>562</v>
      </c>
      <c r="D17" s="148"/>
      <c r="E17" s="148"/>
      <c r="F17" s="148"/>
      <c r="G17" s="148"/>
      <c r="H17" s="168" t="s">
        <v>563</v>
      </c>
      <c r="I17" s="160"/>
    </row>
    <row r="18" spans="1:9" ht="15.75" customHeight="1">
      <c r="A18" s="158"/>
      <c r="B18" s="169"/>
      <c r="C18" s="170"/>
      <c r="D18" s="171"/>
      <c r="E18" s="158"/>
      <c r="F18" s="158"/>
      <c r="G18" s="158"/>
      <c r="H18" s="158"/>
    </row>
    <row r="19" spans="1:9" ht="41.25" customHeight="1">
      <c r="A19" s="161" t="s">
        <v>492</v>
      </c>
      <c r="B19" s="149" t="s">
        <v>564</v>
      </c>
      <c r="C19" s="150" t="s">
        <v>494</v>
      </c>
      <c r="D19" s="144" t="s">
        <v>495</v>
      </c>
      <c r="E19" s="144" t="s">
        <v>496</v>
      </c>
      <c r="F19" s="144" t="s">
        <v>497</v>
      </c>
      <c r="G19" s="151" t="s">
        <v>498</v>
      </c>
      <c r="H19" s="160"/>
    </row>
    <row r="20" spans="1:9" ht="15.75" customHeight="1">
      <c r="A20" s="160">
        <v>1</v>
      </c>
      <c r="B20" s="152" t="s">
        <v>565</v>
      </c>
      <c r="C20" s="145" t="s">
        <v>501</v>
      </c>
      <c r="D20" s="145" t="s">
        <v>502</v>
      </c>
      <c r="E20" s="155" t="s">
        <v>566</v>
      </c>
      <c r="F20" s="155" t="s">
        <v>566</v>
      </c>
      <c r="G20" s="172" t="s">
        <v>567</v>
      </c>
      <c r="H20" s="160"/>
    </row>
    <row r="21" spans="1:9" ht="15.75" customHeight="1">
      <c r="A21" s="160">
        <v>2</v>
      </c>
      <c r="B21" s="173" t="s">
        <v>568</v>
      </c>
      <c r="C21" s="145" t="s">
        <v>508</v>
      </c>
      <c r="D21" s="155" t="s">
        <v>509</v>
      </c>
      <c r="E21" s="155" t="s">
        <v>569</v>
      </c>
      <c r="F21" s="155" t="s">
        <v>569</v>
      </c>
      <c r="G21" s="172" t="s">
        <v>570</v>
      </c>
      <c r="H21" s="160"/>
    </row>
    <row r="22" spans="1:9" ht="15.75" customHeight="1">
      <c r="A22" s="160">
        <v>3</v>
      </c>
      <c r="B22" s="152" t="s">
        <v>571</v>
      </c>
      <c r="C22" s="145" t="s">
        <v>521</v>
      </c>
      <c r="D22" s="145" t="s">
        <v>502</v>
      </c>
      <c r="E22" s="155" t="s">
        <v>572</v>
      </c>
      <c r="F22" s="155" t="s">
        <v>572</v>
      </c>
      <c r="G22" s="172" t="s">
        <v>573</v>
      </c>
      <c r="H22" s="160"/>
    </row>
    <row r="23" spans="1:9" ht="15.75" customHeight="1">
      <c r="A23" s="160">
        <v>4</v>
      </c>
      <c r="B23" s="173" t="s">
        <v>574</v>
      </c>
      <c r="C23" s="145" t="s">
        <v>526</v>
      </c>
      <c r="D23" s="155" t="s">
        <v>509</v>
      </c>
      <c r="E23" s="155" t="s">
        <v>575</v>
      </c>
      <c r="F23" s="155" t="s">
        <v>575</v>
      </c>
      <c r="G23" s="172" t="s">
        <v>576</v>
      </c>
      <c r="H23" s="160"/>
    </row>
    <row r="24" spans="1:9" ht="15.75" customHeight="1">
      <c r="A24" s="156">
        <v>5</v>
      </c>
      <c r="B24" s="173" t="s">
        <v>577</v>
      </c>
      <c r="C24" s="145" t="s">
        <v>536</v>
      </c>
      <c r="D24" s="145" t="s">
        <v>502</v>
      </c>
      <c r="E24" s="155" t="s">
        <v>578</v>
      </c>
      <c r="F24" s="155" t="s">
        <v>578</v>
      </c>
      <c r="G24" s="172" t="s">
        <v>579</v>
      </c>
      <c r="H24" s="160"/>
    </row>
    <row r="25" spans="1:9" ht="15.75" customHeight="1">
      <c r="A25" s="160">
        <v>6</v>
      </c>
      <c r="B25" s="174" t="s">
        <v>580</v>
      </c>
      <c r="C25" s="148" t="s">
        <v>541</v>
      </c>
      <c r="D25" s="175" t="s">
        <v>509</v>
      </c>
      <c r="E25" s="175" t="s">
        <v>581</v>
      </c>
      <c r="F25" s="175" t="s">
        <v>581</v>
      </c>
      <c r="G25" s="176" t="s">
        <v>582</v>
      </c>
      <c r="H25" s="160"/>
    </row>
    <row r="26" spans="1:9" ht="15.75" customHeight="1">
      <c r="A26" s="177"/>
      <c r="B26" s="158"/>
      <c r="C26" s="158"/>
      <c r="D26" s="158"/>
      <c r="E26" s="158"/>
      <c r="F26" s="158"/>
      <c r="G26" s="177"/>
      <c r="H26" s="177"/>
    </row>
    <row r="27" spans="1:9" ht="29.25" customHeight="1">
      <c r="A27" s="159" t="s">
        <v>492</v>
      </c>
      <c r="B27" s="178" t="s">
        <v>583</v>
      </c>
      <c r="C27" s="179" t="s">
        <v>584</v>
      </c>
      <c r="D27" s="179" t="s">
        <v>585</v>
      </c>
      <c r="E27" s="179" t="s">
        <v>586</v>
      </c>
      <c r="F27" s="180" t="s">
        <v>587</v>
      </c>
      <c r="G27" s="160"/>
    </row>
    <row r="28" spans="1:9" ht="15.75" customHeight="1">
      <c r="A28" s="159">
        <v>1</v>
      </c>
      <c r="B28" s="181" t="s">
        <v>588</v>
      </c>
      <c r="C28" s="153" t="s">
        <v>589</v>
      </c>
      <c r="D28" s="153" t="s">
        <v>502</v>
      </c>
      <c r="E28" s="153" t="s">
        <v>590</v>
      </c>
      <c r="F28" s="182">
        <v>41544</v>
      </c>
      <c r="G28" s="160"/>
    </row>
    <row r="29" spans="1:9" ht="15.75" customHeight="1">
      <c r="A29" s="159">
        <v>2</v>
      </c>
      <c r="B29" s="181" t="s">
        <v>591</v>
      </c>
      <c r="C29" s="153" t="s">
        <v>592</v>
      </c>
      <c r="D29" s="153" t="s">
        <v>502</v>
      </c>
      <c r="E29" s="153" t="s">
        <v>590</v>
      </c>
      <c r="F29" s="182">
        <v>41544</v>
      </c>
      <c r="G29" s="160"/>
    </row>
    <row r="30" spans="1:9" ht="15.75" customHeight="1">
      <c r="A30" s="159">
        <v>3</v>
      </c>
      <c r="B30" s="181" t="s">
        <v>593</v>
      </c>
      <c r="C30" s="153" t="s">
        <v>594</v>
      </c>
      <c r="D30" s="153" t="s">
        <v>502</v>
      </c>
      <c r="E30" s="153" t="s">
        <v>590</v>
      </c>
      <c r="F30" s="182">
        <v>41544</v>
      </c>
      <c r="G30" s="160"/>
    </row>
    <row r="31" spans="1:9" ht="15.75" customHeight="1">
      <c r="A31" s="159">
        <v>4</v>
      </c>
      <c r="B31" s="181" t="s">
        <v>595</v>
      </c>
      <c r="C31" s="153" t="s">
        <v>596</v>
      </c>
      <c r="D31" s="153" t="s">
        <v>502</v>
      </c>
      <c r="E31" s="153" t="s">
        <v>590</v>
      </c>
      <c r="F31" s="182">
        <v>41544</v>
      </c>
      <c r="G31" s="160"/>
    </row>
    <row r="32" spans="1:9" ht="15.75" customHeight="1">
      <c r="A32" s="159">
        <v>5</v>
      </c>
      <c r="B32" s="181" t="s">
        <v>597</v>
      </c>
      <c r="C32" s="153" t="s">
        <v>598</v>
      </c>
      <c r="D32" s="153" t="s">
        <v>502</v>
      </c>
      <c r="E32" s="153" t="s">
        <v>590</v>
      </c>
      <c r="F32" s="182">
        <v>41544</v>
      </c>
      <c r="G32" s="160"/>
    </row>
    <row r="33" spans="1:7" ht="15.75" customHeight="1">
      <c r="A33" s="159">
        <v>6</v>
      </c>
      <c r="B33" s="181" t="s">
        <v>599</v>
      </c>
      <c r="C33" s="153" t="s">
        <v>600</v>
      </c>
      <c r="D33" s="153" t="s">
        <v>502</v>
      </c>
      <c r="E33" s="153" t="s">
        <v>590</v>
      </c>
      <c r="F33" s="182">
        <v>41544</v>
      </c>
      <c r="G33" s="160"/>
    </row>
    <row r="34" spans="1:7" ht="15.75" customHeight="1">
      <c r="A34" s="159">
        <v>7</v>
      </c>
      <c r="B34" s="181" t="s">
        <v>601</v>
      </c>
      <c r="C34" s="153" t="s">
        <v>602</v>
      </c>
      <c r="D34" s="153" t="s">
        <v>502</v>
      </c>
      <c r="E34" s="153" t="s">
        <v>590</v>
      </c>
      <c r="F34" s="182">
        <v>41544</v>
      </c>
      <c r="G34" s="160"/>
    </row>
    <row r="35" spans="1:7" ht="15.75" customHeight="1">
      <c r="A35" s="159">
        <v>8</v>
      </c>
      <c r="B35" s="181" t="s">
        <v>603</v>
      </c>
      <c r="C35" s="153" t="s">
        <v>604</v>
      </c>
      <c r="D35" s="153" t="s">
        <v>502</v>
      </c>
      <c r="E35" s="153" t="s">
        <v>590</v>
      </c>
      <c r="F35" s="182">
        <v>41544</v>
      </c>
      <c r="G35" s="160"/>
    </row>
    <row r="36" spans="1:7" ht="15.75" customHeight="1">
      <c r="A36" s="159">
        <v>9</v>
      </c>
      <c r="B36" s="181" t="s">
        <v>605</v>
      </c>
      <c r="C36" s="153" t="s">
        <v>606</v>
      </c>
      <c r="D36" s="153" t="s">
        <v>502</v>
      </c>
      <c r="E36" s="153" t="s">
        <v>590</v>
      </c>
      <c r="F36" s="182">
        <v>41544</v>
      </c>
      <c r="G36" s="160"/>
    </row>
    <row r="37" spans="1:7" ht="15.75" customHeight="1">
      <c r="A37" s="159">
        <v>10</v>
      </c>
      <c r="B37" s="181" t="s">
        <v>607</v>
      </c>
      <c r="C37" s="153" t="s">
        <v>608</v>
      </c>
      <c r="D37" s="153" t="s">
        <v>502</v>
      </c>
      <c r="E37" s="153" t="s">
        <v>590</v>
      </c>
      <c r="F37" s="182">
        <v>41544</v>
      </c>
      <c r="G37" s="160"/>
    </row>
    <row r="38" spans="1:7" ht="15.75" customHeight="1">
      <c r="A38" s="159">
        <v>11</v>
      </c>
      <c r="B38" s="181" t="s">
        <v>609</v>
      </c>
      <c r="C38" s="153" t="s">
        <v>610</v>
      </c>
      <c r="D38" s="153" t="s">
        <v>502</v>
      </c>
      <c r="E38" s="153" t="s">
        <v>590</v>
      </c>
      <c r="F38" s="182">
        <v>41544</v>
      </c>
      <c r="G38" s="160"/>
    </row>
    <row r="39" spans="1:7" ht="15.75" customHeight="1">
      <c r="A39" s="159">
        <v>12</v>
      </c>
      <c r="B39" s="181" t="s">
        <v>611</v>
      </c>
      <c r="C39" s="153" t="s">
        <v>612</v>
      </c>
      <c r="D39" s="153" t="s">
        <v>502</v>
      </c>
      <c r="E39" s="153" t="s">
        <v>590</v>
      </c>
      <c r="F39" s="182">
        <v>41544</v>
      </c>
      <c r="G39" s="160"/>
    </row>
    <row r="40" spans="1:7" ht="15.75" customHeight="1">
      <c r="A40" s="159">
        <v>13</v>
      </c>
      <c r="B40" s="181" t="s">
        <v>613</v>
      </c>
      <c r="C40" s="153" t="s">
        <v>614</v>
      </c>
      <c r="D40" s="153" t="s">
        <v>502</v>
      </c>
      <c r="E40" s="153" t="s">
        <v>590</v>
      </c>
      <c r="F40" s="182">
        <v>41545</v>
      </c>
      <c r="G40" s="160"/>
    </row>
    <row r="41" spans="1:7" ht="15.75" customHeight="1">
      <c r="A41" s="159">
        <v>14</v>
      </c>
      <c r="B41" s="181" t="s">
        <v>615</v>
      </c>
      <c r="C41" s="153" t="s">
        <v>616</v>
      </c>
      <c r="D41" s="153" t="s">
        <v>502</v>
      </c>
      <c r="E41" s="153" t="s">
        <v>590</v>
      </c>
      <c r="F41" s="182">
        <v>41545</v>
      </c>
      <c r="G41" s="160"/>
    </row>
    <row r="42" spans="1:7" ht="15.75" customHeight="1">
      <c r="A42" s="159">
        <v>15</v>
      </c>
      <c r="B42" s="181" t="s">
        <v>617</v>
      </c>
      <c r="C42" s="153" t="s">
        <v>618</v>
      </c>
      <c r="D42" s="153" t="s">
        <v>502</v>
      </c>
      <c r="E42" s="153" t="s">
        <v>590</v>
      </c>
      <c r="F42" s="182">
        <v>41545</v>
      </c>
      <c r="G42" s="160"/>
    </row>
    <row r="43" spans="1:7" ht="15.75" customHeight="1">
      <c r="A43" s="159">
        <v>16</v>
      </c>
      <c r="B43" s="181" t="s">
        <v>619</v>
      </c>
      <c r="C43" s="153" t="s">
        <v>620</v>
      </c>
      <c r="D43" s="153" t="s">
        <v>502</v>
      </c>
      <c r="E43" s="153" t="s">
        <v>590</v>
      </c>
      <c r="F43" s="182">
        <v>41545</v>
      </c>
      <c r="G43" s="160"/>
    </row>
    <row r="44" spans="1:7" ht="15.75" customHeight="1">
      <c r="A44" s="159">
        <v>17</v>
      </c>
      <c r="B44" s="181" t="s">
        <v>621</v>
      </c>
      <c r="C44" s="153" t="s">
        <v>622</v>
      </c>
      <c r="D44" s="153" t="s">
        <v>502</v>
      </c>
      <c r="E44" s="153" t="s">
        <v>590</v>
      </c>
      <c r="F44" s="182">
        <v>41545</v>
      </c>
      <c r="G44" s="160"/>
    </row>
    <row r="45" spans="1:7" ht="15.75" customHeight="1">
      <c r="A45" s="159">
        <v>18</v>
      </c>
      <c r="B45" s="181" t="s">
        <v>623</v>
      </c>
      <c r="C45" s="153" t="s">
        <v>624</v>
      </c>
      <c r="D45" s="153" t="s">
        <v>502</v>
      </c>
      <c r="E45" s="153" t="s">
        <v>590</v>
      </c>
      <c r="F45" s="182">
        <v>41545</v>
      </c>
      <c r="G45" s="160"/>
    </row>
    <row r="46" spans="1:7" ht="15.75" customHeight="1">
      <c r="A46" s="159">
        <v>19</v>
      </c>
      <c r="B46" s="181" t="s">
        <v>625</v>
      </c>
      <c r="C46" s="153" t="s">
        <v>626</v>
      </c>
      <c r="D46" s="153" t="s">
        <v>502</v>
      </c>
      <c r="E46" s="153" t="s">
        <v>590</v>
      </c>
      <c r="F46" s="182">
        <v>41545</v>
      </c>
      <c r="G46" s="160"/>
    </row>
    <row r="47" spans="1:7" ht="15.75" customHeight="1">
      <c r="A47" s="159">
        <v>20</v>
      </c>
      <c r="B47" s="181" t="s">
        <v>627</v>
      </c>
      <c r="C47" s="153" t="s">
        <v>628</v>
      </c>
      <c r="D47" s="153" t="s">
        <v>502</v>
      </c>
      <c r="E47" s="153" t="s">
        <v>590</v>
      </c>
      <c r="F47" s="182">
        <v>41545</v>
      </c>
      <c r="G47" s="160"/>
    </row>
    <row r="48" spans="1:7" ht="15.75" customHeight="1">
      <c r="A48" s="159">
        <v>21</v>
      </c>
      <c r="B48" s="181" t="s">
        <v>629</v>
      </c>
      <c r="C48" s="153" t="s">
        <v>630</v>
      </c>
      <c r="D48" s="153" t="s">
        <v>502</v>
      </c>
      <c r="E48" s="153" t="s">
        <v>590</v>
      </c>
      <c r="F48" s="182">
        <v>41545</v>
      </c>
      <c r="G48" s="160"/>
    </row>
    <row r="49" spans="1:7" ht="15.75" customHeight="1">
      <c r="A49" s="159">
        <v>22</v>
      </c>
      <c r="B49" s="181" t="s">
        <v>631</v>
      </c>
      <c r="C49" s="153" t="s">
        <v>632</v>
      </c>
      <c r="D49" s="153" t="s">
        <v>502</v>
      </c>
      <c r="E49" s="153" t="s">
        <v>590</v>
      </c>
      <c r="F49" s="182">
        <v>41545</v>
      </c>
      <c r="G49" s="160"/>
    </row>
    <row r="50" spans="1:7" ht="15.75" customHeight="1">
      <c r="A50" s="159">
        <v>23</v>
      </c>
      <c r="B50" s="181" t="s">
        <v>633</v>
      </c>
      <c r="C50" s="153" t="s">
        <v>634</v>
      </c>
      <c r="D50" s="153" t="s">
        <v>502</v>
      </c>
      <c r="E50" s="153" t="s">
        <v>590</v>
      </c>
      <c r="F50" s="182">
        <v>41545</v>
      </c>
      <c r="G50" s="160"/>
    </row>
    <row r="51" spans="1:7" ht="15.75" customHeight="1">
      <c r="A51" s="159">
        <v>24</v>
      </c>
      <c r="B51" s="181" t="s">
        <v>635</v>
      </c>
      <c r="C51" s="153" t="s">
        <v>636</v>
      </c>
      <c r="D51" s="153" t="s">
        <v>502</v>
      </c>
      <c r="E51" s="153" t="s">
        <v>590</v>
      </c>
      <c r="F51" s="182">
        <v>41545</v>
      </c>
      <c r="G51" s="160"/>
    </row>
    <row r="52" spans="1:7" ht="15.75" customHeight="1">
      <c r="A52" s="159">
        <v>25</v>
      </c>
      <c r="B52" s="181" t="s">
        <v>637</v>
      </c>
      <c r="C52" s="153" t="s">
        <v>638</v>
      </c>
      <c r="D52" s="153" t="s">
        <v>502</v>
      </c>
      <c r="E52" s="153" t="s">
        <v>590</v>
      </c>
      <c r="F52" s="182">
        <v>41523</v>
      </c>
      <c r="G52" s="160"/>
    </row>
    <row r="53" spans="1:7" ht="15.75" customHeight="1">
      <c r="A53" s="159">
        <v>26</v>
      </c>
      <c r="B53" s="181" t="s">
        <v>639</v>
      </c>
      <c r="C53" s="153" t="s">
        <v>640</v>
      </c>
      <c r="D53" s="153" t="s">
        <v>502</v>
      </c>
      <c r="E53" s="153" t="s">
        <v>590</v>
      </c>
      <c r="F53" s="182">
        <v>41523</v>
      </c>
      <c r="G53" s="160"/>
    </row>
    <row r="54" spans="1:7" ht="15.75" customHeight="1">
      <c r="A54" s="159">
        <v>27</v>
      </c>
      <c r="B54" s="181" t="s">
        <v>641</v>
      </c>
      <c r="C54" s="153" t="s">
        <v>642</v>
      </c>
      <c r="D54" s="153" t="s">
        <v>502</v>
      </c>
      <c r="E54" s="153" t="s">
        <v>590</v>
      </c>
      <c r="F54" s="182">
        <v>41523</v>
      </c>
      <c r="G54" s="160"/>
    </row>
    <row r="55" spans="1:7" ht="15.75" customHeight="1">
      <c r="A55" s="159">
        <v>28</v>
      </c>
      <c r="B55" s="181" t="s">
        <v>643</v>
      </c>
      <c r="C55" s="153" t="s">
        <v>644</v>
      </c>
      <c r="D55" s="153" t="s">
        <v>502</v>
      </c>
      <c r="E55" s="153" t="s">
        <v>590</v>
      </c>
      <c r="F55" s="182">
        <v>41523</v>
      </c>
      <c r="G55" s="160"/>
    </row>
    <row r="56" spans="1:7" ht="15.75" customHeight="1">
      <c r="A56" s="159">
        <v>29</v>
      </c>
      <c r="B56" s="181" t="s">
        <v>645</v>
      </c>
      <c r="C56" s="153" t="s">
        <v>646</v>
      </c>
      <c r="D56" s="153" t="s">
        <v>509</v>
      </c>
      <c r="E56" s="153" t="s">
        <v>590</v>
      </c>
      <c r="F56" s="182">
        <v>41863</v>
      </c>
      <c r="G56" s="160"/>
    </row>
    <row r="57" spans="1:7" ht="15.75" customHeight="1">
      <c r="A57" s="159">
        <v>30</v>
      </c>
      <c r="B57" s="181" t="s">
        <v>647</v>
      </c>
      <c r="C57" s="153" t="s">
        <v>648</v>
      </c>
      <c r="D57" s="153" t="s">
        <v>509</v>
      </c>
      <c r="E57" s="153" t="s">
        <v>590</v>
      </c>
      <c r="F57" s="182">
        <v>41863</v>
      </c>
      <c r="G57" s="160"/>
    </row>
    <row r="58" spans="1:7" ht="15.75" customHeight="1">
      <c r="A58" s="159">
        <v>31</v>
      </c>
      <c r="B58" s="181" t="s">
        <v>649</v>
      </c>
      <c r="C58" s="153" t="s">
        <v>650</v>
      </c>
      <c r="D58" s="153" t="s">
        <v>509</v>
      </c>
      <c r="E58" s="153" t="s">
        <v>590</v>
      </c>
      <c r="F58" s="182">
        <v>41863</v>
      </c>
      <c r="G58" s="160"/>
    </row>
    <row r="59" spans="1:7" ht="15.75" customHeight="1">
      <c r="A59" s="159">
        <v>32</v>
      </c>
      <c r="B59" s="181" t="s">
        <v>651</v>
      </c>
      <c r="C59" s="153" t="s">
        <v>652</v>
      </c>
      <c r="D59" s="153" t="s">
        <v>509</v>
      </c>
      <c r="E59" s="153" t="s">
        <v>590</v>
      </c>
      <c r="F59" s="182">
        <v>41863</v>
      </c>
      <c r="G59" s="160"/>
    </row>
    <row r="60" spans="1:7" ht="15.75" customHeight="1">
      <c r="A60" s="159">
        <v>33</v>
      </c>
      <c r="B60" s="181" t="s">
        <v>653</v>
      </c>
      <c r="C60" s="153" t="s">
        <v>654</v>
      </c>
      <c r="D60" s="153" t="s">
        <v>509</v>
      </c>
      <c r="E60" s="153" t="s">
        <v>590</v>
      </c>
      <c r="F60" s="182">
        <v>41863</v>
      </c>
      <c r="G60" s="160"/>
    </row>
    <row r="61" spans="1:7" ht="15.75" customHeight="1">
      <c r="A61" s="159">
        <v>34</v>
      </c>
      <c r="B61" s="181" t="s">
        <v>655</v>
      </c>
      <c r="C61" s="153" t="s">
        <v>656</v>
      </c>
      <c r="D61" s="153" t="s">
        <v>509</v>
      </c>
      <c r="E61" s="153" t="s">
        <v>590</v>
      </c>
      <c r="F61" s="182">
        <v>41863</v>
      </c>
      <c r="G61" s="160"/>
    </row>
    <row r="62" spans="1:7" ht="15.75" customHeight="1">
      <c r="A62" s="159">
        <v>35</v>
      </c>
      <c r="B62" s="181" t="s">
        <v>657</v>
      </c>
      <c r="C62" s="153" t="s">
        <v>658</v>
      </c>
      <c r="D62" s="153" t="s">
        <v>509</v>
      </c>
      <c r="E62" s="153" t="s">
        <v>590</v>
      </c>
      <c r="F62" s="182">
        <v>41863</v>
      </c>
      <c r="G62" s="160"/>
    </row>
    <row r="63" spans="1:7" ht="15.75" customHeight="1">
      <c r="A63" s="159">
        <v>36</v>
      </c>
      <c r="B63" s="181" t="s">
        <v>659</v>
      </c>
      <c r="C63" s="153" t="s">
        <v>660</v>
      </c>
      <c r="D63" s="153" t="s">
        <v>509</v>
      </c>
      <c r="E63" s="153" t="s">
        <v>590</v>
      </c>
      <c r="F63" s="182">
        <v>41863</v>
      </c>
      <c r="G63" s="160"/>
    </row>
    <row r="64" spans="1:7" ht="15.75" customHeight="1">
      <c r="A64" s="159">
        <v>37</v>
      </c>
      <c r="B64" s="181" t="s">
        <v>661</v>
      </c>
      <c r="C64" s="153" t="s">
        <v>662</v>
      </c>
      <c r="D64" s="153" t="s">
        <v>509</v>
      </c>
      <c r="E64" s="153" t="s">
        <v>590</v>
      </c>
      <c r="F64" s="182">
        <v>41863</v>
      </c>
      <c r="G64" s="160"/>
    </row>
    <row r="65" spans="1:7" ht="15.75" customHeight="1">
      <c r="A65" s="159">
        <v>38</v>
      </c>
      <c r="B65" s="181" t="s">
        <v>663</v>
      </c>
      <c r="C65" s="153" t="s">
        <v>664</v>
      </c>
      <c r="D65" s="153" t="s">
        <v>509</v>
      </c>
      <c r="E65" s="153" t="s">
        <v>590</v>
      </c>
      <c r="F65" s="182">
        <v>41863</v>
      </c>
      <c r="G65" s="160"/>
    </row>
    <row r="66" spans="1:7" ht="15.75" customHeight="1">
      <c r="A66" s="159">
        <v>39</v>
      </c>
      <c r="B66" s="181" t="s">
        <v>665</v>
      </c>
      <c r="C66" s="153" t="s">
        <v>666</v>
      </c>
      <c r="D66" s="153" t="s">
        <v>509</v>
      </c>
      <c r="E66" s="153" t="s">
        <v>590</v>
      </c>
      <c r="F66" s="182">
        <v>41867</v>
      </c>
      <c r="G66" s="160"/>
    </row>
    <row r="67" spans="1:7" ht="15.75" customHeight="1">
      <c r="A67" s="159">
        <v>40</v>
      </c>
      <c r="B67" s="181" t="s">
        <v>667</v>
      </c>
      <c r="C67" s="153" t="s">
        <v>668</v>
      </c>
      <c r="D67" s="153" t="s">
        <v>509</v>
      </c>
      <c r="E67" s="153" t="s">
        <v>590</v>
      </c>
      <c r="F67" s="182">
        <v>41867</v>
      </c>
      <c r="G67" s="160"/>
    </row>
    <row r="68" spans="1:7" ht="15.75" customHeight="1">
      <c r="A68" s="159">
        <v>41</v>
      </c>
      <c r="B68" s="181" t="s">
        <v>669</v>
      </c>
      <c r="C68" s="153" t="s">
        <v>670</v>
      </c>
      <c r="D68" s="153" t="s">
        <v>509</v>
      </c>
      <c r="E68" s="153" t="s">
        <v>590</v>
      </c>
      <c r="F68" s="182">
        <v>41867</v>
      </c>
      <c r="G68" s="160"/>
    </row>
    <row r="69" spans="1:7" ht="15.75" customHeight="1">
      <c r="A69" s="159">
        <v>42</v>
      </c>
      <c r="B69" s="181" t="s">
        <v>671</v>
      </c>
      <c r="C69" s="153" t="s">
        <v>672</v>
      </c>
      <c r="D69" s="153" t="s">
        <v>509</v>
      </c>
      <c r="E69" s="153" t="s">
        <v>590</v>
      </c>
      <c r="F69" s="182">
        <v>41867</v>
      </c>
      <c r="G69" s="160"/>
    </row>
    <row r="70" spans="1:7" ht="15.75" customHeight="1">
      <c r="A70" s="159">
        <v>43</v>
      </c>
      <c r="B70" s="181" t="s">
        <v>673</v>
      </c>
      <c r="C70" s="153" t="s">
        <v>674</v>
      </c>
      <c r="D70" s="153" t="s">
        <v>509</v>
      </c>
      <c r="E70" s="153" t="s">
        <v>590</v>
      </c>
      <c r="F70" s="182">
        <v>41867</v>
      </c>
      <c r="G70" s="160"/>
    </row>
    <row r="71" spans="1:7" ht="15.75" customHeight="1">
      <c r="A71" s="159">
        <v>44</v>
      </c>
      <c r="B71" s="181" t="s">
        <v>675</v>
      </c>
      <c r="C71" s="153" t="s">
        <v>676</v>
      </c>
      <c r="D71" s="153" t="s">
        <v>509</v>
      </c>
      <c r="E71" s="153" t="s">
        <v>590</v>
      </c>
      <c r="F71" s="182">
        <v>41867</v>
      </c>
      <c r="G71" s="160"/>
    </row>
    <row r="72" spans="1:7" ht="15.75" customHeight="1">
      <c r="A72" s="159">
        <v>45</v>
      </c>
      <c r="B72" s="181" t="s">
        <v>677</v>
      </c>
      <c r="C72" s="153" t="s">
        <v>678</v>
      </c>
      <c r="D72" s="153" t="s">
        <v>509</v>
      </c>
      <c r="E72" s="153" t="s">
        <v>590</v>
      </c>
      <c r="F72" s="182">
        <v>41867</v>
      </c>
      <c r="G72" s="160"/>
    </row>
    <row r="73" spans="1:7" ht="15.75" customHeight="1">
      <c r="A73" s="159">
        <v>46</v>
      </c>
      <c r="B73" s="181" t="s">
        <v>679</v>
      </c>
      <c r="C73" s="153" t="s">
        <v>680</v>
      </c>
      <c r="D73" s="153" t="s">
        <v>509</v>
      </c>
      <c r="E73" s="153" t="s">
        <v>590</v>
      </c>
      <c r="F73" s="182">
        <v>41867</v>
      </c>
      <c r="G73" s="160"/>
    </row>
    <row r="74" spans="1:7" ht="15.75" customHeight="1">
      <c r="A74" s="159">
        <v>47</v>
      </c>
      <c r="B74" s="181" t="s">
        <v>681</v>
      </c>
      <c r="C74" s="153" t="s">
        <v>682</v>
      </c>
      <c r="D74" s="153" t="s">
        <v>509</v>
      </c>
      <c r="E74" s="153" t="s">
        <v>590</v>
      </c>
      <c r="F74" s="182">
        <v>41867</v>
      </c>
      <c r="G74" s="160"/>
    </row>
    <row r="75" spans="1:7" ht="15.75" customHeight="1">
      <c r="A75" s="159">
        <v>48</v>
      </c>
      <c r="B75" s="181" t="s">
        <v>683</v>
      </c>
      <c r="C75" s="153" t="s">
        <v>684</v>
      </c>
      <c r="D75" s="153" t="s">
        <v>509</v>
      </c>
      <c r="E75" s="153" t="s">
        <v>590</v>
      </c>
      <c r="F75" s="182">
        <v>41867</v>
      </c>
      <c r="G75" s="160"/>
    </row>
    <row r="76" spans="1:7" ht="15.75" customHeight="1">
      <c r="A76" s="159">
        <v>49</v>
      </c>
      <c r="B76" s="181" t="s">
        <v>685</v>
      </c>
      <c r="C76" s="153" t="s">
        <v>686</v>
      </c>
      <c r="D76" s="153" t="s">
        <v>509</v>
      </c>
      <c r="E76" s="153" t="s">
        <v>590</v>
      </c>
      <c r="F76" s="182">
        <v>41867</v>
      </c>
      <c r="G76" s="160"/>
    </row>
    <row r="77" spans="1:7" ht="15.75" customHeight="1">
      <c r="A77" s="159">
        <v>50</v>
      </c>
      <c r="B77" s="181" t="s">
        <v>687</v>
      </c>
      <c r="C77" s="153" t="s">
        <v>688</v>
      </c>
      <c r="D77" s="153" t="s">
        <v>509</v>
      </c>
      <c r="E77" s="153" t="s">
        <v>590</v>
      </c>
      <c r="F77" s="182">
        <v>41867</v>
      </c>
      <c r="G77" s="160"/>
    </row>
    <row r="78" spans="1:7" ht="15.75" customHeight="1">
      <c r="A78" s="159">
        <v>51</v>
      </c>
      <c r="B78" s="181" t="s">
        <v>689</v>
      </c>
      <c r="C78" s="153" t="s">
        <v>690</v>
      </c>
      <c r="D78" s="153" t="s">
        <v>509</v>
      </c>
      <c r="E78" s="153" t="s">
        <v>590</v>
      </c>
      <c r="F78" s="182">
        <v>41867</v>
      </c>
      <c r="G78" s="160"/>
    </row>
    <row r="79" spans="1:7" ht="15.75" customHeight="1">
      <c r="A79" s="159">
        <v>52</v>
      </c>
      <c r="B79" s="181" t="s">
        <v>691</v>
      </c>
      <c r="C79" s="153" t="s">
        <v>692</v>
      </c>
      <c r="D79" s="153" t="s">
        <v>509</v>
      </c>
      <c r="E79" s="153" t="s">
        <v>590</v>
      </c>
      <c r="F79" s="182">
        <v>41867</v>
      </c>
      <c r="G79" s="160"/>
    </row>
    <row r="80" spans="1:7" ht="15.75" customHeight="1">
      <c r="A80" s="159">
        <v>53</v>
      </c>
      <c r="B80" s="181" t="s">
        <v>693</v>
      </c>
      <c r="C80" s="153" t="s">
        <v>694</v>
      </c>
      <c r="D80" s="153" t="s">
        <v>509</v>
      </c>
      <c r="E80" s="153" t="s">
        <v>590</v>
      </c>
      <c r="F80" s="182">
        <v>41867</v>
      </c>
      <c r="G80" s="160"/>
    </row>
    <row r="81" spans="1:7" ht="15.75" customHeight="1">
      <c r="A81" s="159">
        <v>54</v>
      </c>
      <c r="B81" s="181" t="s">
        <v>695</v>
      </c>
      <c r="C81" s="153" t="s">
        <v>696</v>
      </c>
      <c r="D81" s="153" t="s">
        <v>509</v>
      </c>
      <c r="E81" s="153" t="s">
        <v>590</v>
      </c>
      <c r="F81" s="182">
        <v>41867</v>
      </c>
      <c r="G81" s="160"/>
    </row>
    <row r="82" spans="1:7" ht="15.75" customHeight="1">
      <c r="A82" s="159">
        <v>55</v>
      </c>
      <c r="B82" s="181" t="s">
        <v>697</v>
      </c>
      <c r="C82" s="153" t="s">
        <v>698</v>
      </c>
      <c r="D82" s="153" t="s">
        <v>509</v>
      </c>
      <c r="E82" s="153" t="s">
        <v>590</v>
      </c>
      <c r="F82" s="182">
        <v>41867</v>
      </c>
      <c r="G82" s="160"/>
    </row>
    <row r="83" spans="1:7" ht="15.75" customHeight="1">
      <c r="A83" s="159">
        <v>56</v>
      </c>
      <c r="B83" s="181" t="s">
        <v>699</v>
      </c>
      <c r="C83" s="153" t="s">
        <v>700</v>
      </c>
      <c r="D83" s="153" t="s">
        <v>509</v>
      </c>
      <c r="E83" s="153" t="s">
        <v>590</v>
      </c>
      <c r="F83" s="182">
        <v>41867</v>
      </c>
      <c r="G83" s="160"/>
    </row>
    <row r="84" spans="1:7" ht="15.75" customHeight="1">
      <c r="A84" s="159">
        <v>57</v>
      </c>
      <c r="B84" s="181" t="s">
        <v>701</v>
      </c>
      <c r="C84" s="153" t="s">
        <v>702</v>
      </c>
      <c r="D84" s="153" t="s">
        <v>509</v>
      </c>
      <c r="E84" s="153" t="s">
        <v>590</v>
      </c>
      <c r="F84" s="182">
        <v>41867</v>
      </c>
      <c r="G84" s="160"/>
    </row>
    <row r="85" spans="1:7" ht="15.75" customHeight="1">
      <c r="A85" s="159">
        <v>58</v>
      </c>
      <c r="B85" s="181" t="s">
        <v>703</v>
      </c>
      <c r="C85" s="153" t="s">
        <v>704</v>
      </c>
      <c r="D85" s="153" t="s">
        <v>509</v>
      </c>
      <c r="E85" s="153" t="s">
        <v>590</v>
      </c>
      <c r="F85" s="182">
        <v>41867</v>
      </c>
      <c r="G85" s="160"/>
    </row>
    <row r="86" spans="1:7" ht="15.75" customHeight="1">
      <c r="A86" s="159">
        <v>59</v>
      </c>
      <c r="B86" s="181" t="s">
        <v>705</v>
      </c>
      <c r="C86" s="153" t="s">
        <v>706</v>
      </c>
      <c r="D86" s="153" t="s">
        <v>509</v>
      </c>
      <c r="E86" s="153" t="s">
        <v>590</v>
      </c>
      <c r="F86" s="182">
        <v>41866</v>
      </c>
      <c r="G86" s="160"/>
    </row>
    <row r="87" spans="1:7" ht="15.75" customHeight="1">
      <c r="A87" s="159">
        <v>60</v>
      </c>
      <c r="B87" s="181" t="s">
        <v>707</v>
      </c>
      <c r="C87" s="153" t="s">
        <v>708</v>
      </c>
      <c r="D87" s="153" t="s">
        <v>509</v>
      </c>
      <c r="E87" s="153" t="s">
        <v>590</v>
      </c>
      <c r="F87" s="182">
        <v>41866</v>
      </c>
      <c r="G87" s="160"/>
    </row>
    <row r="88" spans="1:7" ht="15.75" customHeight="1">
      <c r="A88" s="159">
        <v>61</v>
      </c>
      <c r="B88" s="181" t="s">
        <v>709</v>
      </c>
      <c r="C88" s="153" t="s">
        <v>710</v>
      </c>
      <c r="D88" s="153" t="s">
        <v>509</v>
      </c>
      <c r="E88" s="153" t="s">
        <v>590</v>
      </c>
      <c r="F88" s="182">
        <v>41866</v>
      </c>
      <c r="G88" s="160"/>
    </row>
    <row r="89" spans="1:7" ht="15.75" customHeight="1">
      <c r="A89" s="159">
        <v>62</v>
      </c>
      <c r="B89" s="181" t="s">
        <v>711</v>
      </c>
      <c r="C89" s="153" t="s">
        <v>712</v>
      </c>
      <c r="D89" s="153" t="s">
        <v>509</v>
      </c>
      <c r="E89" s="153" t="s">
        <v>590</v>
      </c>
      <c r="F89" s="182">
        <v>41866</v>
      </c>
      <c r="G89" s="160"/>
    </row>
    <row r="90" spans="1:7" ht="15.75" customHeight="1">
      <c r="A90" s="159">
        <v>63</v>
      </c>
      <c r="B90" s="181" t="s">
        <v>713</v>
      </c>
      <c r="C90" s="153" t="s">
        <v>714</v>
      </c>
      <c r="D90" s="153" t="s">
        <v>509</v>
      </c>
      <c r="E90" s="153" t="s">
        <v>590</v>
      </c>
      <c r="F90" s="182">
        <v>41866</v>
      </c>
      <c r="G90" s="160"/>
    </row>
    <row r="91" spans="1:7" ht="15.75" customHeight="1">
      <c r="A91" s="159">
        <v>64</v>
      </c>
      <c r="B91" s="181" t="s">
        <v>715</v>
      </c>
      <c r="C91" s="153" t="s">
        <v>716</v>
      </c>
      <c r="D91" s="153" t="s">
        <v>509</v>
      </c>
      <c r="E91" s="153" t="s">
        <v>590</v>
      </c>
      <c r="F91" s="182">
        <v>41866</v>
      </c>
      <c r="G91" s="160"/>
    </row>
    <row r="92" spans="1:7" ht="15.75" customHeight="1">
      <c r="A92" s="159">
        <v>65</v>
      </c>
      <c r="B92" s="181" t="s">
        <v>717</v>
      </c>
      <c r="C92" s="153" t="s">
        <v>718</v>
      </c>
      <c r="D92" s="153" t="s">
        <v>509</v>
      </c>
      <c r="E92" s="153" t="s">
        <v>590</v>
      </c>
      <c r="F92" s="182">
        <v>41866</v>
      </c>
      <c r="G92" s="160"/>
    </row>
    <row r="93" spans="1:7" ht="15.75" customHeight="1">
      <c r="A93" s="159">
        <v>66</v>
      </c>
      <c r="B93" s="181" t="s">
        <v>719</v>
      </c>
      <c r="C93" s="153" t="s">
        <v>720</v>
      </c>
      <c r="D93" s="153" t="s">
        <v>509</v>
      </c>
      <c r="E93" s="153" t="s">
        <v>590</v>
      </c>
      <c r="F93" s="182">
        <v>41866</v>
      </c>
      <c r="G93" s="160"/>
    </row>
    <row r="94" spans="1:7" ht="15.75" customHeight="1">
      <c r="A94" s="159">
        <v>67</v>
      </c>
      <c r="B94" s="181" t="s">
        <v>721</v>
      </c>
      <c r="C94" s="153" t="s">
        <v>722</v>
      </c>
      <c r="D94" s="153" t="s">
        <v>509</v>
      </c>
      <c r="E94" s="153" t="s">
        <v>590</v>
      </c>
      <c r="F94" s="182">
        <v>41866</v>
      </c>
      <c r="G94" s="160"/>
    </row>
    <row r="95" spans="1:7" ht="15.75" customHeight="1">
      <c r="A95" s="159">
        <v>68</v>
      </c>
      <c r="B95" s="181" t="s">
        <v>723</v>
      </c>
      <c r="C95" s="153" t="s">
        <v>724</v>
      </c>
      <c r="D95" s="153" t="s">
        <v>509</v>
      </c>
      <c r="E95" s="153" t="s">
        <v>590</v>
      </c>
      <c r="F95" s="182">
        <v>41866</v>
      </c>
      <c r="G95" s="160"/>
    </row>
    <row r="96" spans="1:7" ht="15.75" customHeight="1">
      <c r="A96" s="159">
        <v>69</v>
      </c>
      <c r="B96" s="181" t="s">
        <v>725</v>
      </c>
      <c r="C96" s="153" t="s">
        <v>726</v>
      </c>
      <c r="D96" s="153" t="s">
        <v>509</v>
      </c>
      <c r="E96" s="153" t="s">
        <v>590</v>
      </c>
      <c r="F96" s="182">
        <v>41866</v>
      </c>
      <c r="G96" s="160"/>
    </row>
    <row r="97" spans="1:14" ht="15.75" customHeight="1">
      <c r="A97" s="159">
        <v>70</v>
      </c>
      <c r="B97" s="181" t="s">
        <v>727</v>
      </c>
      <c r="C97" s="153" t="s">
        <v>728</v>
      </c>
      <c r="D97" s="153" t="s">
        <v>509</v>
      </c>
      <c r="E97" s="153" t="s">
        <v>590</v>
      </c>
      <c r="F97" s="182">
        <v>41866</v>
      </c>
      <c r="G97" s="160"/>
    </row>
    <row r="98" spans="1:14" ht="15.75" customHeight="1">
      <c r="A98" s="159">
        <v>71</v>
      </c>
      <c r="B98" s="181" t="s">
        <v>729</v>
      </c>
      <c r="C98" s="153" t="s">
        <v>730</v>
      </c>
      <c r="D98" s="153" t="s">
        <v>509</v>
      </c>
      <c r="E98" s="153" t="s">
        <v>590</v>
      </c>
      <c r="F98" s="182">
        <v>41866</v>
      </c>
      <c r="G98" s="160"/>
    </row>
    <row r="99" spans="1:14" ht="15.75" customHeight="1">
      <c r="A99" s="159">
        <v>72</v>
      </c>
      <c r="B99" s="181" t="s">
        <v>731</v>
      </c>
      <c r="C99" s="153" t="s">
        <v>732</v>
      </c>
      <c r="D99" s="153" t="s">
        <v>509</v>
      </c>
      <c r="E99" s="153" t="s">
        <v>590</v>
      </c>
      <c r="F99" s="182">
        <v>41866</v>
      </c>
      <c r="G99" s="160"/>
    </row>
    <row r="100" spans="1:14" ht="15.75" customHeight="1">
      <c r="A100" s="159">
        <v>73</v>
      </c>
      <c r="B100" s="181" t="s">
        <v>733</v>
      </c>
      <c r="C100" s="153" t="s">
        <v>734</v>
      </c>
      <c r="D100" s="153" t="s">
        <v>509</v>
      </c>
      <c r="E100" s="153" t="s">
        <v>590</v>
      </c>
      <c r="F100" s="182">
        <v>41866</v>
      </c>
      <c r="G100" s="160"/>
    </row>
    <row r="101" spans="1:14" ht="15.75" customHeight="1">
      <c r="A101" s="159">
        <v>74</v>
      </c>
      <c r="B101" s="181" t="s">
        <v>735</v>
      </c>
      <c r="C101" s="153" t="s">
        <v>736</v>
      </c>
      <c r="D101" s="153" t="s">
        <v>509</v>
      </c>
      <c r="E101" s="153" t="s">
        <v>590</v>
      </c>
      <c r="F101" s="182">
        <v>41866</v>
      </c>
      <c r="G101" s="160"/>
    </row>
    <row r="102" spans="1:14" ht="15.75" customHeight="1">
      <c r="A102" s="159">
        <v>75</v>
      </c>
      <c r="B102" s="181" t="s">
        <v>737</v>
      </c>
      <c r="C102" s="153" t="s">
        <v>738</v>
      </c>
      <c r="D102" s="153" t="s">
        <v>509</v>
      </c>
      <c r="E102" s="153" t="s">
        <v>590</v>
      </c>
      <c r="F102" s="182">
        <v>41866</v>
      </c>
      <c r="G102" s="160"/>
    </row>
    <row r="103" spans="1:14" ht="15.75" customHeight="1">
      <c r="A103" s="159">
        <v>76</v>
      </c>
      <c r="B103" s="181" t="s">
        <v>739</v>
      </c>
      <c r="C103" s="153" t="s">
        <v>740</v>
      </c>
      <c r="D103" s="153" t="s">
        <v>509</v>
      </c>
      <c r="E103" s="153" t="s">
        <v>590</v>
      </c>
      <c r="F103" s="182">
        <v>41866</v>
      </c>
      <c r="G103" s="160"/>
    </row>
    <row r="104" spans="1:14" ht="15.75" customHeight="1">
      <c r="A104" s="159">
        <v>77</v>
      </c>
      <c r="B104" s="181" t="s">
        <v>741</v>
      </c>
      <c r="C104" s="153" t="s">
        <v>742</v>
      </c>
      <c r="D104" s="153" t="s">
        <v>509</v>
      </c>
      <c r="E104" s="153" t="s">
        <v>590</v>
      </c>
      <c r="F104" s="182">
        <v>41866</v>
      </c>
      <c r="G104" s="160"/>
    </row>
    <row r="105" spans="1:14" ht="15.75" customHeight="1">
      <c r="A105" s="159">
        <v>78</v>
      </c>
      <c r="B105" s="183" t="s">
        <v>743</v>
      </c>
      <c r="C105" s="184" t="s">
        <v>744</v>
      </c>
      <c r="D105" s="184" t="s">
        <v>509</v>
      </c>
      <c r="E105" s="153" t="s">
        <v>590</v>
      </c>
      <c r="F105" s="185">
        <v>41866</v>
      </c>
      <c r="G105" s="160"/>
    </row>
    <row r="106" spans="1:14" ht="15.75" customHeight="1">
      <c r="B106" s="177"/>
      <c r="C106" s="177"/>
      <c r="D106" s="177"/>
      <c r="E106" s="177"/>
      <c r="F106" s="177"/>
    </row>
    <row r="107" spans="1:14" ht="15.75" customHeight="1">
      <c r="A107" s="186"/>
      <c r="B107" s="154"/>
      <c r="C107" s="154"/>
      <c r="D107" s="154"/>
      <c r="E107" s="154"/>
      <c r="F107" s="154"/>
      <c r="G107" s="154"/>
      <c r="H107" s="154"/>
      <c r="I107" s="154"/>
      <c r="J107" s="154"/>
      <c r="K107" s="154"/>
      <c r="L107" s="154"/>
      <c r="M107" s="154"/>
      <c r="N107" s="154"/>
    </row>
    <row r="108" spans="1:14" s="157" customFormat="1" ht="15.75" customHeight="1">
      <c r="A108" s="186"/>
      <c r="B108" s="154"/>
      <c r="C108" s="154"/>
      <c r="D108" s="154"/>
      <c r="E108" s="154"/>
      <c r="F108" s="154"/>
      <c r="G108" s="154"/>
      <c r="H108" s="154"/>
      <c r="I108" s="154"/>
      <c r="J108" s="154"/>
      <c r="K108" s="154"/>
      <c r="L108" s="154"/>
      <c r="M108" s="154"/>
      <c r="N108" s="154"/>
    </row>
    <row r="109" spans="1:14" s="186" customFormat="1" ht="15.75" customHeight="1">
      <c r="B109" s="154"/>
      <c r="C109" s="154"/>
      <c r="D109" s="154"/>
      <c r="E109" s="154"/>
      <c r="F109" s="154"/>
      <c r="G109" s="154"/>
      <c r="H109" s="154"/>
      <c r="I109" s="154"/>
      <c r="J109" s="154"/>
      <c r="K109" s="154"/>
      <c r="L109" s="154"/>
      <c r="M109" s="154"/>
      <c r="N109" s="154"/>
    </row>
    <row r="110" spans="1:14" s="186" customFormat="1" ht="15.75" customHeight="1">
      <c r="B110" s="154"/>
      <c r="C110" s="154"/>
      <c r="D110" s="154"/>
      <c r="E110" s="154"/>
      <c r="F110" s="154"/>
      <c r="G110" s="154"/>
      <c r="H110" s="154"/>
      <c r="I110" s="154"/>
      <c r="J110" s="154"/>
      <c r="K110" s="154"/>
      <c r="L110" s="154"/>
      <c r="M110" s="154"/>
      <c r="N110" s="154"/>
    </row>
    <row r="111" spans="1:14" s="186" customFormat="1" ht="15.75" customHeight="1">
      <c r="B111" s="154"/>
      <c r="C111" s="154"/>
      <c r="D111" s="154"/>
      <c r="E111" s="154"/>
      <c r="F111" s="154"/>
      <c r="G111" s="154"/>
      <c r="H111" s="154"/>
      <c r="I111" s="154"/>
      <c r="J111" s="154"/>
      <c r="K111" s="154"/>
      <c r="L111" s="154"/>
      <c r="M111" s="154"/>
      <c r="N111" s="154"/>
    </row>
    <row r="112" spans="1:14" s="186" customFormat="1" ht="15.75" customHeight="1">
      <c r="B112" s="154"/>
      <c r="C112" s="154"/>
      <c r="D112" s="154"/>
      <c r="E112" s="154"/>
      <c r="F112" s="154"/>
      <c r="G112" s="154"/>
      <c r="H112" s="154"/>
      <c r="I112" s="154"/>
      <c r="J112" s="154"/>
      <c r="K112" s="154"/>
      <c r="L112" s="154"/>
      <c r="M112" s="154"/>
      <c r="N112" s="154"/>
    </row>
    <row r="113" s="186" customFormat="1" ht="15.75" customHeight="1"/>
    <row r="114" s="186" customFormat="1" ht="15.75" customHeight="1"/>
    <row r="115" s="186" customFormat="1" ht="15.75" customHeight="1"/>
    <row r="116" s="186" customFormat="1" ht="15.75" customHeight="1"/>
    <row r="117" s="186" customFormat="1" ht="15.75" customHeight="1"/>
    <row r="118" s="186" customFormat="1" ht="15.75" customHeight="1"/>
    <row r="119" s="186" customFormat="1" ht="15.75" customHeight="1"/>
    <row r="120" s="186" customFormat="1" ht="15.75" customHeight="1"/>
    <row r="121" s="186" customFormat="1" ht="15.75" customHeight="1"/>
    <row r="122" s="186" customFormat="1" ht="15.75" customHeight="1"/>
    <row r="123" s="186" customFormat="1" ht="15.75" customHeight="1"/>
    <row r="124" s="186" customFormat="1" ht="15.75" customHeight="1"/>
    <row r="125" s="186" customFormat="1" ht="15.75" customHeight="1"/>
    <row r="126" s="186" customFormat="1" ht="15.75" customHeight="1"/>
    <row r="127" s="186" customFormat="1" ht="15.75" customHeight="1"/>
    <row r="128" s="186" customFormat="1" ht="15.75" customHeight="1"/>
    <row r="129" s="186" customFormat="1" ht="15.75" customHeight="1"/>
    <row r="130" s="186" customFormat="1" ht="15.75" customHeight="1"/>
    <row r="131" s="186" customFormat="1" ht="15.75" customHeight="1"/>
    <row r="132" s="186" customFormat="1" ht="15.75" customHeight="1"/>
    <row r="133" s="186" customFormat="1" ht="15.75" customHeight="1"/>
    <row r="134" s="186" customFormat="1" ht="15.75" customHeight="1"/>
    <row r="135" s="186" customFormat="1" ht="15.75" customHeight="1"/>
    <row r="136" s="186" customFormat="1" ht="15.75" customHeight="1"/>
    <row r="137" s="186" customFormat="1" ht="15.75" customHeight="1"/>
    <row r="138" s="186" customFormat="1" ht="15.75" customHeight="1"/>
    <row r="139" s="186" customFormat="1" ht="15.75" customHeight="1"/>
    <row r="140" s="186" customFormat="1" ht="15.75" customHeight="1"/>
    <row r="141" s="186" customFormat="1" ht="15.75" customHeight="1"/>
    <row r="142" s="186" customFormat="1" ht="15.75" customHeight="1"/>
    <row r="143" s="186" customFormat="1" ht="15.75" customHeight="1"/>
    <row r="144" s="186" customFormat="1" ht="15.75" customHeight="1"/>
    <row r="145" s="186" customFormat="1" ht="15.75" customHeight="1"/>
    <row r="146" s="186" customFormat="1" ht="15.75" customHeight="1"/>
    <row r="147" s="186" customFormat="1" ht="15.75" customHeight="1"/>
    <row r="148" s="186" customFormat="1" ht="15.75" customHeight="1"/>
    <row r="149" s="186" customFormat="1" ht="15.75" customHeight="1"/>
    <row r="150" s="186" customFormat="1" ht="15.75" customHeight="1"/>
    <row r="151" s="186" customFormat="1" ht="15.75" customHeight="1"/>
    <row r="152" s="186" customFormat="1" ht="15.75" customHeight="1"/>
    <row r="153" s="186" customFormat="1" ht="15.75" customHeight="1"/>
    <row r="154" s="186" customFormat="1" ht="15.75" customHeight="1"/>
    <row r="155" s="186" customFormat="1" ht="15.75" customHeight="1"/>
    <row r="156" s="186" customFormat="1" ht="15.75" customHeight="1"/>
    <row r="157" s="186" customFormat="1" ht="15.75" customHeight="1"/>
    <row r="158" s="186" customFormat="1" ht="15.75" customHeight="1"/>
    <row r="159" s="186" customFormat="1" ht="15.75" customHeight="1"/>
    <row r="160" s="186" customFormat="1" ht="15.75" customHeight="1"/>
    <row r="161" s="186" customFormat="1" ht="15.75" customHeight="1"/>
    <row r="162" s="186" customFormat="1" ht="15.75" customHeight="1"/>
    <row r="163" s="186" customFormat="1" ht="15.75" customHeight="1"/>
    <row r="164" s="186" customFormat="1" ht="15.75" customHeight="1"/>
    <row r="165" s="186" customFormat="1" ht="15.75" customHeight="1"/>
    <row r="166" s="186" customFormat="1" ht="15.75" customHeight="1"/>
    <row r="167" s="186" customFormat="1" ht="15.75" customHeight="1"/>
    <row r="168" s="186" customFormat="1" ht="15.75" customHeight="1"/>
    <row r="169" s="186" customFormat="1" ht="15.75" customHeight="1"/>
    <row r="170" s="186" customFormat="1" ht="15.75" customHeight="1"/>
    <row r="171" s="186" customFormat="1" ht="15.75" customHeight="1"/>
    <row r="172" s="186" customFormat="1" ht="15.75" customHeight="1"/>
    <row r="173" s="186" customFormat="1" ht="15.75" customHeight="1"/>
    <row r="174" s="186" customFormat="1" ht="15.75" customHeight="1"/>
    <row r="175" s="186" customFormat="1" ht="15.75" customHeight="1"/>
    <row r="176" s="186" customFormat="1" ht="15.75" customHeight="1"/>
    <row r="177" s="186" customFormat="1" ht="15.75" customHeight="1"/>
    <row r="178" s="177" customFormat="1" ht="15.75" customHeight="1"/>
  </sheetData>
  <mergeCells count="2">
    <mergeCell ref="B4:H4"/>
    <mergeCell ref="A1:D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1144-624A-8948-A9F0-9A2892CE4F90}">
  <dimension ref="A1:M72"/>
  <sheetViews>
    <sheetView workbookViewId="0">
      <selection sqref="A1:D3"/>
    </sheetView>
  </sheetViews>
  <sheetFormatPr defaultColWidth="11" defaultRowHeight="15"/>
  <cols>
    <col min="1" max="1" width="27.875" style="112" customWidth="1"/>
    <col min="2" max="6" width="21.125" style="112" customWidth="1"/>
    <col min="7" max="16384" width="11" style="112"/>
  </cols>
  <sheetData>
    <row r="1" spans="1:6">
      <c r="A1" s="269" t="s">
        <v>745</v>
      </c>
      <c r="B1" s="270"/>
      <c r="C1" s="270"/>
      <c r="D1" s="271"/>
    </row>
    <row r="2" spans="1:6">
      <c r="A2" s="272"/>
      <c r="B2" s="273"/>
      <c r="C2" s="273"/>
      <c r="D2" s="274"/>
    </row>
    <row r="3" spans="1:6">
      <c r="A3" s="275"/>
      <c r="B3" s="276"/>
      <c r="C3" s="276"/>
      <c r="D3" s="277"/>
    </row>
    <row r="4" spans="1:6" ht="15.75">
      <c r="A4" s="187"/>
    </row>
    <row r="5" spans="1:6" ht="23.25">
      <c r="A5" s="188" t="s">
        <v>746</v>
      </c>
      <c r="B5" s="188" t="s">
        <v>747</v>
      </c>
      <c r="C5" s="188" t="s">
        <v>748</v>
      </c>
      <c r="D5" s="188" t="s">
        <v>749</v>
      </c>
      <c r="E5" s="188" t="s">
        <v>750</v>
      </c>
      <c r="F5" s="188" t="s">
        <v>751</v>
      </c>
    </row>
    <row r="6" spans="1:6">
      <c r="A6" s="189" t="s">
        <v>752</v>
      </c>
      <c r="B6" s="189">
        <v>33984400</v>
      </c>
      <c r="C6" s="189">
        <v>22783020</v>
      </c>
      <c r="D6" s="189">
        <v>0.4</v>
      </c>
      <c r="E6" s="190">
        <v>40.130000000000003</v>
      </c>
      <c r="F6" s="189">
        <v>56767420</v>
      </c>
    </row>
    <row r="7" spans="1:6" ht="23.25">
      <c r="A7" s="189" t="s">
        <v>753</v>
      </c>
      <c r="B7" s="189">
        <v>3754504</v>
      </c>
      <c r="C7" s="189">
        <v>102921196</v>
      </c>
      <c r="D7" s="189">
        <v>0.96</v>
      </c>
      <c r="E7" s="190">
        <v>96.48</v>
      </c>
      <c r="F7" s="189">
        <v>106675700</v>
      </c>
    </row>
    <row r="8" spans="1:6" ht="23.25">
      <c r="A8" s="189" t="s">
        <v>754</v>
      </c>
      <c r="B8" s="189">
        <v>5652444</v>
      </c>
      <c r="C8" s="189">
        <v>175243452</v>
      </c>
      <c r="D8" s="189">
        <v>0.97</v>
      </c>
      <c r="E8" s="190">
        <v>96.88</v>
      </c>
      <c r="F8" s="189">
        <v>180895896</v>
      </c>
    </row>
    <row r="9" spans="1:6" ht="23.25">
      <c r="A9" s="189" t="s">
        <v>755</v>
      </c>
      <c r="B9" s="189">
        <v>4565212</v>
      </c>
      <c r="C9" s="189">
        <v>19053228</v>
      </c>
      <c r="D9" s="189">
        <v>0.81</v>
      </c>
      <c r="E9" s="190">
        <v>80.67</v>
      </c>
      <c r="F9" s="189">
        <v>23618440</v>
      </c>
    </row>
    <row r="10" spans="1:6" ht="23.25">
      <c r="A10" s="189" t="s">
        <v>756</v>
      </c>
      <c r="B10" s="189">
        <v>1958104</v>
      </c>
      <c r="C10" s="189">
        <v>129437800</v>
      </c>
      <c r="D10" s="189">
        <v>0.99</v>
      </c>
      <c r="E10" s="190">
        <v>98.51</v>
      </c>
      <c r="F10" s="189">
        <v>131395904</v>
      </c>
    </row>
    <row r="11" spans="1:6" ht="23.25">
      <c r="A11" s="189" t="s">
        <v>757</v>
      </c>
      <c r="B11" s="189">
        <v>1672520</v>
      </c>
      <c r="C11" s="189">
        <v>99393248</v>
      </c>
      <c r="D11" s="189">
        <v>0.98</v>
      </c>
      <c r="E11" s="190">
        <v>98.35</v>
      </c>
      <c r="F11" s="189">
        <v>101065768</v>
      </c>
    </row>
    <row r="12" spans="1:6">
      <c r="A12" s="189" t="s">
        <v>758</v>
      </c>
      <c r="B12" s="189">
        <v>115086108</v>
      </c>
      <c r="C12" s="189">
        <v>9455736</v>
      </c>
      <c r="D12" s="189">
        <v>0.08</v>
      </c>
      <c r="E12" s="190">
        <v>7.59</v>
      </c>
      <c r="F12" s="189">
        <v>124541844</v>
      </c>
    </row>
    <row r="13" spans="1:6" ht="23.25">
      <c r="A13" s="189" t="s">
        <v>759</v>
      </c>
      <c r="B13" s="189">
        <v>3840928</v>
      </c>
      <c r="C13" s="189">
        <v>110117248</v>
      </c>
      <c r="D13" s="189">
        <v>0.97</v>
      </c>
      <c r="E13" s="190">
        <v>96.63</v>
      </c>
      <c r="F13" s="189">
        <v>113958176</v>
      </c>
    </row>
    <row r="14" spans="1:6" ht="23.25">
      <c r="A14" s="189" t="s">
        <v>760</v>
      </c>
      <c r="B14" s="189">
        <v>1786232</v>
      </c>
      <c r="C14" s="189">
        <v>89860192</v>
      </c>
      <c r="D14" s="189">
        <v>0.98</v>
      </c>
      <c r="E14" s="190">
        <v>98.05</v>
      </c>
      <c r="F14" s="189">
        <v>91646424</v>
      </c>
    </row>
    <row r="15" spans="1:6" ht="23.25">
      <c r="A15" s="189" t="s">
        <v>761</v>
      </c>
      <c r="B15" s="189">
        <v>2514912</v>
      </c>
      <c r="C15" s="189">
        <v>58780420</v>
      </c>
      <c r="D15" s="189">
        <v>0.96</v>
      </c>
      <c r="E15" s="190">
        <v>95.9</v>
      </c>
      <c r="F15" s="189">
        <v>61295332</v>
      </c>
    </row>
    <row r="16" spans="1:6" ht="23.25">
      <c r="A16" s="189" t="s">
        <v>762</v>
      </c>
      <c r="B16" s="189">
        <v>79610896</v>
      </c>
      <c r="C16" s="189">
        <v>20958024</v>
      </c>
      <c r="D16" s="189">
        <v>0.21</v>
      </c>
      <c r="E16" s="190">
        <v>20.84</v>
      </c>
      <c r="F16" s="189">
        <v>100568920</v>
      </c>
    </row>
    <row r="17" spans="1:6" ht="23.25">
      <c r="A17" s="189" t="s">
        <v>763</v>
      </c>
      <c r="B17" s="189">
        <v>3214240</v>
      </c>
      <c r="C17" s="189">
        <v>88891072</v>
      </c>
      <c r="D17" s="189">
        <v>0.97</v>
      </c>
      <c r="E17" s="190">
        <v>96.51</v>
      </c>
      <c r="F17" s="189">
        <v>92105312</v>
      </c>
    </row>
    <row r="18" spans="1:6" ht="23.25">
      <c r="A18" s="189" t="s">
        <v>764</v>
      </c>
      <c r="B18" s="189">
        <v>732</v>
      </c>
      <c r="C18" s="189">
        <v>15140</v>
      </c>
      <c r="D18" s="189">
        <v>0.95</v>
      </c>
      <c r="E18" s="190">
        <v>95.39</v>
      </c>
      <c r="F18" s="189">
        <v>15872</v>
      </c>
    </row>
    <row r="19" spans="1:6" ht="23.25">
      <c r="A19" s="189" t="s">
        <v>765</v>
      </c>
      <c r="B19" s="189">
        <v>1264264</v>
      </c>
      <c r="C19" s="189">
        <v>45367772</v>
      </c>
      <c r="D19" s="189">
        <v>0.97</v>
      </c>
      <c r="E19" s="190">
        <v>97.29</v>
      </c>
      <c r="F19" s="189">
        <v>46632036</v>
      </c>
    </row>
    <row r="20" spans="1:6">
      <c r="A20" s="189" t="s">
        <v>766</v>
      </c>
      <c r="B20" s="189">
        <v>41856664</v>
      </c>
      <c r="C20" s="189">
        <v>47024972</v>
      </c>
      <c r="D20" s="189">
        <v>0.53</v>
      </c>
      <c r="E20" s="190">
        <v>52.91</v>
      </c>
      <c r="F20" s="189">
        <v>88881636</v>
      </c>
    </row>
    <row r="21" spans="1:6" ht="23.25">
      <c r="A21" s="189" t="s">
        <v>767</v>
      </c>
      <c r="B21" s="189">
        <v>2166572</v>
      </c>
      <c r="C21" s="189">
        <v>70293276</v>
      </c>
      <c r="D21" s="189">
        <v>0.97</v>
      </c>
      <c r="E21" s="190">
        <v>97.01</v>
      </c>
      <c r="F21" s="189">
        <v>72459848</v>
      </c>
    </row>
    <row r="22" spans="1:6" ht="23.25">
      <c r="A22" s="189" t="s">
        <v>768</v>
      </c>
      <c r="B22" s="189">
        <v>1606176</v>
      </c>
      <c r="C22" s="189">
        <v>74336172</v>
      </c>
      <c r="D22" s="189">
        <v>0.98</v>
      </c>
      <c r="E22" s="190">
        <v>97.89</v>
      </c>
      <c r="F22" s="189">
        <v>75942348</v>
      </c>
    </row>
    <row r="23" spans="1:6" ht="23.25">
      <c r="A23" s="189" t="s">
        <v>769</v>
      </c>
      <c r="B23" s="189">
        <v>37697212</v>
      </c>
      <c r="C23" s="189">
        <v>39709076</v>
      </c>
      <c r="D23" s="189">
        <v>0.51</v>
      </c>
      <c r="E23" s="190">
        <v>51.3</v>
      </c>
      <c r="F23" s="189">
        <v>77406288</v>
      </c>
    </row>
    <row r="24" spans="1:6" ht="23.25">
      <c r="A24" s="189" t="s">
        <v>770</v>
      </c>
      <c r="B24" s="189">
        <v>18743016</v>
      </c>
      <c r="C24" s="189">
        <v>17307896</v>
      </c>
      <c r="D24" s="189">
        <v>0.48</v>
      </c>
      <c r="E24" s="190">
        <v>48.01</v>
      </c>
      <c r="F24" s="189">
        <v>36050912</v>
      </c>
    </row>
    <row r="25" spans="1:6" ht="23.25">
      <c r="A25" s="189" t="s">
        <v>771</v>
      </c>
      <c r="B25" s="189">
        <v>3720268</v>
      </c>
      <c r="C25" s="189">
        <v>3402184</v>
      </c>
      <c r="D25" s="189">
        <v>0.48</v>
      </c>
      <c r="E25" s="190">
        <v>47.77</v>
      </c>
      <c r="F25" s="189">
        <v>7122452</v>
      </c>
    </row>
    <row r="26" spans="1:6" ht="23.25">
      <c r="A26" s="189" t="s">
        <v>772</v>
      </c>
      <c r="B26" s="189">
        <v>1663776</v>
      </c>
      <c r="C26" s="189">
        <v>84109456</v>
      </c>
      <c r="D26" s="189">
        <v>0.98</v>
      </c>
      <c r="E26" s="190">
        <v>98.06</v>
      </c>
      <c r="F26" s="189">
        <v>85773232</v>
      </c>
    </row>
    <row r="27" spans="1:6" ht="23.25">
      <c r="A27" s="189" t="s">
        <v>773</v>
      </c>
      <c r="B27" s="189">
        <v>1768148</v>
      </c>
      <c r="C27" s="189">
        <v>77988552</v>
      </c>
      <c r="D27" s="189">
        <v>0.98</v>
      </c>
      <c r="E27" s="190">
        <v>97.78</v>
      </c>
      <c r="F27" s="189">
        <v>79756700</v>
      </c>
    </row>
    <row r="28" spans="1:6" ht="23.25">
      <c r="A28" s="189" t="s">
        <v>774</v>
      </c>
      <c r="B28" s="189">
        <v>1803876</v>
      </c>
      <c r="C28" s="189">
        <v>43823776</v>
      </c>
      <c r="D28" s="189">
        <v>0.96</v>
      </c>
      <c r="E28" s="190">
        <v>96.05</v>
      </c>
      <c r="F28" s="189">
        <v>45627652</v>
      </c>
    </row>
    <row r="29" spans="1:6" ht="23.25">
      <c r="A29" s="189" t="s">
        <v>775</v>
      </c>
      <c r="B29" s="189">
        <v>1436380</v>
      </c>
      <c r="C29" s="189">
        <v>44725332</v>
      </c>
      <c r="D29" s="189">
        <v>0.97</v>
      </c>
      <c r="E29" s="190">
        <v>96.89</v>
      </c>
      <c r="F29" s="189">
        <v>46161712</v>
      </c>
    </row>
    <row r="30" spans="1:6" ht="23.25">
      <c r="A30" s="189" t="s">
        <v>776</v>
      </c>
      <c r="B30" s="189">
        <v>57834628</v>
      </c>
      <c r="C30" s="189">
        <v>1961376</v>
      </c>
      <c r="D30" s="189">
        <v>0.03</v>
      </c>
      <c r="E30" s="190">
        <v>3.28</v>
      </c>
      <c r="F30" s="189">
        <v>59796004</v>
      </c>
    </row>
    <row r="31" spans="1:6" ht="23.25">
      <c r="A31" s="189" t="s">
        <v>777</v>
      </c>
      <c r="B31" s="189">
        <v>30069372</v>
      </c>
      <c r="C31" s="189">
        <v>946652</v>
      </c>
      <c r="D31" s="189">
        <v>0.03</v>
      </c>
      <c r="E31" s="190">
        <v>3.05</v>
      </c>
      <c r="F31" s="189">
        <v>31016024</v>
      </c>
    </row>
    <row r="32" spans="1:6" ht="23.25">
      <c r="A32" s="189" t="s">
        <v>778</v>
      </c>
      <c r="B32" s="189">
        <v>6152180</v>
      </c>
      <c r="C32" s="189">
        <v>196228</v>
      </c>
      <c r="D32" s="189">
        <v>0.03</v>
      </c>
      <c r="E32" s="190">
        <v>3.09</v>
      </c>
      <c r="F32" s="189">
        <v>6348408</v>
      </c>
    </row>
    <row r="33" spans="1:6" ht="23.25">
      <c r="A33" s="189" t="s">
        <v>779</v>
      </c>
      <c r="B33" s="189">
        <v>1102484</v>
      </c>
      <c r="C33" s="189">
        <v>41926332</v>
      </c>
      <c r="D33" s="189">
        <v>0.97</v>
      </c>
      <c r="E33" s="190">
        <v>97.44</v>
      </c>
      <c r="F33" s="189">
        <v>43028816</v>
      </c>
    </row>
    <row r="34" spans="1:6" ht="23.25">
      <c r="A34" s="189" t="s">
        <v>780</v>
      </c>
      <c r="B34" s="189">
        <v>2410464</v>
      </c>
      <c r="C34" s="189">
        <v>90003952</v>
      </c>
      <c r="D34" s="189">
        <v>0.97</v>
      </c>
      <c r="E34" s="190">
        <v>97.39</v>
      </c>
      <c r="F34" s="189">
        <v>92414416</v>
      </c>
    </row>
    <row r="35" spans="1:6" ht="23.25">
      <c r="A35" s="189" t="s">
        <v>781</v>
      </c>
      <c r="B35" s="189">
        <v>464408</v>
      </c>
      <c r="C35" s="189">
        <v>61993852</v>
      </c>
      <c r="D35" s="189">
        <v>0.99</v>
      </c>
      <c r="E35" s="190">
        <v>99.26</v>
      </c>
      <c r="F35" s="189">
        <v>62458260</v>
      </c>
    </row>
    <row r="36" spans="1:6" ht="23.25">
      <c r="A36" s="189" t="s">
        <v>782</v>
      </c>
      <c r="B36" s="189">
        <v>2060404</v>
      </c>
      <c r="C36" s="189">
        <v>71564284</v>
      </c>
      <c r="D36" s="189">
        <v>0.97</v>
      </c>
      <c r="E36" s="190">
        <v>97.2</v>
      </c>
      <c r="F36" s="189">
        <v>73624688</v>
      </c>
    </row>
    <row r="37" spans="1:6" ht="23.25">
      <c r="A37" s="189" t="s">
        <v>783</v>
      </c>
      <c r="B37" s="189">
        <v>35900364</v>
      </c>
      <c r="C37" s="189">
        <v>29567052</v>
      </c>
      <c r="D37" s="189">
        <v>0.45</v>
      </c>
      <c r="E37" s="190">
        <v>45.16</v>
      </c>
      <c r="F37" s="189">
        <v>65467416</v>
      </c>
    </row>
    <row r="38" spans="1:6" ht="23.25">
      <c r="A38" s="189" t="s">
        <v>784</v>
      </c>
      <c r="B38" s="189">
        <v>15073544</v>
      </c>
      <c r="C38" s="189">
        <v>11514540</v>
      </c>
      <c r="D38" s="189">
        <v>0.43</v>
      </c>
      <c r="E38" s="190">
        <v>43.31</v>
      </c>
      <c r="F38" s="189">
        <v>26588084</v>
      </c>
    </row>
    <row r="39" spans="1:6" ht="23.25">
      <c r="A39" s="189" t="s">
        <v>785</v>
      </c>
      <c r="B39" s="189">
        <v>2978492</v>
      </c>
      <c r="C39" s="189">
        <v>2270660</v>
      </c>
      <c r="D39" s="189">
        <v>0.43</v>
      </c>
      <c r="E39" s="190">
        <v>43.26</v>
      </c>
      <c r="F39" s="189">
        <v>5249152</v>
      </c>
    </row>
    <row r="40" spans="1:6" ht="23.25">
      <c r="A40" s="189" t="s">
        <v>786</v>
      </c>
      <c r="B40" s="189">
        <v>2897816</v>
      </c>
      <c r="C40" s="189">
        <v>46074308</v>
      </c>
      <c r="D40" s="189">
        <v>0.94</v>
      </c>
      <c r="E40" s="190">
        <v>94.08</v>
      </c>
      <c r="F40" s="189">
        <v>48972124</v>
      </c>
    </row>
    <row r="41" spans="1:6" ht="23.25">
      <c r="A41" s="189" t="s">
        <v>787</v>
      </c>
      <c r="B41" s="189">
        <v>35375516</v>
      </c>
      <c r="C41" s="189">
        <v>7588232</v>
      </c>
      <c r="D41" s="189">
        <v>0.18</v>
      </c>
      <c r="E41" s="190">
        <v>17.66</v>
      </c>
      <c r="F41" s="189">
        <v>42963748</v>
      </c>
    </row>
    <row r="42" spans="1:6" ht="23.25">
      <c r="A42" s="189" t="s">
        <v>788</v>
      </c>
      <c r="B42" s="189">
        <v>1146040</v>
      </c>
      <c r="C42" s="189">
        <v>50520744</v>
      </c>
      <c r="D42" s="189">
        <v>0.98</v>
      </c>
      <c r="E42" s="190">
        <v>97.78</v>
      </c>
      <c r="F42" s="189">
        <v>51666784</v>
      </c>
    </row>
    <row r="43" spans="1:6" ht="23.25">
      <c r="A43" s="189" t="s">
        <v>789</v>
      </c>
      <c r="B43" s="189">
        <v>1033348</v>
      </c>
      <c r="C43" s="189">
        <v>44229160</v>
      </c>
      <c r="D43" s="189">
        <v>0.98</v>
      </c>
      <c r="E43" s="190">
        <v>97.72</v>
      </c>
      <c r="F43" s="189">
        <v>45262508</v>
      </c>
    </row>
    <row r="44" spans="1:6" ht="23.25">
      <c r="A44" s="189" t="s">
        <v>790</v>
      </c>
      <c r="B44" s="189">
        <v>2226760</v>
      </c>
      <c r="C44" s="189">
        <v>86268352</v>
      </c>
      <c r="D44" s="189">
        <v>0.97</v>
      </c>
      <c r="E44" s="190">
        <v>97.48</v>
      </c>
      <c r="F44" s="189">
        <v>88495112</v>
      </c>
    </row>
    <row r="45" spans="1:6" ht="23.25">
      <c r="A45" s="189" t="s">
        <v>791</v>
      </c>
      <c r="B45" s="189">
        <v>94319020</v>
      </c>
      <c r="C45" s="189">
        <v>18363748</v>
      </c>
      <c r="D45" s="189">
        <v>0.16</v>
      </c>
      <c r="E45" s="190">
        <v>16.3</v>
      </c>
      <c r="F45" s="189">
        <v>112682768</v>
      </c>
    </row>
    <row r="46" spans="1:6" ht="23.25">
      <c r="A46" s="189" t="s">
        <v>792</v>
      </c>
      <c r="B46" s="189">
        <v>114455256</v>
      </c>
      <c r="C46" s="189">
        <v>20274756</v>
      </c>
      <c r="D46" s="189">
        <v>0.15</v>
      </c>
      <c r="E46" s="190">
        <v>15.05</v>
      </c>
      <c r="F46" s="189">
        <v>134730012</v>
      </c>
    </row>
    <row r="47" spans="1:6" ht="23.25">
      <c r="A47" s="189" t="s">
        <v>793</v>
      </c>
      <c r="B47" s="189">
        <v>2567976</v>
      </c>
      <c r="C47" s="189">
        <v>89699764</v>
      </c>
      <c r="D47" s="189">
        <v>0.97</v>
      </c>
      <c r="E47" s="190">
        <v>97.22</v>
      </c>
      <c r="F47" s="189">
        <v>92267740</v>
      </c>
    </row>
    <row r="48" spans="1:6" ht="23.25">
      <c r="A48" s="189" t="s">
        <v>794</v>
      </c>
      <c r="B48" s="189">
        <v>230528</v>
      </c>
      <c r="C48" s="189">
        <v>60660836</v>
      </c>
      <c r="D48" s="189">
        <v>1</v>
      </c>
      <c r="E48" s="190">
        <v>99.62</v>
      </c>
      <c r="F48" s="189">
        <v>60891364</v>
      </c>
    </row>
    <row r="49" spans="1:6" ht="23.25">
      <c r="A49" s="189" t="s">
        <v>795</v>
      </c>
      <c r="B49" s="189">
        <v>215956</v>
      </c>
      <c r="C49" s="189">
        <v>93541540</v>
      </c>
      <c r="D49" s="189">
        <v>1</v>
      </c>
      <c r="E49" s="190">
        <v>99.77</v>
      </c>
      <c r="F49" s="189">
        <v>93757496</v>
      </c>
    </row>
    <row r="50" spans="1:6" ht="23.25">
      <c r="A50" s="189" t="s">
        <v>796</v>
      </c>
      <c r="B50" s="189">
        <v>833596</v>
      </c>
      <c r="C50" s="189">
        <v>69142924</v>
      </c>
      <c r="D50" s="189">
        <v>0.99</v>
      </c>
      <c r="E50" s="190">
        <v>98.81</v>
      </c>
      <c r="F50" s="189">
        <v>69976520</v>
      </c>
    </row>
    <row r="51" spans="1:6" ht="23.25">
      <c r="A51" s="189" t="s">
        <v>797</v>
      </c>
      <c r="B51" s="189">
        <v>309008</v>
      </c>
      <c r="C51" s="189">
        <v>54449384</v>
      </c>
      <c r="D51" s="189">
        <v>0.99</v>
      </c>
      <c r="E51" s="190">
        <v>99.44</v>
      </c>
      <c r="F51" s="189">
        <v>54758392</v>
      </c>
    </row>
    <row r="52" spans="1:6" ht="23.25">
      <c r="A52" s="189" t="s">
        <v>798</v>
      </c>
      <c r="B52" s="189">
        <v>657656</v>
      </c>
      <c r="C52" s="189">
        <v>62651104</v>
      </c>
      <c r="D52" s="189">
        <v>0.99</v>
      </c>
      <c r="E52" s="190">
        <v>98.96</v>
      </c>
      <c r="F52" s="189">
        <v>63308760</v>
      </c>
    </row>
    <row r="53" spans="1:6" ht="23.25">
      <c r="A53" s="189" t="s">
        <v>799</v>
      </c>
      <c r="B53" s="189">
        <v>298748</v>
      </c>
      <c r="C53" s="189">
        <v>41624276</v>
      </c>
      <c r="D53" s="189">
        <v>0.99</v>
      </c>
      <c r="E53" s="190">
        <v>99.29</v>
      </c>
      <c r="F53" s="189">
        <v>41923024</v>
      </c>
    </row>
    <row r="54" spans="1:6" ht="23.25">
      <c r="A54" s="189" t="s">
        <v>800</v>
      </c>
      <c r="B54" s="189">
        <v>79518064</v>
      </c>
      <c r="C54" s="189">
        <v>20139404</v>
      </c>
      <c r="D54" s="189">
        <v>0.2</v>
      </c>
      <c r="E54" s="190">
        <v>20.21</v>
      </c>
      <c r="F54" s="189">
        <v>99657468</v>
      </c>
    </row>
    <row r="55" spans="1:6" ht="23.25">
      <c r="A55" s="189" t="s">
        <v>801</v>
      </c>
      <c r="B55" s="189">
        <v>2113828</v>
      </c>
      <c r="C55" s="189">
        <v>192779768</v>
      </c>
      <c r="D55" s="189">
        <v>0.99</v>
      </c>
      <c r="E55" s="190">
        <v>98.92</v>
      </c>
      <c r="F55" s="189">
        <v>194893596</v>
      </c>
    </row>
    <row r="56" spans="1:6" ht="23.25">
      <c r="A56" s="189" t="s">
        <v>802</v>
      </c>
      <c r="B56" s="189">
        <v>414680</v>
      </c>
      <c r="C56" s="189">
        <v>41829584</v>
      </c>
      <c r="D56" s="189">
        <v>0.99</v>
      </c>
      <c r="E56" s="190">
        <v>99.02</v>
      </c>
      <c r="F56" s="189">
        <v>42244264</v>
      </c>
    </row>
    <row r="57" spans="1:6" ht="23.25">
      <c r="A57" s="189" t="s">
        <v>803</v>
      </c>
      <c r="B57" s="189">
        <v>304176</v>
      </c>
      <c r="C57" s="189">
        <v>41171168</v>
      </c>
      <c r="D57" s="189">
        <v>0.99</v>
      </c>
      <c r="E57" s="190">
        <v>99.27</v>
      </c>
      <c r="F57" s="189">
        <v>41475344</v>
      </c>
    </row>
    <row r="58" spans="1:6" ht="23.25">
      <c r="A58" s="189" t="s">
        <v>804</v>
      </c>
      <c r="B58" s="189">
        <v>917312</v>
      </c>
      <c r="C58" s="189">
        <v>101843596</v>
      </c>
      <c r="D58" s="189">
        <v>0.99</v>
      </c>
      <c r="E58" s="190">
        <v>99.11</v>
      </c>
      <c r="F58" s="189">
        <v>102760908</v>
      </c>
    </row>
    <row r="59" spans="1:6" ht="23.25">
      <c r="A59" s="189" t="s">
        <v>805</v>
      </c>
      <c r="B59" s="189">
        <v>436536</v>
      </c>
      <c r="C59" s="189">
        <v>52415052</v>
      </c>
      <c r="D59" s="189">
        <v>0.99</v>
      </c>
      <c r="E59" s="190">
        <v>99.17</v>
      </c>
      <c r="F59" s="189">
        <v>52851588</v>
      </c>
    </row>
    <row r="60" spans="1:6" ht="23.25">
      <c r="A60" s="189" t="s">
        <v>806</v>
      </c>
      <c r="B60" s="189">
        <v>401244</v>
      </c>
      <c r="C60" s="189">
        <v>27208708</v>
      </c>
      <c r="D60" s="189">
        <v>0.99</v>
      </c>
      <c r="E60" s="190">
        <v>98.55</v>
      </c>
      <c r="F60" s="189">
        <v>27609952</v>
      </c>
    </row>
    <row r="61" spans="1:6" ht="23.25">
      <c r="A61" s="189" t="s">
        <v>807</v>
      </c>
      <c r="B61" s="189">
        <v>543340</v>
      </c>
      <c r="C61" s="189">
        <v>56315824</v>
      </c>
      <c r="D61" s="189">
        <v>0.99</v>
      </c>
      <c r="E61" s="190">
        <v>99.04</v>
      </c>
      <c r="F61" s="189">
        <v>56859164</v>
      </c>
    </row>
    <row r="62" spans="1:6" ht="23.25">
      <c r="A62" s="189" t="s">
        <v>808</v>
      </c>
      <c r="B62" s="189">
        <v>77370400</v>
      </c>
      <c r="C62" s="189">
        <v>8099380</v>
      </c>
      <c r="D62" s="189">
        <v>0.09</v>
      </c>
      <c r="E62" s="190">
        <v>9.48</v>
      </c>
      <c r="F62" s="189">
        <v>85469780</v>
      </c>
    </row>
    <row r="63" spans="1:6" ht="23.25">
      <c r="A63" s="189" t="s">
        <v>809</v>
      </c>
      <c r="B63" s="189">
        <v>1634724</v>
      </c>
      <c r="C63" s="189">
        <v>93793500</v>
      </c>
      <c r="D63" s="189">
        <v>0.98</v>
      </c>
      <c r="E63" s="190">
        <v>98.29</v>
      </c>
      <c r="F63" s="189">
        <v>95428224</v>
      </c>
    </row>
    <row r="64" spans="1:6" ht="23.25">
      <c r="A64" s="189" t="s">
        <v>810</v>
      </c>
      <c r="B64" s="189">
        <v>511552</v>
      </c>
      <c r="C64" s="189">
        <v>27139568</v>
      </c>
      <c r="D64" s="189">
        <v>0.98</v>
      </c>
      <c r="E64" s="190">
        <v>98.15</v>
      </c>
      <c r="F64" s="189">
        <v>27651120</v>
      </c>
    </row>
    <row r="65" spans="1:13" ht="23.25">
      <c r="A65" s="189" t="s">
        <v>811</v>
      </c>
      <c r="B65" s="189">
        <v>131896</v>
      </c>
      <c r="C65" s="189">
        <v>28107772</v>
      </c>
      <c r="D65" s="189">
        <v>1</v>
      </c>
      <c r="E65" s="190">
        <v>99.53</v>
      </c>
      <c r="F65" s="189">
        <v>28239668</v>
      </c>
    </row>
    <row r="67" spans="1:13">
      <c r="A67" s="111"/>
      <c r="B67" s="111"/>
      <c r="C67" s="111"/>
      <c r="D67" s="111"/>
      <c r="E67" s="111"/>
      <c r="F67" s="111"/>
      <c r="G67" s="111"/>
      <c r="H67" s="111"/>
      <c r="I67" s="111"/>
      <c r="J67" s="111"/>
      <c r="K67" s="111"/>
      <c r="L67" s="111"/>
      <c r="M67" s="111"/>
    </row>
    <row r="68" spans="1:13">
      <c r="A68" s="111"/>
      <c r="B68" s="111"/>
      <c r="C68" s="111"/>
      <c r="D68" s="111"/>
      <c r="E68" s="111"/>
      <c r="F68" s="111"/>
      <c r="G68" s="111"/>
      <c r="H68" s="111"/>
      <c r="I68" s="111"/>
      <c r="J68" s="111"/>
      <c r="K68" s="111"/>
      <c r="L68" s="111"/>
      <c r="M68" s="111"/>
    </row>
    <row r="69" spans="1:13">
      <c r="A69" s="111"/>
      <c r="B69" s="111"/>
      <c r="C69" s="111"/>
      <c r="D69" s="111"/>
      <c r="E69" s="111"/>
      <c r="F69" s="111"/>
      <c r="G69" s="111"/>
      <c r="H69" s="111"/>
      <c r="I69" s="111"/>
      <c r="J69" s="111"/>
      <c r="K69" s="111"/>
      <c r="L69" s="111"/>
      <c r="M69" s="111"/>
    </row>
    <row r="70" spans="1:13">
      <c r="A70" s="111"/>
      <c r="B70" s="111"/>
      <c r="C70" s="111"/>
      <c r="D70" s="111"/>
      <c r="E70" s="111"/>
      <c r="F70" s="111"/>
      <c r="G70" s="111"/>
      <c r="H70" s="111"/>
      <c r="I70" s="111"/>
      <c r="J70" s="111"/>
      <c r="K70" s="111"/>
      <c r="L70" s="111"/>
      <c r="M70" s="111"/>
    </row>
    <row r="71" spans="1:13">
      <c r="A71" s="111"/>
      <c r="B71" s="111"/>
      <c r="C71" s="111"/>
      <c r="D71" s="111"/>
      <c r="E71" s="111"/>
      <c r="F71" s="111"/>
      <c r="G71" s="111"/>
      <c r="H71" s="111"/>
      <c r="I71" s="111"/>
      <c r="J71" s="111"/>
      <c r="K71" s="111"/>
      <c r="L71" s="111"/>
      <c r="M71" s="111"/>
    </row>
    <row r="72" spans="1:13">
      <c r="A72" s="111"/>
      <c r="B72" s="111"/>
      <c r="C72" s="111"/>
      <c r="D72" s="111"/>
      <c r="E72" s="111"/>
      <c r="F72" s="111"/>
      <c r="G72" s="111"/>
      <c r="H72" s="111"/>
      <c r="I72" s="111"/>
      <c r="J72" s="111"/>
      <c r="K72" s="111"/>
      <c r="L72" s="111"/>
      <c r="M72" s="111"/>
    </row>
  </sheetData>
  <mergeCells count="1">
    <mergeCell ref="A1: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CFF1-D486-474F-9C1B-F0823F37DA52}">
  <dimension ref="A1:Y1233"/>
  <sheetViews>
    <sheetView workbookViewId="0">
      <selection sqref="A1:G5"/>
    </sheetView>
  </sheetViews>
  <sheetFormatPr defaultColWidth="9" defaultRowHeight="15"/>
  <cols>
    <col min="1" max="1" width="14.375" style="192" customWidth="1"/>
    <col min="2" max="2" width="11.5" style="192" customWidth="1"/>
    <col min="3" max="3" width="9" style="192"/>
    <col min="4" max="4" width="15" style="192" customWidth="1"/>
    <col min="5" max="5" width="20.125" style="192" customWidth="1"/>
    <col min="6" max="6" width="13" style="192" customWidth="1"/>
    <col min="7" max="7" width="25.875" style="192" customWidth="1"/>
    <col min="8" max="8" width="24" style="192" customWidth="1"/>
    <col min="9" max="10" width="23.125" style="192" customWidth="1"/>
    <col min="11" max="11" width="14.375" style="192" customWidth="1"/>
    <col min="12" max="12" width="12.875" style="192" customWidth="1"/>
    <col min="13" max="13" width="13.5" style="192" customWidth="1"/>
    <col min="14" max="14" width="12.625" style="192" customWidth="1"/>
    <col min="15" max="15" width="22.625" style="192" customWidth="1"/>
    <col min="16" max="16" width="20.625" style="192" customWidth="1"/>
    <col min="17" max="17" width="20" style="192" customWidth="1"/>
    <col min="18" max="18" width="104.875" style="192" customWidth="1"/>
    <col min="19" max="19" width="12.625" style="192" customWidth="1"/>
    <col min="20" max="20" width="22" style="192" customWidth="1"/>
    <col min="21" max="21" width="19.5" style="192" customWidth="1"/>
    <col min="22" max="22" width="24" style="192" customWidth="1"/>
    <col min="23" max="23" width="24.5" style="192" customWidth="1"/>
    <col min="24" max="24" width="20.5" style="192" customWidth="1"/>
    <col min="25" max="25" width="18.625" style="192" customWidth="1"/>
    <col min="26" max="16384" width="9" style="192"/>
  </cols>
  <sheetData>
    <row r="1" spans="1:25" ht="15.75" customHeight="1">
      <c r="A1" s="238" t="s">
        <v>812</v>
      </c>
      <c r="B1" s="239"/>
      <c r="C1" s="239"/>
      <c r="D1" s="239"/>
      <c r="E1" s="239"/>
      <c r="F1" s="239"/>
      <c r="G1" s="240"/>
      <c r="H1" s="191"/>
      <c r="I1" s="191"/>
      <c r="J1" s="191"/>
      <c r="K1" s="191"/>
      <c r="L1" s="191"/>
      <c r="M1" s="191"/>
    </row>
    <row r="2" spans="1:25">
      <c r="A2" s="241"/>
      <c r="B2" s="242"/>
      <c r="C2" s="242"/>
      <c r="D2" s="242"/>
      <c r="E2" s="242"/>
      <c r="F2" s="242"/>
      <c r="G2" s="243"/>
      <c r="H2" s="191"/>
      <c r="I2" s="191"/>
      <c r="J2" s="191"/>
      <c r="K2" s="191"/>
      <c r="L2" s="191"/>
      <c r="M2" s="191"/>
    </row>
    <row r="3" spans="1:25">
      <c r="A3" s="241"/>
      <c r="B3" s="242"/>
      <c r="C3" s="242"/>
      <c r="D3" s="242"/>
      <c r="E3" s="242"/>
      <c r="F3" s="242"/>
      <c r="G3" s="243"/>
      <c r="H3" s="191"/>
      <c r="I3" s="191"/>
      <c r="J3" s="191"/>
      <c r="K3" s="191"/>
      <c r="L3" s="191"/>
      <c r="M3" s="191"/>
    </row>
    <row r="4" spans="1:25" ht="6.75" customHeight="1">
      <c r="A4" s="241"/>
      <c r="B4" s="242"/>
      <c r="C4" s="242"/>
      <c r="D4" s="242"/>
      <c r="E4" s="242"/>
      <c r="F4" s="242"/>
      <c r="G4" s="243"/>
      <c r="H4" s="191"/>
      <c r="I4" s="191"/>
      <c r="J4" s="191"/>
      <c r="K4" s="191"/>
      <c r="L4" s="191"/>
      <c r="M4" s="191"/>
    </row>
    <row r="5" spans="1:25" ht="10.5" customHeight="1">
      <c r="A5" s="244"/>
      <c r="B5" s="245"/>
      <c r="C5" s="245"/>
      <c r="D5" s="245"/>
      <c r="E5" s="245"/>
      <c r="F5" s="245"/>
      <c r="G5" s="246"/>
      <c r="H5" s="191"/>
      <c r="I5" s="191"/>
      <c r="J5" s="191"/>
      <c r="K5" s="191"/>
      <c r="L5" s="191"/>
      <c r="M5" s="191"/>
    </row>
    <row r="6" spans="1:25" ht="15.75">
      <c r="A6" s="193"/>
    </row>
    <row r="7" spans="1:25" s="195" customFormat="1" ht="33.75" customHeight="1">
      <c r="A7" s="194" t="s">
        <v>813</v>
      </c>
      <c r="B7" s="194" t="s">
        <v>814</v>
      </c>
      <c r="C7" s="194" t="s">
        <v>437</v>
      </c>
      <c r="D7" s="194" t="s">
        <v>815</v>
      </c>
      <c r="E7" s="194" t="s">
        <v>816</v>
      </c>
      <c r="F7" s="194" t="s">
        <v>817</v>
      </c>
      <c r="G7" s="194" t="s">
        <v>818</v>
      </c>
      <c r="H7" s="194" t="s">
        <v>819</v>
      </c>
      <c r="I7" s="194" t="s">
        <v>820</v>
      </c>
      <c r="J7" s="194" t="s">
        <v>821</v>
      </c>
      <c r="K7" s="194" t="s">
        <v>822</v>
      </c>
      <c r="L7" s="194" t="s">
        <v>823</v>
      </c>
      <c r="M7" s="194" t="s">
        <v>824</v>
      </c>
      <c r="N7" s="194" t="s">
        <v>825</v>
      </c>
      <c r="O7" s="194" t="s">
        <v>826</v>
      </c>
      <c r="P7" s="194" t="s">
        <v>827</v>
      </c>
      <c r="Q7" s="194" t="s">
        <v>828</v>
      </c>
      <c r="R7" s="194" t="s">
        <v>829</v>
      </c>
      <c r="S7" s="194" t="s">
        <v>830</v>
      </c>
      <c r="T7" s="194" t="s">
        <v>831</v>
      </c>
      <c r="U7" s="194" t="s">
        <v>832</v>
      </c>
      <c r="V7" s="194" t="s">
        <v>833</v>
      </c>
      <c r="W7" s="194" t="s">
        <v>834</v>
      </c>
      <c r="X7" s="194" t="s">
        <v>835</v>
      </c>
      <c r="Y7" s="194" t="s">
        <v>836</v>
      </c>
    </row>
    <row r="8" spans="1:25">
      <c r="A8" s="196" t="s">
        <v>837</v>
      </c>
      <c r="B8" s="196" t="s">
        <v>838</v>
      </c>
      <c r="C8" s="196">
        <v>2013</v>
      </c>
      <c r="D8" s="196">
        <v>30</v>
      </c>
      <c r="E8" s="196" t="s">
        <v>839</v>
      </c>
      <c r="F8" s="196" t="s">
        <v>840</v>
      </c>
      <c r="G8" s="196">
        <v>19</v>
      </c>
      <c r="H8" s="196">
        <v>19</v>
      </c>
      <c r="I8" s="196">
        <v>25404</v>
      </c>
      <c r="J8" s="196">
        <v>155470</v>
      </c>
      <c r="K8" s="196">
        <v>85.5</v>
      </c>
      <c r="L8" s="196">
        <v>6.67</v>
      </c>
      <c r="M8" s="196">
        <v>6640</v>
      </c>
      <c r="N8" s="196">
        <v>2036882</v>
      </c>
      <c r="O8" s="196">
        <v>2368</v>
      </c>
      <c r="P8" s="196" t="s">
        <v>841</v>
      </c>
      <c r="Q8" s="196" t="s">
        <v>842</v>
      </c>
      <c r="R8" s="196" t="s">
        <v>843</v>
      </c>
      <c r="S8" s="196" t="s">
        <v>844</v>
      </c>
      <c r="T8" s="196" t="s">
        <v>845</v>
      </c>
      <c r="U8" s="196" t="s">
        <v>846</v>
      </c>
      <c r="V8" s="196" t="s">
        <v>841</v>
      </c>
      <c r="W8" s="196" t="s">
        <v>847</v>
      </c>
      <c r="X8" s="196" t="s">
        <v>842</v>
      </c>
      <c r="Y8" s="196" t="s">
        <v>848</v>
      </c>
    </row>
    <row r="9" spans="1:25">
      <c r="A9" s="196" t="s">
        <v>837</v>
      </c>
      <c r="B9" s="196" t="s">
        <v>838</v>
      </c>
      <c r="C9" s="196">
        <v>2013</v>
      </c>
      <c r="D9" s="196">
        <v>55</v>
      </c>
      <c r="E9" s="196" t="s">
        <v>849</v>
      </c>
      <c r="F9" s="196" t="s">
        <v>840</v>
      </c>
      <c r="G9" s="196">
        <v>624</v>
      </c>
      <c r="H9" s="196">
        <v>223</v>
      </c>
      <c r="I9" s="196">
        <v>607413</v>
      </c>
      <c r="J9" s="196">
        <v>1397919</v>
      </c>
      <c r="K9" s="196">
        <v>85.5</v>
      </c>
      <c r="L9" s="196">
        <v>6.67</v>
      </c>
      <c r="M9" s="196">
        <v>6640</v>
      </c>
      <c r="N9" s="196">
        <v>2036882</v>
      </c>
      <c r="O9" s="196">
        <v>2368</v>
      </c>
      <c r="P9" s="196" t="s">
        <v>841</v>
      </c>
      <c r="Q9" s="196" t="s">
        <v>842</v>
      </c>
      <c r="R9" s="196" t="s">
        <v>843</v>
      </c>
      <c r="S9" s="196" t="s">
        <v>844</v>
      </c>
      <c r="T9" s="196" t="s">
        <v>845</v>
      </c>
      <c r="U9" s="196" t="s">
        <v>846</v>
      </c>
      <c r="V9" s="196" t="s">
        <v>841</v>
      </c>
      <c r="W9" s="196" t="s">
        <v>847</v>
      </c>
      <c r="X9" s="196" t="s">
        <v>842</v>
      </c>
      <c r="Y9" s="196" t="s">
        <v>848</v>
      </c>
    </row>
    <row r="10" spans="1:25">
      <c r="A10" s="196" t="s">
        <v>837</v>
      </c>
      <c r="B10" s="196" t="s">
        <v>850</v>
      </c>
      <c r="C10" s="196">
        <v>2013</v>
      </c>
      <c r="D10" s="196">
        <v>30</v>
      </c>
      <c r="E10" s="196" t="s">
        <v>851</v>
      </c>
      <c r="F10" s="196" t="s">
        <v>840</v>
      </c>
      <c r="G10" s="196">
        <v>976</v>
      </c>
      <c r="H10" s="196">
        <v>269</v>
      </c>
      <c r="I10" s="196">
        <v>917251</v>
      </c>
      <c r="J10" s="196">
        <v>1639392</v>
      </c>
      <c r="K10" s="196">
        <v>85.5</v>
      </c>
      <c r="L10" s="196">
        <v>6.67</v>
      </c>
      <c r="M10" s="196">
        <v>6640</v>
      </c>
      <c r="N10" s="196">
        <v>2036882</v>
      </c>
      <c r="O10" s="196">
        <v>2368</v>
      </c>
      <c r="P10" s="196" t="s">
        <v>841</v>
      </c>
      <c r="Q10" s="196" t="s">
        <v>842</v>
      </c>
      <c r="R10" s="196" t="s">
        <v>843</v>
      </c>
      <c r="S10" s="196" t="s">
        <v>844</v>
      </c>
      <c r="T10" s="196" t="s">
        <v>845</v>
      </c>
      <c r="U10" s="196" t="s">
        <v>846</v>
      </c>
      <c r="V10" s="196" t="s">
        <v>841</v>
      </c>
      <c r="W10" s="196" t="s">
        <v>847</v>
      </c>
      <c r="X10" s="196" t="s">
        <v>842</v>
      </c>
      <c r="Y10" s="196" t="s">
        <v>848</v>
      </c>
    </row>
    <row r="11" spans="1:25">
      <c r="A11" s="196" t="s">
        <v>837</v>
      </c>
      <c r="B11" s="196" t="s">
        <v>850</v>
      </c>
      <c r="C11" s="196">
        <v>2013</v>
      </c>
      <c r="D11" s="196">
        <v>55</v>
      </c>
      <c r="E11" s="196" t="s">
        <v>852</v>
      </c>
      <c r="F11" s="196" t="s">
        <v>840</v>
      </c>
      <c r="G11" s="196">
        <v>47</v>
      </c>
      <c r="H11" s="196">
        <v>43</v>
      </c>
      <c r="I11" s="196">
        <v>47797</v>
      </c>
      <c r="J11" s="196">
        <v>326808</v>
      </c>
      <c r="K11" s="196">
        <v>85.5</v>
      </c>
      <c r="L11" s="196">
        <v>6.67</v>
      </c>
      <c r="M11" s="196">
        <v>6640</v>
      </c>
      <c r="N11" s="196">
        <v>2036882</v>
      </c>
      <c r="O11" s="196">
        <v>2368</v>
      </c>
      <c r="P11" s="196" t="s">
        <v>841</v>
      </c>
      <c r="Q11" s="196" t="s">
        <v>842</v>
      </c>
      <c r="R11" s="196" t="s">
        <v>843</v>
      </c>
      <c r="S11" s="196" t="s">
        <v>844</v>
      </c>
      <c r="T11" s="196" t="s">
        <v>845</v>
      </c>
      <c r="U11" s="196" t="s">
        <v>846</v>
      </c>
      <c r="V11" s="196" t="s">
        <v>841</v>
      </c>
      <c r="W11" s="196" t="s">
        <v>847</v>
      </c>
      <c r="X11" s="196" t="s">
        <v>842</v>
      </c>
      <c r="Y11" s="196" t="s">
        <v>848</v>
      </c>
    </row>
    <row r="12" spans="1:25">
      <c r="A12" s="196" t="s">
        <v>837</v>
      </c>
      <c r="B12" s="196" t="s">
        <v>838</v>
      </c>
      <c r="C12" s="196">
        <v>2014</v>
      </c>
      <c r="D12" s="196">
        <v>80</v>
      </c>
      <c r="E12" s="196" t="s">
        <v>853</v>
      </c>
      <c r="F12" s="196" t="s">
        <v>840</v>
      </c>
      <c r="G12" s="196">
        <v>1</v>
      </c>
      <c r="H12" s="196">
        <v>1</v>
      </c>
      <c r="I12" s="196">
        <v>435</v>
      </c>
      <c r="J12" s="196">
        <v>14303</v>
      </c>
      <c r="K12" s="196">
        <v>85.5</v>
      </c>
      <c r="L12" s="196">
        <v>6.67</v>
      </c>
      <c r="M12" s="196">
        <v>6640</v>
      </c>
      <c r="N12" s="196">
        <v>2036882</v>
      </c>
      <c r="O12" s="196">
        <v>2368</v>
      </c>
      <c r="P12" s="196" t="s">
        <v>841</v>
      </c>
      <c r="Q12" s="196" t="s">
        <v>842</v>
      </c>
      <c r="R12" s="196" t="s">
        <v>843</v>
      </c>
      <c r="S12" s="196" t="s">
        <v>844</v>
      </c>
      <c r="T12" s="196" t="s">
        <v>845</v>
      </c>
      <c r="U12" s="196" t="s">
        <v>846</v>
      </c>
      <c r="V12" s="196" t="s">
        <v>841</v>
      </c>
      <c r="W12" s="196" t="s">
        <v>847</v>
      </c>
      <c r="X12" s="196" t="s">
        <v>842</v>
      </c>
      <c r="Y12" s="196" t="s">
        <v>848</v>
      </c>
    </row>
    <row r="13" spans="1:25">
      <c r="A13" s="196" t="s">
        <v>837</v>
      </c>
      <c r="B13" s="196" t="s">
        <v>838</v>
      </c>
      <c r="C13" s="196">
        <v>2014</v>
      </c>
      <c r="D13" s="196">
        <v>55</v>
      </c>
      <c r="E13" s="196" t="s">
        <v>854</v>
      </c>
      <c r="F13" s="196" t="s">
        <v>840</v>
      </c>
      <c r="G13" s="196">
        <v>597</v>
      </c>
      <c r="H13" s="196">
        <v>228</v>
      </c>
      <c r="I13" s="196">
        <v>578020</v>
      </c>
      <c r="J13" s="196">
        <v>1457840</v>
      </c>
      <c r="K13" s="196">
        <v>85.5</v>
      </c>
      <c r="L13" s="196">
        <v>6.67</v>
      </c>
      <c r="M13" s="196">
        <v>6640</v>
      </c>
      <c r="N13" s="196">
        <v>2036882</v>
      </c>
      <c r="O13" s="196">
        <v>2368</v>
      </c>
      <c r="P13" s="196" t="s">
        <v>841</v>
      </c>
      <c r="Q13" s="196" t="s">
        <v>842</v>
      </c>
      <c r="R13" s="196" t="s">
        <v>843</v>
      </c>
      <c r="S13" s="196" t="s">
        <v>844</v>
      </c>
      <c r="T13" s="196" t="s">
        <v>845</v>
      </c>
      <c r="U13" s="196" t="s">
        <v>846</v>
      </c>
      <c r="V13" s="196" t="s">
        <v>841</v>
      </c>
      <c r="W13" s="196" t="s">
        <v>847</v>
      </c>
      <c r="X13" s="196" t="s">
        <v>842</v>
      </c>
      <c r="Y13" s="196" t="s">
        <v>848</v>
      </c>
    </row>
    <row r="14" spans="1:25">
      <c r="A14" s="196" t="s">
        <v>837</v>
      </c>
      <c r="B14" s="196" t="s">
        <v>838</v>
      </c>
      <c r="C14" s="196">
        <v>2014</v>
      </c>
      <c r="D14" s="196">
        <v>55</v>
      </c>
      <c r="E14" s="196" t="s">
        <v>855</v>
      </c>
      <c r="F14" s="196" t="s">
        <v>840</v>
      </c>
      <c r="G14" s="196">
        <v>3</v>
      </c>
      <c r="H14" s="196">
        <v>3</v>
      </c>
      <c r="I14" s="196">
        <v>3975</v>
      </c>
      <c r="J14" s="196">
        <v>15477</v>
      </c>
      <c r="K14" s="196">
        <v>85.5</v>
      </c>
      <c r="L14" s="196">
        <v>6.67</v>
      </c>
      <c r="M14" s="196">
        <v>6640</v>
      </c>
      <c r="N14" s="196">
        <v>2036882</v>
      </c>
      <c r="O14" s="196">
        <v>2368</v>
      </c>
      <c r="P14" s="196" t="s">
        <v>841</v>
      </c>
      <c r="Q14" s="196" t="s">
        <v>842</v>
      </c>
      <c r="R14" s="196" t="s">
        <v>843</v>
      </c>
      <c r="S14" s="196" t="s">
        <v>844</v>
      </c>
      <c r="T14" s="196" t="s">
        <v>845</v>
      </c>
      <c r="U14" s="196" t="s">
        <v>846</v>
      </c>
      <c r="V14" s="196" t="s">
        <v>841</v>
      </c>
      <c r="W14" s="196" t="s">
        <v>847</v>
      </c>
      <c r="X14" s="196" t="s">
        <v>842</v>
      </c>
      <c r="Y14" s="196" t="s">
        <v>848</v>
      </c>
    </row>
    <row r="15" spans="1:25">
      <c r="A15" s="196" t="s">
        <v>837</v>
      </c>
      <c r="B15" s="196" t="s">
        <v>181</v>
      </c>
      <c r="C15" s="196">
        <v>2014</v>
      </c>
      <c r="D15" s="196">
        <v>30</v>
      </c>
      <c r="E15" s="196" t="s">
        <v>856</v>
      </c>
      <c r="F15" s="196" t="s">
        <v>840</v>
      </c>
      <c r="G15" s="196">
        <v>9</v>
      </c>
      <c r="H15" s="196">
        <v>9</v>
      </c>
      <c r="I15" s="196">
        <v>8829</v>
      </c>
      <c r="J15" s="196">
        <v>81117</v>
      </c>
      <c r="K15" s="196">
        <v>85.5</v>
      </c>
      <c r="L15" s="196">
        <v>6.67</v>
      </c>
      <c r="M15" s="196">
        <v>6640</v>
      </c>
      <c r="N15" s="196">
        <v>2036882</v>
      </c>
      <c r="O15" s="196">
        <v>2368</v>
      </c>
      <c r="P15" s="196" t="s">
        <v>841</v>
      </c>
      <c r="Q15" s="196" t="s">
        <v>842</v>
      </c>
      <c r="R15" s="196" t="s">
        <v>843</v>
      </c>
      <c r="S15" s="196" t="s">
        <v>844</v>
      </c>
      <c r="T15" s="196" t="s">
        <v>845</v>
      </c>
      <c r="U15" s="196" t="s">
        <v>846</v>
      </c>
      <c r="V15" s="196" t="s">
        <v>841</v>
      </c>
      <c r="W15" s="196" t="s">
        <v>847</v>
      </c>
      <c r="X15" s="196" t="s">
        <v>842</v>
      </c>
      <c r="Y15" s="196" t="s">
        <v>848</v>
      </c>
    </row>
    <row r="16" spans="1:25">
      <c r="A16" s="196" t="s">
        <v>837</v>
      </c>
      <c r="B16" s="196" t="s">
        <v>181</v>
      </c>
      <c r="C16" s="196">
        <v>2014</v>
      </c>
      <c r="D16" s="196">
        <v>30</v>
      </c>
      <c r="E16" s="196" t="s">
        <v>857</v>
      </c>
      <c r="F16" s="196" t="s">
        <v>840</v>
      </c>
      <c r="G16" s="196">
        <v>1</v>
      </c>
      <c r="H16" s="196">
        <v>1</v>
      </c>
      <c r="I16" s="196">
        <v>369</v>
      </c>
      <c r="J16" s="196">
        <v>5217</v>
      </c>
      <c r="K16" s="196">
        <v>85.5</v>
      </c>
      <c r="L16" s="196">
        <v>6.67</v>
      </c>
      <c r="M16" s="196">
        <v>6640</v>
      </c>
      <c r="N16" s="196">
        <v>2036882</v>
      </c>
      <c r="O16" s="196">
        <v>2368</v>
      </c>
      <c r="P16" s="196" t="s">
        <v>841</v>
      </c>
      <c r="Q16" s="196" t="s">
        <v>842</v>
      </c>
      <c r="R16" s="196" t="s">
        <v>843</v>
      </c>
      <c r="S16" s="196" t="s">
        <v>844</v>
      </c>
      <c r="T16" s="196" t="s">
        <v>845</v>
      </c>
      <c r="U16" s="196" t="s">
        <v>846</v>
      </c>
      <c r="V16" s="196" t="s">
        <v>841</v>
      </c>
      <c r="W16" s="196" t="s">
        <v>847</v>
      </c>
      <c r="X16" s="196" t="s">
        <v>842</v>
      </c>
      <c r="Y16" s="196" t="s">
        <v>848</v>
      </c>
    </row>
    <row r="17" spans="1:25">
      <c r="A17" s="196" t="s">
        <v>837</v>
      </c>
      <c r="B17" s="196" t="s">
        <v>181</v>
      </c>
      <c r="C17" s="196">
        <v>2014</v>
      </c>
      <c r="D17" s="196">
        <v>55</v>
      </c>
      <c r="E17" s="196" t="s">
        <v>858</v>
      </c>
      <c r="F17" s="196" t="s">
        <v>840</v>
      </c>
      <c r="G17" s="196">
        <v>74</v>
      </c>
      <c r="H17" s="196">
        <v>61</v>
      </c>
      <c r="I17" s="196">
        <v>79685</v>
      </c>
      <c r="J17" s="196">
        <v>443679</v>
      </c>
      <c r="K17" s="196">
        <v>85.5</v>
      </c>
      <c r="L17" s="196">
        <v>6.67</v>
      </c>
      <c r="M17" s="196">
        <v>6640</v>
      </c>
      <c r="N17" s="196">
        <v>2036882</v>
      </c>
      <c r="O17" s="196">
        <v>2368</v>
      </c>
      <c r="P17" s="196" t="s">
        <v>841</v>
      </c>
      <c r="Q17" s="196" t="s">
        <v>842</v>
      </c>
      <c r="R17" s="196" t="s">
        <v>843</v>
      </c>
      <c r="S17" s="196" t="s">
        <v>844</v>
      </c>
      <c r="T17" s="196" t="s">
        <v>845</v>
      </c>
      <c r="U17" s="196" t="s">
        <v>846</v>
      </c>
      <c r="V17" s="196" t="s">
        <v>841</v>
      </c>
      <c r="W17" s="196" t="s">
        <v>847</v>
      </c>
      <c r="X17" s="196" t="s">
        <v>842</v>
      </c>
      <c r="Y17" s="196" t="s">
        <v>848</v>
      </c>
    </row>
    <row r="18" spans="1:25">
      <c r="A18" s="196" t="s">
        <v>837</v>
      </c>
      <c r="B18" s="196" t="s">
        <v>181</v>
      </c>
      <c r="C18" s="196">
        <v>2014</v>
      </c>
      <c r="D18" s="196">
        <v>55</v>
      </c>
      <c r="E18" s="196" t="s">
        <v>859</v>
      </c>
      <c r="F18" s="196" t="s">
        <v>840</v>
      </c>
      <c r="G18" s="196">
        <v>575</v>
      </c>
      <c r="H18" s="196">
        <v>213</v>
      </c>
      <c r="I18" s="196">
        <v>541738</v>
      </c>
      <c r="J18" s="196">
        <v>1356959</v>
      </c>
      <c r="K18" s="196">
        <v>85.5</v>
      </c>
      <c r="L18" s="196">
        <v>6.67</v>
      </c>
      <c r="M18" s="196">
        <v>6640</v>
      </c>
      <c r="N18" s="196">
        <v>2036882</v>
      </c>
      <c r="O18" s="196">
        <v>2368</v>
      </c>
      <c r="P18" s="196" t="s">
        <v>841</v>
      </c>
      <c r="Q18" s="196" t="s">
        <v>842</v>
      </c>
      <c r="R18" s="196" t="s">
        <v>843</v>
      </c>
      <c r="S18" s="196" t="s">
        <v>844</v>
      </c>
      <c r="T18" s="196" t="s">
        <v>845</v>
      </c>
      <c r="U18" s="196" t="s">
        <v>846</v>
      </c>
      <c r="V18" s="196" t="s">
        <v>841</v>
      </c>
      <c r="W18" s="196" t="s">
        <v>847</v>
      </c>
      <c r="X18" s="196" t="s">
        <v>842</v>
      </c>
      <c r="Y18" s="196" t="s">
        <v>848</v>
      </c>
    </row>
    <row r="19" spans="1:25">
      <c r="A19" s="196" t="s">
        <v>837</v>
      </c>
      <c r="B19" s="196" t="s">
        <v>850</v>
      </c>
      <c r="C19" s="196">
        <v>2014</v>
      </c>
      <c r="D19" s="196">
        <v>30</v>
      </c>
      <c r="E19" s="196" t="s">
        <v>860</v>
      </c>
      <c r="F19" s="196" t="s">
        <v>840</v>
      </c>
      <c r="G19" s="196">
        <v>380</v>
      </c>
      <c r="H19" s="196">
        <v>199</v>
      </c>
      <c r="I19" s="196">
        <v>390184</v>
      </c>
      <c r="J19" s="196">
        <v>1298702</v>
      </c>
      <c r="K19" s="196">
        <v>85.5</v>
      </c>
      <c r="L19" s="196">
        <v>6.67</v>
      </c>
      <c r="M19" s="196">
        <v>6640</v>
      </c>
      <c r="N19" s="196">
        <v>2036882</v>
      </c>
      <c r="O19" s="196">
        <v>2368</v>
      </c>
      <c r="P19" s="196" t="s">
        <v>841</v>
      </c>
      <c r="Q19" s="196" t="s">
        <v>842</v>
      </c>
      <c r="R19" s="196" t="s">
        <v>843</v>
      </c>
      <c r="S19" s="196" t="s">
        <v>844</v>
      </c>
      <c r="T19" s="196" t="s">
        <v>845</v>
      </c>
      <c r="U19" s="196" t="s">
        <v>846</v>
      </c>
      <c r="V19" s="196" t="s">
        <v>841</v>
      </c>
      <c r="W19" s="196" t="s">
        <v>847</v>
      </c>
      <c r="X19" s="196" t="s">
        <v>842</v>
      </c>
      <c r="Y19" s="196" t="s">
        <v>848</v>
      </c>
    </row>
    <row r="20" spans="1:25">
      <c r="A20" s="196" t="s">
        <v>837</v>
      </c>
      <c r="B20" s="196" t="s">
        <v>850</v>
      </c>
      <c r="C20" s="196">
        <v>2014</v>
      </c>
      <c r="D20" s="196">
        <v>30</v>
      </c>
      <c r="E20" s="196" t="s">
        <v>861</v>
      </c>
      <c r="F20" s="196" t="s">
        <v>840</v>
      </c>
      <c r="G20" s="196">
        <v>392</v>
      </c>
      <c r="H20" s="196">
        <v>193</v>
      </c>
      <c r="I20" s="196">
        <v>403848</v>
      </c>
      <c r="J20" s="196">
        <v>1242098</v>
      </c>
      <c r="K20" s="196">
        <v>85.5</v>
      </c>
      <c r="L20" s="196">
        <v>6.67</v>
      </c>
      <c r="M20" s="196">
        <v>6640</v>
      </c>
      <c r="N20" s="196">
        <v>2036882</v>
      </c>
      <c r="O20" s="196">
        <v>2368</v>
      </c>
      <c r="P20" s="196" t="s">
        <v>841</v>
      </c>
      <c r="Q20" s="196" t="s">
        <v>842</v>
      </c>
      <c r="R20" s="196" t="s">
        <v>843</v>
      </c>
      <c r="S20" s="196" t="s">
        <v>844</v>
      </c>
      <c r="T20" s="196" t="s">
        <v>845</v>
      </c>
      <c r="U20" s="196" t="s">
        <v>846</v>
      </c>
      <c r="V20" s="196" t="s">
        <v>841</v>
      </c>
      <c r="W20" s="196" t="s">
        <v>847</v>
      </c>
      <c r="X20" s="196" t="s">
        <v>842</v>
      </c>
      <c r="Y20" s="196" t="s">
        <v>848</v>
      </c>
    </row>
    <row r="21" spans="1:25">
      <c r="A21" s="196" t="s">
        <v>837</v>
      </c>
      <c r="B21" s="196" t="s">
        <v>850</v>
      </c>
      <c r="C21" s="196">
        <v>2014</v>
      </c>
      <c r="D21" s="196">
        <v>55</v>
      </c>
      <c r="E21" s="196" t="s">
        <v>862</v>
      </c>
      <c r="F21" s="196" t="s">
        <v>840</v>
      </c>
      <c r="G21" s="196">
        <v>927</v>
      </c>
      <c r="H21" s="196">
        <v>256</v>
      </c>
      <c r="I21" s="196">
        <v>854538</v>
      </c>
      <c r="J21" s="196">
        <v>1600550</v>
      </c>
      <c r="K21" s="196">
        <v>85.5</v>
      </c>
      <c r="L21" s="196">
        <v>6.67</v>
      </c>
      <c r="M21" s="196">
        <v>6640</v>
      </c>
      <c r="N21" s="196">
        <v>2036882</v>
      </c>
      <c r="O21" s="196">
        <v>2368</v>
      </c>
      <c r="P21" s="196" t="s">
        <v>841</v>
      </c>
      <c r="Q21" s="196" t="s">
        <v>842</v>
      </c>
      <c r="R21" s="196" t="s">
        <v>843</v>
      </c>
      <c r="S21" s="196" t="s">
        <v>844</v>
      </c>
      <c r="T21" s="196" t="s">
        <v>845</v>
      </c>
      <c r="U21" s="196" t="s">
        <v>846</v>
      </c>
      <c r="V21" s="196" t="s">
        <v>841</v>
      </c>
      <c r="W21" s="196" t="s">
        <v>847</v>
      </c>
      <c r="X21" s="196" t="s">
        <v>842</v>
      </c>
      <c r="Y21" s="196" t="s">
        <v>848</v>
      </c>
    </row>
    <row r="22" spans="1:25">
      <c r="A22" s="196" t="s">
        <v>837</v>
      </c>
      <c r="B22" s="196" t="s">
        <v>850</v>
      </c>
      <c r="C22" s="196">
        <v>2014</v>
      </c>
      <c r="D22" s="196">
        <v>55</v>
      </c>
      <c r="E22" s="196" t="s">
        <v>863</v>
      </c>
      <c r="F22" s="196" t="s">
        <v>840</v>
      </c>
      <c r="G22" s="196">
        <v>3</v>
      </c>
      <c r="H22" s="196">
        <v>3</v>
      </c>
      <c r="I22" s="196">
        <v>1348</v>
      </c>
      <c r="J22" s="196">
        <v>24653</v>
      </c>
      <c r="K22" s="196">
        <v>85.5</v>
      </c>
      <c r="L22" s="196">
        <v>6.67</v>
      </c>
      <c r="M22" s="196">
        <v>6640</v>
      </c>
      <c r="N22" s="196">
        <v>2036882</v>
      </c>
      <c r="O22" s="196">
        <v>2368</v>
      </c>
      <c r="P22" s="196" t="s">
        <v>841</v>
      </c>
      <c r="Q22" s="196" t="s">
        <v>842</v>
      </c>
      <c r="R22" s="196" t="s">
        <v>843</v>
      </c>
      <c r="S22" s="196" t="s">
        <v>844</v>
      </c>
      <c r="T22" s="196" t="s">
        <v>845</v>
      </c>
      <c r="U22" s="196" t="s">
        <v>846</v>
      </c>
      <c r="V22" s="196" t="s">
        <v>841</v>
      </c>
      <c r="W22" s="196" t="s">
        <v>847</v>
      </c>
      <c r="X22" s="196" t="s">
        <v>842</v>
      </c>
      <c r="Y22" s="196" t="s">
        <v>848</v>
      </c>
    </row>
    <row r="23" spans="1:25">
      <c r="A23" s="196" t="s">
        <v>837</v>
      </c>
      <c r="B23" s="196" t="s">
        <v>850</v>
      </c>
      <c r="C23" s="196">
        <v>2013</v>
      </c>
      <c r="D23" s="196">
        <v>30</v>
      </c>
      <c r="E23" s="196" t="s">
        <v>851</v>
      </c>
      <c r="F23" s="196" t="s">
        <v>864</v>
      </c>
      <c r="G23" s="196">
        <v>1</v>
      </c>
      <c r="H23" s="196">
        <v>1</v>
      </c>
      <c r="I23" s="196">
        <v>1629</v>
      </c>
      <c r="J23" s="196">
        <v>36555</v>
      </c>
      <c r="K23" s="196">
        <v>87.97</v>
      </c>
      <c r="L23" s="196">
        <v>2.83</v>
      </c>
      <c r="M23" s="196">
        <v>39896</v>
      </c>
      <c r="N23" s="196">
        <v>3189055</v>
      </c>
      <c r="O23" s="196">
        <v>2880</v>
      </c>
      <c r="P23" s="196" t="s">
        <v>865</v>
      </c>
      <c r="Q23" s="196" t="s">
        <v>866</v>
      </c>
      <c r="R23" s="196" t="s">
        <v>867</v>
      </c>
      <c r="S23" s="196" t="s">
        <v>844</v>
      </c>
      <c r="T23" s="196" t="s">
        <v>868</v>
      </c>
      <c r="U23" s="196" t="s">
        <v>869</v>
      </c>
      <c r="V23" s="196" t="s">
        <v>866</v>
      </c>
      <c r="W23" s="196" t="s">
        <v>870</v>
      </c>
      <c r="X23" s="196" t="s">
        <v>871</v>
      </c>
      <c r="Y23" s="196" t="s">
        <v>848</v>
      </c>
    </row>
    <row r="24" spans="1:25">
      <c r="A24" s="196" t="s">
        <v>837</v>
      </c>
      <c r="B24" s="196" t="s">
        <v>181</v>
      </c>
      <c r="C24" s="196">
        <v>2014</v>
      </c>
      <c r="D24" s="196">
        <v>55</v>
      </c>
      <c r="E24" s="196" t="s">
        <v>858</v>
      </c>
      <c r="F24" s="196" t="s">
        <v>864</v>
      </c>
      <c r="G24" s="196">
        <v>1</v>
      </c>
      <c r="H24" s="196">
        <v>1</v>
      </c>
      <c r="I24" s="196">
        <v>1146</v>
      </c>
      <c r="J24" s="196">
        <v>39170</v>
      </c>
      <c r="K24" s="196">
        <v>87.97</v>
      </c>
      <c r="L24" s="196">
        <v>2.83</v>
      </c>
      <c r="M24" s="196">
        <v>39896</v>
      </c>
      <c r="N24" s="196">
        <v>3189055</v>
      </c>
      <c r="O24" s="196">
        <v>2880</v>
      </c>
      <c r="P24" s="196" t="s">
        <v>865</v>
      </c>
      <c r="Q24" s="196" t="s">
        <v>866</v>
      </c>
      <c r="R24" s="196" t="s">
        <v>867</v>
      </c>
      <c r="S24" s="196" t="s">
        <v>844</v>
      </c>
      <c r="T24" s="196" t="s">
        <v>868</v>
      </c>
      <c r="U24" s="196" t="s">
        <v>869</v>
      </c>
      <c r="V24" s="196" t="s">
        <v>866</v>
      </c>
      <c r="W24" s="196" t="s">
        <v>870</v>
      </c>
      <c r="X24" s="196" t="s">
        <v>871</v>
      </c>
      <c r="Y24" s="196" t="s">
        <v>848</v>
      </c>
    </row>
    <row r="25" spans="1:25">
      <c r="A25" s="196" t="s">
        <v>837</v>
      </c>
      <c r="B25" s="196" t="s">
        <v>838</v>
      </c>
      <c r="C25" s="196">
        <v>2013</v>
      </c>
      <c r="D25" s="196">
        <v>30</v>
      </c>
      <c r="E25" s="196" t="s">
        <v>839</v>
      </c>
      <c r="F25" s="196" t="s">
        <v>872</v>
      </c>
      <c r="G25" s="196">
        <v>1</v>
      </c>
      <c r="H25" s="196">
        <v>1</v>
      </c>
      <c r="I25" s="196">
        <v>1164</v>
      </c>
      <c r="J25" s="196">
        <v>11466</v>
      </c>
      <c r="K25" s="196">
        <v>91.06</v>
      </c>
      <c r="L25" s="196">
        <v>4.6100000000000003</v>
      </c>
      <c r="M25" s="196">
        <v>14841</v>
      </c>
      <c r="N25" s="196">
        <v>1962950</v>
      </c>
      <c r="O25" s="196">
        <v>2070</v>
      </c>
      <c r="P25" s="196" t="s">
        <v>873</v>
      </c>
      <c r="Q25" s="196" t="s">
        <v>842</v>
      </c>
      <c r="R25" s="196" t="s">
        <v>843</v>
      </c>
      <c r="S25" s="196" t="s">
        <v>844</v>
      </c>
      <c r="T25" s="196" t="s">
        <v>845</v>
      </c>
      <c r="U25" s="196" t="s">
        <v>846</v>
      </c>
      <c r="V25" s="196" t="s">
        <v>841</v>
      </c>
      <c r="W25" s="196" t="s">
        <v>847</v>
      </c>
      <c r="X25" s="196" t="s">
        <v>842</v>
      </c>
      <c r="Y25" s="196" t="s">
        <v>848</v>
      </c>
    </row>
    <row r="26" spans="1:25">
      <c r="A26" s="196" t="s">
        <v>837</v>
      </c>
      <c r="B26" s="196" t="s">
        <v>838</v>
      </c>
      <c r="C26" s="196">
        <v>2013</v>
      </c>
      <c r="D26" s="196">
        <v>55</v>
      </c>
      <c r="E26" s="196" t="s">
        <v>849</v>
      </c>
      <c r="F26" s="196" t="s">
        <v>872</v>
      </c>
      <c r="G26" s="196">
        <v>40</v>
      </c>
      <c r="H26" s="196">
        <v>25</v>
      </c>
      <c r="I26" s="196">
        <v>36126</v>
      </c>
      <c r="J26" s="196">
        <v>236042</v>
      </c>
      <c r="K26" s="196">
        <v>91.06</v>
      </c>
      <c r="L26" s="196">
        <v>4.6100000000000003</v>
      </c>
      <c r="M26" s="196">
        <v>14841</v>
      </c>
      <c r="N26" s="196">
        <v>1962950</v>
      </c>
      <c r="O26" s="196">
        <v>2070</v>
      </c>
      <c r="P26" s="196" t="s">
        <v>873</v>
      </c>
      <c r="Q26" s="196" t="s">
        <v>842</v>
      </c>
      <c r="R26" s="196" t="s">
        <v>843</v>
      </c>
      <c r="S26" s="196" t="s">
        <v>844</v>
      </c>
      <c r="T26" s="196" t="s">
        <v>845</v>
      </c>
      <c r="U26" s="196" t="s">
        <v>846</v>
      </c>
      <c r="V26" s="196" t="s">
        <v>841</v>
      </c>
      <c r="W26" s="196" t="s">
        <v>847</v>
      </c>
      <c r="X26" s="196" t="s">
        <v>842</v>
      </c>
      <c r="Y26" s="196" t="s">
        <v>848</v>
      </c>
    </row>
    <row r="27" spans="1:25">
      <c r="A27" s="196" t="s">
        <v>837</v>
      </c>
      <c r="B27" s="196" t="s">
        <v>850</v>
      </c>
      <c r="C27" s="196">
        <v>2013</v>
      </c>
      <c r="D27" s="196">
        <v>30</v>
      </c>
      <c r="E27" s="196" t="s">
        <v>851</v>
      </c>
      <c r="F27" s="196" t="s">
        <v>872</v>
      </c>
      <c r="G27" s="196">
        <v>60</v>
      </c>
      <c r="H27" s="196">
        <v>38</v>
      </c>
      <c r="I27" s="196">
        <v>52898</v>
      </c>
      <c r="J27" s="196">
        <v>538630</v>
      </c>
      <c r="K27" s="196">
        <v>91.06</v>
      </c>
      <c r="L27" s="196">
        <v>4.6100000000000003</v>
      </c>
      <c r="M27" s="196">
        <v>14841</v>
      </c>
      <c r="N27" s="196">
        <v>1962950</v>
      </c>
      <c r="O27" s="196">
        <v>2070</v>
      </c>
      <c r="P27" s="196" t="s">
        <v>873</v>
      </c>
      <c r="Q27" s="196" t="s">
        <v>842</v>
      </c>
      <c r="R27" s="196" t="s">
        <v>843</v>
      </c>
      <c r="S27" s="196" t="s">
        <v>844</v>
      </c>
      <c r="T27" s="196" t="s">
        <v>845</v>
      </c>
      <c r="U27" s="196" t="s">
        <v>846</v>
      </c>
      <c r="V27" s="196" t="s">
        <v>841</v>
      </c>
      <c r="W27" s="196" t="s">
        <v>847</v>
      </c>
      <c r="X27" s="196" t="s">
        <v>842</v>
      </c>
      <c r="Y27" s="196" t="s">
        <v>848</v>
      </c>
    </row>
    <row r="28" spans="1:25">
      <c r="A28" s="196" t="s">
        <v>837</v>
      </c>
      <c r="B28" s="196" t="s">
        <v>850</v>
      </c>
      <c r="C28" s="196">
        <v>2013</v>
      </c>
      <c r="D28" s="196">
        <v>55</v>
      </c>
      <c r="E28" s="196" t="s">
        <v>852</v>
      </c>
      <c r="F28" s="196" t="s">
        <v>872</v>
      </c>
      <c r="G28" s="196">
        <v>13</v>
      </c>
      <c r="H28" s="196">
        <v>13</v>
      </c>
      <c r="I28" s="196">
        <v>13434</v>
      </c>
      <c r="J28" s="196">
        <v>82974</v>
      </c>
      <c r="K28" s="196">
        <v>91.06</v>
      </c>
      <c r="L28" s="196">
        <v>4.6100000000000003</v>
      </c>
      <c r="M28" s="196">
        <v>14841</v>
      </c>
      <c r="N28" s="196">
        <v>1962950</v>
      </c>
      <c r="O28" s="196">
        <v>2070</v>
      </c>
      <c r="P28" s="196" t="s">
        <v>873</v>
      </c>
      <c r="Q28" s="196" t="s">
        <v>842</v>
      </c>
      <c r="R28" s="196" t="s">
        <v>843</v>
      </c>
      <c r="S28" s="196" t="s">
        <v>844</v>
      </c>
      <c r="T28" s="196" t="s">
        <v>845</v>
      </c>
      <c r="U28" s="196" t="s">
        <v>846</v>
      </c>
      <c r="V28" s="196" t="s">
        <v>841</v>
      </c>
      <c r="W28" s="196" t="s">
        <v>847</v>
      </c>
      <c r="X28" s="196" t="s">
        <v>842</v>
      </c>
      <c r="Y28" s="196" t="s">
        <v>848</v>
      </c>
    </row>
    <row r="29" spans="1:25">
      <c r="A29" s="196" t="s">
        <v>837</v>
      </c>
      <c r="B29" s="196" t="s">
        <v>181</v>
      </c>
      <c r="C29" s="196">
        <v>2014</v>
      </c>
      <c r="D29" s="196">
        <v>80</v>
      </c>
      <c r="E29" s="196" t="s">
        <v>874</v>
      </c>
      <c r="F29" s="196" t="s">
        <v>872</v>
      </c>
      <c r="G29" s="196">
        <v>1</v>
      </c>
      <c r="H29" s="196">
        <v>1</v>
      </c>
      <c r="I29" s="196">
        <v>1266</v>
      </c>
      <c r="J29" s="196">
        <v>5580</v>
      </c>
      <c r="K29" s="196">
        <v>91.06</v>
      </c>
      <c r="L29" s="196">
        <v>4.6100000000000003</v>
      </c>
      <c r="M29" s="196">
        <v>14841</v>
      </c>
      <c r="N29" s="196">
        <v>1962950</v>
      </c>
      <c r="O29" s="196">
        <v>2070</v>
      </c>
      <c r="P29" s="196" t="s">
        <v>873</v>
      </c>
      <c r="Q29" s="196" t="s">
        <v>842</v>
      </c>
      <c r="R29" s="196" t="s">
        <v>843</v>
      </c>
      <c r="S29" s="196" t="s">
        <v>844</v>
      </c>
      <c r="T29" s="196" t="s">
        <v>845</v>
      </c>
      <c r="U29" s="196" t="s">
        <v>846</v>
      </c>
      <c r="V29" s="196" t="s">
        <v>841</v>
      </c>
      <c r="W29" s="196" t="s">
        <v>847</v>
      </c>
      <c r="X29" s="196" t="s">
        <v>842</v>
      </c>
      <c r="Y29" s="196" t="s">
        <v>848</v>
      </c>
    </row>
    <row r="30" spans="1:25">
      <c r="A30" s="196" t="s">
        <v>837</v>
      </c>
      <c r="B30" s="196" t="s">
        <v>850</v>
      </c>
      <c r="C30" s="196">
        <v>2014</v>
      </c>
      <c r="D30" s="196">
        <v>80</v>
      </c>
      <c r="E30" s="196" t="s">
        <v>875</v>
      </c>
      <c r="F30" s="196" t="s">
        <v>872</v>
      </c>
      <c r="G30" s="196">
        <v>3</v>
      </c>
      <c r="H30" s="196">
        <v>3</v>
      </c>
      <c r="I30" s="196">
        <v>3960</v>
      </c>
      <c r="J30" s="196">
        <v>77117</v>
      </c>
      <c r="K30" s="196">
        <v>91.06</v>
      </c>
      <c r="L30" s="196">
        <v>4.6100000000000003</v>
      </c>
      <c r="M30" s="196">
        <v>14841</v>
      </c>
      <c r="N30" s="196">
        <v>1962950</v>
      </c>
      <c r="O30" s="196">
        <v>2070</v>
      </c>
      <c r="P30" s="196" t="s">
        <v>873</v>
      </c>
      <c r="Q30" s="196" t="s">
        <v>842</v>
      </c>
      <c r="R30" s="196" t="s">
        <v>843</v>
      </c>
      <c r="S30" s="196" t="s">
        <v>844</v>
      </c>
      <c r="T30" s="196" t="s">
        <v>845</v>
      </c>
      <c r="U30" s="196" t="s">
        <v>846</v>
      </c>
      <c r="V30" s="196" t="s">
        <v>841</v>
      </c>
      <c r="W30" s="196" t="s">
        <v>847</v>
      </c>
      <c r="X30" s="196" t="s">
        <v>842</v>
      </c>
      <c r="Y30" s="196" t="s">
        <v>848</v>
      </c>
    </row>
    <row r="31" spans="1:25">
      <c r="A31" s="196" t="s">
        <v>837</v>
      </c>
      <c r="B31" s="196" t="s">
        <v>181</v>
      </c>
      <c r="C31" s="196">
        <v>2013</v>
      </c>
      <c r="D31" s="196">
        <v>80</v>
      </c>
      <c r="E31" s="196" t="s">
        <v>876</v>
      </c>
      <c r="F31" s="196" t="s">
        <v>872</v>
      </c>
      <c r="G31" s="196">
        <v>2</v>
      </c>
      <c r="H31" s="196">
        <v>2</v>
      </c>
      <c r="I31" s="196">
        <v>1764</v>
      </c>
      <c r="J31" s="196">
        <v>33903</v>
      </c>
      <c r="K31" s="196">
        <v>91.06</v>
      </c>
      <c r="L31" s="196">
        <v>4.6100000000000003</v>
      </c>
      <c r="M31" s="196">
        <v>14841</v>
      </c>
      <c r="N31" s="196">
        <v>1962950</v>
      </c>
      <c r="O31" s="196">
        <v>2070</v>
      </c>
      <c r="P31" s="196" t="s">
        <v>873</v>
      </c>
      <c r="Q31" s="196" t="s">
        <v>842</v>
      </c>
      <c r="R31" s="196" t="s">
        <v>843</v>
      </c>
      <c r="S31" s="196" t="s">
        <v>844</v>
      </c>
      <c r="T31" s="196" t="s">
        <v>845</v>
      </c>
      <c r="U31" s="196" t="s">
        <v>846</v>
      </c>
      <c r="V31" s="196" t="s">
        <v>841</v>
      </c>
      <c r="W31" s="196" t="s">
        <v>847</v>
      </c>
      <c r="X31" s="196" t="s">
        <v>842</v>
      </c>
      <c r="Y31" s="196" t="s">
        <v>848</v>
      </c>
    </row>
    <row r="32" spans="1:25">
      <c r="A32" s="196" t="s">
        <v>837</v>
      </c>
      <c r="B32" s="196" t="s">
        <v>838</v>
      </c>
      <c r="C32" s="196">
        <v>2014</v>
      </c>
      <c r="D32" s="196">
        <v>55</v>
      </c>
      <c r="E32" s="196" t="s">
        <v>854</v>
      </c>
      <c r="F32" s="196" t="s">
        <v>872</v>
      </c>
      <c r="G32" s="196">
        <v>32</v>
      </c>
      <c r="H32" s="196">
        <v>27</v>
      </c>
      <c r="I32" s="196">
        <v>28833</v>
      </c>
      <c r="J32" s="196">
        <v>339355</v>
      </c>
      <c r="K32" s="196">
        <v>91.06</v>
      </c>
      <c r="L32" s="196">
        <v>4.6100000000000003</v>
      </c>
      <c r="M32" s="196">
        <v>14841</v>
      </c>
      <c r="N32" s="196">
        <v>1962950</v>
      </c>
      <c r="O32" s="196">
        <v>2070</v>
      </c>
      <c r="P32" s="196" t="s">
        <v>873</v>
      </c>
      <c r="Q32" s="196" t="s">
        <v>842</v>
      </c>
      <c r="R32" s="196" t="s">
        <v>843</v>
      </c>
      <c r="S32" s="196" t="s">
        <v>844</v>
      </c>
      <c r="T32" s="196" t="s">
        <v>845</v>
      </c>
      <c r="U32" s="196" t="s">
        <v>846</v>
      </c>
      <c r="V32" s="196" t="s">
        <v>841</v>
      </c>
      <c r="W32" s="196" t="s">
        <v>847</v>
      </c>
      <c r="X32" s="196" t="s">
        <v>842</v>
      </c>
      <c r="Y32" s="196" t="s">
        <v>848</v>
      </c>
    </row>
    <row r="33" spans="1:25">
      <c r="A33" s="196" t="s">
        <v>837</v>
      </c>
      <c r="B33" s="196" t="s">
        <v>838</v>
      </c>
      <c r="C33" s="196">
        <v>2014</v>
      </c>
      <c r="D33" s="196">
        <v>55</v>
      </c>
      <c r="E33" s="196" t="s">
        <v>855</v>
      </c>
      <c r="F33" s="196" t="s">
        <v>872</v>
      </c>
      <c r="G33" s="196">
        <v>1</v>
      </c>
      <c r="H33" s="196">
        <v>1</v>
      </c>
      <c r="I33" s="196">
        <v>1074</v>
      </c>
      <c r="J33" s="196">
        <v>7734</v>
      </c>
      <c r="K33" s="196">
        <v>91.06</v>
      </c>
      <c r="L33" s="196">
        <v>4.6100000000000003</v>
      </c>
      <c r="M33" s="196">
        <v>14841</v>
      </c>
      <c r="N33" s="196">
        <v>1962950</v>
      </c>
      <c r="O33" s="196">
        <v>2070</v>
      </c>
      <c r="P33" s="196" t="s">
        <v>873</v>
      </c>
      <c r="Q33" s="196" t="s">
        <v>842</v>
      </c>
      <c r="R33" s="196" t="s">
        <v>843</v>
      </c>
      <c r="S33" s="196" t="s">
        <v>844</v>
      </c>
      <c r="T33" s="196" t="s">
        <v>845</v>
      </c>
      <c r="U33" s="196" t="s">
        <v>846</v>
      </c>
      <c r="V33" s="196" t="s">
        <v>841</v>
      </c>
      <c r="W33" s="196" t="s">
        <v>847</v>
      </c>
      <c r="X33" s="196" t="s">
        <v>842</v>
      </c>
      <c r="Y33" s="196" t="s">
        <v>848</v>
      </c>
    </row>
    <row r="34" spans="1:25">
      <c r="A34" s="196" t="s">
        <v>837</v>
      </c>
      <c r="B34" s="196" t="s">
        <v>181</v>
      </c>
      <c r="C34" s="196">
        <v>2014</v>
      </c>
      <c r="D34" s="196">
        <v>30</v>
      </c>
      <c r="E34" s="196" t="s">
        <v>856</v>
      </c>
      <c r="F34" s="196" t="s">
        <v>872</v>
      </c>
      <c r="G34" s="196">
        <v>255</v>
      </c>
      <c r="H34" s="196">
        <v>97</v>
      </c>
      <c r="I34" s="196">
        <v>300014</v>
      </c>
      <c r="J34" s="196">
        <v>1446394</v>
      </c>
      <c r="K34" s="196">
        <v>91.06</v>
      </c>
      <c r="L34" s="196">
        <v>4.6100000000000003</v>
      </c>
      <c r="M34" s="196">
        <v>14841</v>
      </c>
      <c r="N34" s="196">
        <v>1962950</v>
      </c>
      <c r="O34" s="196">
        <v>2070</v>
      </c>
      <c r="P34" s="196" t="s">
        <v>873</v>
      </c>
      <c r="Q34" s="196" t="s">
        <v>842</v>
      </c>
      <c r="R34" s="196" t="s">
        <v>843</v>
      </c>
      <c r="S34" s="196" t="s">
        <v>844</v>
      </c>
      <c r="T34" s="196" t="s">
        <v>845</v>
      </c>
      <c r="U34" s="196" t="s">
        <v>846</v>
      </c>
      <c r="V34" s="196" t="s">
        <v>841</v>
      </c>
      <c r="W34" s="196" t="s">
        <v>847</v>
      </c>
      <c r="X34" s="196" t="s">
        <v>842</v>
      </c>
      <c r="Y34" s="196" t="s">
        <v>848</v>
      </c>
    </row>
    <row r="35" spans="1:25">
      <c r="A35" s="196" t="s">
        <v>837</v>
      </c>
      <c r="B35" s="196" t="s">
        <v>181</v>
      </c>
      <c r="C35" s="196">
        <v>2014</v>
      </c>
      <c r="D35" s="196">
        <v>30</v>
      </c>
      <c r="E35" s="196" t="s">
        <v>857</v>
      </c>
      <c r="F35" s="196" t="s">
        <v>872</v>
      </c>
      <c r="G35" s="196">
        <v>8</v>
      </c>
      <c r="H35" s="196">
        <v>7</v>
      </c>
      <c r="I35" s="196">
        <v>12327</v>
      </c>
      <c r="J35" s="196">
        <v>78860</v>
      </c>
      <c r="K35" s="196">
        <v>91.06</v>
      </c>
      <c r="L35" s="196">
        <v>4.6100000000000003</v>
      </c>
      <c r="M35" s="196">
        <v>14841</v>
      </c>
      <c r="N35" s="196">
        <v>1962950</v>
      </c>
      <c r="O35" s="196">
        <v>2070</v>
      </c>
      <c r="P35" s="196" t="s">
        <v>873</v>
      </c>
      <c r="Q35" s="196" t="s">
        <v>842</v>
      </c>
      <c r="R35" s="196" t="s">
        <v>843</v>
      </c>
      <c r="S35" s="196" t="s">
        <v>844</v>
      </c>
      <c r="T35" s="196" t="s">
        <v>845</v>
      </c>
      <c r="U35" s="196" t="s">
        <v>846</v>
      </c>
      <c r="V35" s="196" t="s">
        <v>841</v>
      </c>
      <c r="W35" s="196" t="s">
        <v>847</v>
      </c>
      <c r="X35" s="196" t="s">
        <v>842</v>
      </c>
      <c r="Y35" s="196" t="s">
        <v>848</v>
      </c>
    </row>
    <row r="36" spans="1:25">
      <c r="A36" s="196" t="s">
        <v>837</v>
      </c>
      <c r="B36" s="196" t="s">
        <v>181</v>
      </c>
      <c r="C36" s="196">
        <v>2014</v>
      </c>
      <c r="D36" s="196">
        <v>55</v>
      </c>
      <c r="E36" s="196" t="s">
        <v>858</v>
      </c>
      <c r="F36" s="196" t="s">
        <v>872</v>
      </c>
      <c r="G36" s="196">
        <v>9</v>
      </c>
      <c r="H36" s="196">
        <v>9</v>
      </c>
      <c r="I36" s="196">
        <v>10191</v>
      </c>
      <c r="J36" s="196">
        <v>99611</v>
      </c>
      <c r="K36" s="196">
        <v>91.06</v>
      </c>
      <c r="L36" s="196">
        <v>4.6100000000000003</v>
      </c>
      <c r="M36" s="196">
        <v>14841</v>
      </c>
      <c r="N36" s="196">
        <v>1962950</v>
      </c>
      <c r="O36" s="196">
        <v>2070</v>
      </c>
      <c r="P36" s="196" t="s">
        <v>873</v>
      </c>
      <c r="Q36" s="196" t="s">
        <v>842</v>
      </c>
      <c r="R36" s="196" t="s">
        <v>843</v>
      </c>
      <c r="S36" s="196" t="s">
        <v>844</v>
      </c>
      <c r="T36" s="196" t="s">
        <v>845</v>
      </c>
      <c r="U36" s="196" t="s">
        <v>846</v>
      </c>
      <c r="V36" s="196" t="s">
        <v>841</v>
      </c>
      <c r="W36" s="196" t="s">
        <v>847</v>
      </c>
      <c r="X36" s="196" t="s">
        <v>842</v>
      </c>
      <c r="Y36" s="196" t="s">
        <v>848</v>
      </c>
    </row>
    <row r="37" spans="1:25">
      <c r="A37" s="196" t="s">
        <v>837</v>
      </c>
      <c r="B37" s="196" t="s">
        <v>181</v>
      </c>
      <c r="C37" s="196">
        <v>2014</v>
      </c>
      <c r="D37" s="196">
        <v>55</v>
      </c>
      <c r="E37" s="196" t="s">
        <v>859</v>
      </c>
      <c r="F37" s="196" t="s">
        <v>872</v>
      </c>
      <c r="G37" s="196">
        <v>13</v>
      </c>
      <c r="H37" s="196">
        <v>11</v>
      </c>
      <c r="I37" s="196">
        <v>14430</v>
      </c>
      <c r="J37" s="196">
        <v>188819</v>
      </c>
      <c r="K37" s="196">
        <v>91.06</v>
      </c>
      <c r="L37" s="196">
        <v>4.6100000000000003</v>
      </c>
      <c r="M37" s="196">
        <v>14841</v>
      </c>
      <c r="N37" s="196">
        <v>1962950</v>
      </c>
      <c r="O37" s="196">
        <v>2070</v>
      </c>
      <c r="P37" s="196" t="s">
        <v>873</v>
      </c>
      <c r="Q37" s="196" t="s">
        <v>842</v>
      </c>
      <c r="R37" s="196" t="s">
        <v>843</v>
      </c>
      <c r="S37" s="196" t="s">
        <v>844</v>
      </c>
      <c r="T37" s="196" t="s">
        <v>845</v>
      </c>
      <c r="U37" s="196" t="s">
        <v>846</v>
      </c>
      <c r="V37" s="196" t="s">
        <v>841</v>
      </c>
      <c r="W37" s="196" t="s">
        <v>847</v>
      </c>
      <c r="X37" s="196" t="s">
        <v>842</v>
      </c>
      <c r="Y37" s="196" t="s">
        <v>848</v>
      </c>
    </row>
    <row r="38" spans="1:25">
      <c r="A38" s="196" t="s">
        <v>837</v>
      </c>
      <c r="B38" s="196" t="s">
        <v>850</v>
      </c>
      <c r="C38" s="196">
        <v>2014</v>
      </c>
      <c r="D38" s="196">
        <v>30</v>
      </c>
      <c r="E38" s="196" t="s">
        <v>860</v>
      </c>
      <c r="F38" s="196" t="s">
        <v>872</v>
      </c>
      <c r="G38" s="196">
        <v>821</v>
      </c>
      <c r="H38" s="196">
        <v>129</v>
      </c>
      <c r="I38" s="196">
        <v>844910</v>
      </c>
      <c r="J38" s="196">
        <v>1690440</v>
      </c>
      <c r="K38" s="196">
        <v>91.06</v>
      </c>
      <c r="L38" s="196">
        <v>4.6100000000000003</v>
      </c>
      <c r="M38" s="196">
        <v>14841</v>
      </c>
      <c r="N38" s="196">
        <v>1962950</v>
      </c>
      <c r="O38" s="196">
        <v>2070</v>
      </c>
      <c r="P38" s="196" t="s">
        <v>873</v>
      </c>
      <c r="Q38" s="196" t="s">
        <v>842</v>
      </c>
      <c r="R38" s="196" t="s">
        <v>843</v>
      </c>
      <c r="S38" s="196" t="s">
        <v>844</v>
      </c>
      <c r="T38" s="196" t="s">
        <v>845</v>
      </c>
      <c r="U38" s="196" t="s">
        <v>846</v>
      </c>
      <c r="V38" s="196" t="s">
        <v>841</v>
      </c>
      <c r="W38" s="196" t="s">
        <v>847</v>
      </c>
      <c r="X38" s="196" t="s">
        <v>842</v>
      </c>
      <c r="Y38" s="196" t="s">
        <v>848</v>
      </c>
    </row>
    <row r="39" spans="1:25">
      <c r="A39" s="196" t="s">
        <v>837</v>
      </c>
      <c r="B39" s="196" t="s">
        <v>850</v>
      </c>
      <c r="C39" s="196">
        <v>2014</v>
      </c>
      <c r="D39" s="196">
        <v>30</v>
      </c>
      <c r="E39" s="196" t="s">
        <v>861</v>
      </c>
      <c r="F39" s="196" t="s">
        <v>872</v>
      </c>
      <c r="G39" s="196">
        <v>26</v>
      </c>
      <c r="H39" s="196">
        <v>20</v>
      </c>
      <c r="I39" s="196">
        <v>23605</v>
      </c>
      <c r="J39" s="196">
        <v>303073</v>
      </c>
      <c r="K39" s="196">
        <v>91.06</v>
      </c>
      <c r="L39" s="196">
        <v>4.6100000000000003</v>
      </c>
      <c r="M39" s="196">
        <v>14841</v>
      </c>
      <c r="N39" s="196">
        <v>1962950</v>
      </c>
      <c r="O39" s="196">
        <v>2070</v>
      </c>
      <c r="P39" s="196" t="s">
        <v>873</v>
      </c>
      <c r="Q39" s="196" t="s">
        <v>842</v>
      </c>
      <c r="R39" s="196" t="s">
        <v>843</v>
      </c>
      <c r="S39" s="196" t="s">
        <v>844</v>
      </c>
      <c r="T39" s="196" t="s">
        <v>845</v>
      </c>
      <c r="U39" s="196" t="s">
        <v>846</v>
      </c>
      <c r="V39" s="196" t="s">
        <v>841</v>
      </c>
      <c r="W39" s="196" t="s">
        <v>847</v>
      </c>
      <c r="X39" s="196" t="s">
        <v>842</v>
      </c>
      <c r="Y39" s="196" t="s">
        <v>848</v>
      </c>
    </row>
    <row r="40" spans="1:25">
      <c r="A40" s="196" t="s">
        <v>837</v>
      </c>
      <c r="B40" s="196" t="s">
        <v>850</v>
      </c>
      <c r="C40" s="196">
        <v>2014</v>
      </c>
      <c r="D40" s="196">
        <v>55</v>
      </c>
      <c r="E40" s="196" t="s">
        <v>862</v>
      </c>
      <c r="F40" s="196" t="s">
        <v>872</v>
      </c>
      <c r="G40" s="196">
        <v>71</v>
      </c>
      <c r="H40" s="196">
        <v>42</v>
      </c>
      <c r="I40" s="196">
        <v>59149</v>
      </c>
      <c r="J40" s="196">
        <v>582684</v>
      </c>
      <c r="K40" s="196">
        <v>91.06</v>
      </c>
      <c r="L40" s="196">
        <v>4.6100000000000003</v>
      </c>
      <c r="M40" s="196">
        <v>14841</v>
      </c>
      <c r="N40" s="196">
        <v>1962950</v>
      </c>
      <c r="O40" s="196">
        <v>2070</v>
      </c>
      <c r="P40" s="196" t="s">
        <v>873</v>
      </c>
      <c r="Q40" s="196" t="s">
        <v>842</v>
      </c>
      <c r="R40" s="196" t="s">
        <v>843</v>
      </c>
      <c r="S40" s="196" t="s">
        <v>844</v>
      </c>
      <c r="T40" s="196" t="s">
        <v>845</v>
      </c>
      <c r="U40" s="196" t="s">
        <v>846</v>
      </c>
      <c r="V40" s="196" t="s">
        <v>841</v>
      </c>
      <c r="W40" s="196" t="s">
        <v>847</v>
      </c>
      <c r="X40" s="196" t="s">
        <v>842</v>
      </c>
      <c r="Y40" s="196" t="s">
        <v>848</v>
      </c>
    </row>
    <row r="41" spans="1:25">
      <c r="A41" s="196" t="s">
        <v>837</v>
      </c>
      <c r="B41" s="196" t="s">
        <v>850</v>
      </c>
      <c r="C41" s="196">
        <v>2014</v>
      </c>
      <c r="D41" s="196">
        <v>55</v>
      </c>
      <c r="E41" s="196" t="s">
        <v>863</v>
      </c>
      <c r="F41" s="196" t="s">
        <v>872</v>
      </c>
      <c r="G41" s="196">
        <v>1</v>
      </c>
      <c r="H41" s="196">
        <v>1</v>
      </c>
      <c r="I41" s="196">
        <v>1041</v>
      </c>
      <c r="J41" s="196">
        <v>6763</v>
      </c>
      <c r="K41" s="196">
        <v>91.06</v>
      </c>
      <c r="L41" s="196">
        <v>4.6100000000000003</v>
      </c>
      <c r="M41" s="196">
        <v>14841</v>
      </c>
      <c r="N41" s="196">
        <v>1962950</v>
      </c>
      <c r="O41" s="196">
        <v>2070</v>
      </c>
      <c r="P41" s="196" t="s">
        <v>873</v>
      </c>
      <c r="Q41" s="196" t="s">
        <v>842</v>
      </c>
      <c r="R41" s="196" t="s">
        <v>843</v>
      </c>
      <c r="S41" s="196" t="s">
        <v>844</v>
      </c>
      <c r="T41" s="196" t="s">
        <v>845</v>
      </c>
      <c r="U41" s="196" t="s">
        <v>846</v>
      </c>
      <c r="V41" s="196" t="s">
        <v>841</v>
      </c>
      <c r="W41" s="196" t="s">
        <v>847</v>
      </c>
      <c r="X41" s="196" t="s">
        <v>842</v>
      </c>
      <c r="Y41" s="196" t="s">
        <v>848</v>
      </c>
    </row>
    <row r="42" spans="1:25">
      <c r="A42" s="196" t="s">
        <v>837</v>
      </c>
      <c r="B42" s="196" t="s">
        <v>850</v>
      </c>
      <c r="C42" s="196">
        <v>2013</v>
      </c>
      <c r="D42" s="196">
        <v>30</v>
      </c>
      <c r="E42" s="196" t="s">
        <v>851</v>
      </c>
      <c r="F42" s="196" t="s">
        <v>877</v>
      </c>
      <c r="G42" s="196">
        <v>1</v>
      </c>
      <c r="H42" s="196">
        <v>1</v>
      </c>
      <c r="I42" s="196">
        <v>999</v>
      </c>
      <c r="J42" s="196">
        <v>5120</v>
      </c>
      <c r="K42" s="196">
        <v>85.66</v>
      </c>
      <c r="L42" s="196">
        <v>2.4300000000000002</v>
      </c>
      <c r="M42" s="196">
        <v>7230</v>
      </c>
      <c r="N42" s="196">
        <v>1045173</v>
      </c>
      <c r="O42" s="196">
        <v>1004</v>
      </c>
      <c r="P42" s="196" t="s">
        <v>878</v>
      </c>
      <c r="Q42" s="196" t="s">
        <v>879</v>
      </c>
      <c r="R42" s="196" t="s">
        <v>880</v>
      </c>
      <c r="S42" s="196" t="s">
        <v>844</v>
      </c>
      <c r="T42" s="196" t="s">
        <v>881</v>
      </c>
      <c r="U42" s="196" t="s">
        <v>879</v>
      </c>
      <c r="V42" s="196" t="s">
        <v>882</v>
      </c>
      <c r="W42" s="196" t="s">
        <v>883</v>
      </c>
      <c r="X42" s="196" t="s">
        <v>884</v>
      </c>
      <c r="Y42" s="196" t="s">
        <v>848</v>
      </c>
    </row>
    <row r="43" spans="1:25">
      <c r="A43" s="196" t="s">
        <v>837</v>
      </c>
      <c r="B43" s="196" t="s">
        <v>181</v>
      </c>
      <c r="C43" s="196">
        <v>2014</v>
      </c>
      <c r="D43" s="196">
        <v>80</v>
      </c>
      <c r="E43" s="196" t="s">
        <v>874</v>
      </c>
      <c r="F43" s="196" t="s">
        <v>877</v>
      </c>
      <c r="G43" s="196">
        <v>1</v>
      </c>
      <c r="H43" s="196">
        <v>1</v>
      </c>
      <c r="I43" s="196">
        <v>987</v>
      </c>
      <c r="J43" s="196">
        <v>4871</v>
      </c>
      <c r="K43" s="196">
        <v>85.66</v>
      </c>
      <c r="L43" s="196">
        <v>2.4300000000000002</v>
      </c>
      <c r="M43" s="196">
        <v>7230</v>
      </c>
      <c r="N43" s="196">
        <v>1045173</v>
      </c>
      <c r="O43" s="196">
        <v>1004</v>
      </c>
      <c r="P43" s="196" t="s">
        <v>878</v>
      </c>
      <c r="Q43" s="196" t="s">
        <v>879</v>
      </c>
      <c r="R43" s="196" t="s">
        <v>880</v>
      </c>
      <c r="S43" s="196" t="s">
        <v>844</v>
      </c>
      <c r="T43" s="196" t="s">
        <v>881</v>
      </c>
      <c r="U43" s="196" t="s">
        <v>879</v>
      </c>
      <c r="V43" s="196" t="s">
        <v>882</v>
      </c>
      <c r="W43" s="196" t="s">
        <v>883</v>
      </c>
      <c r="X43" s="196" t="s">
        <v>884</v>
      </c>
      <c r="Y43" s="196" t="s">
        <v>848</v>
      </c>
    </row>
    <row r="44" spans="1:25">
      <c r="A44" s="196" t="s">
        <v>837</v>
      </c>
      <c r="B44" s="196" t="s">
        <v>850</v>
      </c>
      <c r="C44" s="196">
        <v>2014</v>
      </c>
      <c r="D44" s="196">
        <v>55</v>
      </c>
      <c r="E44" s="196" t="s">
        <v>862</v>
      </c>
      <c r="F44" s="196" t="s">
        <v>877</v>
      </c>
      <c r="G44" s="196">
        <v>1</v>
      </c>
      <c r="H44" s="196">
        <v>1</v>
      </c>
      <c r="I44" s="196">
        <v>537</v>
      </c>
      <c r="J44" s="196">
        <v>5174</v>
      </c>
      <c r="K44" s="196">
        <v>85.66</v>
      </c>
      <c r="L44" s="196">
        <v>2.4300000000000002</v>
      </c>
      <c r="M44" s="196">
        <v>7230</v>
      </c>
      <c r="N44" s="196">
        <v>1045173</v>
      </c>
      <c r="O44" s="196">
        <v>1004</v>
      </c>
      <c r="P44" s="196" t="s">
        <v>878</v>
      </c>
      <c r="Q44" s="196" t="s">
        <v>879</v>
      </c>
      <c r="R44" s="196" t="s">
        <v>880</v>
      </c>
      <c r="S44" s="196" t="s">
        <v>844</v>
      </c>
      <c r="T44" s="196" t="s">
        <v>881</v>
      </c>
      <c r="U44" s="196" t="s">
        <v>879</v>
      </c>
      <c r="V44" s="196" t="s">
        <v>882</v>
      </c>
      <c r="W44" s="196" t="s">
        <v>883</v>
      </c>
      <c r="X44" s="196" t="s">
        <v>884</v>
      </c>
      <c r="Y44" s="196" t="s">
        <v>848</v>
      </c>
    </row>
    <row r="45" spans="1:25">
      <c r="A45" s="196" t="s">
        <v>837</v>
      </c>
      <c r="B45" s="196" t="s">
        <v>838</v>
      </c>
      <c r="C45" s="196">
        <v>2013</v>
      </c>
      <c r="D45" s="196">
        <v>55</v>
      </c>
      <c r="E45" s="196" t="s">
        <v>849</v>
      </c>
      <c r="F45" s="196" t="s">
        <v>885</v>
      </c>
      <c r="G45" s="196">
        <v>1</v>
      </c>
      <c r="H45" s="196">
        <v>1</v>
      </c>
      <c r="I45" s="196">
        <v>1059</v>
      </c>
      <c r="J45" s="196">
        <v>9315</v>
      </c>
      <c r="K45" s="196">
        <v>88.71</v>
      </c>
      <c r="L45" s="196">
        <v>1.18</v>
      </c>
      <c r="M45" s="196">
        <v>8160</v>
      </c>
      <c r="N45" s="196">
        <v>1282660</v>
      </c>
      <c r="O45" s="196">
        <v>1279</v>
      </c>
      <c r="P45" s="196" t="s">
        <v>886</v>
      </c>
      <c r="Q45" s="196" t="s">
        <v>886</v>
      </c>
      <c r="R45" s="196" t="s">
        <v>887</v>
      </c>
      <c r="S45" s="196" t="s">
        <v>844</v>
      </c>
      <c r="T45" s="196" t="s">
        <v>888</v>
      </c>
      <c r="U45" s="196" t="s">
        <v>889</v>
      </c>
      <c r="V45" s="196" t="s">
        <v>886</v>
      </c>
      <c r="W45" s="196" t="s">
        <v>890</v>
      </c>
      <c r="X45" s="196" t="s">
        <v>848</v>
      </c>
      <c r="Y45" s="196" t="s">
        <v>848</v>
      </c>
    </row>
    <row r="46" spans="1:25">
      <c r="A46" s="196" t="s">
        <v>837</v>
      </c>
      <c r="B46" s="196" t="s">
        <v>850</v>
      </c>
      <c r="C46" s="196">
        <v>2013</v>
      </c>
      <c r="D46" s="196">
        <v>30</v>
      </c>
      <c r="E46" s="196" t="s">
        <v>851</v>
      </c>
      <c r="F46" s="196" t="s">
        <v>885</v>
      </c>
      <c r="G46" s="196">
        <v>1</v>
      </c>
      <c r="H46" s="196">
        <v>1</v>
      </c>
      <c r="I46" s="196">
        <v>1125</v>
      </c>
      <c r="J46" s="196">
        <v>9662</v>
      </c>
      <c r="K46" s="196">
        <v>88.71</v>
      </c>
      <c r="L46" s="196">
        <v>1.18</v>
      </c>
      <c r="M46" s="196">
        <v>8160</v>
      </c>
      <c r="N46" s="196">
        <v>1282660</v>
      </c>
      <c r="O46" s="196">
        <v>1279</v>
      </c>
      <c r="P46" s="196" t="s">
        <v>886</v>
      </c>
      <c r="Q46" s="196" t="s">
        <v>886</v>
      </c>
      <c r="R46" s="196" t="s">
        <v>887</v>
      </c>
      <c r="S46" s="196" t="s">
        <v>844</v>
      </c>
      <c r="T46" s="196" t="s">
        <v>888</v>
      </c>
      <c r="U46" s="196" t="s">
        <v>889</v>
      </c>
      <c r="V46" s="196" t="s">
        <v>886</v>
      </c>
      <c r="W46" s="196" t="s">
        <v>890</v>
      </c>
      <c r="X46" s="196" t="s">
        <v>848</v>
      </c>
      <c r="Y46" s="196" t="s">
        <v>848</v>
      </c>
    </row>
    <row r="47" spans="1:25">
      <c r="A47" s="196" t="s">
        <v>837</v>
      </c>
      <c r="B47" s="196" t="s">
        <v>181</v>
      </c>
      <c r="C47" s="196">
        <v>2014</v>
      </c>
      <c r="D47" s="196">
        <v>80</v>
      </c>
      <c r="E47" s="196" t="s">
        <v>874</v>
      </c>
      <c r="F47" s="196" t="s">
        <v>885</v>
      </c>
      <c r="G47" s="196">
        <v>20</v>
      </c>
      <c r="H47" s="196">
        <v>12</v>
      </c>
      <c r="I47" s="196">
        <v>20450</v>
      </c>
      <c r="J47" s="196">
        <v>64330</v>
      </c>
      <c r="K47" s="196">
        <v>88.71</v>
      </c>
      <c r="L47" s="196">
        <v>1.18</v>
      </c>
      <c r="M47" s="196">
        <v>8160</v>
      </c>
      <c r="N47" s="196">
        <v>1282660</v>
      </c>
      <c r="O47" s="196">
        <v>1279</v>
      </c>
      <c r="P47" s="196" t="s">
        <v>886</v>
      </c>
      <c r="Q47" s="196" t="s">
        <v>886</v>
      </c>
      <c r="R47" s="196" t="s">
        <v>887</v>
      </c>
      <c r="S47" s="196" t="s">
        <v>844</v>
      </c>
      <c r="T47" s="196" t="s">
        <v>888</v>
      </c>
      <c r="U47" s="196" t="s">
        <v>889</v>
      </c>
      <c r="V47" s="196" t="s">
        <v>886</v>
      </c>
      <c r="W47" s="196" t="s">
        <v>890</v>
      </c>
      <c r="X47" s="196" t="s">
        <v>848</v>
      </c>
      <c r="Y47" s="196" t="s">
        <v>848</v>
      </c>
    </row>
    <row r="48" spans="1:25">
      <c r="A48" s="196" t="s">
        <v>837</v>
      </c>
      <c r="B48" s="196" t="s">
        <v>181</v>
      </c>
      <c r="C48" s="196">
        <v>2013</v>
      </c>
      <c r="D48" s="196">
        <v>80</v>
      </c>
      <c r="E48" s="196" t="s">
        <v>876</v>
      </c>
      <c r="F48" s="196" t="s">
        <v>885</v>
      </c>
      <c r="G48" s="196">
        <v>10</v>
      </c>
      <c r="H48" s="196">
        <v>8</v>
      </c>
      <c r="I48" s="196">
        <v>9352</v>
      </c>
      <c r="J48" s="196">
        <v>52302</v>
      </c>
      <c r="K48" s="196">
        <v>88.71</v>
      </c>
      <c r="L48" s="196">
        <v>1.18</v>
      </c>
      <c r="M48" s="196">
        <v>8160</v>
      </c>
      <c r="N48" s="196">
        <v>1282660</v>
      </c>
      <c r="O48" s="196">
        <v>1279</v>
      </c>
      <c r="P48" s="196" t="s">
        <v>886</v>
      </c>
      <c r="Q48" s="196" t="s">
        <v>886</v>
      </c>
      <c r="R48" s="196" t="s">
        <v>887</v>
      </c>
      <c r="S48" s="196" t="s">
        <v>844</v>
      </c>
      <c r="T48" s="196" t="s">
        <v>888</v>
      </c>
      <c r="U48" s="196" t="s">
        <v>889</v>
      </c>
      <c r="V48" s="196" t="s">
        <v>886</v>
      </c>
      <c r="W48" s="196" t="s">
        <v>890</v>
      </c>
      <c r="X48" s="196" t="s">
        <v>848</v>
      </c>
      <c r="Y48" s="196" t="s">
        <v>848</v>
      </c>
    </row>
    <row r="49" spans="1:25">
      <c r="A49" s="196" t="s">
        <v>837</v>
      </c>
      <c r="B49" s="196" t="s">
        <v>181</v>
      </c>
      <c r="C49" s="196">
        <v>2014</v>
      </c>
      <c r="D49" s="196">
        <v>30</v>
      </c>
      <c r="E49" s="196" t="s">
        <v>856</v>
      </c>
      <c r="F49" s="196" t="s">
        <v>885</v>
      </c>
      <c r="G49" s="196">
        <v>10</v>
      </c>
      <c r="H49" s="196">
        <v>10</v>
      </c>
      <c r="I49" s="196">
        <v>13305</v>
      </c>
      <c r="J49" s="196">
        <v>73005</v>
      </c>
      <c r="K49" s="196">
        <v>88.71</v>
      </c>
      <c r="L49" s="196">
        <v>1.18</v>
      </c>
      <c r="M49" s="196">
        <v>8160</v>
      </c>
      <c r="N49" s="196">
        <v>1282660</v>
      </c>
      <c r="O49" s="196">
        <v>1279</v>
      </c>
      <c r="P49" s="196" t="s">
        <v>886</v>
      </c>
      <c r="Q49" s="196" t="s">
        <v>886</v>
      </c>
      <c r="R49" s="196" t="s">
        <v>887</v>
      </c>
      <c r="S49" s="196" t="s">
        <v>844</v>
      </c>
      <c r="T49" s="196" t="s">
        <v>888</v>
      </c>
      <c r="U49" s="196" t="s">
        <v>889</v>
      </c>
      <c r="V49" s="196" t="s">
        <v>886</v>
      </c>
      <c r="W49" s="196" t="s">
        <v>890</v>
      </c>
      <c r="X49" s="196" t="s">
        <v>848</v>
      </c>
      <c r="Y49" s="196" t="s">
        <v>848</v>
      </c>
    </row>
    <row r="50" spans="1:25">
      <c r="A50" s="196" t="s">
        <v>837</v>
      </c>
      <c r="B50" s="196" t="s">
        <v>181</v>
      </c>
      <c r="C50" s="196">
        <v>2014</v>
      </c>
      <c r="D50" s="196">
        <v>30</v>
      </c>
      <c r="E50" s="196" t="s">
        <v>857</v>
      </c>
      <c r="F50" s="196" t="s">
        <v>885</v>
      </c>
      <c r="G50" s="196">
        <v>15</v>
      </c>
      <c r="H50" s="196">
        <v>15</v>
      </c>
      <c r="I50" s="196">
        <v>24891</v>
      </c>
      <c r="J50" s="196">
        <v>174953</v>
      </c>
      <c r="K50" s="196">
        <v>88.71</v>
      </c>
      <c r="L50" s="196">
        <v>1.18</v>
      </c>
      <c r="M50" s="196">
        <v>8160</v>
      </c>
      <c r="N50" s="196">
        <v>1282660</v>
      </c>
      <c r="O50" s="196">
        <v>1279</v>
      </c>
      <c r="P50" s="196" t="s">
        <v>886</v>
      </c>
      <c r="Q50" s="196" t="s">
        <v>886</v>
      </c>
      <c r="R50" s="196" t="s">
        <v>887</v>
      </c>
      <c r="S50" s="196" t="s">
        <v>844</v>
      </c>
      <c r="T50" s="196" t="s">
        <v>888</v>
      </c>
      <c r="U50" s="196" t="s">
        <v>889</v>
      </c>
      <c r="V50" s="196" t="s">
        <v>886</v>
      </c>
      <c r="W50" s="196" t="s">
        <v>890</v>
      </c>
      <c r="X50" s="196" t="s">
        <v>848</v>
      </c>
      <c r="Y50" s="196" t="s">
        <v>848</v>
      </c>
    </row>
    <row r="51" spans="1:25">
      <c r="A51" s="196" t="s">
        <v>837</v>
      </c>
      <c r="B51" s="196" t="s">
        <v>181</v>
      </c>
      <c r="C51" s="196">
        <v>2014</v>
      </c>
      <c r="D51" s="196">
        <v>55</v>
      </c>
      <c r="E51" s="196" t="s">
        <v>858</v>
      </c>
      <c r="F51" s="196" t="s">
        <v>885</v>
      </c>
      <c r="G51" s="196">
        <v>33</v>
      </c>
      <c r="H51" s="196">
        <v>26</v>
      </c>
      <c r="I51" s="196">
        <v>41883</v>
      </c>
      <c r="J51" s="196">
        <v>255833</v>
      </c>
      <c r="K51" s="196">
        <v>88.71</v>
      </c>
      <c r="L51" s="196">
        <v>1.18</v>
      </c>
      <c r="M51" s="196">
        <v>8160</v>
      </c>
      <c r="N51" s="196">
        <v>1282660</v>
      </c>
      <c r="O51" s="196">
        <v>1279</v>
      </c>
      <c r="P51" s="196" t="s">
        <v>886</v>
      </c>
      <c r="Q51" s="196" t="s">
        <v>886</v>
      </c>
      <c r="R51" s="196" t="s">
        <v>887</v>
      </c>
      <c r="S51" s="196" t="s">
        <v>844</v>
      </c>
      <c r="T51" s="196" t="s">
        <v>888</v>
      </c>
      <c r="U51" s="196" t="s">
        <v>889</v>
      </c>
      <c r="V51" s="196" t="s">
        <v>886</v>
      </c>
      <c r="W51" s="196" t="s">
        <v>890</v>
      </c>
      <c r="X51" s="196" t="s">
        <v>848</v>
      </c>
      <c r="Y51" s="196" t="s">
        <v>848</v>
      </c>
    </row>
    <row r="52" spans="1:25">
      <c r="A52" s="196" t="s">
        <v>837</v>
      </c>
      <c r="B52" s="196" t="s">
        <v>181</v>
      </c>
      <c r="C52" s="196">
        <v>2014</v>
      </c>
      <c r="D52" s="196">
        <v>55</v>
      </c>
      <c r="E52" s="196" t="s">
        <v>859</v>
      </c>
      <c r="F52" s="196" t="s">
        <v>885</v>
      </c>
      <c r="G52" s="196">
        <v>3</v>
      </c>
      <c r="H52" s="196">
        <v>3</v>
      </c>
      <c r="I52" s="196">
        <v>4686</v>
      </c>
      <c r="J52" s="196">
        <v>22909</v>
      </c>
      <c r="K52" s="196">
        <v>88.71</v>
      </c>
      <c r="L52" s="196">
        <v>1.18</v>
      </c>
      <c r="M52" s="196">
        <v>8160</v>
      </c>
      <c r="N52" s="196">
        <v>1282660</v>
      </c>
      <c r="O52" s="196">
        <v>1279</v>
      </c>
      <c r="P52" s="196" t="s">
        <v>886</v>
      </c>
      <c r="Q52" s="196" t="s">
        <v>886</v>
      </c>
      <c r="R52" s="196" t="s">
        <v>887</v>
      </c>
      <c r="S52" s="196" t="s">
        <v>844</v>
      </c>
      <c r="T52" s="196" t="s">
        <v>888</v>
      </c>
      <c r="U52" s="196" t="s">
        <v>889</v>
      </c>
      <c r="V52" s="196" t="s">
        <v>886</v>
      </c>
      <c r="W52" s="196" t="s">
        <v>890</v>
      </c>
      <c r="X52" s="196" t="s">
        <v>848</v>
      </c>
      <c r="Y52" s="196" t="s">
        <v>848</v>
      </c>
    </row>
    <row r="53" spans="1:25">
      <c r="A53" s="196" t="s">
        <v>837</v>
      </c>
      <c r="B53" s="196" t="s">
        <v>850</v>
      </c>
      <c r="C53" s="196">
        <v>2014</v>
      </c>
      <c r="D53" s="196">
        <v>30</v>
      </c>
      <c r="E53" s="196" t="s">
        <v>860</v>
      </c>
      <c r="F53" s="196" t="s">
        <v>885</v>
      </c>
      <c r="G53" s="196">
        <v>1</v>
      </c>
      <c r="H53" s="196">
        <v>1</v>
      </c>
      <c r="I53" s="196">
        <v>1149</v>
      </c>
      <c r="J53" s="196">
        <v>6565</v>
      </c>
      <c r="K53" s="196">
        <v>88.71</v>
      </c>
      <c r="L53" s="196">
        <v>1.18</v>
      </c>
      <c r="M53" s="196">
        <v>8160</v>
      </c>
      <c r="N53" s="196">
        <v>1282660</v>
      </c>
      <c r="O53" s="196">
        <v>1279</v>
      </c>
      <c r="P53" s="196" t="s">
        <v>886</v>
      </c>
      <c r="Q53" s="196" t="s">
        <v>886</v>
      </c>
      <c r="R53" s="196" t="s">
        <v>887</v>
      </c>
      <c r="S53" s="196" t="s">
        <v>844</v>
      </c>
      <c r="T53" s="196" t="s">
        <v>888</v>
      </c>
      <c r="U53" s="196" t="s">
        <v>889</v>
      </c>
      <c r="V53" s="196" t="s">
        <v>886</v>
      </c>
      <c r="W53" s="196" t="s">
        <v>890</v>
      </c>
      <c r="X53" s="196" t="s">
        <v>848</v>
      </c>
      <c r="Y53" s="196" t="s">
        <v>848</v>
      </c>
    </row>
    <row r="54" spans="1:25">
      <c r="A54" s="196" t="s">
        <v>837</v>
      </c>
      <c r="B54" s="196" t="s">
        <v>850</v>
      </c>
      <c r="C54" s="196">
        <v>2014</v>
      </c>
      <c r="D54" s="196">
        <v>30</v>
      </c>
      <c r="E54" s="196" t="s">
        <v>861</v>
      </c>
      <c r="F54" s="196" t="s">
        <v>885</v>
      </c>
      <c r="G54" s="196">
        <v>1</v>
      </c>
      <c r="H54" s="196">
        <v>1</v>
      </c>
      <c r="I54" s="196">
        <v>1125</v>
      </c>
      <c r="J54" s="196">
        <v>9662</v>
      </c>
      <c r="K54" s="196">
        <v>88.71</v>
      </c>
      <c r="L54" s="196">
        <v>1.18</v>
      </c>
      <c r="M54" s="196">
        <v>8160</v>
      </c>
      <c r="N54" s="196">
        <v>1282660</v>
      </c>
      <c r="O54" s="196">
        <v>1279</v>
      </c>
      <c r="P54" s="196" t="s">
        <v>886</v>
      </c>
      <c r="Q54" s="196" t="s">
        <v>886</v>
      </c>
      <c r="R54" s="196" t="s">
        <v>887</v>
      </c>
      <c r="S54" s="196" t="s">
        <v>844</v>
      </c>
      <c r="T54" s="196" t="s">
        <v>888</v>
      </c>
      <c r="U54" s="196" t="s">
        <v>889</v>
      </c>
      <c r="V54" s="196" t="s">
        <v>886</v>
      </c>
      <c r="W54" s="196" t="s">
        <v>890</v>
      </c>
      <c r="X54" s="196" t="s">
        <v>848</v>
      </c>
      <c r="Y54" s="196" t="s">
        <v>848</v>
      </c>
    </row>
    <row r="55" spans="1:25">
      <c r="A55" s="196" t="s">
        <v>837</v>
      </c>
      <c r="B55" s="196" t="s">
        <v>850</v>
      </c>
      <c r="C55" s="196">
        <v>2014</v>
      </c>
      <c r="D55" s="196">
        <v>55</v>
      </c>
      <c r="E55" s="196" t="s">
        <v>862</v>
      </c>
      <c r="F55" s="196" t="s">
        <v>885</v>
      </c>
      <c r="G55" s="196">
        <v>1</v>
      </c>
      <c r="H55" s="196">
        <v>1</v>
      </c>
      <c r="I55" s="196">
        <v>1125</v>
      </c>
      <c r="J55" s="196">
        <v>9662</v>
      </c>
      <c r="K55" s="196">
        <v>88.71</v>
      </c>
      <c r="L55" s="196">
        <v>1.18</v>
      </c>
      <c r="M55" s="196">
        <v>8160</v>
      </c>
      <c r="N55" s="196">
        <v>1282660</v>
      </c>
      <c r="O55" s="196">
        <v>1279</v>
      </c>
      <c r="P55" s="196" t="s">
        <v>886</v>
      </c>
      <c r="Q55" s="196" t="s">
        <v>886</v>
      </c>
      <c r="R55" s="196" t="s">
        <v>887</v>
      </c>
      <c r="S55" s="196" t="s">
        <v>844</v>
      </c>
      <c r="T55" s="196" t="s">
        <v>888</v>
      </c>
      <c r="U55" s="196" t="s">
        <v>889</v>
      </c>
      <c r="V55" s="196" t="s">
        <v>886</v>
      </c>
      <c r="W55" s="196" t="s">
        <v>890</v>
      </c>
      <c r="X55" s="196" t="s">
        <v>848</v>
      </c>
      <c r="Y55" s="196" t="s">
        <v>848</v>
      </c>
    </row>
    <row r="56" spans="1:25">
      <c r="A56" s="196" t="s">
        <v>837</v>
      </c>
      <c r="B56" s="196" t="s">
        <v>850</v>
      </c>
      <c r="C56" s="196">
        <v>2013</v>
      </c>
      <c r="D56" s="196">
        <v>30</v>
      </c>
      <c r="E56" s="196" t="s">
        <v>851</v>
      </c>
      <c r="F56" s="196" t="s">
        <v>891</v>
      </c>
      <c r="G56" s="196">
        <v>1</v>
      </c>
      <c r="H56" s="196">
        <v>1</v>
      </c>
      <c r="I56" s="196">
        <v>633</v>
      </c>
      <c r="J56" s="196">
        <v>6716</v>
      </c>
      <c r="K56" s="196">
        <v>26.8</v>
      </c>
      <c r="L56" s="196">
        <v>2.48</v>
      </c>
      <c r="M56" s="196">
        <v>3924</v>
      </c>
      <c r="N56" s="196">
        <v>557388</v>
      </c>
      <c r="O56" s="196">
        <v>671</v>
      </c>
      <c r="P56" s="196" t="s">
        <v>878</v>
      </c>
      <c r="Q56" s="196" t="s">
        <v>892</v>
      </c>
      <c r="R56" s="196" t="s">
        <v>893</v>
      </c>
      <c r="S56" s="196" t="s">
        <v>844</v>
      </c>
      <c r="T56" s="196" t="s">
        <v>894</v>
      </c>
      <c r="U56" s="196" t="s">
        <v>895</v>
      </c>
      <c r="V56" s="196" t="s">
        <v>892</v>
      </c>
      <c r="W56" s="196" t="s">
        <v>896</v>
      </c>
      <c r="X56" s="196" t="s">
        <v>848</v>
      </c>
      <c r="Y56" s="196" t="s">
        <v>848</v>
      </c>
    </row>
    <row r="57" spans="1:25">
      <c r="A57" s="196" t="s">
        <v>837</v>
      </c>
      <c r="B57" s="196" t="s">
        <v>850</v>
      </c>
      <c r="C57" s="196">
        <v>2013</v>
      </c>
      <c r="D57" s="196">
        <v>55</v>
      </c>
      <c r="E57" s="196" t="s">
        <v>852</v>
      </c>
      <c r="F57" s="196" t="s">
        <v>891</v>
      </c>
      <c r="G57" s="196">
        <v>1</v>
      </c>
      <c r="H57" s="196">
        <v>1</v>
      </c>
      <c r="I57" s="196">
        <v>633</v>
      </c>
      <c r="J57" s="196">
        <v>6716</v>
      </c>
      <c r="K57" s="196">
        <v>26.8</v>
      </c>
      <c r="L57" s="196">
        <v>2.48</v>
      </c>
      <c r="M57" s="196">
        <v>3924</v>
      </c>
      <c r="N57" s="196">
        <v>557388</v>
      </c>
      <c r="O57" s="196">
        <v>671</v>
      </c>
      <c r="P57" s="196" t="s">
        <v>878</v>
      </c>
      <c r="Q57" s="196" t="s">
        <v>892</v>
      </c>
      <c r="R57" s="196" t="s">
        <v>893</v>
      </c>
      <c r="S57" s="196" t="s">
        <v>844</v>
      </c>
      <c r="T57" s="196" t="s">
        <v>894</v>
      </c>
      <c r="U57" s="196" t="s">
        <v>895</v>
      </c>
      <c r="V57" s="196" t="s">
        <v>892</v>
      </c>
      <c r="W57" s="196" t="s">
        <v>896</v>
      </c>
      <c r="X57" s="196" t="s">
        <v>848</v>
      </c>
      <c r="Y57" s="196" t="s">
        <v>848</v>
      </c>
    </row>
    <row r="58" spans="1:25">
      <c r="A58" s="196" t="s">
        <v>837</v>
      </c>
      <c r="B58" s="196" t="s">
        <v>838</v>
      </c>
      <c r="C58" s="196">
        <v>2014</v>
      </c>
      <c r="D58" s="196">
        <v>55</v>
      </c>
      <c r="E58" s="196" t="s">
        <v>854</v>
      </c>
      <c r="F58" s="196" t="s">
        <v>891</v>
      </c>
      <c r="G58" s="196">
        <v>1</v>
      </c>
      <c r="H58" s="196">
        <v>1</v>
      </c>
      <c r="I58" s="196">
        <v>633</v>
      </c>
      <c r="J58" s="196">
        <v>6716</v>
      </c>
      <c r="K58" s="196">
        <v>26.8</v>
      </c>
      <c r="L58" s="196">
        <v>2.48</v>
      </c>
      <c r="M58" s="196">
        <v>3924</v>
      </c>
      <c r="N58" s="196">
        <v>557388</v>
      </c>
      <c r="O58" s="196">
        <v>671</v>
      </c>
      <c r="P58" s="196" t="s">
        <v>878</v>
      </c>
      <c r="Q58" s="196" t="s">
        <v>892</v>
      </c>
      <c r="R58" s="196" t="s">
        <v>893</v>
      </c>
      <c r="S58" s="196" t="s">
        <v>844</v>
      </c>
      <c r="T58" s="196" t="s">
        <v>894</v>
      </c>
      <c r="U58" s="196" t="s">
        <v>895</v>
      </c>
      <c r="V58" s="196" t="s">
        <v>892</v>
      </c>
      <c r="W58" s="196" t="s">
        <v>896</v>
      </c>
      <c r="X58" s="196" t="s">
        <v>848</v>
      </c>
      <c r="Y58" s="196" t="s">
        <v>848</v>
      </c>
    </row>
    <row r="59" spans="1:25">
      <c r="A59" s="196" t="s">
        <v>837</v>
      </c>
      <c r="B59" s="196" t="s">
        <v>181</v>
      </c>
      <c r="C59" s="196">
        <v>2014</v>
      </c>
      <c r="D59" s="196">
        <v>55</v>
      </c>
      <c r="E59" s="196" t="s">
        <v>859</v>
      </c>
      <c r="F59" s="196" t="s">
        <v>891</v>
      </c>
      <c r="G59" s="196">
        <v>1</v>
      </c>
      <c r="H59" s="196">
        <v>1</v>
      </c>
      <c r="I59" s="196">
        <v>633</v>
      </c>
      <c r="J59" s="196">
        <v>6716</v>
      </c>
      <c r="K59" s="196">
        <v>26.8</v>
      </c>
      <c r="L59" s="196">
        <v>2.48</v>
      </c>
      <c r="M59" s="196">
        <v>3924</v>
      </c>
      <c r="N59" s="196">
        <v>557388</v>
      </c>
      <c r="O59" s="196">
        <v>671</v>
      </c>
      <c r="P59" s="196" t="s">
        <v>878</v>
      </c>
      <c r="Q59" s="196" t="s">
        <v>892</v>
      </c>
      <c r="R59" s="196" t="s">
        <v>893</v>
      </c>
      <c r="S59" s="196" t="s">
        <v>844</v>
      </c>
      <c r="T59" s="196" t="s">
        <v>894</v>
      </c>
      <c r="U59" s="196" t="s">
        <v>895</v>
      </c>
      <c r="V59" s="196" t="s">
        <v>892</v>
      </c>
      <c r="W59" s="196" t="s">
        <v>896</v>
      </c>
      <c r="X59" s="196" t="s">
        <v>848</v>
      </c>
      <c r="Y59" s="196" t="s">
        <v>848</v>
      </c>
    </row>
    <row r="60" spans="1:25">
      <c r="A60" s="196" t="s">
        <v>837</v>
      </c>
      <c r="B60" s="196" t="s">
        <v>850</v>
      </c>
      <c r="C60" s="196">
        <v>2014</v>
      </c>
      <c r="D60" s="196">
        <v>55</v>
      </c>
      <c r="E60" s="196" t="s">
        <v>862</v>
      </c>
      <c r="F60" s="196" t="s">
        <v>891</v>
      </c>
      <c r="G60" s="196">
        <v>1</v>
      </c>
      <c r="H60" s="196">
        <v>1</v>
      </c>
      <c r="I60" s="196">
        <v>633</v>
      </c>
      <c r="J60" s="196">
        <v>6716</v>
      </c>
      <c r="K60" s="196">
        <v>26.8</v>
      </c>
      <c r="L60" s="196">
        <v>2.48</v>
      </c>
      <c r="M60" s="196">
        <v>3924</v>
      </c>
      <c r="N60" s="196">
        <v>557388</v>
      </c>
      <c r="O60" s="196">
        <v>671</v>
      </c>
      <c r="P60" s="196" t="s">
        <v>878</v>
      </c>
      <c r="Q60" s="196" t="s">
        <v>892</v>
      </c>
      <c r="R60" s="196" t="s">
        <v>893</v>
      </c>
      <c r="S60" s="196" t="s">
        <v>844</v>
      </c>
      <c r="T60" s="196" t="s">
        <v>894</v>
      </c>
      <c r="U60" s="196" t="s">
        <v>895</v>
      </c>
      <c r="V60" s="196" t="s">
        <v>892</v>
      </c>
      <c r="W60" s="196" t="s">
        <v>896</v>
      </c>
      <c r="X60" s="196" t="s">
        <v>848</v>
      </c>
      <c r="Y60" s="196" t="s">
        <v>848</v>
      </c>
    </row>
    <row r="61" spans="1:25">
      <c r="A61" s="196" t="s">
        <v>837</v>
      </c>
      <c r="B61" s="196" t="s">
        <v>850</v>
      </c>
      <c r="C61" s="196">
        <v>2013</v>
      </c>
      <c r="D61" s="196">
        <v>30</v>
      </c>
      <c r="E61" s="196" t="s">
        <v>851</v>
      </c>
      <c r="F61" s="196" t="s">
        <v>897</v>
      </c>
      <c r="G61" s="196">
        <v>1</v>
      </c>
      <c r="H61" s="196">
        <v>1</v>
      </c>
      <c r="I61" s="196">
        <v>84</v>
      </c>
      <c r="J61" s="196">
        <v>17580</v>
      </c>
      <c r="K61" s="196">
        <v>99.75</v>
      </c>
      <c r="L61" s="196">
        <v>0.52</v>
      </c>
      <c r="M61" s="196">
        <v>22425</v>
      </c>
      <c r="N61" s="196">
        <v>1689659</v>
      </c>
      <c r="O61" s="196">
        <v>1738</v>
      </c>
      <c r="P61" s="196" t="s">
        <v>878</v>
      </c>
      <c r="Q61" s="196" t="s">
        <v>898</v>
      </c>
      <c r="R61" s="196" t="s">
        <v>899</v>
      </c>
      <c r="S61" s="196" t="s">
        <v>844</v>
      </c>
      <c r="T61" s="196" t="s">
        <v>900</v>
      </c>
      <c r="U61" s="196" t="s">
        <v>901</v>
      </c>
      <c r="V61" s="196" t="s">
        <v>902</v>
      </c>
      <c r="W61" s="196" t="s">
        <v>903</v>
      </c>
      <c r="X61" s="196" t="s">
        <v>898</v>
      </c>
      <c r="Y61" s="196" t="s">
        <v>904</v>
      </c>
    </row>
    <row r="62" spans="1:25">
      <c r="A62" s="196" t="s">
        <v>837</v>
      </c>
      <c r="B62" s="196" t="s">
        <v>838</v>
      </c>
      <c r="C62" s="196">
        <v>2014</v>
      </c>
      <c r="D62" s="196">
        <v>55</v>
      </c>
      <c r="E62" s="196" t="s">
        <v>854</v>
      </c>
      <c r="F62" s="196" t="s">
        <v>897</v>
      </c>
      <c r="G62" s="196">
        <v>1</v>
      </c>
      <c r="H62" s="196">
        <v>1</v>
      </c>
      <c r="I62" s="196">
        <v>1266</v>
      </c>
      <c r="J62" s="196">
        <v>34714</v>
      </c>
      <c r="K62" s="196">
        <v>99.75</v>
      </c>
      <c r="L62" s="196">
        <v>0.52</v>
      </c>
      <c r="M62" s="196">
        <v>22425</v>
      </c>
      <c r="N62" s="196">
        <v>1689659</v>
      </c>
      <c r="O62" s="196">
        <v>1738</v>
      </c>
      <c r="P62" s="196" t="s">
        <v>878</v>
      </c>
      <c r="Q62" s="196" t="s">
        <v>898</v>
      </c>
      <c r="R62" s="196" t="s">
        <v>899</v>
      </c>
      <c r="S62" s="196" t="s">
        <v>844</v>
      </c>
      <c r="T62" s="196" t="s">
        <v>900</v>
      </c>
      <c r="U62" s="196" t="s">
        <v>901</v>
      </c>
      <c r="V62" s="196" t="s">
        <v>902</v>
      </c>
      <c r="W62" s="196" t="s">
        <v>903</v>
      </c>
      <c r="X62" s="196" t="s">
        <v>898</v>
      </c>
      <c r="Y62" s="196" t="s">
        <v>904</v>
      </c>
    </row>
    <row r="63" spans="1:25">
      <c r="A63" s="196" t="s">
        <v>837</v>
      </c>
      <c r="B63" s="196" t="s">
        <v>838</v>
      </c>
      <c r="C63" s="196">
        <v>2013</v>
      </c>
      <c r="D63" s="196">
        <v>30</v>
      </c>
      <c r="E63" s="196" t="s">
        <v>839</v>
      </c>
      <c r="F63" s="196" t="s">
        <v>905</v>
      </c>
      <c r="G63" s="196">
        <v>1</v>
      </c>
      <c r="H63" s="196">
        <v>1</v>
      </c>
      <c r="I63" s="196">
        <v>1827</v>
      </c>
      <c r="J63" s="196">
        <v>3142</v>
      </c>
      <c r="K63" s="196">
        <v>66.63</v>
      </c>
      <c r="L63" s="196">
        <v>5.26</v>
      </c>
      <c r="M63" s="196">
        <v>4852</v>
      </c>
      <c r="N63" s="196">
        <v>1724976</v>
      </c>
      <c r="O63" s="196">
        <v>1728</v>
      </c>
      <c r="P63" s="196" t="s">
        <v>865</v>
      </c>
      <c r="Q63" s="196" t="s">
        <v>906</v>
      </c>
      <c r="R63" s="196" t="s">
        <v>907</v>
      </c>
      <c r="S63" s="196" t="s">
        <v>844</v>
      </c>
      <c r="T63" s="196" t="s">
        <v>868</v>
      </c>
      <c r="U63" s="196" t="s">
        <v>869</v>
      </c>
      <c r="V63" s="196" t="s">
        <v>866</v>
      </c>
      <c r="W63" s="196" t="s">
        <v>906</v>
      </c>
      <c r="X63" s="196" t="s">
        <v>848</v>
      </c>
      <c r="Y63" s="196" t="s">
        <v>848</v>
      </c>
    </row>
    <row r="64" spans="1:25">
      <c r="A64" s="196" t="s">
        <v>837</v>
      </c>
      <c r="B64" s="196" t="s">
        <v>850</v>
      </c>
      <c r="C64" s="196">
        <v>2013</v>
      </c>
      <c r="D64" s="196">
        <v>55</v>
      </c>
      <c r="E64" s="196" t="s">
        <v>852</v>
      </c>
      <c r="F64" s="196" t="s">
        <v>905</v>
      </c>
      <c r="G64" s="196">
        <v>1</v>
      </c>
      <c r="H64" s="196">
        <v>1</v>
      </c>
      <c r="I64" s="196">
        <v>1149</v>
      </c>
      <c r="J64" s="196">
        <v>5251</v>
      </c>
      <c r="K64" s="196">
        <v>66.63</v>
      </c>
      <c r="L64" s="196">
        <v>5.26</v>
      </c>
      <c r="M64" s="196">
        <v>4852</v>
      </c>
      <c r="N64" s="196">
        <v>1724976</v>
      </c>
      <c r="O64" s="196">
        <v>1728</v>
      </c>
      <c r="P64" s="196" t="s">
        <v>865</v>
      </c>
      <c r="Q64" s="196" t="s">
        <v>906</v>
      </c>
      <c r="R64" s="196" t="s">
        <v>907</v>
      </c>
      <c r="S64" s="196" t="s">
        <v>844</v>
      </c>
      <c r="T64" s="196" t="s">
        <v>868</v>
      </c>
      <c r="U64" s="196" t="s">
        <v>869</v>
      </c>
      <c r="V64" s="196" t="s">
        <v>866</v>
      </c>
      <c r="W64" s="196" t="s">
        <v>906</v>
      </c>
      <c r="X64" s="196" t="s">
        <v>848</v>
      </c>
      <c r="Y64" s="196" t="s">
        <v>848</v>
      </c>
    </row>
    <row r="65" spans="1:25">
      <c r="A65" s="196" t="s">
        <v>837</v>
      </c>
      <c r="B65" s="196" t="s">
        <v>181</v>
      </c>
      <c r="C65" s="196">
        <v>2014</v>
      </c>
      <c r="D65" s="196">
        <v>80</v>
      </c>
      <c r="E65" s="196" t="s">
        <v>874</v>
      </c>
      <c r="F65" s="196" t="s">
        <v>905</v>
      </c>
      <c r="G65" s="196">
        <v>1</v>
      </c>
      <c r="H65" s="196">
        <v>1</v>
      </c>
      <c r="I65" s="196">
        <v>1137</v>
      </c>
      <c r="J65" s="196">
        <v>3222</v>
      </c>
      <c r="K65" s="196">
        <v>66.63</v>
      </c>
      <c r="L65" s="196">
        <v>5.26</v>
      </c>
      <c r="M65" s="196">
        <v>4852</v>
      </c>
      <c r="N65" s="196">
        <v>1724976</v>
      </c>
      <c r="O65" s="196">
        <v>1728</v>
      </c>
      <c r="P65" s="196" t="s">
        <v>865</v>
      </c>
      <c r="Q65" s="196" t="s">
        <v>906</v>
      </c>
      <c r="R65" s="196" t="s">
        <v>907</v>
      </c>
      <c r="S65" s="196" t="s">
        <v>844</v>
      </c>
      <c r="T65" s="196" t="s">
        <v>868</v>
      </c>
      <c r="U65" s="196" t="s">
        <v>869</v>
      </c>
      <c r="V65" s="196" t="s">
        <v>866</v>
      </c>
      <c r="W65" s="196" t="s">
        <v>906</v>
      </c>
      <c r="X65" s="196" t="s">
        <v>848</v>
      </c>
      <c r="Y65" s="196" t="s">
        <v>848</v>
      </c>
    </row>
    <row r="66" spans="1:25">
      <c r="A66" s="196" t="s">
        <v>837</v>
      </c>
      <c r="B66" s="196" t="s">
        <v>838</v>
      </c>
      <c r="C66" s="196">
        <v>2013</v>
      </c>
      <c r="D66" s="196">
        <v>80</v>
      </c>
      <c r="E66" s="196" t="s">
        <v>908</v>
      </c>
      <c r="F66" s="196" t="s">
        <v>905</v>
      </c>
      <c r="G66" s="196">
        <v>1</v>
      </c>
      <c r="H66" s="196">
        <v>1</v>
      </c>
      <c r="I66" s="196">
        <v>1257</v>
      </c>
      <c r="J66" s="196">
        <v>8349</v>
      </c>
      <c r="K66" s="196">
        <v>66.63</v>
      </c>
      <c r="L66" s="196">
        <v>5.26</v>
      </c>
      <c r="M66" s="196">
        <v>4852</v>
      </c>
      <c r="N66" s="196">
        <v>1724976</v>
      </c>
      <c r="O66" s="196">
        <v>1728</v>
      </c>
      <c r="P66" s="196" t="s">
        <v>865</v>
      </c>
      <c r="Q66" s="196" t="s">
        <v>906</v>
      </c>
      <c r="R66" s="196" t="s">
        <v>907</v>
      </c>
      <c r="S66" s="196" t="s">
        <v>844</v>
      </c>
      <c r="T66" s="196" t="s">
        <v>868</v>
      </c>
      <c r="U66" s="196" t="s">
        <v>869</v>
      </c>
      <c r="V66" s="196" t="s">
        <v>866</v>
      </c>
      <c r="W66" s="196" t="s">
        <v>906</v>
      </c>
      <c r="X66" s="196" t="s">
        <v>848</v>
      </c>
      <c r="Y66" s="196" t="s">
        <v>848</v>
      </c>
    </row>
    <row r="67" spans="1:25">
      <c r="A67" s="196" t="s">
        <v>837</v>
      </c>
      <c r="B67" s="196" t="s">
        <v>181</v>
      </c>
      <c r="C67" s="196">
        <v>2013</v>
      </c>
      <c r="D67" s="196">
        <v>80</v>
      </c>
      <c r="E67" s="196" t="s">
        <v>876</v>
      </c>
      <c r="F67" s="196" t="s">
        <v>905</v>
      </c>
      <c r="G67" s="196">
        <v>1</v>
      </c>
      <c r="H67" s="196">
        <v>1</v>
      </c>
      <c r="I67" s="196">
        <v>1276</v>
      </c>
      <c r="J67" s="196">
        <v>2785</v>
      </c>
      <c r="K67" s="196">
        <v>66.63</v>
      </c>
      <c r="L67" s="196">
        <v>5.26</v>
      </c>
      <c r="M67" s="196">
        <v>4852</v>
      </c>
      <c r="N67" s="196">
        <v>1724976</v>
      </c>
      <c r="O67" s="196">
        <v>1728</v>
      </c>
      <c r="P67" s="196" t="s">
        <v>865</v>
      </c>
      <c r="Q67" s="196" t="s">
        <v>906</v>
      </c>
      <c r="R67" s="196" t="s">
        <v>907</v>
      </c>
      <c r="S67" s="196" t="s">
        <v>844</v>
      </c>
      <c r="T67" s="196" t="s">
        <v>868</v>
      </c>
      <c r="U67" s="196" t="s">
        <v>869</v>
      </c>
      <c r="V67" s="196" t="s">
        <v>866</v>
      </c>
      <c r="W67" s="196" t="s">
        <v>906</v>
      </c>
      <c r="X67" s="196" t="s">
        <v>848</v>
      </c>
      <c r="Y67" s="196" t="s">
        <v>848</v>
      </c>
    </row>
    <row r="68" spans="1:25">
      <c r="A68" s="196" t="s">
        <v>837</v>
      </c>
      <c r="B68" s="196" t="s">
        <v>838</v>
      </c>
      <c r="C68" s="196">
        <v>2013</v>
      </c>
      <c r="D68" s="196">
        <v>30</v>
      </c>
      <c r="E68" s="196" t="s">
        <v>839</v>
      </c>
      <c r="F68" s="196" t="s">
        <v>909</v>
      </c>
      <c r="G68" s="196">
        <v>38</v>
      </c>
      <c r="H68" s="196">
        <v>38</v>
      </c>
      <c r="I68" s="196">
        <v>56359</v>
      </c>
      <c r="J68" s="196">
        <v>313889</v>
      </c>
      <c r="K68" s="196">
        <v>82.15</v>
      </c>
      <c r="L68" s="196">
        <v>4.6500000000000004</v>
      </c>
      <c r="M68" s="196">
        <v>7688</v>
      </c>
      <c r="N68" s="196">
        <v>3445428</v>
      </c>
      <c r="O68" s="196">
        <v>3605</v>
      </c>
      <c r="P68" s="196" t="s">
        <v>910</v>
      </c>
      <c r="Q68" s="196" t="s">
        <v>911</v>
      </c>
      <c r="R68" s="196" t="s">
        <v>912</v>
      </c>
      <c r="S68" s="196" t="s">
        <v>844</v>
      </c>
      <c r="T68" s="196" t="s">
        <v>913</v>
      </c>
      <c r="U68" s="196" t="s">
        <v>914</v>
      </c>
      <c r="V68" s="196" t="s">
        <v>911</v>
      </c>
      <c r="W68" s="196" t="s">
        <v>915</v>
      </c>
      <c r="X68" s="196" t="s">
        <v>916</v>
      </c>
      <c r="Y68" s="196" t="s">
        <v>848</v>
      </c>
    </row>
    <row r="69" spans="1:25">
      <c r="A69" s="196" t="s">
        <v>837</v>
      </c>
      <c r="B69" s="196" t="s">
        <v>838</v>
      </c>
      <c r="C69" s="196">
        <v>2013</v>
      </c>
      <c r="D69" s="196">
        <v>55</v>
      </c>
      <c r="E69" s="196" t="s">
        <v>849</v>
      </c>
      <c r="F69" s="196" t="s">
        <v>909</v>
      </c>
      <c r="G69" s="196">
        <v>46</v>
      </c>
      <c r="H69" s="196">
        <v>45</v>
      </c>
      <c r="I69" s="196">
        <v>76989</v>
      </c>
      <c r="J69" s="196">
        <v>366111</v>
      </c>
      <c r="K69" s="196">
        <v>82.15</v>
      </c>
      <c r="L69" s="196">
        <v>4.6500000000000004</v>
      </c>
      <c r="M69" s="196">
        <v>7688</v>
      </c>
      <c r="N69" s="196">
        <v>3445428</v>
      </c>
      <c r="O69" s="196">
        <v>3605</v>
      </c>
      <c r="P69" s="196" t="s">
        <v>910</v>
      </c>
      <c r="Q69" s="196" t="s">
        <v>911</v>
      </c>
      <c r="R69" s="196" t="s">
        <v>912</v>
      </c>
      <c r="S69" s="196" t="s">
        <v>844</v>
      </c>
      <c r="T69" s="196" t="s">
        <v>913</v>
      </c>
      <c r="U69" s="196" t="s">
        <v>914</v>
      </c>
      <c r="V69" s="196" t="s">
        <v>911</v>
      </c>
      <c r="W69" s="196" t="s">
        <v>915</v>
      </c>
      <c r="X69" s="196" t="s">
        <v>916</v>
      </c>
      <c r="Y69" s="196" t="s">
        <v>848</v>
      </c>
    </row>
    <row r="70" spans="1:25">
      <c r="A70" s="196" t="s">
        <v>837</v>
      </c>
      <c r="B70" s="196" t="s">
        <v>850</v>
      </c>
      <c r="C70" s="196">
        <v>2013</v>
      </c>
      <c r="D70" s="196">
        <v>30</v>
      </c>
      <c r="E70" s="196" t="s">
        <v>851</v>
      </c>
      <c r="F70" s="196" t="s">
        <v>909</v>
      </c>
      <c r="G70" s="196">
        <v>35</v>
      </c>
      <c r="H70" s="196">
        <v>33</v>
      </c>
      <c r="I70" s="196">
        <v>47679</v>
      </c>
      <c r="J70" s="196">
        <v>337676</v>
      </c>
      <c r="K70" s="196">
        <v>82.15</v>
      </c>
      <c r="L70" s="196">
        <v>4.6500000000000004</v>
      </c>
      <c r="M70" s="196">
        <v>7688</v>
      </c>
      <c r="N70" s="196">
        <v>3445428</v>
      </c>
      <c r="O70" s="196">
        <v>3605</v>
      </c>
      <c r="P70" s="196" t="s">
        <v>910</v>
      </c>
      <c r="Q70" s="196" t="s">
        <v>911</v>
      </c>
      <c r="R70" s="196" t="s">
        <v>912</v>
      </c>
      <c r="S70" s="196" t="s">
        <v>844</v>
      </c>
      <c r="T70" s="196" t="s">
        <v>913</v>
      </c>
      <c r="U70" s="196" t="s">
        <v>914</v>
      </c>
      <c r="V70" s="196" t="s">
        <v>911</v>
      </c>
      <c r="W70" s="196" t="s">
        <v>915</v>
      </c>
      <c r="X70" s="196" t="s">
        <v>916</v>
      </c>
      <c r="Y70" s="196" t="s">
        <v>848</v>
      </c>
    </row>
    <row r="71" spans="1:25">
      <c r="A71" s="196" t="s">
        <v>837</v>
      </c>
      <c r="B71" s="196" t="s">
        <v>850</v>
      </c>
      <c r="C71" s="196">
        <v>2013</v>
      </c>
      <c r="D71" s="196">
        <v>55</v>
      </c>
      <c r="E71" s="196" t="s">
        <v>852</v>
      </c>
      <c r="F71" s="196" t="s">
        <v>909</v>
      </c>
      <c r="G71" s="196">
        <v>35</v>
      </c>
      <c r="H71" s="196">
        <v>33</v>
      </c>
      <c r="I71" s="196">
        <v>57784</v>
      </c>
      <c r="J71" s="196">
        <v>304335</v>
      </c>
      <c r="K71" s="196">
        <v>82.15</v>
      </c>
      <c r="L71" s="196">
        <v>4.6500000000000004</v>
      </c>
      <c r="M71" s="196">
        <v>7688</v>
      </c>
      <c r="N71" s="196">
        <v>3445428</v>
      </c>
      <c r="O71" s="196">
        <v>3605</v>
      </c>
      <c r="P71" s="196" t="s">
        <v>910</v>
      </c>
      <c r="Q71" s="196" t="s">
        <v>911</v>
      </c>
      <c r="R71" s="196" t="s">
        <v>912</v>
      </c>
      <c r="S71" s="196" t="s">
        <v>844</v>
      </c>
      <c r="T71" s="196" t="s">
        <v>913</v>
      </c>
      <c r="U71" s="196" t="s">
        <v>914</v>
      </c>
      <c r="V71" s="196" t="s">
        <v>911</v>
      </c>
      <c r="W71" s="196" t="s">
        <v>915</v>
      </c>
      <c r="X71" s="196" t="s">
        <v>916</v>
      </c>
      <c r="Y71" s="196" t="s">
        <v>848</v>
      </c>
    </row>
    <row r="72" spans="1:25">
      <c r="A72" s="196" t="s">
        <v>837</v>
      </c>
      <c r="B72" s="196" t="s">
        <v>850</v>
      </c>
      <c r="C72" s="196">
        <v>2013</v>
      </c>
      <c r="D72" s="196">
        <v>80</v>
      </c>
      <c r="E72" s="196" t="s">
        <v>917</v>
      </c>
      <c r="F72" s="196" t="s">
        <v>909</v>
      </c>
      <c r="G72" s="196">
        <v>17</v>
      </c>
      <c r="H72" s="196">
        <v>17</v>
      </c>
      <c r="I72" s="196">
        <v>29367</v>
      </c>
      <c r="J72" s="196">
        <v>142535</v>
      </c>
      <c r="K72" s="196">
        <v>82.15</v>
      </c>
      <c r="L72" s="196">
        <v>4.6500000000000004</v>
      </c>
      <c r="M72" s="196">
        <v>7688</v>
      </c>
      <c r="N72" s="196">
        <v>3445428</v>
      </c>
      <c r="O72" s="196">
        <v>3605</v>
      </c>
      <c r="P72" s="196" t="s">
        <v>910</v>
      </c>
      <c r="Q72" s="196" t="s">
        <v>911</v>
      </c>
      <c r="R72" s="196" t="s">
        <v>912</v>
      </c>
      <c r="S72" s="196" t="s">
        <v>844</v>
      </c>
      <c r="T72" s="196" t="s">
        <v>913</v>
      </c>
      <c r="U72" s="196" t="s">
        <v>914</v>
      </c>
      <c r="V72" s="196" t="s">
        <v>911</v>
      </c>
      <c r="W72" s="196" t="s">
        <v>915</v>
      </c>
      <c r="X72" s="196" t="s">
        <v>916</v>
      </c>
      <c r="Y72" s="196" t="s">
        <v>848</v>
      </c>
    </row>
    <row r="73" spans="1:25">
      <c r="A73" s="196" t="s">
        <v>837</v>
      </c>
      <c r="B73" s="196" t="s">
        <v>838</v>
      </c>
      <c r="C73" s="196">
        <v>2014</v>
      </c>
      <c r="D73" s="196">
        <v>80</v>
      </c>
      <c r="E73" s="196" t="s">
        <v>853</v>
      </c>
      <c r="F73" s="196" t="s">
        <v>909</v>
      </c>
      <c r="G73" s="196">
        <v>2</v>
      </c>
      <c r="H73" s="196">
        <v>2</v>
      </c>
      <c r="I73" s="196">
        <v>1566</v>
      </c>
      <c r="J73" s="196">
        <v>5669</v>
      </c>
      <c r="K73" s="196">
        <v>82.15</v>
      </c>
      <c r="L73" s="196">
        <v>4.6500000000000004</v>
      </c>
      <c r="M73" s="196">
        <v>7688</v>
      </c>
      <c r="N73" s="196">
        <v>3445428</v>
      </c>
      <c r="O73" s="196">
        <v>3605</v>
      </c>
      <c r="P73" s="196" t="s">
        <v>910</v>
      </c>
      <c r="Q73" s="196" t="s">
        <v>911</v>
      </c>
      <c r="R73" s="196" t="s">
        <v>912</v>
      </c>
      <c r="S73" s="196" t="s">
        <v>844</v>
      </c>
      <c r="T73" s="196" t="s">
        <v>913</v>
      </c>
      <c r="U73" s="196" t="s">
        <v>914</v>
      </c>
      <c r="V73" s="196" t="s">
        <v>911</v>
      </c>
      <c r="W73" s="196" t="s">
        <v>915</v>
      </c>
      <c r="X73" s="196" t="s">
        <v>916</v>
      </c>
      <c r="Y73" s="196" t="s">
        <v>848</v>
      </c>
    </row>
    <row r="74" spans="1:25">
      <c r="A74" s="196" t="s">
        <v>837</v>
      </c>
      <c r="B74" s="196" t="s">
        <v>181</v>
      </c>
      <c r="C74" s="196">
        <v>2014</v>
      </c>
      <c r="D74" s="196">
        <v>80</v>
      </c>
      <c r="E74" s="196" t="s">
        <v>874</v>
      </c>
      <c r="F74" s="196" t="s">
        <v>909</v>
      </c>
      <c r="G74" s="196">
        <v>43</v>
      </c>
      <c r="H74" s="196">
        <v>41</v>
      </c>
      <c r="I74" s="196">
        <v>69440</v>
      </c>
      <c r="J74" s="196">
        <v>360747</v>
      </c>
      <c r="K74" s="196">
        <v>82.15</v>
      </c>
      <c r="L74" s="196">
        <v>4.6500000000000004</v>
      </c>
      <c r="M74" s="196">
        <v>7688</v>
      </c>
      <c r="N74" s="196">
        <v>3445428</v>
      </c>
      <c r="O74" s="196">
        <v>3605</v>
      </c>
      <c r="P74" s="196" t="s">
        <v>910</v>
      </c>
      <c r="Q74" s="196" t="s">
        <v>911</v>
      </c>
      <c r="R74" s="196" t="s">
        <v>912</v>
      </c>
      <c r="S74" s="196" t="s">
        <v>844</v>
      </c>
      <c r="T74" s="196" t="s">
        <v>913</v>
      </c>
      <c r="U74" s="196" t="s">
        <v>914</v>
      </c>
      <c r="V74" s="196" t="s">
        <v>911</v>
      </c>
      <c r="W74" s="196" t="s">
        <v>915</v>
      </c>
      <c r="X74" s="196" t="s">
        <v>916</v>
      </c>
      <c r="Y74" s="196" t="s">
        <v>848</v>
      </c>
    </row>
    <row r="75" spans="1:25">
      <c r="A75" s="196" t="s">
        <v>837</v>
      </c>
      <c r="B75" s="196" t="s">
        <v>850</v>
      </c>
      <c r="C75" s="196">
        <v>2014</v>
      </c>
      <c r="D75" s="196">
        <v>80</v>
      </c>
      <c r="E75" s="196" t="s">
        <v>918</v>
      </c>
      <c r="F75" s="196" t="s">
        <v>909</v>
      </c>
      <c r="G75" s="196">
        <v>2</v>
      </c>
      <c r="H75" s="196">
        <v>2</v>
      </c>
      <c r="I75" s="196">
        <v>1884</v>
      </c>
      <c r="J75" s="196">
        <v>13316</v>
      </c>
      <c r="K75" s="196">
        <v>82.15</v>
      </c>
      <c r="L75" s="196">
        <v>4.6500000000000004</v>
      </c>
      <c r="M75" s="196">
        <v>7688</v>
      </c>
      <c r="N75" s="196">
        <v>3445428</v>
      </c>
      <c r="O75" s="196">
        <v>3605</v>
      </c>
      <c r="P75" s="196" t="s">
        <v>910</v>
      </c>
      <c r="Q75" s="196" t="s">
        <v>911</v>
      </c>
      <c r="R75" s="196" t="s">
        <v>912</v>
      </c>
      <c r="S75" s="196" t="s">
        <v>844</v>
      </c>
      <c r="T75" s="196" t="s">
        <v>913</v>
      </c>
      <c r="U75" s="196" t="s">
        <v>914</v>
      </c>
      <c r="V75" s="196" t="s">
        <v>911</v>
      </c>
      <c r="W75" s="196" t="s">
        <v>915</v>
      </c>
      <c r="X75" s="196" t="s">
        <v>916</v>
      </c>
      <c r="Y75" s="196" t="s">
        <v>848</v>
      </c>
    </row>
    <row r="76" spans="1:25">
      <c r="A76" s="196" t="s">
        <v>837</v>
      </c>
      <c r="B76" s="196" t="s">
        <v>850</v>
      </c>
      <c r="C76" s="196">
        <v>2014</v>
      </c>
      <c r="D76" s="196">
        <v>80</v>
      </c>
      <c r="E76" s="196" t="s">
        <v>875</v>
      </c>
      <c r="F76" s="196" t="s">
        <v>909</v>
      </c>
      <c r="G76" s="196">
        <v>21</v>
      </c>
      <c r="H76" s="196">
        <v>20</v>
      </c>
      <c r="I76" s="196">
        <v>30087</v>
      </c>
      <c r="J76" s="196">
        <v>141554</v>
      </c>
      <c r="K76" s="196">
        <v>82.15</v>
      </c>
      <c r="L76" s="196">
        <v>4.6500000000000004</v>
      </c>
      <c r="M76" s="196">
        <v>7688</v>
      </c>
      <c r="N76" s="196">
        <v>3445428</v>
      </c>
      <c r="O76" s="196">
        <v>3605</v>
      </c>
      <c r="P76" s="196" t="s">
        <v>910</v>
      </c>
      <c r="Q76" s="196" t="s">
        <v>911</v>
      </c>
      <c r="R76" s="196" t="s">
        <v>912</v>
      </c>
      <c r="S76" s="196" t="s">
        <v>844</v>
      </c>
      <c r="T76" s="196" t="s">
        <v>913</v>
      </c>
      <c r="U76" s="196" t="s">
        <v>914</v>
      </c>
      <c r="V76" s="196" t="s">
        <v>911</v>
      </c>
      <c r="W76" s="196" t="s">
        <v>915</v>
      </c>
      <c r="X76" s="196" t="s">
        <v>916</v>
      </c>
      <c r="Y76" s="196" t="s">
        <v>848</v>
      </c>
    </row>
    <row r="77" spans="1:25">
      <c r="A77" s="196" t="s">
        <v>837</v>
      </c>
      <c r="B77" s="196" t="s">
        <v>838</v>
      </c>
      <c r="C77" s="196">
        <v>2013</v>
      </c>
      <c r="D77" s="196">
        <v>80</v>
      </c>
      <c r="E77" s="196" t="s">
        <v>908</v>
      </c>
      <c r="F77" s="196" t="s">
        <v>909</v>
      </c>
      <c r="G77" s="196">
        <v>10</v>
      </c>
      <c r="H77" s="196">
        <v>9</v>
      </c>
      <c r="I77" s="196">
        <v>16554</v>
      </c>
      <c r="J77" s="196">
        <v>88721</v>
      </c>
      <c r="K77" s="196">
        <v>82.15</v>
      </c>
      <c r="L77" s="196">
        <v>4.6500000000000004</v>
      </c>
      <c r="M77" s="196">
        <v>7688</v>
      </c>
      <c r="N77" s="196">
        <v>3445428</v>
      </c>
      <c r="O77" s="196">
        <v>3605</v>
      </c>
      <c r="P77" s="196" t="s">
        <v>910</v>
      </c>
      <c r="Q77" s="196" t="s">
        <v>911</v>
      </c>
      <c r="R77" s="196" t="s">
        <v>912</v>
      </c>
      <c r="S77" s="196" t="s">
        <v>844</v>
      </c>
      <c r="T77" s="196" t="s">
        <v>913</v>
      </c>
      <c r="U77" s="196" t="s">
        <v>914</v>
      </c>
      <c r="V77" s="196" t="s">
        <v>911</v>
      </c>
      <c r="W77" s="196" t="s">
        <v>915</v>
      </c>
      <c r="X77" s="196" t="s">
        <v>916</v>
      </c>
      <c r="Y77" s="196" t="s">
        <v>848</v>
      </c>
    </row>
    <row r="78" spans="1:25">
      <c r="A78" s="196" t="s">
        <v>837</v>
      </c>
      <c r="B78" s="196" t="s">
        <v>181</v>
      </c>
      <c r="C78" s="196">
        <v>2013</v>
      </c>
      <c r="D78" s="196">
        <v>80</v>
      </c>
      <c r="E78" s="196" t="s">
        <v>876</v>
      </c>
      <c r="F78" s="196" t="s">
        <v>909</v>
      </c>
      <c r="G78" s="196">
        <v>28</v>
      </c>
      <c r="H78" s="196">
        <v>27</v>
      </c>
      <c r="I78" s="196">
        <v>50814</v>
      </c>
      <c r="J78" s="196">
        <v>230294</v>
      </c>
      <c r="K78" s="196">
        <v>82.15</v>
      </c>
      <c r="L78" s="196">
        <v>4.6500000000000004</v>
      </c>
      <c r="M78" s="196">
        <v>7688</v>
      </c>
      <c r="N78" s="196">
        <v>3445428</v>
      </c>
      <c r="O78" s="196">
        <v>3605</v>
      </c>
      <c r="P78" s="196" t="s">
        <v>910</v>
      </c>
      <c r="Q78" s="196" t="s">
        <v>911</v>
      </c>
      <c r="R78" s="196" t="s">
        <v>912</v>
      </c>
      <c r="S78" s="196" t="s">
        <v>844</v>
      </c>
      <c r="T78" s="196" t="s">
        <v>913</v>
      </c>
      <c r="U78" s="196" t="s">
        <v>914</v>
      </c>
      <c r="V78" s="196" t="s">
        <v>911</v>
      </c>
      <c r="W78" s="196" t="s">
        <v>915</v>
      </c>
      <c r="X78" s="196" t="s">
        <v>916</v>
      </c>
      <c r="Y78" s="196" t="s">
        <v>848</v>
      </c>
    </row>
    <row r="79" spans="1:25">
      <c r="A79" s="196" t="s">
        <v>837</v>
      </c>
      <c r="B79" s="196" t="s">
        <v>838</v>
      </c>
      <c r="C79" s="196">
        <v>2014</v>
      </c>
      <c r="D79" s="196">
        <v>55</v>
      </c>
      <c r="E79" s="196" t="s">
        <v>854</v>
      </c>
      <c r="F79" s="196" t="s">
        <v>909</v>
      </c>
      <c r="G79" s="196">
        <v>5</v>
      </c>
      <c r="H79" s="196">
        <v>5</v>
      </c>
      <c r="I79" s="196">
        <v>7287</v>
      </c>
      <c r="J79" s="196">
        <v>36881</v>
      </c>
      <c r="K79" s="196">
        <v>82.15</v>
      </c>
      <c r="L79" s="196">
        <v>4.6500000000000004</v>
      </c>
      <c r="M79" s="196">
        <v>7688</v>
      </c>
      <c r="N79" s="196">
        <v>3445428</v>
      </c>
      <c r="O79" s="196">
        <v>3605</v>
      </c>
      <c r="P79" s="196" t="s">
        <v>910</v>
      </c>
      <c r="Q79" s="196" t="s">
        <v>911</v>
      </c>
      <c r="R79" s="196" t="s">
        <v>912</v>
      </c>
      <c r="S79" s="196" t="s">
        <v>844</v>
      </c>
      <c r="T79" s="196" t="s">
        <v>913</v>
      </c>
      <c r="U79" s="196" t="s">
        <v>914</v>
      </c>
      <c r="V79" s="196" t="s">
        <v>911</v>
      </c>
      <c r="W79" s="196" t="s">
        <v>915</v>
      </c>
      <c r="X79" s="196" t="s">
        <v>916</v>
      </c>
      <c r="Y79" s="196" t="s">
        <v>848</v>
      </c>
    </row>
    <row r="80" spans="1:25">
      <c r="A80" s="196" t="s">
        <v>837</v>
      </c>
      <c r="B80" s="196" t="s">
        <v>838</v>
      </c>
      <c r="C80" s="196">
        <v>2014</v>
      </c>
      <c r="D80" s="196">
        <v>55</v>
      </c>
      <c r="E80" s="196" t="s">
        <v>855</v>
      </c>
      <c r="F80" s="196" t="s">
        <v>909</v>
      </c>
      <c r="G80" s="196">
        <v>3</v>
      </c>
      <c r="H80" s="196">
        <v>3</v>
      </c>
      <c r="I80" s="196">
        <v>2481</v>
      </c>
      <c r="J80" s="196">
        <v>41760</v>
      </c>
      <c r="K80" s="196">
        <v>82.15</v>
      </c>
      <c r="L80" s="196">
        <v>4.6500000000000004</v>
      </c>
      <c r="M80" s="196">
        <v>7688</v>
      </c>
      <c r="N80" s="196">
        <v>3445428</v>
      </c>
      <c r="O80" s="196">
        <v>3605</v>
      </c>
      <c r="P80" s="196" t="s">
        <v>910</v>
      </c>
      <c r="Q80" s="196" t="s">
        <v>911</v>
      </c>
      <c r="R80" s="196" t="s">
        <v>912</v>
      </c>
      <c r="S80" s="196" t="s">
        <v>844</v>
      </c>
      <c r="T80" s="196" t="s">
        <v>913</v>
      </c>
      <c r="U80" s="196" t="s">
        <v>914</v>
      </c>
      <c r="V80" s="196" t="s">
        <v>911</v>
      </c>
      <c r="W80" s="196" t="s">
        <v>915</v>
      </c>
      <c r="X80" s="196" t="s">
        <v>916</v>
      </c>
      <c r="Y80" s="196" t="s">
        <v>848</v>
      </c>
    </row>
    <row r="81" spans="1:25">
      <c r="A81" s="196" t="s">
        <v>837</v>
      </c>
      <c r="B81" s="196" t="s">
        <v>181</v>
      </c>
      <c r="C81" s="196">
        <v>2014</v>
      </c>
      <c r="D81" s="196">
        <v>30</v>
      </c>
      <c r="E81" s="196" t="s">
        <v>856</v>
      </c>
      <c r="F81" s="196" t="s">
        <v>909</v>
      </c>
      <c r="G81" s="196">
        <v>2</v>
      </c>
      <c r="H81" s="196">
        <v>2</v>
      </c>
      <c r="I81" s="196">
        <v>5556</v>
      </c>
      <c r="J81" s="196">
        <v>10741</v>
      </c>
      <c r="K81" s="196">
        <v>82.15</v>
      </c>
      <c r="L81" s="196">
        <v>4.6500000000000004</v>
      </c>
      <c r="M81" s="196">
        <v>7688</v>
      </c>
      <c r="N81" s="196">
        <v>3445428</v>
      </c>
      <c r="O81" s="196">
        <v>3605</v>
      </c>
      <c r="P81" s="196" t="s">
        <v>910</v>
      </c>
      <c r="Q81" s="196" t="s">
        <v>911</v>
      </c>
      <c r="R81" s="196" t="s">
        <v>912</v>
      </c>
      <c r="S81" s="196" t="s">
        <v>844</v>
      </c>
      <c r="T81" s="196" t="s">
        <v>913</v>
      </c>
      <c r="U81" s="196" t="s">
        <v>914</v>
      </c>
      <c r="V81" s="196" t="s">
        <v>911</v>
      </c>
      <c r="W81" s="196" t="s">
        <v>915</v>
      </c>
      <c r="X81" s="196" t="s">
        <v>916</v>
      </c>
      <c r="Y81" s="196" t="s">
        <v>848</v>
      </c>
    </row>
    <row r="82" spans="1:25">
      <c r="A82" s="196" t="s">
        <v>837</v>
      </c>
      <c r="B82" s="196" t="s">
        <v>181</v>
      </c>
      <c r="C82" s="196">
        <v>2014</v>
      </c>
      <c r="D82" s="196">
        <v>30</v>
      </c>
      <c r="E82" s="196" t="s">
        <v>857</v>
      </c>
      <c r="F82" s="196" t="s">
        <v>909</v>
      </c>
      <c r="G82" s="196">
        <v>1</v>
      </c>
      <c r="H82" s="196">
        <v>1</v>
      </c>
      <c r="I82" s="196">
        <v>1146</v>
      </c>
      <c r="J82" s="196">
        <v>8585</v>
      </c>
      <c r="K82" s="196">
        <v>82.15</v>
      </c>
      <c r="L82" s="196">
        <v>4.6500000000000004</v>
      </c>
      <c r="M82" s="196">
        <v>7688</v>
      </c>
      <c r="N82" s="196">
        <v>3445428</v>
      </c>
      <c r="O82" s="196">
        <v>3605</v>
      </c>
      <c r="P82" s="196" t="s">
        <v>910</v>
      </c>
      <c r="Q82" s="196" t="s">
        <v>911</v>
      </c>
      <c r="R82" s="196" t="s">
        <v>912</v>
      </c>
      <c r="S82" s="196" t="s">
        <v>844</v>
      </c>
      <c r="T82" s="196" t="s">
        <v>913</v>
      </c>
      <c r="U82" s="196" t="s">
        <v>914</v>
      </c>
      <c r="V82" s="196" t="s">
        <v>911</v>
      </c>
      <c r="W82" s="196" t="s">
        <v>915</v>
      </c>
      <c r="X82" s="196" t="s">
        <v>916</v>
      </c>
      <c r="Y82" s="196" t="s">
        <v>848</v>
      </c>
    </row>
    <row r="83" spans="1:25">
      <c r="A83" s="196" t="s">
        <v>837</v>
      </c>
      <c r="B83" s="196" t="s">
        <v>181</v>
      </c>
      <c r="C83" s="196">
        <v>2014</v>
      </c>
      <c r="D83" s="196">
        <v>55</v>
      </c>
      <c r="E83" s="196" t="s">
        <v>858</v>
      </c>
      <c r="F83" s="196" t="s">
        <v>909</v>
      </c>
      <c r="G83" s="196">
        <v>5</v>
      </c>
      <c r="H83" s="196">
        <v>5</v>
      </c>
      <c r="I83" s="196">
        <v>7038</v>
      </c>
      <c r="J83" s="196">
        <v>37666</v>
      </c>
      <c r="K83" s="196">
        <v>82.15</v>
      </c>
      <c r="L83" s="196">
        <v>4.6500000000000004</v>
      </c>
      <c r="M83" s="196">
        <v>7688</v>
      </c>
      <c r="N83" s="196">
        <v>3445428</v>
      </c>
      <c r="O83" s="196">
        <v>3605</v>
      </c>
      <c r="P83" s="196" t="s">
        <v>910</v>
      </c>
      <c r="Q83" s="196" t="s">
        <v>911</v>
      </c>
      <c r="R83" s="196" t="s">
        <v>912</v>
      </c>
      <c r="S83" s="196" t="s">
        <v>844</v>
      </c>
      <c r="T83" s="196" t="s">
        <v>913</v>
      </c>
      <c r="U83" s="196" t="s">
        <v>914</v>
      </c>
      <c r="V83" s="196" t="s">
        <v>911</v>
      </c>
      <c r="W83" s="196" t="s">
        <v>915</v>
      </c>
      <c r="X83" s="196" t="s">
        <v>916</v>
      </c>
      <c r="Y83" s="196" t="s">
        <v>848</v>
      </c>
    </row>
    <row r="84" spans="1:25">
      <c r="A84" s="196" t="s">
        <v>837</v>
      </c>
      <c r="B84" s="196" t="s">
        <v>850</v>
      </c>
      <c r="C84" s="196">
        <v>2014</v>
      </c>
      <c r="D84" s="196">
        <v>30</v>
      </c>
      <c r="E84" s="196" t="s">
        <v>860</v>
      </c>
      <c r="F84" s="196" t="s">
        <v>909</v>
      </c>
      <c r="G84" s="196">
        <v>1</v>
      </c>
      <c r="H84" s="196">
        <v>1</v>
      </c>
      <c r="I84" s="196">
        <v>1701</v>
      </c>
      <c r="J84" s="196">
        <v>15588</v>
      </c>
      <c r="K84" s="196">
        <v>82.15</v>
      </c>
      <c r="L84" s="196">
        <v>4.6500000000000004</v>
      </c>
      <c r="M84" s="196">
        <v>7688</v>
      </c>
      <c r="N84" s="196">
        <v>3445428</v>
      </c>
      <c r="O84" s="196">
        <v>3605</v>
      </c>
      <c r="P84" s="196" t="s">
        <v>910</v>
      </c>
      <c r="Q84" s="196" t="s">
        <v>911</v>
      </c>
      <c r="R84" s="196" t="s">
        <v>912</v>
      </c>
      <c r="S84" s="196" t="s">
        <v>844</v>
      </c>
      <c r="T84" s="196" t="s">
        <v>913</v>
      </c>
      <c r="U84" s="196" t="s">
        <v>914</v>
      </c>
      <c r="V84" s="196" t="s">
        <v>911</v>
      </c>
      <c r="W84" s="196" t="s">
        <v>915</v>
      </c>
      <c r="X84" s="196" t="s">
        <v>916</v>
      </c>
      <c r="Y84" s="196" t="s">
        <v>848</v>
      </c>
    </row>
    <row r="85" spans="1:25">
      <c r="A85" s="196" t="s">
        <v>837</v>
      </c>
      <c r="B85" s="196" t="s">
        <v>850</v>
      </c>
      <c r="C85" s="196">
        <v>2014</v>
      </c>
      <c r="D85" s="196">
        <v>30</v>
      </c>
      <c r="E85" s="196" t="s">
        <v>861</v>
      </c>
      <c r="F85" s="196" t="s">
        <v>909</v>
      </c>
      <c r="G85" s="196">
        <v>4</v>
      </c>
      <c r="H85" s="196">
        <v>4</v>
      </c>
      <c r="I85" s="196">
        <v>5427</v>
      </c>
      <c r="J85" s="196">
        <v>43840</v>
      </c>
      <c r="K85" s="196">
        <v>82.15</v>
      </c>
      <c r="L85" s="196">
        <v>4.6500000000000004</v>
      </c>
      <c r="M85" s="196">
        <v>7688</v>
      </c>
      <c r="N85" s="196">
        <v>3445428</v>
      </c>
      <c r="O85" s="196">
        <v>3605</v>
      </c>
      <c r="P85" s="196" t="s">
        <v>910</v>
      </c>
      <c r="Q85" s="196" t="s">
        <v>911</v>
      </c>
      <c r="R85" s="196" t="s">
        <v>912</v>
      </c>
      <c r="S85" s="196" t="s">
        <v>844</v>
      </c>
      <c r="T85" s="196" t="s">
        <v>913</v>
      </c>
      <c r="U85" s="196" t="s">
        <v>914</v>
      </c>
      <c r="V85" s="196" t="s">
        <v>911</v>
      </c>
      <c r="W85" s="196" t="s">
        <v>915</v>
      </c>
      <c r="X85" s="196" t="s">
        <v>916</v>
      </c>
      <c r="Y85" s="196" t="s">
        <v>848</v>
      </c>
    </row>
    <row r="86" spans="1:25">
      <c r="A86" s="196" t="s">
        <v>837</v>
      </c>
      <c r="B86" s="196" t="s">
        <v>850</v>
      </c>
      <c r="C86" s="196">
        <v>2014</v>
      </c>
      <c r="D86" s="196">
        <v>55</v>
      </c>
      <c r="E86" s="196" t="s">
        <v>862</v>
      </c>
      <c r="F86" s="196" t="s">
        <v>909</v>
      </c>
      <c r="G86" s="196">
        <v>1</v>
      </c>
      <c r="H86" s="196">
        <v>1</v>
      </c>
      <c r="I86" s="196">
        <v>1644</v>
      </c>
      <c r="J86" s="196">
        <v>8488</v>
      </c>
      <c r="K86" s="196">
        <v>82.15</v>
      </c>
      <c r="L86" s="196">
        <v>4.6500000000000004</v>
      </c>
      <c r="M86" s="196">
        <v>7688</v>
      </c>
      <c r="N86" s="196">
        <v>3445428</v>
      </c>
      <c r="O86" s="196">
        <v>3605</v>
      </c>
      <c r="P86" s="196" t="s">
        <v>910</v>
      </c>
      <c r="Q86" s="196" t="s">
        <v>911</v>
      </c>
      <c r="R86" s="196" t="s">
        <v>912</v>
      </c>
      <c r="S86" s="196" t="s">
        <v>844</v>
      </c>
      <c r="T86" s="196" t="s">
        <v>913</v>
      </c>
      <c r="U86" s="196" t="s">
        <v>914</v>
      </c>
      <c r="V86" s="196" t="s">
        <v>911</v>
      </c>
      <c r="W86" s="196" t="s">
        <v>915</v>
      </c>
      <c r="X86" s="196" t="s">
        <v>916</v>
      </c>
      <c r="Y86" s="196" t="s">
        <v>848</v>
      </c>
    </row>
    <row r="87" spans="1:25">
      <c r="A87" s="196" t="s">
        <v>837</v>
      </c>
      <c r="B87" s="196" t="s">
        <v>850</v>
      </c>
      <c r="C87" s="196">
        <v>2014</v>
      </c>
      <c r="D87" s="196">
        <v>55</v>
      </c>
      <c r="E87" s="196" t="s">
        <v>863</v>
      </c>
      <c r="F87" s="196" t="s">
        <v>909</v>
      </c>
      <c r="G87" s="196">
        <v>3</v>
      </c>
      <c r="H87" s="196">
        <v>3</v>
      </c>
      <c r="I87" s="196">
        <v>4302</v>
      </c>
      <c r="J87" s="196">
        <v>37144</v>
      </c>
      <c r="K87" s="196">
        <v>82.15</v>
      </c>
      <c r="L87" s="196">
        <v>4.6500000000000004</v>
      </c>
      <c r="M87" s="196">
        <v>7688</v>
      </c>
      <c r="N87" s="196">
        <v>3445428</v>
      </c>
      <c r="O87" s="196">
        <v>3605</v>
      </c>
      <c r="P87" s="196" t="s">
        <v>910</v>
      </c>
      <c r="Q87" s="196" t="s">
        <v>911</v>
      </c>
      <c r="R87" s="196" t="s">
        <v>912</v>
      </c>
      <c r="S87" s="196" t="s">
        <v>844</v>
      </c>
      <c r="T87" s="196" t="s">
        <v>913</v>
      </c>
      <c r="U87" s="196" t="s">
        <v>914</v>
      </c>
      <c r="V87" s="196" t="s">
        <v>911</v>
      </c>
      <c r="W87" s="196" t="s">
        <v>915</v>
      </c>
      <c r="X87" s="196" t="s">
        <v>916</v>
      </c>
      <c r="Y87" s="196" t="s">
        <v>848</v>
      </c>
    </row>
    <row r="88" spans="1:25">
      <c r="A88" s="196" t="s">
        <v>837</v>
      </c>
      <c r="B88" s="196" t="s">
        <v>838</v>
      </c>
      <c r="C88" s="196">
        <v>2013</v>
      </c>
      <c r="D88" s="196">
        <v>30</v>
      </c>
      <c r="E88" s="196" t="s">
        <v>839</v>
      </c>
      <c r="F88" s="196" t="s">
        <v>919</v>
      </c>
      <c r="G88" s="196">
        <v>1</v>
      </c>
      <c r="H88" s="196">
        <v>1</v>
      </c>
      <c r="I88" s="196">
        <v>2472</v>
      </c>
      <c r="J88" s="196">
        <v>5871</v>
      </c>
      <c r="K88" s="196">
        <v>83.25</v>
      </c>
      <c r="L88" s="196">
        <v>0.24</v>
      </c>
      <c r="M88" s="196">
        <v>16918</v>
      </c>
      <c r="N88" s="196">
        <v>2106756</v>
      </c>
      <c r="O88" s="196">
        <v>1989</v>
      </c>
      <c r="P88" s="196" t="s">
        <v>920</v>
      </c>
      <c r="Q88" s="196" t="s">
        <v>921</v>
      </c>
      <c r="R88" s="196" t="s">
        <v>922</v>
      </c>
      <c r="S88" s="196" t="s">
        <v>844</v>
      </c>
      <c r="T88" s="196" t="s">
        <v>923</v>
      </c>
      <c r="U88" s="196" t="s">
        <v>924</v>
      </c>
      <c r="V88" s="196" t="s">
        <v>925</v>
      </c>
      <c r="W88" s="196" t="s">
        <v>920</v>
      </c>
      <c r="X88" s="196" t="s">
        <v>921</v>
      </c>
      <c r="Y88" s="196" t="s">
        <v>848</v>
      </c>
    </row>
    <row r="89" spans="1:25">
      <c r="A89" s="196" t="s">
        <v>837</v>
      </c>
      <c r="B89" s="196" t="s">
        <v>850</v>
      </c>
      <c r="C89" s="196">
        <v>2013</v>
      </c>
      <c r="D89" s="196">
        <v>55</v>
      </c>
      <c r="E89" s="196" t="s">
        <v>852</v>
      </c>
      <c r="F89" s="196" t="s">
        <v>919</v>
      </c>
      <c r="G89" s="196">
        <v>1</v>
      </c>
      <c r="H89" s="196">
        <v>1</v>
      </c>
      <c r="I89" s="196">
        <v>1326</v>
      </c>
      <c r="J89" s="196">
        <v>23692</v>
      </c>
      <c r="K89" s="196">
        <v>83.25</v>
      </c>
      <c r="L89" s="196">
        <v>0.24</v>
      </c>
      <c r="M89" s="196">
        <v>16918</v>
      </c>
      <c r="N89" s="196">
        <v>2106756</v>
      </c>
      <c r="O89" s="196">
        <v>1989</v>
      </c>
      <c r="P89" s="196" t="s">
        <v>920</v>
      </c>
      <c r="Q89" s="196" t="s">
        <v>921</v>
      </c>
      <c r="R89" s="196" t="s">
        <v>922</v>
      </c>
      <c r="S89" s="196" t="s">
        <v>844</v>
      </c>
      <c r="T89" s="196" t="s">
        <v>923</v>
      </c>
      <c r="U89" s="196" t="s">
        <v>924</v>
      </c>
      <c r="V89" s="196" t="s">
        <v>925</v>
      </c>
      <c r="W89" s="196" t="s">
        <v>920</v>
      </c>
      <c r="X89" s="196" t="s">
        <v>921</v>
      </c>
      <c r="Y89" s="196" t="s">
        <v>848</v>
      </c>
    </row>
    <row r="90" spans="1:25">
      <c r="A90" s="196" t="s">
        <v>837</v>
      </c>
      <c r="B90" s="196" t="s">
        <v>181</v>
      </c>
      <c r="C90" s="196">
        <v>2014</v>
      </c>
      <c r="D90" s="196">
        <v>80</v>
      </c>
      <c r="E90" s="196" t="s">
        <v>874</v>
      </c>
      <c r="F90" s="196" t="s">
        <v>919</v>
      </c>
      <c r="G90" s="196">
        <v>1</v>
      </c>
      <c r="H90" s="196">
        <v>1</v>
      </c>
      <c r="I90" s="196">
        <v>1581</v>
      </c>
      <c r="J90" s="196">
        <v>13517</v>
      </c>
      <c r="K90" s="196">
        <v>83.25</v>
      </c>
      <c r="L90" s="196">
        <v>0.24</v>
      </c>
      <c r="M90" s="196">
        <v>16918</v>
      </c>
      <c r="N90" s="196">
        <v>2106756</v>
      </c>
      <c r="O90" s="196">
        <v>1989</v>
      </c>
      <c r="P90" s="196" t="s">
        <v>920</v>
      </c>
      <c r="Q90" s="196" t="s">
        <v>921</v>
      </c>
      <c r="R90" s="196" t="s">
        <v>922</v>
      </c>
      <c r="S90" s="196" t="s">
        <v>844</v>
      </c>
      <c r="T90" s="196" t="s">
        <v>923</v>
      </c>
      <c r="U90" s="196" t="s">
        <v>924</v>
      </c>
      <c r="V90" s="196" t="s">
        <v>925</v>
      </c>
      <c r="W90" s="196" t="s">
        <v>920</v>
      </c>
      <c r="X90" s="196" t="s">
        <v>921</v>
      </c>
      <c r="Y90" s="196" t="s">
        <v>848</v>
      </c>
    </row>
    <row r="91" spans="1:25">
      <c r="A91" s="196" t="s">
        <v>837</v>
      </c>
      <c r="B91" s="196" t="s">
        <v>850</v>
      </c>
      <c r="C91" s="196">
        <v>2014</v>
      </c>
      <c r="D91" s="196">
        <v>80</v>
      </c>
      <c r="E91" s="196" t="s">
        <v>875</v>
      </c>
      <c r="F91" s="196" t="s">
        <v>919</v>
      </c>
      <c r="G91" s="196">
        <v>1</v>
      </c>
      <c r="H91" s="196">
        <v>1</v>
      </c>
      <c r="I91" s="196">
        <v>957</v>
      </c>
      <c r="J91" s="196">
        <v>27931</v>
      </c>
      <c r="K91" s="196">
        <v>83.25</v>
      </c>
      <c r="L91" s="196">
        <v>0.24</v>
      </c>
      <c r="M91" s="196">
        <v>16918</v>
      </c>
      <c r="N91" s="196">
        <v>2106756</v>
      </c>
      <c r="O91" s="196">
        <v>1989</v>
      </c>
      <c r="P91" s="196" t="s">
        <v>920</v>
      </c>
      <c r="Q91" s="196" t="s">
        <v>921</v>
      </c>
      <c r="R91" s="196" t="s">
        <v>922</v>
      </c>
      <c r="S91" s="196" t="s">
        <v>844</v>
      </c>
      <c r="T91" s="196" t="s">
        <v>923</v>
      </c>
      <c r="U91" s="196" t="s">
        <v>924</v>
      </c>
      <c r="V91" s="196" t="s">
        <v>925</v>
      </c>
      <c r="W91" s="196" t="s">
        <v>920</v>
      </c>
      <c r="X91" s="196" t="s">
        <v>921</v>
      </c>
      <c r="Y91" s="196" t="s">
        <v>848</v>
      </c>
    </row>
    <row r="92" spans="1:25">
      <c r="A92" s="196" t="s">
        <v>837</v>
      </c>
      <c r="B92" s="196" t="s">
        <v>838</v>
      </c>
      <c r="C92" s="196">
        <v>2014</v>
      </c>
      <c r="D92" s="196">
        <v>55</v>
      </c>
      <c r="E92" s="196" t="s">
        <v>854</v>
      </c>
      <c r="F92" s="196" t="s">
        <v>919</v>
      </c>
      <c r="G92" s="196">
        <v>1</v>
      </c>
      <c r="H92" s="196">
        <v>1</v>
      </c>
      <c r="I92" s="196">
        <v>2628</v>
      </c>
      <c r="J92" s="196">
        <v>5146</v>
      </c>
      <c r="K92" s="196">
        <v>83.25</v>
      </c>
      <c r="L92" s="196">
        <v>0.24</v>
      </c>
      <c r="M92" s="196">
        <v>16918</v>
      </c>
      <c r="N92" s="196">
        <v>2106756</v>
      </c>
      <c r="O92" s="196">
        <v>1989</v>
      </c>
      <c r="P92" s="196" t="s">
        <v>920</v>
      </c>
      <c r="Q92" s="196" t="s">
        <v>921</v>
      </c>
      <c r="R92" s="196" t="s">
        <v>922</v>
      </c>
      <c r="S92" s="196" t="s">
        <v>844</v>
      </c>
      <c r="T92" s="196" t="s">
        <v>923</v>
      </c>
      <c r="U92" s="196" t="s">
        <v>924</v>
      </c>
      <c r="V92" s="196" t="s">
        <v>925</v>
      </c>
      <c r="W92" s="196" t="s">
        <v>920</v>
      </c>
      <c r="X92" s="196" t="s">
        <v>921</v>
      </c>
      <c r="Y92" s="196" t="s">
        <v>848</v>
      </c>
    </row>
    <row r="93" spans="1:25">
      <c r="A93" s="196" t="s">
        <v>837</v>
      </c>
      <c r="B93" s="196" t="s">
        <v>181</v>
      </c>
      <c r="C93" s="196">
        <v>2014</v>
      </c>
      <c r="D93" s="196">
        <v>30</v>
      </c>
      <c r="E93" s="196" t="s">
        <v>857</v>
      </c>
      <c r="F93" s="196" t="s">
        <v>919</v>
      </c>
      <c r="G93" s="196">
        <v>1</v>
      </c>
      <c r="H93" s="196">
        <v>1</v>
      </c>
      <c r="I93" s="196">
        <v>1509</v>
      </c>
      <c r="J93" s="196">
        <v>23582</v>
      </c>
      <c r="K93" s="196">
        <v>83.25</v>
      </c>
      <c r="L93" s="196">
        <v>0.24</v>
      </c>
      <c r="M93" s="196">
        <v>16918</v>
      </c>
      <c r="N93" s="196">
        <v>2106756</v>
      </c>
      <c r="O93" s="196">
        <v>1989</v>
      </c>
      <c r="P93" s="196" t="s">
        <v>920</v>
      </c>
      <c r="Q93" s="196" t="s">
        <v>921</v>
      </c>
      <c r="R93" s="196" t="s">
        <v>922</v>
      </c>
      <c r="S93" s="196" t="s">
        <v>844</v>
      </c>
      <c r="T93" s="196" t="s">
        <v>923</v>
      </c>
      <c r="U93" s="196" t="s">
        <v>924</v>
      </c>
      <c r="V93" s="196" t="s">
        <v>925</v>
      </c>
      <c r="W93" s="196" t="s">
        <v>920</v>
      </c>
      <c r="X93" s="196" t="s">
        <v>921</v>
      </c>
      <c r="Y93" s="196" t="s">
        <v>848</v>
      </c>
    </row>
    <row r="94" spans="1:25">
      <c r="A94" s="196" t="s">
        <v>837</v>
      </c>
      <c r="B94" s="196" t="s">
        <v>850</v>
      </c>
      <c r="C94" s="196">
        <v>2014</v>
      </c>
      <c r="D94" s="196">
        <v>30</v>
      </c>
      <c r="E94" s="196" t="s">
        <v>860</v>
      </c>
      <c r="F94" s="196" t="s">
        <v>919</v>
      </c>
      <c r="G94" s="196">
        <v>3</v>
      </c>
      <c r="H94" s="196">
        <v>3</v>
      </c>
      <c r="I94" s="196">
        <v>2736</v>
      </c>
      <c r="J94" s="196">
        <v>58563</v>
      </c>
      <c r="K94" s="196">
        <v>83.25</v>
      </c>
      <c r="L94" s="196">
        <v>0.24</v>
      </c>
      <c r="M94" s="196">
        <v>16918</v>
      </c>
      <c r="N94" s="196">
        <v>2106756</v>
      </c>
      <c r="O94" s="196">
        <v>1989</v>
      </c>
      <c r="P94" s="196" t="s">
        <v>920</v>
      </c>
      <c r="Q94" s="196" t="s">
        <v>921</v>
      </c>
      <c r="R94" s="196" t="s">
        <v>922</v>
      </c>
      <c r="S94" s="196" t="s">
        <v>844</v>
      </c>
      <c r="T94" s="196" t="s">
        <v>923</v>
      </c>
      <c r="U94" s="196" t="s">
        <v>924</v>
      </c>
      <c r="V94" s="196" t="s">
        <v>925</v>
      </c>
      <c r="W94" s="196" t="s">
        <v>920</v>
      </c>
      <c r="X94" s="196" t="s">
        <v>921</v>
      </c>
      <c r="Y94" s="196" t="s">
        <v>848</v>
      </c>
    </row>
    <row r="95" spans="1:25">
      <c r="A95" s="196" t="s">
        <v>837</v>
      </c>
      <c r="B95" s="196" t="s">
        <v>850</v>
      </c>
      <c r="C95" s="196">
        <v>2014</v>
      </c>
      <c r="D95" s="196">
        <v>30</v>
      </c>
      <c r="E95" s="196" t="s">
        <v>861</v>
      </c>
      <c r="F95" s="196" t="s">
        <v>919</v>
      </c>
      <c r="G95" s="196">
        <v>1</v>
      </c>
      <c r="H95" s="196">
        <v>1</v>
      </c>
      <c r="I95" s="196">
        <v>2553</v>
      </c>
      <c r="J95" s="196">
        <v>8397</v>
      </c>
      <c r="K95" s="196">
        <v>83.25</v>
      </c>
      <c r="L95" s="196">
        <v>0.24</v>
      </c>
      <c r="M95" s="196">
        <v>16918</v>
      </c>
      <c r="N95" s="196">
        <v>2106756</v>
      </c>
      <c r="O95" s="196">
        <v>1989</v>
      </c>
      <c r="P95" s="196" t="s">
        <v>920</v>
      </c>
      <c r="Q95" s="196" t="s">
        <v>921</v>
      </c>
      <c r="R95" s="196" t="s">
        <v>922</v>
      </c>
      <c r="S95" s="196" t="s">
        <v>844</v>
      </c>
      <c r="T95" s="196" t="s">
        <v>923</v>
      </c>
      <c r="U95" s="196" t="s">
        <v>924</v>
      </c>
      <c r="V95" s="196" t="s">
        <v>925</v>
      </c>
      <c r="W95" s="196" t="s">
        <v>920</v>
      </c>
      <c r="X95" s="196" t="s">
        <v>921</v>
      </c>
      <c r="Y95" s="196" t="s">
        <v>848</v>
      </c>
    </row>
    <row r="96" spans="1:25">
      <c r="A96" s="196" t="s">
        <v>837</v>
      </c>
      <c r="B96" s="196" t="s">
        <v>838</v>
      </c>
      <c r="C96" s="196">
        <v>2013</v>
      </c>
      <c r="D96" s="196">
        <v>30</v>
      </c>
      <c r="E96" s="196" t="s">
        <v>839</v>
      </c>
      <c r="F96" s="196" t="s">
        <v>926</v>
      </c>
      <c r="G96" s="196">
        <v>3</v>
      </c>
      <c r="H96" s="196">
        <v>3</v>
      </c>
      <c r="I96" s="196">
        <v>3996</v>
      </c>
      <c r="J96" s="196">
        <v>14281</v>
      </c>
      <c r="K96" s="196">
        <v>62.59</v>
      </c>
      <c r="L96" s="196">
        <v>0.08</v>
      </c>
      <c r="M96" s="196">
        <v>5013</v>
      </c>
      <c r="N96" s="196">
        <v>996283</v>
      </c>
      <c r="O96" s="196">
        <v>1133</v>
      </c>
      <c r="P96" s="196" t="s">
        <v>878</v>
      </c>
      <c r="Q96" s="196" t="s">
        <v>927</v>
      </c>
      <c r="R96" s="196" t="s">
        <v>928</v>
      </c>
      <c r="S96" s="196" t="s">
        <v>844</v>
      </c>
      <c r="T96" s="196" t="s">
        <v>929</v>
      </c>
      <c r="U96" s="196" t="s">
        <v>930</v>
      </c>
      <c r="V96" s="196" t="s">
        <v>927</v>
      </c>
      <c r="W96" s="196" t="s">
        <v>931</v>
      </c>
      <c r="X96" s="196" t="s">
        <v>932</v>
      </c>
      <c r="Y96" s="196" t="s">
        <v>933</v>
      </c>
    </row>
    <row r="97" spans="1:25">
      <c r="A97" s="196" t="s">
        <v>837</v>
      </c>
      <c r="B97" s="196" t="s">
        <v>838</v>
      </c>
      <c r="C97" s="196">
        <v>2013</v>
      </c>
      <c r="D97" s="196">
        <v>55</v>
      </c>
      <c r="E97" s="196" t="s">
        <v>849</v>
      </c>
      <c r="F97" s="196" t="s">
        <v>926</v>
      </c>
      <c r="G97" s="196">
        <v>2</v>
      </c>
      <c r="H97" s="196">
        <v>2</v>
      </c>
      <c r="I97" s="196">
        <v>2151</v>
      </c>
      <c r="J97" s="196">
        <v>7428</v>
      </c>
      <c r="K97" s="196">
        <v>62.59</v>
      </c>
      <c r="L97" s="196">
        <v>0.08</v>
      </c>
      <c r="M97" s="196">
        <v>5013</v>
      </c>
      <c r="N97" s="196">
        <v>996283</v>
      </c>
      <c r="O97" s="196">
        <v>1133</v>
      </c>
      <c r="P97" s="196" t="s">
        <v>878</v>
      </c>
      <c r="Q97" s="196" t="s">
        <v>927</v>
      </c>
      <c r="R97" s="196" t="s">
        <v>928</v>
      </c>
      <c r="S97" s="196" t="s">
        <v>844</v>
      </c>
      <c r="T97" s="196" t="s">
        <v>929</v>
      </c>
      <c r="U97" s="196" t="s">
        <v>930</v>
      </c>
      <c r="V97" s="196" t="s">
        <v>927</v>
      </c>
      <c r="W97" s="196" t="s">
        <v>931</v>
      </c>
      <c r="X97" s="196" t="s">
        <v>932</v>
      </c>
      <c r="Y97" s="196" t="s">
        <v>933</v>
      </c>
    </row>
    <row r="98" spans="1:25">
      <c r="A98" s="196" t="s">
        <v>837</v>
      </c>
      <c r="B98" s="196" t="s">
        <v>850</v>
      </c>
      <c r="C98" s="196">
        <v>2013</v>
      </c>
      <c r="D98" s="196">
        <v>30</v>
      </c>
      <c r="E98" s="196" t="s">
        <v>851</v>
      </c>
      <c r="F98" s="196" t="s">
        <v>926</v>
      </c>
      <c r="G98" s="196">
        <v>3</v>
      </c>
      <c r="H98" s="196">
        <v>3</v>
      </c>
      <c r="I98" s="196">
        <v>3660</v>
      </c>
      <c r="J98" s="196">
        <v>14043</v>
      </c>
      <c r="K98" s="196">
        <v>62.59</v>
      </c>
      <c r="L98" s="196">
        <v>0.08</v>
      </c>
      <c r="M98" s="196">
        <v>5013</v>
      </c>
      <c r="N98" s="196">
        <v>996283</v>
      </c>
      <c r="O98" s="196">
        <v>1133</v>
      </c>
      <c r="P98" s="196" t="s">
        <v>878</v>
      </c>
      <c r="Q98" s="196" t="s">
        <v>927</v>
      </c>
      <c r="R98" s="196" t="s">
        <v>928</v>
      </c>
      <c r="S98" s="196" t="s">
        <v>844</v>
      </c>
      <c r="T98" s="196" t="s">
        <v>929</v>
      </c>
      <c r="U98" s="196" t="s">
        <v>930</v>
      </c>
      <c r="V98" s="196" t="s">
        <v>927</v>
      </c>
      <c r="W98" s="196" t="s">
        <v>931</v>
      </c>
      <c r="X98" s="196" t="s">
        <v>932</v>
      </c>
      <c r="Y98" s="196" t="s">
        <v>933</v>
      </c>
    </row>
    <row r="99" spans="1:25">
      <c r="A99" s="196" t="s">
        <v>837</v>
      </c>
      <c r="B99" s="196" t="s">
        <v>838</v>
      </c>
      <c r="C99" s="196">
        <v>2014</v>
      </c>
      <c r="D99" s="196">
        <v>55</v>
      </c>
      <c r="E99" s="196" t="s">
        <v>854</v>
      </c>
      <c r="F99" s="196" t="s">
        <v>926</v>
      </c>
      <c r="G99" s="196">
        <v>1</v>
      </c>
      <c r="H99" s="196">
        <v>1</v>
      </c>
      <c r="I99" s="196">
        <v>972</v>
      </c>
      <c r="J99" s="196">
        <v>3130</v>
      </c>
      <c r="K99" s="196">
        <v>62.59</v>
      </c>
      <c r="L99" s="196">
        <v>0.08</v>
      </c>
      <c r="M99" s="196">
        <v>5013</v>
      </c>
      <c r="N99" s="196">
        <v>996283</v>
      </c>
      <c r="O99" s="196">
        <v>1133</v>
      </c>
      <c r="P99" s="196" t="s">
        <v>878</v>
      </c>
      <c r="Q99" s="196" t="s">
        <v>927</v>
      </c>
      <c r="R99" s="196" t="s">
        <v>928</v>
      </c>
      <c r="S99" s="196" t="s">
        <v>844</v>
      </c>
      <c r="T99" s="196" t="s">
        <v>929</v>
      </c>
      <c r="U99" s="196" t="s">
        <v>930</v>
      </c>
      <c r="V99" s="196" t="s">
        <v>927</v>
      </c>
      <c r="W99" s="196" t="s">
        <v>931</v>
      </c>
      <c r="X99" s="196" t="s">
        <v>932</v>
      </c>
      <c r="Y99" s="196" t="s">
        <v>933</v>
      </c>
    </row>
    <row r="100" spans="1:25">
      <c r="A100" s="196" t="s">
        <v>837</v>
      </c>
      <c r="B100" s="196" t="s">
        <v>181</v>
      </c>
      <c r="C100" s="196">
        <v>2014</v>
      </c>
      <c r="D100" s="196">
        <v>30</v>
      </c>
      <c r="E100" s="196" t="s">
        <v>856</v>
      </c>
      <c r="F100" s="196" t="s">
        <v>926</v>
      </c>
      <c r="G100" s="196">
        <v>2</v>
      </c>
      <c r="H100" s="196">
        <v>2</v>
      </c>
      <c r="I100" s="196">
        <v>1257</v>
      </c>
      <c r="J100" s="196">
        <v>6406</v>
      </c>
      <c r="K100" s="196">
        <v>62.59</v>
      </c>
      <c r="L100" s="196">
        <v>0.08</v>
      </c>
      <c r="M100" s="196">
        <v>5013</v>
      </c>
      <c r="N100" s="196">
        <v>996283</v>
      </c>
      <c r="O100" s="196">
        <v>1133</v>
      </c>
      <c r="P100" s="196" t="s">
        <v>878</v>
      </c>
      <c r="Q100" s="196" t="s">
        <v>927</v>
      </c>
      <c r="R100" s="196" t="s">
        <v>928</v>
      </c>
      <c r="S100" s="196" t="s">
        <v>844</v>
      </c>
      <c r="T100" s="196" t="s">
        <v>929</v>
      </c>
      <c r="U100" s="196" t="s">
        <v>930</v>
      </c>
      <c r="V100" s="196" t="s">
        <v>927</v>
      </c>
      <c r="W100" s="196" t="s">
        <v>931</v>
      </c>
      <c r="X100" s="196" t="s">
        <v>932</v>
      </c>
      <c r="Y100" s="196" t="s">
        <v>933</v>
      </c>
    </row>
    <row r="101" spans="1:25">
      <c r="A101" s="196" t="s">
        <v>837</v>
      </c>
      <c r="B101" s="196" t="s">
        <v>181</v>
      </c>
      <c r="C101" s="196">
        <v>2014</v>
      </c>
      <c r="D101" s="196">
        <v>30</v>
      </c>
      <c r="E101" s="196" t="s">
        <v>857</v>
      </c>
      <c r="F101" s="196" t="s">
        <v>926</v>
      </c>
      <c r="G101" s="196">
        <v>1</v>
      </c>
      <c r="H101" s="196">
        <v>1</v>
      </c>
      <c r="I101" s="196">
        <v>1263</v>
      </c>
      <c r="J101" s="196">
        <v>3403</v>
      </c>
      <c r="K101" s="196">
        <v>62.59</v>
      </c>
      <c r="L101" s="196">
        <v>0.08</v>
      </c>
      <c r="M101" s="196">
        <v>5013</v>
      </c>
      <c r="N101" s="196">
        <v>996283</v>
      </c>
      <c r="O101" s="196">
        <v>1133</v>
      </c>
      <c r="P101" s="196" t="s">
        <v>878</v>
      </c>
      <c r="Q101" s="196" t="s">
        <v>927</v>
      </c>
      <c r="R101" s="196" t="s">
        <v>928</v>
      </c>
      <c r="S101" s="196" t="s">
        <v>844</v>
      </c>
      <c r="T101" s="196" t="s">
        <v>929</v>
      </c>
      <c r="U101" s="196" t="s">
        <v>930</v>
      </c>
      <c r="V101" s="196" t="s">
        <v>927</v>
      </c>
      <c r="W101" s="196" t="s">
        <v>931</v>
      </c>
      <c r="X101" s="196" t="s">
        <v>932</v>
      </c>
      <c r="Y101" s="196" t="s">
        <v>933</v>
      </c>
    </row>
    <row r="102" spans="1:25">
      <c r="A102" s="196" t="s">
        <v>837</v>
      </c>
      <c r="B102" s="196" t="s">
        <v>181</v>
      </c>
      <c r="C102" s="196">
        <v>2014</v>
      </c>
      <c r="D102" s="196">
        <v>55</v>
      </c>
      <c r="E102" s="196" t="s">
        <v>858</v>
      </c>
      <c r="F102" s="196" t="s">
        <v>926</v>
      </c>
      <c r="G102" s="196">
        <v>5</v>
      </c>
      <c r="H102" s="196">
        <v>5</v>
      </c>
      <c r="I102" s="196">
        <v>4272</v>
      </c>
      <c r="J102" s="196">
        <v>27103</v>
      </c>
      <c r="K102" s="196">
        <v>62.59</v>
      </c>
      <c r="L102" s="196">
        <v>0.08</v>
      </c>
      <c r="M102" s="196">
        <v>5013</v>
      </c>
      <c r="N102" s="196">
        <v>996283</v>
      </c>
      <c r="O102" s="196">
        <v>1133</v>
      </c>
      <c r="P102" s="196" t="s">
        <v>878</v>
      </c>
      <c r="Q102" s="196" t="s">
        <v>927</v>
      </c>
      <c r="R102" s="196" t="s">
        <v>928</v>
      </c>
      <c r="S102" s="196" t="s">
        <v>844</v>
      </c>
      <c r="T102" s="196" t="s">
        <v>929</v>
      </c>
      <c r="U102" s="196" t="s">
        <v>930</v>
      </c>
      <c r="V102" s="196" t="s">
        <v>927</v>
      </c>
      <c r="W102" s="196" t="s">
        <v>931</v>
      </c>
      <c r="X102" s="196" t="s">
        <v>932</v>
      </c>
      <c r="Y102" s="196" t="s">
        <v>933</v>
      </c>
    </row>
    <row r="103" spans="1:25">
      <c r="A103" s="196" t="s">
        <v>837</v>
      </c>
      <c r="B103" s="196" t="s">
        <v>181</v>
      </c>
      <c r="C103" s="196">
        <v>2014</v>
      </c>
      <c r="D103" s="196">
        <v>55</v>
      </c>
      <c r="E103" s="196" t="s">
        <v>859</v>
      </c>
      <c r="F103" s="196" t="s">
        <v>926</v>
      </c>
      <c r="G103" s="196">
        <v>2</v>
      </c>
      <c r="H103" s="196">
        <v>2</v>
      </c>
      <c r="I103" s="196">
        <v>2901</v>
      </c>
      <c r="J103" s="196">
        <v>7160</v>
      </c>
      <c r="K103" s="196">
        <v>62.59</v>
      </c>
      <c r="L103" s="196">
        <v>0.08</v>
      </c>
      <c r="M103" s="196">
        <v>5013</v>
      </c>
      <c r="N103" s="196">
        <v>996283</v>
      </c>
      <c r="O103" s="196">
        <v>1133</v>
      </c>
      <c r="P103" s="196" t="s">
        <v>878</v>
      </c>
      <c r="Q103" s="196" t="s">
        <v>927</v>
      </c>
      <c r="R103" s="196" t="s">
        <v>928</v>
      </c>
      <c r="S103" s="196" t="s">
        <v>844</v>
      </c>
      <c r="T103" s="196" t="s">
        <v>929</v>
      </c>
      <c r="U103" s="196" t="s">
        <v>930</v>
      </c>
      <c r="V103" s="196" t="s">
        <v>927</v>
      </c>
      <c r="W103" s="196" t="s">
        <v>931</v>
      </c>
      <c r="X103" s="196" t="s">
        <v>932</v>
      </c>
      <c r="Y103" s="196" t="s">
        <v>933</v>
      </c>
    </row>
    <row r="104" spans="1:25">
      <c r="A104" s="196" t="s">
        <v>837</v>
      </c>
      <c r="B104" s="196" t="s">
        <v>850</v>
      </c>
      <c r="C104" s="196">
        <v>2014</v>
      </c>
      <c r="D104" s="196">
        <v>30</v>
      </c>
      <c r="E104" s="196" t="s">
        <v>860</v>
      </c>
      <c r="F104" s="196" t="s">
        <v>926</v>
      </c>
      <c r="G104" s="196">
        <v>3</v>
      </c>
      <c r="H104" s="196">
        <v>3</v>
      </c>
      <c r="I104" s="196">
        <v>4239</v>
      </c>
      <c r="J104" s="196">
        <v>14292</v>
      </c>
      <c r="K104" s="196">
        <v>62.59</v>
      </c>
      <c r="L104" s="196">
        <v>0.08</v>
      </c>
      <c r="M104" s="196">
        <v>5013</v>
      </c>
      <c r="N104" s="196">
        <v>996283</v>
      </c>
      <c r="O104" s="196">
        <v>1133</v>
      </c>
      <c r="P104" s="196" t="s">
        <v>878</v>
      </c>
      <c r="Q104" s="196" t="s">
        <v>927</v>
      </c>
      <c r="R104" s="196" t="s">
        <v>928</v>
      </c>
      <c r="S104" s="196" t="s">
        <v>844</v>
      </c>
      <c r="T104" s="196" t="s">
        <v>929</v>
      </c>
      <c r="U104" s="196" t="s">
        <v>930</v>
      </c>
      <c r="V104" s="196" t="s">
        <v>927</v>
      </c>
      <c r="W104" s="196" t="s">
        <v>931</v>
      </c>
      <c r="X104" s="196" t="s">
        <v>932</v>
      </c>
      <c r="Y104" s="196" t="s">
        <v>933</v>
      </c>
    </row>
    <row r="105" spans="1:25">
      <c r="A105" s="196" t="s">
        <v>837</v>
      </c>
      <c r="B105" s="196" t="s">
        <v>850</v>
      </c>
      <c r="C105" s="196">
        <v>2014</v>
      </c>
      <c r="D105" s="196">
        <v>55</v>
      </c>
      <c r="E105" s="196" t="s">
        <v>862</v>
      </c>
      <c r="F105" s="196" t="s">
        <v>926</v>
      </c>
      <c r="G105" s="196">
        <v>2</v>
      </c>
      <c r="H105" s="196">
        <v>2</v>
      </c>
      <c r="I105" s="196">
        <v>2394</v>
      </c>
      <c r="J105" s="196">
        <v>7062</v>
      </c>
      <c r="K105" s="196">
        <v>62.59</v>
      </c>
      <c r="L105" s="196">
        <v>0.08</v>
      </c>
      <c r="M105" s="196">
        <v>5013</v>
      </c>
      <c r="N105" s="196">
        <v>996283</v>
      </c>
      <c r="O105" s="196">
        <v>1133</v>
      </c>
      <c r="P105" s="196" t="s">
        <v>878</v>
      </c>
      <c r="Q105" s="196" t="s">
        <v>927</v>
      </c>
      <c r="R105" s="196" t="s">
        <v>928</v>
      </c>
      <c r="S105" s="196" t="s">
        <v>844</v>
      </c>
      <c r="T105" s="196" t="s">
        <v>929</v>
      </c>
      <c r="U105" s="196" t="s">
        <v>930</v>
      </c>
      <c r="V105" s="196" t="s">
        <v>927</v>
      </c>
      <c r="W105" s="196" t="s">
        <v>931</v>
      </c>
      <c r="X105" s="196" t="s">
        <v>932</v>
      </c>
      <c r="Y105" s="196" t="s">
        <v>933</v>
      </c>
    </row>
    <row r="106" spans="1:25">
      <c r="A106" s="196" t="s">
        <v>837</v>
      </c>
      <c r="B106" s="196" t="s">
        <v>838</v>
      </c>
      <c r="C106" s="196">
        <v>2013</v>
      </c>
      <c r="D106" s="196">
        <v>55</v>
      </c>
      <c r="E106" s="196" t="s">
        <v>849</v>
      </c>
      <c r="F106" s="196" t="s">
        <v>934</v>
      </c>
      <c r="G106" s="196">
        <v>3</v>
      </c>
      <c r="H106" s="196">
        <v>3</v>
      </c>
      <c r="I106" s="196">
        <v>3864</v>
      </c>
      <c r="J106" s="196">
        <v>27990</v>
      </c>
      <c r="K106" s="196">
        <v>78.510000000000005</v>
      </c>
      <c r="L106" s="196">
        <v>8.86</v>
      </c>
      <c r="M106" s="196">
        <v>5891</v>
      </c>
      <c r="N106" s="196">
        <v>3088864</v>
      </c>
      <c r="O106" s="196">
        <v>2883</v>
      </c>
      <c r="P106" s="196" t="s">
        <v>878</v>
      </c>
      <c r="Q106" s="196" t="s">
        <v>935</v>
      </c>
      <c r="R106" s="196" t="s">
        <v>936</v>
      </c>
      <c r="S106" s="196" t="s">
        <v>844</v>
      </c>
      <c r="T106" s="196" t="s">
        <v>937</v>
      </c>
      <c r="U106" s="196" t="s">
        <v>938</v>
      </c>
      <c r="V106" s="196" t="s">
        <v>935</v>
      </c>
      <c r="W106" s="196" t="s">
        <v>939</v>
      </c>
      <c r="X106" s="196" t="s">
        <v>940</v>
      </c>
      <c r="Y106" s="196" t="s">
        <v>848</v>
      </c>
    </row>
    <row r="107" spans="1:25">
      <c r="A107" s="196" t="s">
        <v>837</v>
      </c>
      <c r="B107" s="196" t="s">
        <v>850</v>
      </c>
      <c r="C107" s="196">
        <v>2013</v>
      </c>
      <c r="D107" s="196">
        <v>30</v>
      </c>
      <c r="E107" s="196" t="s">
        <v>851</v>
      </c>
      <c r="F107" s="196" t="s">
        <v>934</v>
      </c>
      <c r="G107" s="196">
        <v>1</v>
      </c>
      <c r="H107" s="196">
        <v>1</v>
      </c>
      <c r="I107" s="196">
        <v>2589</v>
      </c>
      <c r="J107" s="196">
        <v>6549</v>
      </c>
      <c r="K107" s="196">
        <v>78.510000000000005</v>
      </c>
      <c r="L107" s="196">
        <v>8.86</v>
      </c>
      <c r="M107" s="196">
        <v>5891</v>
      </c>
      <c r="N107" s="196">
        <v>3088864</v>
      </c>
      <c r="O107" s="196">
        <v>2883</v>
      </c>
      <c r="P107" s="196" t="s">
        <v>878</v>
      </c>
      <c r="Q107" s="196" t="s">
        <v>935</v>
      </c>
      <c r="R107" s="196" t="s">
        <v>936</v>
      </c>
      <c r="S107" s="196" t="s">
        <v>844</v>
      </c>
      <c r="T107" s="196" t="s">
        <v>937</v>
      </c>
      <c r="U107" s="196" t="s">
        <v>938</v>
      </c>
      <c r="V107" s="196" t="s">
        <v>935</v>
      </c>
      <c r="W107" s="196" t="s">
        <v>939</v>
      </c>
      <c r="X107" s="196" t="s">
        <v>940</v>
      </c>
      <c r="Y107" s="196" t="s">
        <v>848</v>
      </c>
    </row>
    <row r="108" spans="1:25">
      <c r="A108" s="196" t="s">
        <v>837</v>
      </c>
      <c r="B108" s="196" t="s">
        <v>850</v>
      </c>
      <c r="C108" s="196">
        <v>2013</v>
      </c>
      <c r="D108" s="196">
        <v>55</v>
      </c>
      <c r="E108" s="196" t="s">
        <v>852</v>
      </c>
      <c r="F108" s="196" t="s">
        <v>934</v>
      </c>
      <c r="G108" s="196">
        <v>1</v>
      </c>
      <c r="H108" s="196">
        <v>1</v>
      </c>
      <c r="I108" s="196">
        <v>1638</v>
      </c>
      <c r="J108" s="196">
        <v>12968</v>
      </c>
      <c r="K108" s="196">
        <v>78.510000000000005</v>
      </c>
      <c r="L108" s="196">
        <v>8.86</v>
      </c>
      <c r="M108" s="196">
        <v>5891</v>
      </c>
      <c r="N108" s="196">
        <v>3088864</v>
      </c>
      <c r="O108" s="196">
        <v>2883</v>
      </c>
      <c r="P108" s="196" t="s">
        <v>878</v>
      </c>
      <c r="Q108" s="196" t="s">
        <v>935</v>
      </c>
      <c r="R108" s="196" t="s">
        <v>936</v>
      </c>
      <c r="S108" s="196" t="s">
        <v>844</v>
      </c>
      <c r="T108" s="196" t="s">
        <v>937</v>
      </c>
      <c r="U108" s="196" t="s">
        <v>938</v>
      </c>
      <c r="V108" s="196" t="s">
        <v>935</v>
      </c>
      <c r="W108" s="196" t="s">
        <v>939</v>
      </c>
      <c r="X108" s="196" t="s">
        <v>940</v>
      </c>
      <c r="Y108" s="196" t="s">
        <v>848</v>
      </c>
    </row>
    <row r="109" spans="1:25">
      <c r="A109" s="196" t="s">
        <v>837</v>
      </c>
      <c r="B109" s="196" t="s">
        <v>850</v>
      </c>
      <c r="C109" s="196">
        <v>2013</v>
      </c>
      <c r="D109" s="196">
        <v>80</v>
      </c>
      <c r="E109" s="196" t="s">
        <v>917</v>
      </c>
      <c r="F109" s="196" t="s">
        <v>934</v>
      </c>
      <c r="G109" s="196">
        <v>1</v>
      </c>
      <c r="H109" s="196">
        <v>1</v>
      </c>
      <c r="I109" s="196">
        <v>1401</v>
      </c>
      <c r="J109" s="196">
        <v>11022</v>
      </c>
      <c r="K109" s="196">
        <v>78.510000000000005</v>
      </c>
      <c r="L109" s="196">
        <v>8.86</v>
      </c>
      <c r="M109" s="196">
        <v>5891</v>
      </c>
      <c r="N109" s="196">
        <v>3088864</v>
      </c>
      <c r="O109" s="196">
        <v>2883</v>
      </c>
      <c r="P109" s="196" t="s">
        <v>878</v>
      </c>
      <c r="Q109" s="196" t="s">
        <v>935</v>
      </c>
      <c r="R109" s="196" t="s">
        <v>936</v>
      </c>
      <c r="S109" s="196" t="s">
        <v>844</v>
      </c>
      <c r="T109" s="196" t="s">
        <v>937</v>
      </c>
      <c r="U109" s="196" t="s">
        <v>938</v>
      </c>
      <c r="V109" s="196" t="s">
        <v>935</v>
      </c>
      <c r="W109" s="196" t="s">
        <v>939</v>
      </c>
      <c r="X109" s="196" t="s">
        <v>940</v>
      </c>
      <c r="Y109" s="196" t="s">
        <v>848</v>
      </c>
    </row>
    <row r="110" spans="1:25">
      <c r="A110" s="196" t="s">
        <v>837</v>
      </c>
      <c r="B110" s="196" t="s">
        <v>181</v>
      </c>
      <c r="C110" s="196">
        <v>2014</v>
      </c>
      <c r="D110" s="196">
        <v>80</v>
      </c>
      <c r="E110" s="196" t="s">
        <v>874</v>
      </c>
      <c r="F110" s="196" t="s">
        <v>934</v>
      </c>
      <c r="G110" s="196">
        <v>1</v>
      </c>
      <c r="H110" s="196">
        <v>1</v>
      </c>
      <c r="I110" s="196">
        <v>855</v>
      </c>
      <c r="J110" s="196">
        <v>5569</v>
      </c>
      <c r="K110" s="196">
        <v>78.510000000000005</v>
      </c>
      <c r="L110" s="196">
        <v>8.86</v>
      </c>
      <c r="M110" s="196">
        <v>5891</v>
      </c>
      <c r="N110" s="196">
        <v>3088864</v>
      </c>
      <c r="O110" s="196">
        <v>2883</v>
      </c>
      <c r="P110" s="196" t="s">
        <v>878</v>
      </c>
      <c r="Q110" s="196" t="s">
        <v>935</v>
      </c>
      <c r="R110" s="196" t="s">
        <v>936</v>
      </c>
      <c r="S110" s="196" t="s">
        <v>844</v>
      </c>
      <c r="T110" s="196" t="s">
        <v>937</v>
      </c>
      <c r="U110" s="196" t="s">
        <v>938</v>
      </c>
      <c r="V110" s="196" t="s">
        <v>935</v>
      </c>
      <c r="W110" s="196" t="s">
        <v>939</v>
      </c>
      <c r="X110" s="196" t="s">
        <v>940</v>
      </c>
      <c r="Y110" s="196" t="s">
        <v>848</v>
      </c>
    </row>
    <row r="111" spans="1:25">
      <c r="A111" s="196" t="s">
        <v>837</v>
      </c>
      <c r="B111" s="196" t="s">
        <v>850</v>
      </c>
      <c r="C111" s="196">
        <v>2014</v>
      </c>
      <c r="D111" s="196">
        <v>80</v>
      </c>
      <c r="E111" s="196" t="s">
        <v>875</v>
      </c>
      <c r="F111" s="196" t="s">
        <v>934</v>
      </c>
      <c r="G111" s="196">
        <v>1</v>
      </c>
      <c r="H111" s="196">
        <v>1</v>
      </c>
      <c r="I111" s="196">
        <v>2541</v>
      </c>
      <c r="J111" s="196">
        <v>6012</v>
      </c>
      <c r="K111" s="196">
        <v>78.510000000000005</v>
      </c>
      <c r="L111" s="196">
        <v>8.86</v>
      </c>
      <c r="M111" s="196">
        <v>5891</v>
      </c>
      <c r="N111" s="196">
        <v>3088864</v>
      </c>
      <c r="O111" s="196">
        <v>2883</v>
      </c>
      <c r="P111" s="196" t="s">
        <v>878</v>
      </c>
      <c r="Q111" s="196" t="s">
        <v>935</v>
      </c>
      <c r="R111" s="196" t="s">
        <v>936</v>
      </c>
      <c r="S111" s="196" t="s">
        <v>844</v>
      </c>
      <c r="T111" s="196" t="s">
        <v>937</v>
      </c>
      <c r="U111" s="196" t="s">
        <v>938</v>
      </c>
      <c r="V111" s="196" t="s">
        <v>935</v>
      </c>
      <c r="W111" s="196" t="s">
        <v>939</v>
      </c>
      <c r="X111" s="196" t="s">
        <v>940</v>
      </c>
      <c r="Y111" s="196" t="s">
        <v>848</v>
      </c>
    </row>
    <row r="112" spans="1:25">
      <c r="A112" s="196" t="s">
        <v>837</v>
      </c>
      <c r="B112" s="196" t="s">
        <v>838</v>
      </c>
      <c r="C112" s="196">
        <v>2014</v>
      </c>
      <c r="D112" s="196">
        <v>55</v>
      </c>
      <c r="E112" s="196" t="s">
        <v>854</v>
      </c>
      <c r="F112" s="196" t="s">
        <v>934</v>
      </c>
      <c r="G112" s="196">
        <v>1</v>
      </c>
      <c r="H112" s="196">
        <v>1</v>
      </c>
      <c r="I112" s="196">
        <v>1638</v>
      </c>
      <c r="J112" s="196">
        <v>12968</v>
      </c>
      <c r="K112" s="196">
        <v>78.510000000000005</v>
      </c>
      <c r="L112" s="196">
        <v>8.86</v>
      </c>
      <c r="M112" s="196">
        <v>5891</v>
      </c>
      <c r="N112" s="196">
        <v>3088864</v>
      </c>
      <c r="O112" s="196">
        <v>2883</v>
      </c>
      <c r="P112" s="196" t="s">
        <v>878</v>
      </c>
      <c r="Q112" s="196" t="s">
        <v>935</v>
      </c>
      <c r="R112" s="196" t="s">
        <v>936</v>
      </c>
      <c r="S112" s="196" t="s">
        <v>844</v>
      </c>
      <c r="T112" s="196" t="s">
        <v>937</v>
      </c>
      <c r="U112" s="196" t="s">
        <v>938</v>
      </c>
      <c r="V112" s="196" t="s">
        <v>935</v>
      </c>
      <c r="W112" s="196" t="s">
        <v>939</v>
      </c>
      <c r="X112" s="196" t="s">
        <v>940</v>
      </c>
      <c r="Y112" s="196" t="s">
        <v>848</v>
      </c>
    </row>
    <row r="113" spans="1:25">
      <c r="A113" s="196" t="s">
        <v>837</v>
      </c>
      <c r="B113" s="196" t="s">
        <v>181</v>
      </c>
      <c r="C113" s="196">
        <v>2014</v>
      </c>
      <c r="D113" s="196">
        <v>30</v>
      </c>
      <c r="E113" s="196" t="s">
        <v>856</v>
      </c>
      <c r="F113" s="196" t="s">
        <v>934</v>
      </c>
      <c r="G113" s="196">
        <v>1</v>
      </c>
      <c r="H113" s="196">
        <v>1</v>
      </c>
      <c r="I113" s="196">
        <v>1638</v>
      </c>
      <c r="J113" s="196">
        <v>12968</v>
      </c>
      <c r="K113" s="196">
        <v>78.510000000000005</v>
      </c>
      <c r="L113" s="196">
        <v>8.86</v>
      </c>
      <c r="M113" s="196">
        <v>5891</v>
      </c>
      <c r="N113" s="196">
        <v>3088864</v>
      </c>
      <c r="O113" s="196">
        <v>2883</v>
      </c>
      <c r="P113" s="196" t="s">
        <v>878</v>
      </c>
      <c r="Q113" s="196" t="s">
        <v>935</v>
      </c>
      <c r="R113" s="196" t="s">
        <v>936</v>
      </c>
      <c r="S113" s="196" t="s">
        <v>844</v>
      </c>
      <c r="T113" s="196" t="s">
        <v>937</v>
      </c>
      <c r="U113" s="196" t="s">
        <v>938</v>
      </c>
      <c r="V113" s="196" t="s">
        <v>935</v>
      </c>
      <c r="W113" s="196" t="s">
        <v>939</v>
      </c>
      <c r="X113" s="196" t="s">
        <v>940</v>
      </c>
      <c r="Y113" s="196" t="s">
        <v>848</v>
      </c>
    </row>
    <row r="114" spans="1:25">
      <c r="A114" s="196" t="s">
        <v>837</v>
      </c>
      <c r="B114" s="196" t="s">
        <v>181</v>
      </c>
      <c r="C114" s="196">
        <v>2014</v>
      </c>
      <c r="D114" s="196">
        <v>30</v>
      </c>
      <c r="E114" s="196" t="s">
        <v>857</v>
      </c>
      <c r="F114" s="196" t="s">
        <v>934</v>
      </c>
      <c r="G114" s="196">
        <v>1</v>
      </c>
      <c r="H114" s="196">
        <v>1</v>
      </c>
      <c r="I114" s="196">
        <v>1638</v>
      </c>
      <c r="J114" s="196">
        <v>12968</v>
      </c>
      <c r="K114" s="196">
        <v>78.510000000000005</v>
      </c>
      <c r="L114" s="196">
        <v>8.86</v>
      </c>
      <c r="M114" s="196">
        <v>5891</v>
      </c>
      <c r="N114" s="196">
        <v>3088864</v>
      </c>
      <c r="O114" s="196">
        <v>2883</v>
      </c>
      <c r="P114" s="196" t="s">
        <v>878</v>
      </c>
      <c r="Q114" s="196" t="s">
        <v>935</v>
      </c>
      <c r="R114" s="196" t="s">
        <v>936</v>
      </c>
      <c r="S114" s="196" t="s">
        <v>844</v>
      </c>
      <c r="T114" s="196" t="s">
        <v>937</v>
      </c>
      <c r="U114" s="196" t="s">
        <v>938</v>
      </c>
      <c r="V114" s="196" t="s">
        <v>935</v>
      </c>
      <c r="W114" s="196" t="s">
        <v>939</v>
      </c>
      <c r="X114" s="196" t="s">
        <v>940</v>
      </c>
      <c r="Y114" s="196" t="s">
        <v>848</v>
      </c>
    </row>
    <row r="115" spans="1:25">
      <c r="A115" s="196" t="s">
        <v>837</v>
      </c>
      <c r="B115" s="196" t="s">
        <v>181</v>
      </c>
      <c r="C115" s="196">
        <v>2014</v>
      </c>
      <c r="D115" s="196">
        <v>55</v>
      </c>
      <c r="E115" s="196" t="s">
        <v>858</v>
      </c>
      <c r="F115" s="196" t="s">
        <v>934</v>
      </c>
      <c r="G115" s="196">
        <v>1</v>
      </c>
      <c r="H115" s="196">
        <v>1</v>
      </c>
      <c r="I115" s="196">
        <v>1638</v>
      </c>
      <c r="J115" s="196">
        <v>12968</v>
      </c>
      <c r="K115" s="196">
        <v>78.510000000000005</v>
      </c>
      <c r="L115" s="196">
        <v>8.86</v>
      </c>
      <c r="M115" s="196">
        <v>5891</v>
      </c>
      <c r="N115" s="196">
        <v>3088864</v>
      </c>
      <c r="O115" s="196">
        <v>2883</v>
      </c>
      <c r="P115" s="196" t="s">
        <v>878</v>
      </c>
      <c r="Q115" s="196" t="s">
        <v>935</v>
      </c>
      <c r="R115" s="196" t="s">
        <v>936</v>
      </c>
      <c r="S115" s="196" t="s">
        <v>844</v>
      </c>
      <c r="T115" s="196" t="s">
        <v>937</v>
      </c>
      <c r="U115" s="196" t="s">
        <v>938</v>
      </c>
      <c r="V115" s="196" t="s">
        <v>935</v>
      </c>
      <c r="W115" s="196" t="s">
        <v>939</v>
      </c>
      <c r="X115" s="196" t="s">
        <v>940</v>
      </c>
      <c r="Y115" s="196" t="s">
        <v>848</v>
      </c>
    </row>
    <row r="116" spans="1:25">
      <c r="A116" s="196" t="s">
        <v>837</v>
      </c>
      <c r="B116" s="196" t="s">
        <v>181</v>
      </c>
      <c r="C116" s="196">
        <v>2014</v>
      </c>
      <c r="D116" s="196">
        <v>55</v>
      </c>
      <c r="E116" s="196" t="s">
        <v>859</v>
      </c>
      <c r="F116" s="196" t="s">
        <v>934</v>
      </c>
      <c r="G116" s="196">
        <v>1</v>
      </c>
      <c r="H116" s="196">
        <v>1</v>
      </c>
      <c r="I116" s="196">
        <v>1638</v>
      </c>
      <c r="J116" s="196">
        <v>12968</v>
      </c>
      <c r="K116" s="196">
        <v>78.510000000000005</v>
      </c>
      <c r="L116" s="196">
        <v>8.86</v>
      </c>
      <c r="M116" s="196">
        <v>5891</v>
      </c>
      <c r="N116" s="196">
        <v>3088864</v>
      </c>
      <c r="O116" s="196">
        <v>2883</v>
      </c>
      <c r="P116" s="196" t="s">
        <v>878</v>
      </c>
      <c r="Q116" s="196" t="s">
        <v>935</v>
      </c>
      <c r="R116" s="196" t="s">
        <v>936</v>
      </c>
      <c r="S116" s="196" t="s">
        <v>844</v>
      </c>
      <c r="T116" s="196" t="s">
        <v>937</v>
      </c>
      <c r="U116" s="196" t="s">
        <v>938</v>
      </c>
      <c r="V116" s="196" t="s">
        <v>935</v>
      </c>
      <c r="W116" s="196" t="s">
        <v>939</v>
      </c>
      <c r="X116" s="196" t="s">
        <v>940</v>
      </c>
      <c r="Y116" s="196" t="s">
        <v>848</v>
      </c>
    </row>
    <row r="117" spans="1:25">
      <c r="A117" s="196" t="s">
        <v>837</v>
      </c>
      <c r="B117" s="196" t="s">
        <v>850</v>
      </c>
      <c r="C117" s="196">
        <v>2014</v>
      </c>
      <c r="D117" s="196">
        <v>55</v>
      </c>
      <c r="E117" s="196" t="s">
        <v>862</v>
      </c>
      <c r="F117" s="196" t="s">
        <v>934</v>
      </c>
      <c r="G117" s="196">
        <v>1</v>
      </c>
      <c r="H117" s="196">
        <v>1</v>
      </c>
      <c r="I117" s="196">
        <v>1638</v>
      </c>
      <c r="J117" s="196">
        <v>12968</v>
      </c>
      <c r="K117" s="196">
        <v>78.510000000000005</v>
      </c>
      <c r="L117" s="196">
        <v>8.86</v>
      </c>
      <c r="M117" s="196">
        <v>5891</v>
      </c>
      <c r="N117" s="196">
        <v>3088864</v>
      </c>
      <c r="O117" s="196">
        <v>2883</v>
      </c>
      <c r="P117" s="196" t="s">
        <v>878</v>
      </c>
      <c r="Q117" s="196" t="s">
        <v>935</v>
      </c>
      <c r="R117" s="196" t="s">
        <v>936</v>
      </c>
      <c r="S117" s="196" t="s">
        <v>844</v>
      </c>
      <c r="T117" s="196" t="s">
        <v>937</v>
      </c>
      <c r="U117" s="196" t="s">
        <v>938</v>
      </c>
      <c r="V117" s="196" t="s">
        <v>935</v>
      </c>
      <c r="W117" s="196" t="s">
        <v>939</v>
      </c>
      <c r="X117" s="196" t="s">
        <v>940</v>
      </c>
      <c r="Y117" s="196" t="s">
        <v>848</v>
      </c>
    </row>
    <row r="118" spans="1:25">
      <c r="A118" s="196" t="s">
        <v>837</v>
      </c>
      <c r="B118" s="196" t="s">
        <v>181</v>
      </c>
      <c r="C118" s="196">
        <v>2014</v>
      </c>
      <c r="D118" s="196">
        <v>80</v>
      </c>
      <c r="E118" s="196" t="s">
        <v>874</v>
      </c>
      <c r="F118" s="196" t="s">
        <v>941</v>
      </c>
      <c r="G118" s="196">
        <v>2</v>
      </c>
      <c r="H118" s="196">
        <v>2</v>
      </c>
      <c r="I118" s="196">
        <v>2834</v>
      </c>
      <c r="J118" s="196">
        <v>10681</v>
      </c>
      <c r="K118" s="196">
        <v>56.19</v>
      </c>
      <c r="L118" s="196">
        <v>0.16</v>
      </c>
      <c r="M118" s="196">
        <v>5309</v>
      </c>
      <c r="N118" s="196">
        <v>914313</v>
      </c>
      <c r="O118" s="196">
        <v>1064</v>
      </c>
      <c r="P118" s="196" t="s">
        <v>878</v>
      </c>
      <c r="Q118" s="196" t="s">
        <v>942</v>
      </c>
      <c r="R118" s="196" t="s">
        <v>943</v>
      </c>
      <c r="S118" s="196" t="s">
        <v>844</v>
      </c>
      <c r="T118" s="196" t="s">
        <v>942</v>
      </c>
      <c r="U118" s="196" t="s">
        <v>944</v>
      </c>
      <c r="V118" s="196" t="s">
        <v>945</v>
      </c>
      <c r="W118" s="196" t="s">
        <v>946</v>
      </c>
      <c r="X118" s="196" t="s">
        <v>947</v>
      </c>
      <c r="Y118" s="196" t="s">
        <v>948</v>
      </c>
    </row>
    <row r="119" spans="1:25">
      <c r="A119" s="196" t="s">
        <v>837</v>
      </c>
      <c r="B119" s="196" t="s">
        <v>181</v>
      </c>
      <c r="C119" s="196">
        <v>2013</v>
      </c>
      <c r="D119" s="196">
        <v>80</v>
      </c>
      <c r="E119" s="196" t="s">
        <v>876</v>
      </c>
      <c r="F119" s="196" t="s">
        <v>941</v>
      </c>
      <c r="G119" s="196">
        <v>2</v>
      </c>
      <c r="H119" s="196">
        <v>2</v>
      </c>
      <c r="I119" s="196">
        <v>4197</v>
      </c>
      <c r="J119" s="196">
        <v>6556</v>
      </c>
      <c r="K119" s="196">
        <v>56.19</v>
      </c>
      <c r="L119" s="196">
        <v>0.16</v>
      </c>
      <c r="M119" s="196">
        <v>5309</v>
      </c>
      <c r="N119" s="196">
        <v>914313</v>
      </c>
      <c r="O119" s="196">
        <v>1064</v>
      </c>
      <c r="P119" s="196" t="s">
        <v>878</v>
      </c>
      <c r="Q119" s="196" t="s">
        <v>942</v>
      </c>
      <c r="R119" s="196" t="s">
        <v>943</v>
      </c>
      <c r="S119" s="196" t="s">
        <v>844</v>
      </c>
      <c r="T119" s="196" t="s">
        <v>942</v>
      </c>
      <c r="U119" s="196" t="s">
        <v>944</v>
      </c>
      <c r="V119" s="196" t="s">
        <v>945</v>
      </c>
      <c r="W119" s="196" t="s">
        <v>946</v>
      </c>
      <c r="X119" s="196" t="s">
        <v>947</v>
      </c>
      <c r="Y119" s="196" t="s">
        <v>948</v>
      </c>
    </row>
    <row r="120" spans="1:25">
      <c r="A120" s="196" t="s">
        <v>837</v>
      </c>
      <c r="B120" s="196" t="s">
        <v>850</v>
      </c>
      <c r="C120" s="196">
        <v>2014</v>
      </c>
      <c r="D120" s="196">
        <v>30</v>
      </c>
      <c r="E120" s="196" t="s">
        <v>860</v>
      </c>
      <c r="F120" s="196" t="s">
        <v>941</v>
      </c>
      <c r="G120" s="196">
        <v>2</v>
      </c>
      <c r="H120" s="196">
        <v>2</v>
      </c>
      <c r="I120" s="196">
        <v>1176</v>
      </c>
      <c r="J120" s="196">
        <v>10513</v>
      </c>
      <c r="K120" s="196">
        <v>56.19</v>
      </c>
      <c r="L120" s="196">
        <v>0.16</v>
      </c>
      <c r="M120" s="196">
        <v>5309</v>
      </c>
      <c r="N120" s="196">
        <v>914313</v>
      </c>
      <c r="O120" s="196">
        <v>1064</v>
      </c>
      <c r="P120" s="196" t="s">
        <v>878</v>
      </c>
      <c r="Q120" s="196" t="s">
        <v>942</v>
      </c>
      <c r="R120" s="196" t="s">
        <v>943</v>
      </c>
      <c r="S120" s="196" t="s">
        <v>844</v>
      </c>
      <c r="T120" s="196" t="s">
        <v>942</v>
      </c>
      <c r="U120" s="196" t="s">
        <v>944</v>
      </c>
      <c r="V120" s="196" t="s">
        <v>945</v>
      </c>
      <c r="W120" s="196" t="s">
        <v>946</v>
      </c>
      <c r="X120" s="196" t="s">
        <v>947</v>
      </c>
      <c r="Y120" s="196" t="s">
        <v>948</v>
      </c>
    </row>
    <row r="121" spans="1:25">
      <c r="A121" s="196" t="s">
        <v>837</v>
      </c>
      <c r="B121" s="196" t="s">
        <v>850</v>
      </c>
      <c r="C121" s="196">
        <v>2014</v>
      </c>
      <c r="D121" s="196">
        <v>55</v>
      </c>
      <c r="E121" s="196" t="s">
        <v>863</v>
      </c>
      <c r="F121" s="196" t="s">
        <v>941</v>
      </c>
      <c r="G121" s="196">
        <v>1</v>
      </c>
      <c r="H121" s="196">
        <v>1</v>
      </c>
      <c r="I121" s="196">
        <v>1290</v>
      </c>
      <c r="J121" s="196">
        <v>4917</v>
      </c>
      <c r="K121" s="196">
        <v>56.19</v>
      </c>
      <c r="L121" s="196">
        <v>0.16</v>
      </c>
      <c r="M121" s="196">
        <v>5309</v>
      </c>
      <c r="N121" s="196">
        <v>914313</v>
      </c>
      <c r="O121" s="196">
        <v>1064</v>
      </c>
      <c r="P121" s="196" t="s">
        <v>878</v>
      </c>
      <c r="Q121" s="196" t="s">
        <v>942</v>
      </c>
      <c r="R121" s="196" t="s">
        <v>943</v>
      </c>
      <c r="S121" s="196" t="s">
        <v>844</v>
      </c>
      <c r="T121" s="196" t="s">
        <v>942</v>
      </c>
      <c r="U121" s="196" t="s">
        <v>944</v>
      </c>
      <c r="V121" s="196" t="s">
        <v>945</v>
      </c>
      <c r="W121" s="196" t="s">
        <v>946</v>
      </c>
      <c r="X121" s="196" t="s">
        <v>947</v>
      </c>
      <c r="Y121" s="196" t="s">
        <v>948</v>
      </c>
    </row>
    <row r="122" spans="1:25">
      <c r="A122" s="196" t="s">
        <v>837</v>
      </c>
      <c r="B122" s="196" t="s">
        <v>838</v>
      </c>
      <c r="C122" s="196">
        <v>2013</v>
      </c>
      <c r="D122" s="196">
        <v>30</v>
      </c>
      <c r="E122" s="196" t="s">
        <v>839</v>
      </c>
      <c r="F122" s="196" t="s">
        <v>949</v>
      </c>
      <c r="G122" s="196">
        <v>1</v>
      </c>
      <c r="H122" s="196">
        <v>1</v>
      </c>
      <c r="I122" s="196">
        <v>1953</v>
      </c>
      <c r="J122" s="196">
        <v>3736</v>
      </c>
      <c r="K122" s="196">
        <v>68.239999999999995</v>
      </c>
      <c r="L122" s="196">
        <v>5.3</v>
      </c>
      <c r="M122" s="196">
        <v>5413</v>
      </c>
      <c r="N122" s="196">
        <v>1846506</v>
      </c>
      <c r="O122" s="196">
        <v>1924</v>
      </c>
      <c r="P122" s="196" t="s">
        <v>950</v>
      </c>
      <c r="Q122" s="196" t="s">
        <v>951</v>
      </c>
      <c r="R122" s="196" t="s">
        <v>952</v>
      </c>
      <c r="S122" s="196" t="s">
        <v>953</v>
      </c>
      <c r="T122" s="196" t="s">
        <v>954</v>
      </c>
      <c r="U122" s="196" t="s">
        <v>955</v>
      </c>
      <c r="V122" s="196" t="s">
        <v>956</v>
      </c>
      <c r="W122" s="196" t="s">
        <v>957</v>
      </c>
      <c r="X122" s="196" t="s">
        <v>951</v>
      </c>
      <c r="Y122" s="196" t="s">
        <v>848</v>
      </c>
    </row>
    <row r="123" spans="1:25">
      <c r="A123" s="196" t="s">
        <v>837</v>
      </c>
      <c r="B123" s="196" t="s">
        <v>850</v>
      </c>
      <c r="C123" s="196">
        <v>2013</v>
      </c>
      <c r="D123" s="196">
        <v>30</v>
      </c>
      <c r="E123" s="196" t="s">
        <v>851</v>
      </c>
      <c r="F123" s="196" t="s">
        <v>949</v>
      </c>
      <c r="G123" s="196">
        <v>2</v>
      </c>
      <c r="H123" s="196">
        <v>2</v>
      </c>
      <c r="I123" s="196">
        <v>357</v>
      </c>
      <c r="J123" s="196">
        <v>9654</v>
      </c>
      <c r="K123" s="196">
        <v>68.239999999999995</v>
      </c>
      <c r="L123" s="196">
        <v>5.3</v>
      </c>
      <c r="M123" s="196">
        <v>5413</v>
      </c>
      <c r="N123" s="196">
        <v>1846506</v>
      </c>
      <c r="O123" s="196">
        <v>1924</v>
      </c>
      <c r="P123" s="196" t="s">
        <v>950</v>
      </c>
      <c r="Q123" s="196" t="s">
        <v>951</v>
      </c>
      <c r="R123" s="196" t="s">
        <v>952</v>
      </c>
      <c r="S123" s="196" t="s">
        <v>953</v>
      </c>
      <c r="T123" s="196" t="s">
        <v>954</v>
      </c>
      <c r="U123" s="196" t="s">
        <v>955</v>
      </c>
      <c r="V123" s="196" t="s">
        <v>956</v>
      </c>
      <c r="W123" s="196" t="s">
        <v>957</v>
      </c>
      <c r="X123" s="196" t="s">
        <v>951</v>
      </c>
      <c r="Y123" s="196" t="s">
        <v>848</v>
      </c>
    </row>
    <row r="124" spans="1:25">
      <c r="A124" s="196" t="s">
        <v>837</v>
      </c>
      <c r="B124" s="196" t="s">
        <v>850</v>
      </c>
      <c r="C124" s="196">
        <v>2013</v>
      </c>
      <c r="D124" s="196">
        <v>55</v>
      </c>
      <c r="E124" s="196" t="s">
        <v>852</v>
      </c>
      <c r="F124" s="196" t="s">
        <v>949</v>
      </c>
      <c r="G124" s="196">
        <v>1</v>
      </c>
      <c r="H124" s="196">
        <v>1</v>
      </c>
      <c r="I124" s="196">
        <v>1368</v>
      </c>
      <c r="J124" s="196">
        <v>2562</v>
      </c>
      <c r="K124" s="196">
        <v>68.239999999999995</v>
      </c>
      <c r="L124" s="196">
        <v>5.3</v>
      </c>
      <c r="M124" s="196">
        <v>5413</v>
      </c>
      <c r="N124" s="196">
        <v>1846506</v>
      </c>
      <c r="O124" s="196">
        <v>1924</v>
      </c>
      <c r="P124" s="196" t="s">
        <v>950</v>
      </c>
      <c r="Q124" s="196" t="s">
        <v>951</v>
      </c>
      <c r="R124" s="196" t="s">
        <v>952</v>
      </c>
      <c r="S124" s="196" t="s">
        <v>953</v>
      </c>
      <c r="T124" s="196" t="s">
        <v>954</v>
      </c>
      <c r="U124" s="196" t="s">
        <v>955</v>
      </c>
      <c r="V124" s="196" t="s">
        <v>956</v>
      </c>
      <c r="W124" s="196" t="s">
        <v>957</v>
      </c>
      <c r="X124" s="196" t="s">
        <v>951</v>
      </c>
      <c r="Y124" s="196" t="s">
        <v>848</v>
      </c>
    </row>
    <row r="125" spans="1:25">
      <c r="A125" s="196" t="s">
        <v>837</v>
      </c>
      <c r="B125" s="196" t="s">
        <v>181</v>
      </c>
      <c r="C125" s="196">
        <v>2014</v>
      </c>
      <c r="D125" s="196">
        <v>80</v>
      </c>
      <c r="E125" s="196" t="s">
        <v>874</v>
      </c>
      <c r="F125" s="196" t="s">
        <v>949</v>
      </c>
      <c r="G125" s="196">
        <v>1</v>
      </c>
      <c r="H125" s="196">
        <v>1</v>
      </c>
      <c r="I125" s="196">
        <v>600</v>
      </c>
      <c r="J125" s="196">
        <v>5745</v>
      </c>
      <c r="K125" s="196">
        <v>68.239999999999995</v>
      </c>
      <c r="L125" s="196">
        <v>5.3</v>
      </c>
      <c r="M125" s="196">
        <v>5413</v>
      </c>
      <c r="N125" s="196">
        <v>1846506</v>
      </c>
      <c r="O125" s="196">
        <v>1924</v>
      </c>
      <c r="P125" s="196" t="s">
        <v>950</v>
      </c>
      <c r="Q125" s="196" t="s">
        <v>951</v>
      </c>
      <c r="R125" s="196" t="s">
        <v>952</v>
      </c>
      <c r="S125" s="196" t="s">
        <v>953</v>
      </c>
      <c r="T125" s="196" t="s">
        <v>954</v>
      </c>
      <c r="U125" s="196" t="s">
        <v>955</v>
      </c>
      <c r="V125" s="196" t="s">
        <v>956</v>
      </c>
      <c r="W125" s="196" t="s">
        <v>957</v>
      </c>
      <c r="X125" s="196" t="s">
        <v>951</v>
      </c>
      <c r="Y125" s="196" t="s">
        <v>848</v>
      </c>
    </row>
    <row r="126" spans="1:25">
      <c r="A126" s="196" t="s">
        <v>837</v>
      </c>
      <c r="B126" s="196" t="s">
        <v>838</v>
      </c>
      <c r="C126" s="196">
        <v>2013</v>
      </c>
      <c r="D126" s="196">
        <v>80</v>
      </c>
      <c r="E126" s="196" t="s">
        <v>908</v>
      </c>
      <c r="F126" s="196" t="s">
        <v>949</v>
      </c>
      <c r="G126" s="196">
        <v>1</v>
      </c>
      <c r="H126" s="196">
        <v>1</v>
      </c>
      <c r="I126" s="196">
        <v>987</v>
      </c>
      <c r="J126" s="196">
        <v>3341</v>
      </c>
      <c r="K126" s="196">
        <v>68.239999999999995</v>
      </c>
      <c r="L126" s="196">
        <v>5.3</v>
      </c>
      <c r="M126" s="196">
        <v>5413</v>
      </c>
      <c r="N126" s="196">
        <v>1846506</v>
      </c>
      <c r="O126" s="196">
        <v>1924</v>
      </c>
      <c r="P126" s="196" t="s">
        <v>950</v>
      </c>
      <c r="Q126" s="196" t="s">
        <v>951</v>
      </c>
      <c r="R126" s="196" t="s">
        <v>952</v>
      </c>
      <c r="S126" s="196" t="s">
        <v>953</v>
      </c>
      <c r="T126" s="196" t="s">
        <v>954</v>
      </c>
      <c r="U126" s="196" t="s">
        <v>955</v>
      </c>
      <c r="V126" s="196" t="s">
        <v>956</v>
      </c>
      <c r="W126" s="196" t="s">
        <v>957</v>
      </c>
      <c r="X126" s="196" t="s">
        <v>951</v>
      </c>
      <c r="Y126" s="196" t="s">
        <v>848</v>
      </c>
    </row>
    <row r="127" spans="1:25">
      <c r="A127" s="196" t="s">
        <v>837</v>
      </c>
      <c r="B127" s="196" t="s">
        <v>838</v>
      </c>
      <c r="C127" s="196">
        <v>2014</v>
      </c>
      <c r="D127" s="196">
        <v>55</v>
      </c>
      <c r="E127" s="196" t="s">
        <v>854</v>
      </c>
      <c r="F127" s="196" t="s">
        <v>949</v>
      </c>
      <c r="G127" s="196">
        <v>1</v>
      </c>
      <c r="H127" s="196">
        <v>1</v>
      </c>
      <c r="I127" s="196">
        <v>186</v>
      </c>
      <c r="J127" s="196">
        <v>5198</v>
      </c>
      <c r="K127" s="196">
        <v>68.239999999999995</v>
      </c>
      <c r="L127" s="196">
        <v>5.3</v>
      </c>
      <c r="M127" s="196">
        <v>5413</v>
      </c>
      <c r="N127" s="196">
        <v>1846506</v>
      </c>
      <c r="O127" s="196">
        <v>1924</v>
      </c>
      <c r="P127" s="196" t="s">
        <v>950</v>
      </c>
      <c r="Q127" s="196" t="s">
        <v>951</v>
      </c>
      <c r="R127" s="196" t="s">
        <v>952</v>
      </c>
      <c r="S127" s="196" t="s">
        <v>953</v>
      </c>
      <c r="T127" s="196" t="s">
        <v>954</v>
      </c>
      <c r="U127" s="196" t="s">
        <v>955</v>
      </c>
      <c r="V127" s="196" t="s">
        <v>956</v>
      </c>
      <c r="W127" s="196" t="s">
        <v>957</v>
      </c>
      <c r="X127" s="196" t="s">
        <v>951</v>
      </c>
      <c r="Y127" s="196" t="s">
        <v>848</v>
      </c>
    </row>
    <row r="128" spans="1:25">
      <c r="A128" s="196" t="s">
        <v>837</v>
      </c>
      <c r="B128" s="196" t="s">
        <v>850</v>
      </c>
      <c r="C128" s="196">
        <v>2014</v>
      </c>
      <c r="D128" s="196">
        <v>55</v>
      </c>
      <c r="E128" s="196" t="s">
        <v>862</v>
      </c>
      <c r="F128" s="196" t="s">
        <v>949</v>
      </c>
      <c r="G128" s="196">
        <v>1</v>
      </c>
      <c r="H128" s="196">
        <v>1</v>
      </c>
      <c r="I128" s="196">
        <v>186</v>
      </c>
      <c r="J128" s="196">
        <v>5198</v>
      </c>
      <c r="K128" s="196">
        <v>68.239999999999995</v>
      </c>
      <c r="L128" s="196">
        <v>5.3</v>
      </c>
      <c r="M128" s="196">
        <v>5413</v>
      </c>
      <c r="N128" s="196">
        <v>1846506</v>
      </c>
      <c r="O128" s="196">
        <v>1924</v>
      </c>
      <c r="P128" s="196" t="s">
        <v>950</v>
      </c>
      <c r="Q128" s="196" t="s">
        <v>951</v>
      </c>
      <c r="R128" s="196" t="s">
        <v>952</v>
      </c>
      <c r="S128" s="196" t="s">
        <v>953</v>
      </c>
      <c r="T128" s="196" t="s">
        <v>954</v>
      </c>
      <c r="U128" s="196" t="s">
        <v>955</v>
      </c>
      <c r="V128" s="196" t="s">
        <v>956</v>
      </c>
      <c r="W128" s="196" t="s">
        <v>957</v>
      </c>
      <c r="X128" s="196" t="s">
        <v>951</v>
      </c>
      <c r="Y128" s="196" t="s">
        <v>848</v>
      </c>
    </row>
    <row r="129" spans="1:25">
      <c r="A129" s="196" t="s">
        <v>837</v>
      </c>
      <c r="B129" s="196" t="s">
        <v>850</v>
      </c>
      <c r="C129" s="196">
        <v>2013</v>
      </c>
      <c r="D129" s="196">
        <v>30</v>
      </c>
      <c r="E129" s="196" t="s">
        <v>851</v>
      </c>
      <c r="F129" s="196" t="s">
        <v>958</v>
      </c>
      <c r="G129" s="196">
        <v>1</v>
      </c>
      <c r="H129" s="196">
        <v>1</v>
      </c>
      <c r="I129" s="196">
        <v>74</v>
      </c>
      <c r="J129" s="196">
        <v>5236</v>
      </c>
      <c r="K129" s="196">
        <v>88.67</v>
      </c>
      <c r="L129" s="196">
        <v>0.53</v>
      </c>
      <c r="M129" s="196">
        <v>23370</v>
      </c>
      <c r="N129" s="196">
        <v>2445079</v>
      </c>
      <c r="O129" s="196">
        <v>2245</v>
      </c>
      <c r="P129" s="196" t="s">
        <v>865</v>
      </c>
      <c r="Q129" s="196" t="s">
        <v>959</v>
      </c>
      <c r="R129" s="196" t="s">
        <v>960</v>
      </c>
      <c r="S129" s="196" t="s">
        <v>844</v>
      </c>
      <c r="T129" s="196" t="s">
        <v>868</v>
      </c>
      <c r="U129" s="196" t="s">
        <v>869</v>
      </c>
      <c r="V129" s="196" t="s">
        <v>961</v>
      </c>
      <c r="W129" s="196" t="s">
        <v>959</v>
      </c>
      <c r="X129" s="196" t="s">
        <v>848</v>
      </c>
      <c r="Y129" s="196" t="s">
        <v>848</v>
      </c>
    </row>
    <row r="130" spans="1:25">
      <c r="A130" s="196" t="s">
        <v>837</v>
      </c>
      <c r="B130" s="196" t="s">
        <v>181</v>
      </c>
      <c r="C130" s="196">
        <v>2014</v>
      </c>
      <c r="D130" s="196">
        <v>80</v>
      </c>
      <c r="E130" s="196" t="s">
        <v>874</v>
      </c>
      <c r="F130" s="196" t="s">
        <v>958</v>
      </c>
      <c r="G130" s="196">
        <v>1</v>
      </c>
      <c r="H130" s="196">
        <v>1</v>
      </c>
      <c r="I130" s="196">
        <v>3492</v>
      </c>
      <c r="J130" s="196">
        <v>23370</v>
      </c>
      <c r="K130" s="196">
        <v>88.67</v>
      </c>
      <c r="L130" s="196">
        <v>0.53</v>
      </c>
      <c r="M130" s="196">
        <v>23370</v>
      </c>
      <c r="N130" s="196">
        <v>2445079</v>
      </c>
      <c r="O130" s="196">
        <v>2245</v>
      </c>
      <c r="P130" s="196" t="s">
        <v>865</v>
      </c>
      <c r="Q130" s="196" t="s">
        <v>959</v>
      </c>
      <c r="R130" s="196" t="s">
        <v>960</v>
      </c>
      <c r="S130" s="196" t="s">
        <v>844</v>
      </c>
      <c r="T130" s="196" t="s">
        <v>868</v>
      </c>
      <c r="U130" s="196" t="s">
        <v>869</v>
      </c>
      <c r="V130" s="196" t="s">
        <v>961</v>
      </c>
      <c r="W130" s="196" t="s">
        <v>959</v>
      </c>
      <c r="X130" s="196" t="s">
        <v>848</v>
      </c>
      <c r="Y130" s="196" t="s">
        <v>848</v>
      </c>
    </row>
    <row r="131" spans="1:25">
      <c r="A131" s="196" t="s">
        <v>837</v>
      </c>
      <c r="B131" s="196" t="s">
        <v>838</v>
      </c>
      <c r="C131" s="196">
        <v>2013</v>
      </c>
      <c r="D131" s="196">
        <v>30</v>
      </c>
      <c r="E131" s="196" t="s">
        <v>839</v>
      </c>
      <c r="F131" s="196" t="s">
        <v>962</v>
      </c>
      <c r="G131" s="196">
        <v>5</v>
      </c>
      <c r="H131" s="196">
        <v>5</v>
      </c>
      <c r="I131" s="196">
        <v>8820</v>
      </c>
      <c r="J131" s="196">
        <v>30999</v>
      </c>
      <c r="K131" s="196">
        <v>85.28</v>
      </c>
      <c r="L131" s="196">
        <v>4.0199999999999996</v>
      </c>
      <c r="M131" s="196">
        <v>7358</v>
      </c>
      <c r="N131" s="196">
        <v>3296297</v>
      </c>
      <c r="O131" s="196">
        <v>3437</v>
      </c>
      <c r="P131" s="196" t="s">
        <v>963</v>
      </c>
      <c r="Q131" s="196" t="s">
        <v>964</v>
      </c>
      <c r="R131" s="196" t="s">
        <v>965</v>
      </c>
      <c r="S131" s="196" t="s">
        <v>844</v>
      </c>
      <c r="T131" s="196" t="s">
        <v>966</v>
      </c>
      <c r="U131" s="196" t="s">
        <v>967</v>
      </c>
      <c r="V131" s="196" t="s">
        <v>964</v>
      </c>
      <c r="W131" s="196" t="s">
        <v>968</v>
      </c>
      <c r="X131" s="196" t="s">
        <v>969</v>
      </c>
      <c r="Y131" s="196" t="s">
        <v>970</v>
      </c>
    </row>
    <row r="132" spans="1:25">
      <c r="A132" s="196" t="s">
        <v>837</v>
      </c>
      <c r="B132" s="196" t="s">
        <v>838</v>
      </c>
      <c r="C132" s="196">
        <v>2013</v>
      </c>
      <c r="D132" s="196">
        <v>55</v>
      </c>
      <c r="E132" s="196" t="s">
        <v>849</v>
      </c>
      <c r="F132" s="196" t="s">
        <v>962</v>
      </c>
      <c r="G132" s="196">
        <v>5</v>
      </c>
      <c r="H132" s="196">
        <v>5</v>
      </c>
      <c r="I132" s="196">
        <v>5787</v>
      </c>
      <c r="J132" s="196">
        <v>58282</v>
      </c>
      <c r="K132" s="196">
        <v>85.28</v>
      </c>
      <c r="L132" s="196">
        <v>4.0199999999999996</v>
      </c>
      <c r="M132" s="196">
        <v>7358</v>
      </c>
      <c r="N132" s="196">
        <v>3296297</v>
      </c>
      <c r="O132" s="196">
        <v>3437</v>
      </c>
      <c r="P132" s="196" t="s">
        <v>963</v>
      </c>
      <c r="Q132" s="196" t="s">
        <v>964</v>
      </c>
      <c r="R132" s="196" t="s">
        <v>965</v>
      </c>
      <c r="S132" s="196" t="s">
        <v>844</v>
      </c>
      <c r="T132" s="196" t="s">
        <v>966</v>
      </c>
      <c r="U132" s="196" t="s">
        <v>967</v>
      </c>
      <c r="V132" s="196" t="s">
        <v>964</v>
      </c>
      <c r="W132" s="196" t="s">
        <v>968</v>
      </c>
      <c r="X132" s="196" t="s">
        <v>969</v>
      </c>
      <c r="Y132" s="196" t="s">
        <v>970</v>
      </c>
    </row>
    <row r="133" spans="1:25">
      <c r="A133" s="196" t="s">
        <v>837</v>
      </c>
      <c r="B133" s="196" t="s">
        <v>850</v>
      </c>
      <c r="C133" s="196">
        <v>2013</v>
      </c>
      <c r="D133" s="196">
        <v>30</v>
      </c>
      <c r="E133" s="196" t="s">
        <v>851</v>
      </c>
      <c r="F133" s="196" t="s">
        <v>962</v>
      </c>
      <c r="G133" s="196">
        <v>9</v>
      </c>
      <c r="H133" s="196">
        <v>9</v>
      </c>
      <c r="I133" s="196">
        <v>12108</v>
      </c>
      <c r="J133" s="196">
        <v>75358</v>
      </c>
      <c r="K133" s="196">
        <v>85.28</v>
      </c>
      <c r="L133" s="196">
        <v>4.0199999999999996</v>
      </c>
      <c r="M133" s="196">
        <v>7358</v>
      </c>
      <c r="N133" s="196">
        <v>3296297</v>
      </c>
      <c r="O133" s="196">
        <v>3437</v>
      </c>
      <c r="P133" s="196" t="s">
        <v>963</v>
      </c>
      <c r="Q133" s="196" t="s">
        <v>964</v>
      </c>
      <c r="R133" s="196" t="s">
        <v>965</v>
      </c>
      <c r="S133" s="196" t="s">
        <v>844</v>
      </c>
      <c r="T133" s="196" t="s">
        <v>966</v>
      </c>
      <c r="U133" s="196" t="s">
        <v>967</v>
      </c>
      <c r="V133" s="196" t="s">
        <v>964</v>
      </c>
      <c r="W133" s="196" t="s">
        <v>968</v>
      </c>
      <c r="X133" s="196" t="s">
        <v>969</v>
      </c>
      <c r="Y133" s="196" t="s">
        <v>970</v>
      </c>
    </row>
    <row r="134" spans="1:25">
      <c r="A134" s="196" t="s">
        <v>837</v>
      </c>
      <c r="B134" s="196" t="s">
        <v>850</v>
      </c>
      <c r="C134" s="196">
        <v>2013</v>
      </c>
      <c r="D134" s="196">
        <v>55</v>
      </c>
      <c r="E134" s="196" t="s">
        <v>852</v>
      </c>
      <c r="F134" s="196" t="s">
        <v>962</v>
      </c>
      <c r="G134" s="196">
        <v>3</v>
      </c>
      <c r="H134" s="196">
        <v>3</v>
      </c>
      <c r="I134" s="196">
        <v>2356</v>
      </c>
      <c r="J134" s="196">
        <v>55632</v>
      </c>
      <c r="K134" s="196">
        <v>85.28</v>
      </c>
      <c r="L134" s="196">
        <v>4.0199999999999996</v>
      </c>
      <c r="M134" s="196">
        <v>7358</v>
      </c>
      <c r="N134" s="196">
        <v>3296297</v>
      </c>
      <c r="O134" s="196">
        <v>3437</v>
      </c>
      <c r="P134" s="196" t="s">
        <v>963</v>
      </c>
      <c r="Q134" s="196" t="s">
        <v>964</v>
      </c>
      <c r="R134" s="196" t="s">
        <v>965</v>
      </c>
      <c r="S134" s="196" t="s">
        <v>844</v>
      </c>
      <c r="T134" s="196" t="s">
        <v>966</v>
      </c>
      <c r="U134" s="196" t="s">
        <v>967</v>
      </c>
      <c r="V134" s="196" t="s">
        <v>964</v>
      </c>
      <c r="W134" s="196" t="s">
        <v>968</v>
      </c>
      <c r="X134" s="196" t="s">
        <v>969</v>
      </c>
      <c r="Y134" s="196" t="s">
        <v>970</v>
      </c>
    </row>
    <row r="135" spans="1:25">
      <c r="A135" s="196" t="s">
        <v>837</v>
      </c>
      <c r="B135" s="196" t="s">
        <v>850</v>
      </c>
      <c r="C135" s="196">
        <v>2013</v>
      </c>
      <c r="D135" s="196">
        <v>80</v>
      </c>
      <c r="E135" s="196" t="s">
        <v>917</v>
      </c>
      <c r="F135" s="196" t="s">
        <v>962</v>
      </c>
      <c r="G135" s="196">
        <v>2</v>
      </c>
      <c r="H135" s="196">
        <v>2</v>
      </c>
      <c r="I135" s="196">
        <v>1584</v>
      </c>
      <c r="J135" s="196">
        <v>9492</v>
      </c>
      <c r="K135" s="196">
        <v>85.28</v>
      </c>
      <c r="L135" s="196">
        <v>4.0199999999999996</v>
      </c>
      <c r="M135" s="196">
        <v>7358</v>
      </c>
      <c r="N135" s="196">
        <v>3296297</v>
      </c>
      <c r="O135" s="196">
        <v>3437</v>
      </c>
      <c r="P135" s="196" t="s">
        <v>963</v>
      </c>
      <c r="Q135" s="196" t="s">
        <v>964</v>
      </c>
      <c r="R135" s="196" t="s">
        <v>965</v>
      </c>
      <c r="S135" s="196" t="s">
        <v>844</v>
      </c>
      <c r="T135" s="196" t="s">
        <v>966</v>
      </c>
      <c r="U135" s="196" t="s">
        <v>967</v>
      </c>
      <c r="V135" s="196" t="s">
        <v>964</v>
      </c>
      <c r="W135" s="196" t="s">
        <v>968</v>
      </c>
      <c r="X135" s="196" t="s">
        <v>969</v>
      </c>
      <c r="Y135" s="196" t="s">
        <v>970</v>
      </c>
    </row>
    <row r="136" spans="1:25">
      <c r="A136" s="196" t="s">
        <v>837</v>
      </c>
      <c r="B136" s="196" t="s">
        <v>181</v>
      </c>
      <c r="C136" s="196">
        <v>2014</v>
      </c>
      <c r="D136" s="196">
        <v>80</v>
      </c>
      <c r="E136" s="196" t="s">
        <v>874</v>
      </c>
      <c r="F136" s="196" t="s">
        <v>962</v>
      </c>
      <c r="G136" s="196">
        <v>7</v>
      </c>
      <c r="H136" s="196">
        <v>7</v>
      </c>
      <c r="I136" s="196">
        <v>9723</v>
      </c>
      <c r="J136" s="196">
        <v>78016</v>
      </c>
      <c r="K136" s="196">
        <v>85.28</v>
      </c>
      <c r="L136" s="196">
        <v>4.0199999999999996</v>
      </c>
      <c r="M136" s="196">
        <v>7358</v>
      </c>
      <c r="N136" s="196">
        <v>3296297</v>
      </c>
      <c r="O136" s="196">
        <v>3437</v>
      </c>
      <c r="P136" s="196" t="s">
        <v>963</v>
      </c>
      <c r="Q136" s="196" t="s">
        <v>964</v>
      </c>
      <c r="R136" s="196" t="s">
        <v>965</v>
      </c>
      <c r="S136" s="196" t="s">
        <v>844</v>
      </c>
      <c r="T136" s="196" t="s">
        <v>966</v>
      </c>
      <c r="U136" s="196" t="s">
        <v>967</v>
      </c>
      <c r="V136" s="196" t="s">
        <v>964</v>
      </c>
      <c r="W136" s="196" t="s">
        <v>968</v>
      </c>
      <c r="X136" s="196" t="s">
        <v>969</v>
      </c>
      <c r="Y136" s="196" t="s">
        <v>970</v>
      </c>
    </row>
    <row r="137" spans="1:25">
      <c r="A137" s="196" t="s">
        <v>837</v>
      </c>
      <c r="B137" s="196" t="s">
        <v>838</v>
      </c>
      <c r="C137" s="196">
        <v>2013</v>
      </c>
      <c r="D137" s="196">
        <v>80</v>
      </c>
      <c r="E137" s="196" t="s">
        <v>908</v>
      </c>
      <c r="F137" s="196" t="s">
        <v>962</v>
      </c>
      <c r="G137" s="196">
        <v>6</v>
      </c>
      <c r="H137" s="196">
        <v>6</v>
      </c>
      <c r="I137" s="196">
        <v>7185</v>
      </c>
      <c r="J137" s="196">
        <v>43361</v>
      </c>
      <c r="K137" s="196">
        <v>85.28</v>
      </c>
      <c r="L137" s="196">
        <v>4.0199999999999996</v>
      </c>
      <c r="M137" s="196">
        <v>7358</v>
      </c>
      <c r="N137" s="196">
        <v>3296297</v>
      </c>
      <c r="O137" s="196">
        <v>3437</v>
      </c>
      <c r="P137" s="196" t="s">
        <v>963</v>
      </c>
      <c r="Q137" s="196" t="s">
        <v>964</v>
      </c>
      <c r="R137" s="196" t="s">
        <v>965</v>
      </c>
      <c r="S137" s="196" t="s">
        <v>844</v>
      </c>
      <c r="T137" s="196" t="s">
        <v>966</v>
      </c>
      <c r="U137" s="196" t="s">
        <v>967</v>
      </c>
      <c r="V137" s="196" t="s">
        <v>964</v>
      </c>
      <c r="W137" s="196" t="s">
        <v>968</v>
      </c>
      <c r="X137" s="196" t="s">
        <v>969</v>
      </c>
      <c r="Y137" s="196" t="s">
        <v>970</v>
      </c>
    </row>
    <row r="138" spans="1:25">
      <c r="A138" s="196" t="s">
        <v>837</v>
      </c>
      <c r="B138" s="196" t="s">
        <v>181</v>
      </c>
      <c r="C138" s="196">
        <v>2013</v>
      </c>
      <c r="D138" s="196">
        <v>80</v>
      </c>
      <c r="E138" s="196" t="s">
        <v>876</v>
      </c>
      <c r="F138" s="196" t="s">
        <v>962</v>
      </c>
      <c r="G138" s="196">
        <v>10</v>
      </c>
      <c r="H138" s="196">
        <v>10</v>
      </c>
      <c r="I138" s="196">
        <v>11826</v>
      </c>
      <c r="J138" s="196">
        <v>64217</v>
      </c>
      <c r="K138" s="196">
        <v>85.28</v>
      </c>
      <c r="L138" s="196">
        <v>4.0199999999999996</v>
      </c>
      <c r="M138" s="196">
        <v>7358</v>
      </c>
      <c r="N138" s="196">
        <v>3296297</v>
      </c>
      <c r="O138" s="196">
        <v>3437</v>
      </c>
      <c r="P138" s="196" t="s">
        <v>963</v>
      </c>
      <c r="Q138" s="196" t="s">
        <v>964</v>
      </c>
      <c r="R138" s="196" t="s">
        <v>965</v>
      </c>
      <c r="S138" s="196" t="s">
        <v>844</v>
      </c>
      <c r="T138" s="196" t="s">
        <v>966</v>
      </c>
      <c r="U138" s="196" t="s">
        <v>967</v>
      </c>
      <c r="V138" s="196" t="s">
        <v>964</v>
      </c>
      <c r="W138" s="196" t="s">
        <v>968</v>
      </c>
      <c r="X138" s="196" t="s">
        <v>969</v>
      </c>
      <c r="Y138" s="196" t="s">
        <v>970</v>
      </c>
    </row>
    <row r="139" spans="1:25">
      <c r="A139" s="196" t="s">
        <v>837</v>
      </c>
      <c r="B139" s="196" t="s">
        <v>838</v>
      </c>
      <c r="C139" s="196">
        <v>2014</v>
      </c>
      <c r="D139" s="196">
        <v>55</v>
      </c>
      <c r="E139" s="196" t="s">
        <v>854</v>
      </c>
      <c r="F139" s="196" t="s">
        <v>962</v>
      </c>
      <c r="G139" s="196">
        <v>1</v>
      </c>
      <c r="H139" s="196">
        <v>1</v>
      </c>
      <c r="I139" s="196">
        <v>1644</v>
      </c>
      <c r="J139" s="196">
        <v>3792</v>
      </c>
      <c r="K139" s="196">
        <v>85.28</v>
      </c>
      <c r="L139" s="196">
        <v>4.0199999999999996</v>
      </c>
      <c r="M139" s="196">
        <v>7358</v>
      </c>
      <c r="N139" s="196">
        <v>3296297</v>
      </c>
      <c r="O139" s="196">
        <v>3437</v>
      </c>
      <c r="P139" s="196" t="s">
        <v>963</v>
      </c>
      <c r="Q139" s="196" t="s">
        <v>964</v>
      </c>
      <c r="R139" s="196" t="s">
        <v>965</v>
      </c>
      <c r="S139" s="196" t="s">
        <v>844</v>
      </c>
      <c r="T139" s="196" t="s">
        <v>966</v>
      </c>
      <c r="U139" s="196" t="s">
        <v>967</v>
      </c>
      <c r="V139" s="196" t="s">
        <v>964</v>
      </c>
      <c r="W139" s="196" t="s">
        <v>968</v>
      </c>
      <c r="X139" s="196" t="s">
        <v>969</v>
      </c>
      <c r="Y139" s="196" t="s">
        <v>970</v>
      </c>
    </row>
    <row r="140" spans="1:25">
      <c r="A140" s="196" t="s">
        <v>837</v>
      </c>
      <c r="B140" s="196" t="s">
        <v>838</v>
      </c>
      <c r="C140" s="196">
        <v>2014</v>
      </c>
      <c r="D140" s="196">
        <v>55</v>
      </c>
      <c r="E140" s="196" t="s">
        <v>855</v>
      </c>
      <c r="F140" s="196" t="s">
        <v>962</v>
      </c>
      <c r="G140" s="196">
        <v>7</v>
      </c>
      <c r="H140" s="196">
        <v>7</v>
      </c>
      <c r="I140" s="196">
        <v>8639</v>
      </c>
      <c r="J140" s="196">
        <v>66808</v>
      </c>
      <c r="K140" s="196">
        <v>85.28</v>
      </c>
      <c r="L140" s="196">
        <v>4.0199999999999996</v>
      </c>
      <c r="M140" s="196">
        <v>7358</v>
      </c>
      <c r="N140" s="196">
        <v>3296297</v>
      </c>
      <c r="O140" s="196">
        <v>3437</v>
      </c>
      <c r="P140" s="196" t="s">
        <v>963</v>
      </c>
      <c r="Q140" s="196" t="s">
        <v>964</v>
      </c>
      <c r="R140" s="196" t="s">
        <v>965</v>
      </c>
      <c r="S140" s="196" t="s">
        <v>844</v>
      </c>
      <c r="T140" s="196" t="s">
        <v>966</v>
      </c>
      <c r="U140" s="196" t="s">
        <v>967</v>
      </c>
      <c r="V140" s="196" t="s">
        <v>964</v>
      </c>
      <c r="W140" s="196" t="s">
        <v>968</v>
      </c>
      <c r="X140" s="196" t="s">
        <v>969</v>
      </c>
      <c r="Y140" s="196" t="s">
        <v>970</v>
      </c>
    </row>
    <row r="141" spans="1:25">
      <c r="A141" s="196" t="s">
        <v>837</v>
      </c>
      <c r="B141" s="196" t="s">
        <v>181</v>
      </c>
      <c r="C141" s="196">
        <v>2014</v>
      </c>
      <c r="D141" s="196">
        <v>30</v>
      </c>
      <c r="E141" s="196" t="s">
        <v>856</v>
      </c>
      <c r="F141" s="196" t="s">
        <v>962</v>
      </c>
      <c r="G141" s="196">
        <v>1</v>
      </c>
      <c r="H141" s="196">
        <v>1</v>
      </c>
      <c r="I141" s="196">
        <v>1239</v>
      </c>
      <c r="J141" s="196">
        <v>4746</v>
      </c>
      <c r="K141" s="196">
        <v>85.28</v>
      </c>
      <c r="L141" s="196">
        <v>4.0199999999999996</v>
      </c>
      <c r="M141" s="196">
        <v>7358</v>
      </c>
      <c r="N141" s="196">
        <v>3296297</v>
      </c>
      <c r="O141" s="196">
        <v>3437</v>
      </c>
      <c r="P141" s="196" t="s">
        <v>963</v>
      </c>
      <c r="Q141" s="196" t="s">
        <v>964</v>
      </c>
      <c r="R141" s="196" t="s">
        <v>965</v>
      </c>
      <c r="S141" s="196" t="s">
        <v>844</v>
      </c>
      <c r="T141" s="196" t="s">
        <v>966</v>
      </c>
      <c r="U141" s="196" t="s">
        <v>967</v>
      </c>
      <c r="V141" s="196" t="s">
        <v>964</v>
      </c>
      <c r="W141" s="196" t="s">
        <v>968</v>
      </c>
      <c r="X141" s="196" t="s">
        <v>969</v>
      </c>
      <c r="Y141" s="196" t="s">
        <v>970</v>
      </c>
    </row>
    <row r="142" spans="1:25">
      <c r="A142" s="196" t="s">
        <v>837</v>
      </c>
      <c r="B142" s="196" t="s">
        <v>181</v>
      </c>
      <c r="C142" s="196">
        <v>2014</v>
      </c>
      <c r="D142" s="196">
        <v>55</v>
      </c>
      <c r="E142" s="196" t="s">
        <v>858</v>
      </c>
      <c r="F142" s="196" t="s">
        <v>962</v>
      </c>
      <c r="G142" s="196">
        <v>3</v>
      </c>
      <c r="H142" s="196">
        <v>3</v>
      </c>
      <c r="I142" s="196">
        <v>2483</v>
      </c>
      <c r="J142" s="196">
        <v>9661</v>
      </c>
      <c r="K142" s="196">
        <v>85.28</v>
      </c>
      <c r="L142" s="196">
        <v>4.0199999999999996</v>
      </c>
      <c r="M142" s="196">
        <v>7358</v>
      </c>
      <c r="N142" s="196">
        <v>3296297</v>
      </c>
      <c r="O142" s="196">
        <v>3437</v>
      </c>
      <c r="P142" s="196" t="s">
        <v>963</v>
      </c>
      <c r="Q142" s="196" t="s">
        <v>964</v>
      </c>
      <c r="R142" s="196" t="s">
        <v>965</v>
      </c>
      <c r="S142" s="196" t="s">
        <v>844</v>
      </c>
      <c r="T142" s="196" t="s">
        <v>966</v>
      </c>
      <c r="U142" s="196" t="s">
        <v>967</v>
      </c>
      <c r="V142" s="196" t="s">
        <v>964</v>
      </c>
      <c r="W142" s="196" t="s">
        <v>968</v>
      </c>
      <c r="X142" s="196" t="s">
        <v>969</v>
      </c>
      <c r="Y142" s="196" t="s">
        <v>970</v>
      </c>
    </row>
    <row r="143" spans="1:25">
      <c r="A143" s="196" t="s">
        <v>837</v>
      </c>
      <c r="B143" s="196" t="s">
        <v>850</v>
      </c>
      <c r="C143" s="196">
        <v>2014</v>
      </c>
      <c r="D143" s="196">
        <v>55</v>
      </c>
      <c r="E143" s="196" t="s">
        <v>863</v>
      </c>
      <c r="F143" s="196" t="s">
        <v>962</v>
      </c>
      <c r="G143" s="196">
        <v>1</v>
      </c>
      <c r="H143" s="196">
        <v>1</v>
      </c>
      <c r="I143" s="196">
        <v>1836</v>
      </c>
      <c r="J143" s="196">
        <v>11207</v>
      </c>
      <c r="K143" s="196">
        <v>85.28</v>
      </c>
      <c r="L143" s="196">
        <v>4.0199999999999996</v>
      </c>
      <c r="M143" s="196">
        <v>7358</v>
      </c>
      <c r="N143" s="196">
        <v>3296297</v>
      </c>
      <c r="O143" s="196">
        <v>3437</v>
      </c>
      <c r="P143" s="196" t="s">
        <v>963</v>
      </c>
      <c r="Q143" s="196" t="s">
        <v>964</v>
      </c>
      <c r="R143" s="196" t="s">
        <v>965</v>
      </c>
      <c r="S143" s="196" t="s">
        <v>844</v>
      </c>
      <c r="T143" s="196" t="s">
        <v>966</v>
      </c>
      <c r="U143" s="196" t="s">
        <v>967</v>
      </c>
      <c r="V143" s="196" t="s">
        <v>964</v>
      </c>
      <c r="W143" s="196" t="s">
        <v>968</v>
      </c>
      <c r="X143" s="196" t="s">
        <v>969</v>
      </c>
      <c r="Y143" s="196" t="s">
        <v>970</v>
      </c>
    </row>
    <row r="144" spans="1:25">
      <c r="A144" s="196" t="s">
        <v>837</v>
      </c>
      <c r="B144" s="196" t="s">
        <v>838</v>
      </c>
      <c r="C144" s="196">
        <v>2013</v>
      </c>
      <c r="D144" s="196">
        <v>30</v>
      </c>
      <c r="E144" s="196" t="s">
        <v>839</v>
      </c>
      <c r="F144" s="196" t="s">
        <v>971</v>
      </c>
      <c r="G144" s="196">
        <v>1</v>
      </c>
      <c r="H144" s="196">
        <v>1</v>
      </c>
      <c r="I144" s="196">
        <v>1398</v>
      </c>
      <c r="J144" s="196">
        <v>111062</v>
      </c>
      <c r="K144" s="196">
        <v>99.95</v>
      </c>
      <c r="L144" s="196">
        <v>1.36</v>
      </c>
      <c r="M144" s="196">
        <v>43502</v>
      </c>
      <c r="N144" s="196">
        <v>2280785</v>
      </c>
      <c r="O144" s="196">
        <v>1976</v>
      </c>
      <c r="P144" s="196" t="s">
        <v>910</v>
      </c>
      <c r="Q144" s="196" t="s">
        <v>911</v>
      </c>
      <c r="R144" s="196" t="s">
        <v>912</v>
      </c>
      <c r="S144" s="196" t="s">
        <v>844</v>
      </c>
      <c r="T144" s="196" t="s">
        <v>913</v>
      </c>
      <c r="U144" s="196" t="s">
        <v>914</v>
      </c>
      <c r="V144" s="196" t="s">
        <v>911</v>
      </c>
      <c r="W144" s="196" t="s">
        <v>972</v>
      </c>
      <c r="X144" s="196" t="s">
        <v>973</v>
      </c>
      <c r="Y144" s="196" t="s">
        <v>848</v>
      </c>
    </row>
    <row r="145" spans="1:25">
      <c r="A145" s="196" t="s">
        <v>837</v>
      </c>
      <c r="B145" s="196" t="s">
        <v>850</v>
      </c>
      <c r="C145" s="196">
        <v>2013</v>
      </c>
      <c r="D145" s="196">
        <v>30</v>
      </c>
      <c r="E145" s="196" t="s">
        <v>851</v>
      </c>
      <c r="F145" s="196" t="s">
        <v>971</v>
      </c>
      <c r="G145" s="196">
        <v>2</v>
      </c>
      <c r="H145" s="196">
        <v>2</v>
      </c>
      <c r="I145" s="196">
        <v>5562</v>
      </c>
      <c r="J145" s="196">
        <v>135004</v>
      </c>
      <c r="K145" s="196">
        <v>99.95</v>
      </c>
      <c r="L145" s="196">
        <v>1.36</v>
      </c>
      <c r="M145" s="196">
        <v>43502</v>
      </c>
      <c r="N145" s="196">
        <v>2280785</v>
      </c>
      <c r="O145" s="196">
        <v>1976</v>
      </c>
      <c r="P145" s="196" t="s">
        <v>910</v>
      </c>
      <c r="Q145" s="196" t="s">
        <v>911</v>
      </c>
      <c r="R145" s="196" t="s">
        <v>912</v>
      </c>
      <c r="S145" s="196" t="s">
        <v>844</v>
      </c>
      <c r="T145" s="196" t="s">
        <v>913</v>
      </c>
      <c r="U145" s="196" t="s">
        <v>914</v>
      </c>
      <c r="V145" s="196" t="s">
        <v>911</v>
      </c>
      <c r="W145" s="196" t="s">
        <v>972</v>
      </c>
      <c r="X145" s="196" t="s">
        <v>973</v>
      </c>
      <c r="Y145" s="196" t="s">
        <v>848</v>
      </c>
    </row>
    <row r="146" spans="1:25">
      <c r="A146" s="196" t="s">
        <v>837</v>
      </c>
      <c r="B146" s="196" t="s">
        <v>850</v>
      </c>
      <c r="C146" s="196">
        <v>2014</v>
      </c>
      <c r="D146" s="196">
        <v>80</v>
      </c>
      <c r="E146" s="196" t="s">
        <v>918</v>
      </c>
      <c r="F146" s="196" t="s">
        <v>971</v>
      </c>
      <c r="G146" s="196">
        <v>1</v>
      </c>
      <c r="H146" s="196">
        <v>1</v>
      </c>
      <c r="I146" s="196">
        <v>3789</v>
      </c>
      <c r="J146" s="196">
        <v>23942</v>
      </c>
      <c r="K146" s="196">
        <v>99.95</v>
      </c>
      <c r="L146" s="196">
        <v>1.36</v>
      </c>
      <c r="M146" s="196">
        <v>43502</v>
      </c>
      <c r="N146" s="196">
        <v>2280785</v>
      </c>
      <c r="O146" s="196">
        <v>1976</v>
      </c>
      <c r="P146" s="196" t="s">
        <v>910</v>
      </c>
      <c r="Q146" s="196" t="s">
        <v>911</v>
      </c>
      <c r="R146" s="196" t="s">
        <v>912</v>
      </c>
      <c r="S146" s="196" t="s">
        <v>844</v>
      </c>
      <c r="T146" s="196" t="s">
        <v>913</v>
      </c>
      <c r="U146" s="196" t="s">
        <v>914</v>
      </c>
      <c r="V146" s="196" t="s">
        <v>911</v>
      </c>
      <c r="W146" s="196" t="s">
        <v>972</v>
      </c>
      <c r="X146" s="196" t="s">
        <v>973</v>
      </c>
      <c r="Y146" s="196" t="s">
        <v>848</v>
      </c>
    </row>
    <row r="147" spans="1:25">
      <c r="A147" s="196" t="s">
        <v>837</v>
      </c>
      <c r="B147" s="196" t="s">
        <v>850</v>
      </c>
      <c r="C147" s="196">
        <v>2014</v>
      </c>
      <c r="D147" s="196">
        <v>30</v>
      </c>
      <c r="E147" s="196" t="s">
        <v>860</v>
      </c>
      <c r="F147" s="196" t="s">
        <v>971</v>
      </c>
      <c r="G147" s="196">
        <v>1</v>
      </c>
      <c r="H147" s="196">
        <v>1</v>
      </c>
      <c r="I147" s="196">
        <v>4164</v>
      </c>
      <c r="J147" s="196">
        <v>23942</v>
      </c>
      <c r="K147" s="196">
        <v>99.95</v>
      </c>
      <c r="L147" s="196">
        <v>1.36</v>
      </c>
      <c r="M147" s="196">
        <v>43502</v>
      </c>
      <c r="N147" s="196">
        <v>2280785</v>
      </c>
      <c r="O147" s="196">
        <v>1976</v>
      </c>
      <c r="P147" s="196" t="s">
        <v>910</v>
      </c>
      <c r="Q147" s="196" t="s">
        <v>911</v>
      </c>
      <c r="R147" s="196" t="s">
        <v>912</v>
      </c>
      <c r="S147" s="196" t="s">
        <v>844</v>
      </c>
      <c r="T147" s="196" t="s">
        <v>913</v>
      </c>
      <c r="U147" s="196" t="s">
        <v>914</v>
      </c>
      <c r="V147" s="196" t="s">
        <v>911</v>
      </c>
      <c r="W147" s="196" t="s">
        <v>972</v>
      </c>
      <c r="X147" s="196" t="s">
        <v>973</v>
      </c>
      <c r="Y147" s="196" t="s">
        <v>848</v>
      </c>
    </row>
    <row r="148" spans="1:25">
      <c r="A148" s="196" t="s">
        <v>837</v>
      </c>
      <c r="B148" s="196" t="s">
        <v>850</v>
      </c>
      <c r="C148" s="196">
        <v>2013</v>
      </c>
      <c r="D148" s="196">
        <v>30</v>
      </c>
      <c r="E148" s="196" t="s">
        <v>851</v>
      </c>
      <c r="F148" s="196" t="s">
        <v>974</v>
      </c>
      <c r="G148" s="196">
        <v>1</v>
      </c>
      <c r="H148" s="196">
        <v>1</v>
      </c>
      <c r="I148" s="196">
        <v>1203</v>
      </c>
      <c r="J148" s="196">
        <v>3308</v>
      </c>
      <c r="K148" s="196">
        <v>81.64</v>
      </c>
      <c r="L148" s="196">
        <v>19.3</v>
      </c>
      <c r="M148" s="196">
        <v>4831</v>
      </c>
      <c r="N148" s="196">
        <v>2684200</v>
      </c>
      <c r="O148" s="196">
        <v>2812</v>
      </c>
      <c r="P148" s="196" t="s">
        <v>910</v>
      </c>
      <c r="Q148" s="196" t="s">
        <v>911</v>
      </c>
      <c r="R148" s="196" t="s">
        <v>912</v>
      </c>
      <c r="S148" s="196" t="s">
        <v>844</v>
      </c>
      <c r="T148" s="196" t="s">
        <v>913</v>
      </c>
      <c r="U148" s="196" t="s">
        <v>914</v>
      </c>
      <c r="V148" s="196" t="s">
        <v>911</v>
      </c>
      <c r="W148" s="196" t="s">
        <v>972</v>
      </c>
      <c r="X148" s="196" t="s">
        <v>973</v>
      </c>
      <c r="Y148" s="196" t="s">
        <v>848</v>
      </c>
    </row>
    <row r="149" spans="1:25">
      <c r="A149" s="196" t="s">
        <v>837</v>
      </c>
      <c r="B149" s="196" t="s">
        <v>838</v>
      </c>
      <c r="C149" s="196">
        <v>2013</v>
      </c>
      <c r="D149" s="196">
        <v>30</v>
      </c>
      <c r="E149" s="196" t="s">
        <v>839</v>
      </c>
      <c r="F149" s="196" t="s">
        <v>975</v>
      </c>
      <c r="G149" s="196">
        <v>5</v>
      </c>
      <c r="H149" s="196">
        <v>5</v>
      </c>
      <c r="I149" s="196">
        <v>6399</v>
      </c>
      <c r="J149" s="196">
        <v>26590</v>
      </c>
      <c r="K149" s="196">
        <v>57.52</v>
      </c>
      <c r="L149" s="196">
        <v>4.1399999999999997</v>
      </c>
      <c r="M149" s="196">
        <v>3876</v>
      </c>
      <c r="N149" s="196">
        <v>909566</v>
      </c>
      <c r="O149" s="196">
        <v>1142</v>
      </c>
      <c r="P149" s="196" t="s">
        <v>976</v>
      </c>
      <c r="Q149" s="196" t="s">
        <v>977</v>
      </c>
      <c r="R149" s="196" t="s">
        <v>978</v>
      </c>
      <c r="S149" s="196" t="s">
        <v>953</v>
      </c>
      <c r="T149" s="196" t="s">
        <v>979</v>
      </c>
      <c r="U149" s="196" t="s">
        <v>980</v>
      </c>
      <c r="V149" s="196" t="s">
        <v>981</v>
      </c>
      <c r="W149" s="196" t="s">
        <v>982</v>
      </c>
      <c r="X149" s="196" t="s">
        <v>977</v>
      </c>
      <c r="Y149" s="196" t="s">
        <v>848</v>
      </c>
    </row>
    <row r="150" spans="1:25">
      <c r="A150" s="196" t="s">
        <v>837</v>
      </c>
      <c r="B150" s="196" t="s">
        <v>838</v>
      </c>
      <c r="C150" s="196">
        <v>2013</v>
      </c>
      <c r="D150" s="196">
        <v>55</v>
      </c>
      <c r="E150" s="196" t="s">
        <v>849</v>
      </c>
      <c r="F150" s="196" t="s">
        <v>975</v>
      </c>
      <c r="G150" s="196">
        <v>5</v>
      </c>
      <c r="H150" s="196">
        <v>5</v>
      </c>
      <c r="I150" s="196">
        <v>4872</v>
      </c>
      <c r="J150" s="196">
        <v>21541</v>
      </c>
      <c r="K150" s="196">
        <v>57.52</v>
      </c>
      <c r="L150" s="196">
        <v>4.1399999999999997</v>
      </c>
      <c r="M150" s="196">
        <v>3876</v>
      </c>
      <c r="N150" s="196">
        <v>909566</v>
      </c>
      <c r="O150" s="196">
        <v>1142</v>
      </c>
      <c r="P150" s="196" t="s">
        <v>976</v>
      </c>
      <c r="Q150" s="196" t="s">
        <v>977</v>
      </c>
      <c r="R150" s="196" t="s">
        <v>978</v>
      </c>
      <c r="S150" s="196" t="s">
        <v>953</v>
      </c>
      <c r="T150" s="196" t="s">
        <v>979</v>
      </c>
      <c r="U150" s="196" t="s">
        <v>980</v>
      </c>
      <c r="V150" s="196" t="s">
        <v>981</v>
      </c>
      <c r="W150" s="196" t="s">
        <v>982</v>
      </c>
      <c r="X150" s="196" t="s">
        <v>977</v>
      </c>
      <c r="Y150" s="196" t="s">
        <v>848</v>
      </c>
    </row>
    <row r="151" spans="1:25">
      <c r="A151" s="196" t="s">
        <v>837</v>
      </c>
      <c r="B151" s="196" t="s">
        <v>850</v>
      </c>
      <c r="C151" s="196">
        <v>2013</v>
      </c>
      <c r="D151" s="196">
        <v>30</v>
      </c>
      <c r="E151" s="196" t="s">
        <v>851</v>
      </c>
      <c r="F151" s="196" t="s">
        <v>975</v>
      </c>
      <c r="G151" s="196">
        <v>11</v>
      </c>
      <c r="H151" s="196">
        <v>11</v>
      </c>
      <c r="I151" s="196">
        <v>13230</v>
      </c>
      <c r="J151" s="196">
        <v>49473</v>
      </c>
      <c r="K151" s="196">
        <v>57.52</v>
      </c>
      <c r="L151" s="196">
        <v>4.1399999999999997</v>
      </c>
      <c r="M151" s="196">
        <v>3876</v>
      </c>
      <c r="N151" s="196">
        <v>909566</v>
      </c>
      <c r="O151" s="196">
        <v>1142</v>
      </c>
      <c r="P151" s="196" t="s">
        <v>976</v>
      </c>
      <c r="Q151" s="196" t="s">
        <v>977</v>
      </c>
      <c r="R151" s="196" t="s">
        <v>978</v>
      </c>
      <c r="S151" s="196" t="s">
        <v>953</v>
      </c>
      <c r="T151" s="196" t="s">
        <v>979</v>
      </c>
      <c r="U151" s="196" t="s">
        <v>980</v>
      </c>
      <c r="V151" s="196" t="s">
        <v>981</v>
      </c>
      <c r="W151" s="196" t="s">
        <v>982</v>
      </c>
      <c r="X151" s="196" t="s">
        <v>977</v>
      </c>
      <c r="Y151" s="196" t="s">
        <v>848</v>
      </c>
    </row>
    <row r="152" spans="1:25">
      <c r="A152" s="196" t="s">
        <v>837</v>
      </c>
      <c r="B152" s="196" t="s">
        <v>850</v>
      </c>
      <c r="C152" s="196">
        <v>2013</v>
      </c>
      <c r="D152" s="196">
        <v>55</v>
      </c>
      <c r="E152" s="196" t="s">
        <v>852</v>
      </c>
      <c r="F152" s="196" t="s">
        <v>975</v>
      </c>
      <c r="G152" s="196">
        <v>3</v>
      </c>
      <c r="H152" s="196">
        <v>3</v>
      </c>
      <c r="I152" s="196">
        <v>2922</v>
      </c>
      <c r="J152" s="196">
        <v>21222</v>
      </c>
      <c r="K152" s="196">
        <v>57.52</v>
      </c>
      <c r="L152" s="196">
        <v>4.1399999999999997</v>
      </c>
      <c r="M152" s="196">
        <v>3876</v>
      </c>
      <c r="N152" s="196">
        <v>909566</v>
      </c>
      <c r="O152" s="196">
        <v>1142</v>
      </c>
      <c r="P152" s="196" t="s">
        <v>976</v>
      </c>
      <c r="Q152" s="196" t="s">
        <v>977</v>
      </c>
      <c r="R152" s="196" t="s">
        <v>978</v>
      </c>
      <c r="S152" s="196" t="s">
        <v>953</v>
      </c>
      <c r="T152" s="196" t="s">
        <v>979</v>
      </c>
      <c r="U152" s="196" t="s">
        <v>980</v>
      </c>
      <c r="V152" s="196" t="s">
        <v>981</v>
      </c>
      <c r="W152" s="196" t="s">
        <v>982</v>
      </c>
      <c r="X152" s="196" t="s">
        <v>977</v>
      </c>
      <c r="Y152" s="196" t="s">
        <v>848</v>
      </c>
    </row>
    <row r="153" spans="1:25">
      <c r="A153" s="196" t="s">
        <v>837</v>
      </c>
      <c r="B153" s="196" t="s">
        <v>850</v>
      </c>
      <c r="C153" s="196">
        <v>2013</v>
      </c>
      <c r="D153" s="196">
        <v>80</v>
      </c>
      <c r="E153" s="196" t="s">
        <v>917</v>
      </c>
      <c r="F153" s="196" t="s">
        <v>975</v>
      </c>
      <c r="G153" s="196">
        <v>1</v>
      </c>
      <c r="H153" s="196">
        <v>1</v>
      </c>
      <c r="I153" s="196">
        <v>2646</v>
      </c>
      <c r="J153" s="196">
        <v>8104</v>
      </c>
      <c r="K153" s="196">
        <v>57.52</v>
      </c>
      <c r="L153" s="196">
        <v>4.1399999999999997</v>
      </c>
      <c r="M153" s="196">
        <v>3876</v>
      </c>
      <c r="N153" s="196">
        <v>909566</v>
      </c>
      <c r="O153" s="196">
        <v>1142</v>
      </c>
      <c r="P153" s="196" t="s">
        <v>976</v>
      </c>
      <c r="Q153" s="196" t="s">
        <v>977</v>
      </c>
      <c r="R153" s="196" t="s">
        <v>978</v>
      </c>
      <c r="S153" s="196" t="s">
        <v>953</v>
      </c>
      <c r="T153" s="196" t="s">
        <v>979</v>
      </c>
      <c r="U153" s="196" t="s">
        <v>980</v>
      </c>
      <c r="V153" s="196" t="s">
        <v>981</v>
      </c>
      <c r="W153" s="196" t="s">
        <v>982</v>
      </c>
      <c r="X153" s="196" t="s">
        <v>977</v>
      </c>
      <c r="Y153" s="196" t="s">
        <v>848</v>
      </c>
    </row>
    <row r="154" spans="1:25">
      <c r="A154" s="196" t="s">
        <v>837</v>
      </c>
      <c r="B154" s="196" t="s">
        <v>181</v>
      </c>
      <c r="C154" s="196">
        <v>2014</v>
      </c>
      <c r="D154" s="196">
        <v>80</v>
      </c>
      <c r="E154" s="196" t="s">
        <v>874</v>
      </c>
      <c r="F154" s="196" t="s">
        <v>975</v>
      </c>
      <c r="G154" s="196">
        <v>1</v>
      </c>
      <c r="H154" s="196">
        <v>1</v>
      </c>
      <c r="I154" s="196">
        <v>77</v>
      </c>
      <c r="J154" s="196">
        <v>3979</v>
      </c>
      <c r="K154" s="196">
        <v>57.52</v>
      </c>
      <c r="L154" s="196">
        <v>4.1399999999999997</v>
      </c>
      <c r="M154" s="196">
        <v>3876</v>
      </c>
      <c r="N154" s="196">
        <v>909566</v>
      </c>
      <c r="O154" s="196">
        <v>1142</v>
      </c>
      <c r="P154" s="196" t="s">
        <v>976</v>
      </c>
      <c r="Q154" s="196" t="s">
        <v>977</v>
      </c>
      <c r="R154" s="196" t="s">
        <v>978</v>
      </c>
      <c r="S154" s="196" t="s">
        <v>953</v>
      </c>
      <c r="T154" s="196" t="s">
        <v>979</v>
      </c>
      <c r="U154" s="196" t="s">
        <v>980</v>
      </c>
      <c r="V154" s="196" t="s">
        <v>981</v>
      </c>
      <c r="W154" s="196" t="s">
        <v>982</v>
      </c>
      <c r="X154" s="196" t="s">
        <v>977</v>
      </c>
      <c r="Y154" s="196" t="s">
        <v>848</v>
      </c>
    </row>
    <row r="155" spans="1:25">
      <c r="A155" s="196" t="s">
        <v>837</v>
      </c>
      <c r="B155" s="196" t="s">
        <v>838</v>
      </c>
      <c r="C155" s="196">
        <v>2014</v>
      </c>
      <c r="D155" s="196">
        <v>55</v>
      </c>
      <c r="E155" s="196" t="s">
        <v>854</v>
      </c>
      <c r="F155" s="196" t="s">
        <v>975</v>
      </c>
      <c r="G155" s="196">
        <v>1</v>
      </c>
      <c r="H155" s="196">
        <v>1</v>
      </c>
      <c r="I155" s="196">
        <v>1023</v>
      </c>
      <c r="J155" s="196">
        <v>2852</v>
      </c>
      <c r="K155" s="196">
        <v>57.52</v>
      </c>
      <c r="L155" s="196">
        <v>4.1399999999999997</v>
      </c>
      <c r="M155" s="196">
        <v>3876</v>
      </c>
      <c r="N155" s="196">
        <v>909566</v>
      </c>
      <c r="O155" s="196">
        <v>1142</v>
      </c>
      <c r="P155" s="196" t="s">
        <v>976</v>
      </c>
      <c r="Q155" s="196" t="s">
        <v>977</v>
      </c>
      <c r="R155" s="196" t="s">
        <v>978</v>
      </c>
      <c r="S155" s="196" t="s">
        <v>953</v>
      </c>
      <c r="T155" s="196" t="s">
        <v>979</v>
      </c>
      <c r="U155" s="196" t="s">
        <v>980</v>
      </c>
      <c r="V155" s="196" t="s">
        <v>981</v>
      </c>
      <c r="W155" s="196" t="s">
        <v>982</v>
      </c>
      <c r="X155" s="196" t="s">
        <v>977</v>
      </c>
      <c r="Y155" s="196" t="s">
        <v>848</v>
      </c>
    </row>
    <row r="156" spans="1:25">
      <c r="A156" s="196" t="s">
        <v>837</v>
      </c>
      <c r="B156" s="196" t="s">
        <v>838</v>
      </c>
      <c r="C156" s="196">
        <v>2014</v>
      </c>
      <c r="D156" s="196">
        <v>55</v>
      </c>
      <c r="E156" s="196" t="s">
        <v>855</v>
      </c>
      <c r="F156" s="196" t="s">
        <v>975</v>
      </c>
      <c r="G156" s="196">
        <v>1</v>
      </c>
      <c r="H156" s="196">
        <v>1</v>
      </c>
      <c r="I156" s="196">
        <v>1344</v>
      </c>
      <c r="J156" s="196">
        <v>5421</v>
      </c>
      <c r="K156" s="196">
        <v>57.52</v>
      </c>
      <c r="L156" s="196">
        <v>4.1399999999999997</v>
      </c>
      <c r="M156" s="196">
        <v>3876</v>
      </c>
      <c r="N156" s="196">
        <v>909566</v>
      </c>
      <c r="O156" s="196">
        <v>1142</v>
      </c>
      <c r="P156" s="196" t="s">
        <v>976</v>
      </c>
      <c r="Q156" s="196" t="s">
        <v>977</v>
      </c>
      <c r="R156" s="196" t="s">
        <v>978</v>
      </c>
      <c r="S156" s="196" t="s">
        <v>953</v>
      </c>
      <c r="T156" s="196" t="s">
        <v>979</v>
      </c>
      <c r="U156" s="196" t="s">
        <v>980</v>
      </c>
      <c r="V156" s="196" t="s">
        <v>981</v>
      </c>
      <c r="W156" s="196" t="s">
        <v>982</v>
      </c>
      <c r="X156" s="196" t="s">
        <v>977</v>
      </c>
      <c r="Y156" s="196" t="s">
        <v>848</v>
      </c>
    </row>
    <row r="157" spans="1:25">
      <c r="A157" s="196" t="s">
        <v>837</v>
      </c>
      <c r="B157" s="196" t="s">
        <v>181</v>
      </c>
      <c r="C157" s="196">
        <v>2014</v>
      </c>
      <c r="D157" s="196">
        <v>30</v>
      </c>
      <c r="E157" s="196" t="s">
        <v>857</v>
      </c>
      <c r="F157" s="196" t="s">
        <v>975</v>
      </c>
      <c r="G157" s="196">
        <v>2</v>
      </c>
      <c r="H157" s="196">
        <v>2</v>
      </c>
      <c r="I157" s="196">
        <v>2334</v>
      </c>
      <c r="J157" s="196">
        <v>15998</v>
      </c>
      <c r="K157" s="196">
        <v>57.52</v>
      </c>
      <c r="L157" s="196">
        <v>4.1399999999999997</v>
      </c>
      <c r="M157" s="196">
        <v>3876</v>
      </c>
      <c r="N157" s="196">
        <v>909566</v>
      </c>
      <c r="O157" s="196">
        <v>1142</v>
      </c>
      <c r="P157" s="196" t="s">
        <v>976</v>
      </c>
      <c r="Q157" s="196" t="s">
        <v>977</v>
      </c>
      <c r="R157" s="196" t="s">
        <v>978</v>
      </c>
      <c r="S157" s="196" t="s">
        <v>953</v>
      </c>
      <c r="T157" s="196" t="s">
        <v>979</v>
      </c>
      <c r="U157" s="196" t="s">
        <v>980</v>
      </c>
      <c r="V157" s="196" t="s">
        <v>981</v>
      </c>
      <c r="W157" s="196" t="s">
        <v>982</v>
      </c>
      <c r="X157" s="196" t="s">
        <v>977</v>
      </c>
      <c r="Y157" s="196" t="s">
        <v>848</v>
      </c>
    </row>
    <row r="158" spans="1:25">
      <c r="A158" s="196" t="s">
        <v>837</v>
      </c>
      <c r="B158" s="196" t="s">
        <v>181</v>
      </c>
      <c r="C158" s="196">
        <v>2014</v>
      </c>
      <c r="D158" s="196">
        <v>55</v>
      </c>
      <c r="E158" s="196" t="s">
        <v>858</v>
      </c>
      <c r="F158" s="196" t="s">
        <v>975</v>
      </c>
      <c r="G158" s="196">
        <v>3</v>
      </c>
      <c r="H158" s="196">
        <v>3</v>
      </c>
      <c r="I158" s="196">
        <v>2502</v>
      </c>
      <c r="J158" s="196">
        <v>23450</v>
      </c>
      <c r="K158" s="196">
        <v>57.52</v>
      </c>
      <c r="L158" s="196">
        <v>4.1399999999999997</v>
      </c>
      <c r="M158" s="196">
        <v>3876</v>
      </c>
      <c r="N158" s="196">
        <v>909566</v>
      </c>
      <c r="O158" s="196">
        <v>1142</v>
      </c>
      <c r="P158" s="196" t="s">
        <v>976</v>
      </c>
      <c r="Q158" s="196" t="s">
        <v>977</v>
      </c>
      <c r="R158" s="196" t="s">
        <v>978</v>
      </c>
      <c r="S158" s="196" t="s">
        <v>953</v>
      </c>
      <c r="T158" s="196" t="s">
        <v>979</v>
      </c>
      <c r="U158" s="196" t="s">
        <v>980</v>
      </c>
      <c r="V158" s="196" t="s">
        <v>981</v>
      </c>
      <c r="W158" s="196" t="s">
        <v>982</v>
      </c>
      <c r="X158" s="196" t="s">
        <v>977</v>
      </c>
      <c r="Y158" s="196" t="s">
        <v>848</v>
      </c>
    </row>
    <row r="159" spans="1:25">
      <c r="A159" s="196" t="s">
        <v>837</v>
      </c>
      <c r="B159" s="196" t="s">
        <v>181</v>
      </c>
      <c r="C159" s="196">
        <v>2014</v>
      </c>
      <c r="D159" s="196">
        <v>55</v>
      </c>
      <c r="E159" s="196" t="s">
        <v>859</v>
      </c>
      <c r="F159" s="196" t="s">
        <v>975</v>
      </c>
      <c r="G159" s="196">
        <v>3</v>
      </c>
      <c r="H159" s="196">
        <v>3</v>
      </c>
      <c r="I159" s="196">
        <v>2997</v>
      </c>
      <c r="J159" s="196">
        <v>15602</v>
      </c>
      <c r="K159" s="196">
        <v>57.52</v>
      </c>
      <c r="L159" s="196">
        <v>4.1399999999999997</v>
      </c>
      <c r="M159" s="196">
        <v>3876</v>
      </c>
      <c r="N159" s="196">
        <v>909566</v>
      </c>
      <c r="O159" s="196">
        <v>1142</v>
      </c>
      <c r="P159" s="196" t="s">
        <v>976</v>
      </c>
      <c r="Q159" s="196" t="s">
        <v>977</v>
      </c>
      <c r="R159" s="196" t="s">
        <v>978</v>
      </c>
      <c r="S159" s="196" t="s">
        <v>953</v>
      </c>
      <c r="T159" s="196" t="s">
        <v>979</v>
      </c>
      <c r="U159" s="196" t="s">
        <v>980</v>
      </c>
      <c r="V159" s="196" t="s">
        <v>981</v>
      </c>
      <c r="W159" s="196" t="s">
        <v>982</v>
      </c>
      <c r="X159" s="196" t="s">
        <v>977</v>
      </c>
      <c r="Y159" s="196" t="s">
        <v>848</v>
      </c>
    </row>
    <row r="160" spans="1:25">
      <c r="A160" s="196" t="s">
        <v>837</v>
      </c>
      <c r="B160" s="196" t="s">
        <v>850</v>
      </c>
      <c r="C160" s="196">
        <v>2014</v>
      </c>
      <c r="D160" s="196">
        <v>30</v>
      </c>
      <c r="E160" s="196" t="s">
        <v>860</v>
      </c>
      <c r="F160" s="196" t="s">
        <v>975</v>
      </c>
      <c r="G160" s="196">
        <v>2</v>
      </c>
      <c r="H160" s="196">
        <v>2</v>
      </c>
      <c r="I160" s="196">
        <v>2214</v>
      </c>
      <c r="J160" s="196">
        <v>9493</v>
      </c>
      <c r="K160" s="196">
        <v>57.52</v>
      </c>
      <c r="L160" s="196">
        <v>4.1399999999999997</v>
      </c>
      <c r="M160" s="196">
        <v>3876</v>
      </c>
      <c r="N160" s="196">
        <v>909566</v>
      </c>
      <c r="O160" s="196">
        <v>1142</v>
      </c>
      <c r="P160" s="196" t="s">
        <v>976</v>
      </c>
      <c r="Q160" s="196" t="s">
        <v>977</v>
      </c>
      <c r="R160" s="196" t="s">
        <v>978</v>
      </c>
      <c r="S160" s="196" t="s">
        <v>953</v>
      </c>
      <c r="T160" s="196" t="s">
        <v>979</v>
      </c>
      <c r="U160" s="196" t="s">
        <v>980</v>
      </c>
      <c r="V160" s="196" t="s">
        <v>981</v>
      </c>
      <c r="W160" s="196" t="s">
        <v>982</v>
      </c>
      <c r="X160" s="196" t="s">
        <v>977</v>
      </c>
      <c r="Y160" s="196" t="s">
        <v>848</v>
      </c>
    </row>
    <row r="161" spans="1:25">
      <c r="A161" s="196" t="s">
        <v>837</v>
      </c>
      <c r="B161" s="196" t="s">
        <v>850</v>
      </c>
      <c r="C161" s="196">
        <v>2014</v>
      </c>
      <c r="D161" s="196">
        <v>30</v>
      </c>
      <c r="E161" s="196" t="s">
        <v>861</v>
      </c>
      <c r="F161" s="196" t="s">
        <v>975</v>
      </c>
      <c r="G161" s="196">
        <v>2</v>
      </c>
      <c r="H161" s="196">
        <v>2</v>
      </c>
      <c r="I161" s="196">
        <v>3168</v>
      </c>
      <c r="J161" s="196">
        <v>15266</v>
      </c>
      <c r="K161" s="196">
        <v>57.52</v>
      </c>
      <c r="L161" s="196">
        <v>4.1399999999999997</v>
      </c>
      <c r="M161" s="196">
        <v>3876</v>
      </c>
      <c r="N161" s="196">
        <v>909566</v>
      </c>
      <c r="O161" s="196">
        <v>1142</v>
      </c>
      <c r="P161" s="196" t="s">
        <v>976</v>
      </c>
      <c r="Q161" s="196" t="s">
        <v>977</v>
      </c>
      <c r="R161" s="196" t="s">
        <v>978</v>
      </c>
      <c r="S161" s="196" t="s">
        <v>953</v>
      </c>
      <c r="T161" s="196" t="s">
        <v>979</v>
      </c>
      <c r="U161" s="196" t="s">
        <v>980</v>
      </c>
      <c r="V161" s="196" t="s">
        <v>981</v>
      </c>
      <c r="W161" s="196" t="s">
        <v>982</v>
      </c>
      <c r="X161" s="196" t="s">
        <v>977</v>
      </c>
      <c r="Y161" s="196" t="s">
        <v>848</v>
      </c>
    </row>
    <row r="162" spans="1:25">
      <c r="A162" s="196" t="s">
        <v>837</v>
      </c>
      <c r="B162" s="196" t="s">
        <v>850</v>
      </c>
      <c r="C162" s="196">
        <v>2014</v>
      </c>
      <c r="D162" s="196">
        <v>55</v>
      </c>
      <c r="E162" s="196" t="s">
        <v>862</v>
      </c>
      <c r="F162" s="196" t="s">
        <v>975</v>
      </c>
      <c r="G162" s="196">
        <v>11</v>
      </c>
      <c r="H162" s="196">
        <v>11</v>
      </c>
      <c r="I162" s="196">
        <v>13656</v>
      </c>
      <c r="J162" s="196">
        <v>61181</v>
      </c>
      <c r="K162" s="196">
        <v>57.52</v>
      </c>
      <c r="L162" s="196">
        <v>4.1399999999999997</v>
      </c>
      <c r="M162" s="196">
        <v>3876</v>
      </c>
      <c r="N162" s="196">
        <v>909566</v>
      </c>
      <c r="O162" s="196">
        <v>1142</v>
      </c>
      <c r="P162" s="196" t="s">
        <v>976</v>
      </c>
      <c r="Q162" s="196" t="s">
        <v>977</v>
      </c>
      <c r="R162" s="196" t="s">
        <v>978</v>
      </c>
      <c r="S162" s="196" t="s">
        <v>953</v>
      </c>
      <c r="T162" s="196" t="s">
        <v>979</v>
      </c>
      <c r="U162" s="196" t="s">
        <v>980</v>
      </c>
      <c r="V162" s="196" t="s">
        <v>981</v>
      </c>
      <c r="W162" s="196" t="s">
        <v>982</v>
      </c>
      <c r="X162" s="196" t="s">
        <v>977</v>
      </c>
      <c r="Y162" s="196" t="s">
        <v>848</v>
      </c>
    </row>
    <row r="163" spans="1:25">
      <c r="A163" s="196" t="s">
        <v>837</v>
      </c>
      <c r="B163" s="196" t="s">
        <v>850</v>
      </c>
      <c r="C163" s="196">
        <v>2014</v>
      </c>
      <c r="D163" s="196">
        <v>55</v>
      </c>
      <c r="E163" s="196" t="s">
        <v>863</v>
      </c>
      <c r="F163" s="196" t="s">
        <v>975</v>
      </c>
      <c r="G163" s="196">
        <v>1</v>
      </c>
      <c r="H163" s="196">
        <v>1</v>
      </c>
      <c r="I163" s="196">
        <v>1326</v>
      </c>
      <c r="J163" s="196">
        <v>9809</v>
      </c>
      <c r="K163" s="196">
        <v>57.52</v>
      </c>
      <c r="L163" s="196">
        <v>4.1399999999999997</v>
      </c>
      <c r="M163" s="196">
        <v>3876</v>
      </c>
      <c r="N163" s="196">
        <v>909566</v>
      </c>
      <c r="O163" s="196">
        <v>1142</v>
      </c>
      <c r="P163" s="196" t="s">
        <v>976</v>
      </c>
      <c r="Q163" s="196" t="s">
        <v>977</v>
      </c>
      <c r="R163" s="196" t="s">
        <v>978</v>
      </c>
      <c r="S163" s="196" t="s">
        <v>953</v>
      </c>
      <c r="T163" s="196" t="s">
        <v>979</v>
      </c>
      <c r="U163" s="196" t="s">
        <v>980</v>
      </c>
      <c r="V163" s="196" t="s">
        <v>981</v>
      </c>
      <c r="W163" s="196" t="s">
        <v>982</v>
      </c>
      <c r="X163" s="196" t="s">
        <v>977</v>
      </c>
      <c r="Y163" s="196" t="s">
        <v>848</v>
      </c>
    </row>
    <row r="164" spans="1:25">
      <c r="A164" s="196" t="s">
        <v>837</v>
      </c>
      <c r="B164" s="196" t="s">
        <v>838</v>
      </c>
      <c r="C164" s="196">
        <v>2013</v>
      </c>
      <c r="D164" s="196">
        <v>30</v>
      </c>
      <c r="E164" s="196" t="s">
        <v>839</v>
      </c>
      <c r="F164" s="196" t="s">
        <v>983</v>
      </c>
      <c r="G164" s="196">
        <v>4</v>
      </c>
      <c r="H164" s="196">
        <v>4</v>
      </c>
      <c r="I164" s="196">
        <v>5937</v>
      </c>
      <c r="J164" s="196">
        <v>18597</v>
      </c>
      <c r="K164" s="196">
        <v>67.739999999999995</v>
      </c>
      <c r="L164" s="196">
        <v>1.3</v>
      </c>
      <c r="M164" s="196">
        <v>4651</v>
      </c>
      <c r="N164" s="196">
        <v>1381800</v>
      </c>
      <c r="O164" s="196">
        <v>1519</v>
      </c>
      <c r="P164" s="196" t="s">
        <v>984</v>
      </c>
      <c r="Q164" s="196" t="s">
        <v>985</v>
      </c>
      <c r="R164" s="196" t="s">
        <v>986</v>
      </c>
      <c r="S164" s="196" t="s">
        <v>844</v>
      </c>
      <c r="T164" s="196" t="s">
        <v>985</v>
      </c>
      <c r="U164" s="196" t="s">
        <v>987</v>
      </c>
      <c r="V164" s="196" t="s">
        <v>848</v>
      </c>
      <c r="W164" s="196" t="s">
        <v>848</v>
      </c>
      <c r="X164" s="196" t="s">
        <v>848</v>
      </c>
      <c r="Y164" s="196" t="s">
        <v>848</v>
      </c>
    </row>
    <row r="165" spans="1:25">
      <c r="A165" s="196" t="s">
        <v>837</v>
      </c>
      <c r="B165" s="196" t="s">
        <v>838</v>
      </c>
      <c r="C165" s="196">
        <v>2013</v>
      </c>
      <c r="D165" s="196">
        <v>55</v>
      </c>
      <c r="E165" s="196" t="s">
        <v>849</v>
      </c>
      <c r="F165" s="196" t="s">
        <v>983</v>
      </c>
      <c r="G165" s="196">
        <v>4</v>
      </c>
      <c r="H165" s="196">
        <v>4</v>
      </c>
      <c r="I165" s="196">
        <v>2367</v>
      </c>
      <c r="J165" s="196">
        <v>16072</v>
      </c>
      <c r="K165" s="196">
        <v>67.739999999999995</v>
      </c>
      <c r="L165" s="196">
        <v>1.3</v>
      </c>
      <c r="M165" s="196">
        <v>4651</v>
      </c>
      <c r="N165" s="196">
        <v>1381800</v>
      </c>
      <c r="O165" s="196">
        <v>1519</v>
      </c>
      <c r="P165" s="196" t="s">
        <v>984</v>
      </c>
      <c r="Q165" s="196" t="s">
        <v>985</v>
      </c>
      <c r="R165" s="196" t="s">
        <v>986</v>
      </c>
      <c r="S165" s="196" t="s">
        <v>844</v>
      </c>
      <c r="T165" s="196" t="s">
        <v>985</v>
      </c>
      <c r="U165" s="196" t="s">
        <v>987</v>
      </c>
      <c r="V165" s="196" t="s">
        <v>848</v>
      </c>
      <c r="W165" s="196" t="s">
        <v>848</v>
      </c>
      <c r="X165" s="196" t="s">
        <v>848</v>
      </c>
      <c r="Y165" s="196" t="s">
        <v>848</v>
      </c>
    </row>
    <row r="166" spans="1:25">
      <c r="A166" s="196" t="s">
        <v>837</v>
      </c>
      <c r="B166" s="196" t="s">
        <v>850</v>
      </c>
      <c r="C166" s="196">
        <v>2013</v>
      </c>
      <c r="D166" s="196">
        <v>30</v>
      </c>
      <c r="E166" s="196" t="s">
        <v>851</v>
      </c>
      <c r="F166" s="196" t="s">
        <v>983</v>
      </c>
      <c r="G166" s="196">
        <v>5</v>
      </c>
      <c r="H166" s="196">
        <v>5</v>
      </c>
      <c r="I166" s="196">
        <v>3015</v>
      </c>
      <c r="J166" s="196">
        <v>30173</v>
      </c>
      <c r="K166" s="196">
        <v>67.739999999999995</v>
      </c>
      <c r="L166" s="196">
        <v>1.3</v>
      </c>
      <c r="M166" s="196">
        <v>4651</v>
      </c>
      <c r="N166" s="196">
        <v>1381800</v>
      </c>
      <c r="O166" s="196">
        <v>1519</v>
      </c>
      <c r="P166" s="196" t="s">
        <v>984</v>
      </c>
      <c r="Q166" s="196" t="s">
        <v>985</v>
      </c>
      <c r="R166" s="196" t="s">
        <v>986</v>
      </c>
      <c r="S166" s="196" t="s">
        <v>844</v>
      </c>
      <c r="T166" s="196" t="s">
        <v>985</v>
      </c>
      <c r="U166" s="196" t="s">
        <v>987</v>
      </c>
      <c r="V166" s="196" t="s">
        <v>848</v>
      </c>
      <c r="W166" s="196" t="s">
        <v>848</v>
      </c>
      <c r="X166" s="196" t="s">
        <v>848</v>
      </c>
      <c r="Y166" s="196" t="s">
        <v>848</v>
      </c>
    </row>
    <row r="167" spans="1:25">
      <c r="A167" s="196" t="s">
        <v>837</v>
      </c>
      <c r="B167" s="196" t="s">
        <v>850</v>
      </c>
      <c r="C167" s="196">
        <v>2013</v>
      </c>
      <c r="D167" s="196">
        <v>55</v>
      </c>
      <c r="E167" s="196" t="s">
        <v>852</v>
      </c>
      <c r="F167" s="196" t="s">
        <v>983</v>
      </c>
      <c r="G167" s="196">
        <v>6</v>
      </c>
      <c r="H167" s="196">
        <v>6</v>
      </c>
      <c r="I167" s="196">
        <v>6042</v>
      </c>
      <c r="J167" s="196">
        <v>21289</v>
      </c>
      <c r="K167" s="196">
        <v>67.739999999999995</v>
      </c>
      <c r="L167" s="196">
        <v>1.3</v>
      </c>
      <c r="M167" s="196">
        <v>4651</v>
      </c>
      <c r="N167" s="196">
        <v>1381800</v>
      </c>
      <c r="O167" s="196">
        <v>1519</v>
      </c>
      <c r="P167" s="196" t="s">
        <v>984</v>
      </c>
      <c r="Q167" s="196" t="s">
        <v>985</v>
      </c>
      <c r="R167" s="196" t="s">
        <v>986</v>
      </c>
      <c r="S167" s="196" t="s">
        <v>844</v>
      </c>
      <c r="T167" s="196" t="s">
        <v>985</v>
      </c>
      <c r="U167" s="196" t="s">
        <v>987</v>
      </c>
      <c r="V167" s="196" t="s">
        <v>848</v>
      </c>
      <c r="W167" s="196" t="s">
        <v>848</v>
      </c>
      <c r="X167" s="196" t="s">
        <v>848</v>
      </c>
      <c r="Y167" s="196" t="s">
        <v>848</v>
      </c>
    </row>
    <row r="168" spans="1:25">
      <c r="A168" s="196" t="s">
        <v>837</v>
      </c>
      <c r="B168" s="196" t="s">
        <v>838</v>
      </c>
      <c r="C168" s="196">
        <v>2014</v>
      </c>
      <c r="D168" s="196">
        <v>55</v>
      </c>
      <c r="E168" s="196" t="s">
        <v>854</v>
      </c>
      <c r="F168" s="196" t="s">
        <v>983</v>
      </c>
      <c r="G168" s="196">
        <v>4</v>
      </c>
      <c r="H168" s="196">
        <v>4</v>
      </c>
      <c r="I168" s="196">
        <v>2037</v>
      </c>
      <c r="J168" s="196">
        <v>25668</v>
      </c>
      <c r="K168" s="196">
        <v>67.739999999999995</v>
      </c>
      <c r="L168" s="196">
        <v>1.3</v>
      </c>
      <c r="M168" s="196">
        <v>4651</v>
      </c>
      <c r="N168" s="196">
        <v>1381800</v>
      </c>
      <c r="O168" s="196">
        <v>1519</v>
      </c>
      <c r="P168" s="196" t="s">
        <v>984</v>
      </c>
      <c r="Q168" s="196" t="s">
        <v>985</v>
      </c>
      <c r="R168" s="196" t="s">
        <v>986</v>
      </c>
      <c r="S168" s="196" t="s">
        <v>844</v>
      </c>
      <c r="T168" s="196" t="s">
        <v>985</v>
      </c>
      <c r="U168" s="196" t="s">
        <v>987</v>
      </c>
      <c r="V168" s="196" t="s">
        <v>848</v>
      </c>
      <c r="W168" s="196" t="s">
        <v>848</v>
      </c>
      <c r="X168" s="196" t="s">
        <v>848</v>
      </c>
      <c r="Y168" s="196" t="s">
        <v>848</v>
      </c>
    </row>
    <row r="169" spans="1:25">
      <c r="A169" s="196" t="s">
        <v>837</v>
      </c>
      <c r="B169" s="196" t="s">
        <v>838</v>
      </c>
      <c r="C169" s="196">
        <v>2014</v>
      </c>
      <c r="D169" s="196">
        <v>55</v>
      </c>
      <c r="E169" s="196" t="s">
        <v>855</v>
      </c>
      <c r="F169" s="196" t="s">
        <v>983</v>
      </c>
      <c r="G169" s="196">
        <v>1</v>
      </c>
      <c r="H169" s="196">
        <v>1</v>
      </c>
      <c r="I169" s="196">
        <v>930</v>
      </c>
      <c r="J169" s="196">
        <v>3776</v>
      </c>
      <c r="K169" s="196">
        <v>67.739999999999995</v>
      </c>
      <c r="L169" s="196">
        <v>1.3</v>
      </c>
      <c r="M169" s="196">
        <v>4651</v>
      </c>
      <c r="N169" s="196">
        <v>1381800</v>
      </c>
      <c r="O169" s="196">
        <v>1519</v>
      </c>
      <c r="P169" s="196" t="s">
        <v>984</v>
      </c>
      <c r="Q169" s="196" t="s">
        <v>985</v>
      </c>
      <c r="R169" s="196" t="s">
        <v>986</v>
      </c>
      <c r="S169" s="196" t="s">
        <v>844</v>
      </c>
      <c r="T169" s="196" t="s">
        <v>985</v>
      </c>
      <c r="U169" s="196" t="s">
        <v>987</v>
      </c>
      <c r="V169" s="196" t="s">
        <v>848</v>
      </c>
      <c r="W169" s="196" t="s">
        <v>848</v>
      </c>
      <c r="X169" s="196" t="s">
        <v>848</v>
      </c>
      <c r="Y169" s="196" t="s">
        <v>848</v>
      </c>
    </row>
    <row r="170" spans="1:25">
      <c r="A170" s="196" t="s">
        <v>837</v>
      </c>
      <c r="B170" s="196" t="s">
        <v>181</v>
      </c>
      <c r="C170" s="196">
        <v>2014</v>
      </c>
      <c r="D170" s="196">
        <v>55</v>
      </c>
      <c r="E170" s="196" t="s">
        <v>858</v>
      </c>
      <c r="F170" s="196" t="s">
        <v>983</v>
      </c>
      <c r="G170" s="196">
        <v>3</v>
      </c>
      <c r="H170" s="196">
        <v>3</v>
      </c>
      <c r="I170" s="196">
        <v>4017</v>
      </c>
      <c r="J170" s="196">
        <v>13174</v>
      </c>
      <c r="K170" s="196">
        <v>67.739999999999995</v>
      </c>
      <c r="L170" s="196">
        <v>1.3</v>
      </c>
      <c r="M170" s="196">
        <v>4651</v>
      </c>
      <c r="N170" s="196">
        <v>1381800</v>
      </c>
      <c r="O170" s="196">
        <v>1519</v>
      </c>
      <c r="P170" s="196" t="s">
        <v>984</v>
      </c>
      <c r="Q170" s="196" t="s">
        <v>985</v>
      </c>
      <c r="R170" s="196" t="s">
        <v>986</v>
      </c>
      <c r="S170" s="196" t="s">
        <v>844</v>
      </c>
      <c r="T170" s="196" t="s">
        <v>985</v>
      </c>
      <c r="U170" s="196" t="s">
        <v>987</v>
      </c>
      <c r="V170" s="196" t="s">
        <v>848</v>
      </c>
      <c r="W170" s="196" t="s">
        <v>848</v>
      </c>
      <c r="X170" s="196" t="s">
        <v>848</v>
      </c>
      <c r="Y170" s="196" t="s">
        <v>848</v>
      </c>
    </row>
    <row r="171" spans="1:25">
      <c r="A171" s="196" t="s">
        <v>837</v>
      </c>
      <c r="B171" s="196" t="s">
        <v>181</v>
      </c>
      <c r="C171" s="196">
        <v>2014</v>
      </c>
      <c r="D171" s="196">
        <v>55</v>
      </c>
      <c r="E171" s="196" t="s">
        <v>859</v>
      </c>
      <c r="F171" s="196" t="s">
        <v>983</v>
      </c>
      <c r="G171" s="196">
        <v>4</v>
      </c>
      <c r="H171" s="196">
        <v>4</v>
      </c>
      <c r="I171" s="196">
        <v>4272</v>
      </c>
      <c r="J171" s="196">
        <v>15285</v>
      </c>
      <c r="K171" s="196">
        <v>67.739999999999995</v>
      </c>
      <c r="L171" s="196">
        <v>1.3</v>
      </c>
      <c r="M171" s="196">
        <v>4651</v>
      </c>
      <c r="N171" s="196">
        <v>1381800</v>
      </c>
      <c r="O171" s="196">
        <v>1519</v>
      </c>
      <c r="P171" s="196" t="s">
        <v>984</v>
      </c>
      <c r="Q171" s="196" t="s">
        <v>985</v>
      </c>
      <c r="R171" s="196" t="s">
        <v>986</v>
      </c>
      <c r="S171" s="196" t="s">
        <v>844</v>
      </c>
      <c r="T171" s="196" t="s">
        <v>985</v>
      </c>
      <c r="U171" s="196" t="s">
        <v>987</v>
      </c>
      <c r="V171" s="196" t="s">
        <v>848</v>
      </c>
      <c r="W171" s="196" t="s">
        <v>848</v>
      </c>
      <c r="X171" s="196" t="s">
        <v>848</v>
      </c>
      <c r="Y171" s="196" t="s">
        <v>848</v>
      </c>
    </row>
    <row r="172" spans="1:25">
      <c r="A172" s="196" t="s">
        <v>837</v>
      </c>
      <c r="B172" s="196" t="s">
        <v>850</v>
      </c>
      <c r="C172" s="196">
        <v>2014</v>
      </c>
      <c r="D172" s="196">
        <v>30</v>
      </c>
      <c r="E172" s="196" t="s">
        <v>860</v>
      </c>
      <c r="F172" s="196" t="s">
        <v>983</v>
      </c>
      <c r="G172" s="196">
        <v>2</v>
      </c>
      <c r="H172" s="196">
        <v>2</v>
      </c>
      <c r="I172" s="196">
        <v>456</v>
      </c>
      <c r="J172" s="196">
        <v>13319</v>
      </c>
      <c r="K172" s="196">
        <v>67.739999999999995</v>
      </c>
      <c r="L172" s="196">
        <v>1.3</v>
      </c>
      <c r="M172" s="196">
        <v>4651</v>
      </c>
      <c r="N172" s="196">
        <v>1381800</v>
      </c>
      <c r="O172" s="196">
        <v>1519</v>
      </c>
      <c r="P172" s="196" t="s">
        <v>984</v>
      </c>
      <c r="Q172" s="196" t="s">
        <v>985</v>
      </c>
      <c r="R172" s="196" t="s">
        <v>986</v>
      </c>
      <c r="S172" s="196" t="s">
        <v>844</v>
      </c>
      <c r="T172" s="196" t="s">
        <v>985</v>
      </c>
      <c r="U172" s="196" t="s">
        <v>987</v>
      </c>
      <c r="V172" s="196" t="s">
        <v>848</v>
      </c>
      <c r="W172" s="196" t="s">
        <v>848</v>
      </c>
      <c r="X172" s="196" t="s">
        <v>848</v>
      </c>
      <c r="Y172" s="196" t="s">
        <v>848</v>
      </c>
    </row>
    <row r="173" spans="1:25">
      <c r="A173" s="196" t="s">
        <v>837</v>
      </c>
      <c r="B173" s="196" t="s">
        <v>850</v>
      </c>
      <c r="C173" s="196">
        <v>2014</v>
      </c>
      <c r="D173" s="196">
        <v>30</v>
      </c>
      <c r="E173" s="196" t="s">
        <v>861</v>
      </c>
      <c r="F173" s="196" t="s">
        <v>983</v>
      </c>
      <c r="G173" s="196">
        <v>1</v>
      </c>
      <c r="H173" s="196">
        <v>1</v>
      </c>
      <c r="I173" s="196">
        <v>1794</v>
      </c>
      <c r="J173" s="196">
        <v>6834</v>
      </c>
      <c r="K173" s="196">
        <v>67.739999999999995</v>
      </c>
      <c r="L173" s="196">
        <v>1.3</v>
      </c>
      <c r="M173" s="196">
        <v>4651</v>
      </c>
      <c r="N173" s="196">
        <v>1381800</v>
      </c>
      <c r="O173" s="196">
        <v>1519</v>
      </c>
      <c r="P173" s="196" t="s">
        <v>984</v>
      </c>
      <c r="Q173" s="196" t="s">
        <v>985</v>
      </c>
      <c r="R173" s="196" t="s">
        <v>986</v>
      </c>
      <c r="S173" s="196" t="s">
        <v>844</v>
      </c>
      <c r="T173" s="196" t="s">
        <v>985</v>
      </c>
      <c r="U173" s="196" t="s">
        <v>987</v>
      </c>
      <c r="V173" s="196" t="s">
        <v>848</v>
      </c>
      <c r="W173" s="196" t="s">
        <v>848</v>
      </c>
      <c r="X173" s="196" t="s">
        <v>848</v>
      </c>
      <c r="Y173" s="196" t="s">
        <v>848</v>
      </c>
    </row>
    <row r="174" spans="1:25">
      <c r="A174" s="196" t="s">
        <v>837</v>
      </c>
      <c r="B174" s="196" t="s">
        <v>850</v>
      </c>
      <c r="C174" s="196">
        <v>2014</v>
      </c>
      <c r="D174" s="196">
        <v>55</v>
      </c>
      <c r="E174" s="196" t="s">
        <v>862</v>
      </c>
      <c r="F174" s="196" t="s">
        <v>983</v>
      </c>
      <c r="G174" s="196">
        <v>11</v>
      </c>
      <c r="H174" s="196">
        <v>11</v>
      </c>
      <c r="I174" s="196">
        <v>8713</v>
      </c>
      <c r="J174" s="196">
        <v>49046</v>
      </c>
      <c r="K174" s="196">
        <v>67.739999999999995</v>
      </c>
      <c r="L174" s="196">
        <v>1.3</v>
      </c>
      <c r="M174" s="196">
        <v>4651</v>
      </c>
      <c r="N174" s="196">
        <v>1381800</v>
      </c>
      <c r="O174" s="196">
        <v>1519</v>
      </c>
      <c r="P174" s="196" t="s">
        <v>984</v>
      </c>
      <c r="Q174" s="196" t="s">
        <v>985</v>
      </c>
      <c r="R174" s="196" t="s">
        <v>986</v>
      </c>
      <c r="S174" s="196" t="s">
        <v>844</v>
      </c>
      <c r="T174" s="196" t="s">
        <v>985</v>
      </c>
      <c r="U174" s="196" t="s">
        <v>987</v>
      </c>
      <c r="V174" s="196" t="s">
        <v>848</v>
      </c>
      <c r="W174" s="196" t="s">
        <v>848</v>
      </c>
      <c r="X174" s="196" t="s">
        <v>848</v>
      </c>
      <c r="Y174" s="196" t="s">
        <v>848</v>
      </c>
    </row>
    <row r="175" spans="1:25">
      <c r="A175" s="196" t="s">
        <v>837</v>
      </c>
      <c r="B175" s="196" t="s">
        <v>850</v>
      </c>
      <c r="C175" s="196">
        <v>2014</v>
      </c>
      <c r="D175" s="196">
        <v>55</v>
      </c>
      <c r="E175" s="196" t="s">
        <v>863</v>
      </c>
      <c r="F175" s="196" t="s">
        <v>983</v>
      </c>
      <c r="G175" s="196">
        <v>1</v>
      </c>
      <c r="H175" s="196">
        <v>1</v>
      </c>
      <c r="I175" s="196">
        <v>768</v>
      </c>
      <c r="J175" s="196">
        <v>2871</v>
      </c>
      <c r="K175" s="196">
        <v>67.739999999999995</v>
      </c>
      <c r="L175" s="196">
        <v>1.3</v>
      </c>
      <c r="M175" s="196">
        <v>4651</v>
      </c>
      <c r="N175" s="196">
        <v>1381800</v>
      </c>
      <c r="O175" s="196">
        <v>1519</v>
      </c>
      <c r="P175" s="196" t="s">
        <v>984</v>
      </c>
      <c r="Q175" s="196" t="s">
        <v>985</v>
      </c>
      <c r="R175" s="196" t="s">
        <v>986</v>
      </c>
      <c r="S175" s="196" t="s">
        <v>844</v>
      </c>
      <c r="T175" s="196" t="s">
        <v>985</v>
      </c>
      <c r="U175" s="196" t="s">
        <v>987</v>
      </c>
      <c r="V175" s="196" t="s">
        <v>848</v>
      </c>
      <c r="W175" s="196" t="s">
        <v>848</v>
      </c>
      <c r="X175" s="196" t="s">
        <v>848</v>
      </c>
      <c r="Y175" s="196" t="s">
        <v>848</v>
      </c>
    </row>
    <row r="176" spans="1:25">
      <c r="A176" s="196" t="s">
        <v>837</v>
      </c>
      <c r="B176" s="196" t="s">
        <v>850</v>
      </c>
      <c r="C176" s="196">
        <v>2013</v>
      </c>
      <c r="D176" s="196">
        <v>30</v>
      </c>
      <c r="E176" s="196" t="s">
        <v>851</v>
      </c>
      <c r="F176" s="196" t="s">
        <v>988</v>
      </c>
      <c r="G176" s="196">
        <v>3</v>
      </c>
      <c r="H176" s="196">
        <v>3</v>
      </c>
      <c r="I176" s="196">
        <v>4896</v>
      </c>
      <c r="J176" s="196">
        <v>22294</v>
      </c>
      <c r="K176" s="196">
        <v>90.65</v>
      </c>
      <c r="L176" s="196">
        <v>1.22</v>
      </c>
      <c r="M176" s="196">
        <v>6787</v>
      </c>
      <c r="N176" s="196">
        <v>3694940</v>
      </c>
      <c r="O176" s="196">
        <v>3201</v>
      </c>
      <c r="P176" s="196" t="s">
        <v>841</v>
      </c>
      <c r="Q176" s="196" t="s">
        <v>989</v>
      </c>
      <c r="R176" s="196" t="s">
        <v>990</v>
      </c>
      <c r="S176" s="196" t="s">
        <v>844</v>
      </c>
      <c r="T176" s="196" t="s">
        <v>845</v>
      </c>
      <c r="U176" s="196" t="s">
        <v>846</v>
      </c>
      <c r="V176" s="196" t="s">
        <v>841</v>
      </c>
      <c r="W176" s="196" t="s">
        <v>989</v>
      </c>
      <c r="X176" s="196" t="s">
        <v>991</v>
      </c>
      <c r="Y176" s="196" t="s">
        <v>848</v>
      </c>
    </row>
    <row r="177" spans="1:25">
      <c r="A177" s="196" t="s">
        <v>837</v>
      </c>
      <c r="B177" s="196" t="s">
        <v>850</v>
      </c>
      <c r="C177" s="196">
        <v>2013</v>
      </c>
      <c r="D177" s="196">
        <v>55</v>
      </c>
      <c r="E177" s="196" t="s">
        <v>852</v>
      </c>
      <c r="F177" s="196" t="s">
        <v>988</v>
      </c>
      <c r="G177" s="196">
        <v>1</v>
      </c>
      <c r="H177" s="196">
        <v>1</v>
      </c>
      <c r="I177" s="196">
        <v>432</v>
      </c>
      <c r="J177" s="196">
        <v>23413</v>
      </c>
      <c r="K177" s="196">
        <v>90.65</v>
      </c>
      <c r="L177" s="196">
        <v>1.22</v>
      </c>
      <c r="M177" s="196">
        <v>6787</v>
      </c>
      <c r="N177" s="196">
        <v>3694940</v>
      </c>
      <c r="O177" s="196">
        <v>3201</v>
      </c>
      <c r="P177" s="196" t="s">
        <v>841</v>
      </c>
      <c r="Q177" s="196" t="s">
        <v>989</v>
      </c>
      <c r="R177" s="196" t="s">
        <v>990</v>
      </c>
      <c r="S177" s="196" t="s">
        <v>844</v>
      </c>
      <c r="T177" s="196" t="s">
        <v>845</v>
      </c>
      <c r="U177" s="196" t="s">
        <v>846</v>
      </c>
      <c r="V177" s="196" t="s">
        <v>841</v>
      </c>
      <c r="W177" s="196" t="s">
        <v>989</v>
      </c>
      <c r="X177" s="196" t="s">
        <v>991</v>
      </c>
      <c r="Y177" s="196" t="s">
        <v>848</v>
      </c>
    </row>
    <row r="178" spans="1:25">
      <c r="A178" s="196" t="s">
        <v>837</v>
      </c>
      <c r="B178" s="196" t="s">
        <v>850</v>
      </c>
      <c r="C178" s="196">
        <v>2013</v>
      </c>
      <c r="D178" s="196">
        <v>80</v>
      </c>
      <c r="E178" s="196" t="s">
        <v>917</v>
      </c>
      <c r="F178" s="196" t="s">
        <v>988</v>
      </c>
      <c r="G178" s="196">
        <v>1</v>
      </c>
      <c r="H178" s="196">
        <v>1</v>
      </c>
      <c r="I178" s="196">
        <v>1743</v>
      </c>
      <c r="J178" s="196">
        <v>3479</v>
      </c>
      <c r="K178" s="196">
        <v>90.65</v>
      </c>
      <c r="L178" s="196">
        <v>1.22</v>
      </c>
      <c r="M178" s="196">
        <v>6787</v>
      </c>
      <c r="N178" s="196">
        <v>3694940</v>
      </c>
      <c r="O178" s="196">
        <v>3201</v>
      </c>
      <c r="P178" s="196" t="s">
        <v>841</v>
      </c>
      <c r="Q178" s="196" t="s">
        <v>989</v>
      </c>
      <c r="R178" s="196" t="s">
        <v>990</v>
      </c>
      <c r="S178" s="196" t="s">
        <v>844</v>
      </c>
      <c r="T178" s="196" t="s">
        <v>845</v>
      </c>
      <c r="U178" s="196" t="s">
        <v>846</v>
      </c>
      <c r="V178" s="196" t="s">
        <v>841</v>
      </c>
      <c r="W178" s="196" t="s">
        <v>989</v>
      </c>
      <c r="X178" s="196" t="s">
        <v>991</v>
      </c>
      <c r="Y178" s="196" t="s">
        <v>848</v>
      </c>
    </row>
    <row r="179" spans="1:25">
      <c r="A179" s="196" t="s">
        <v>837</v>
      </c>
      <c r="B179" s="196" t="s">
        <v>181</v>
      </c>
      <c r="C179" s="196">
        <v>2014</v>
      </c>
      <c r="D179" s="196">
        <v>80</v>
      </c>
      <c r="E179" s="196" t="s">
        <v>874</v>
      </c>
      <c r="F179" s="196" t="s">
        <v>988</v>
      </c>
      <c r="G179" s="196">
        <v>2</v>
      </c>
      <c r="H179" s="196">
        <v>2</v>
      </c>
      <c r="I179" s="196">
        <v>2379</v>
      </c>
      <c r="J179" s="196">
        <v>18699</v>
      </c>
      <c r="K179" s="196">
        <v>90.65</v>
      </c>
      <c r="L179" s="196">
        <v>1.22</v>
      </c>
      <c r="M179" s="196">
        <v>6787</v>
      </c>
      <c r="N179" s="196">
        <v>3694940</v>
      </c>
      <c r="O179" s="196">
        <v>3201</v>
      </c>
      <c r="P179" s="196" t="s">
        <v>841</v>
      </c>
      <c r="Q179" s="196" t="s">
        <v>989</v>
      </c>
      <c r="R179" s="196" t="s">
        <v>990</v>
      </c>
      <c r="S179" s="196" t="s">
        <v>844</v>
      </c>
      <c r="T179" s="196" t="s">
        <v>845</v>
      </c>
      <c r="U179" s="196" t="s">
        <v>846</v>
      </c>
      <c r="V179" s="196" t="s">
        <v>841</v>
      </c>
      <c r="W179" s="196" t="s">
        <v>989</v>
      </c>
      <c r="X179" s="196" t="s">
        <v>991</v>
      </c>
      <c r="Y179" s="196" t="s">
        <v>848</v>
      </c>
    </row>
    <row r="180" spans="1:25">
      <c r="A180" s="196" t="s">
        <v>837</v>
      </c>
      <c r="B180" s="196" t="s">
        <v>181</v>
      </c>
      <c r="C180" s="196">
        <v>2013</v>
      </c>
      <c r="D180" s="196">
        <v>80</v>
      </c>
      <c r="E180" s="196" t="s">
        <v>876</v>
      </c>
      <c r="F180" s="196" t="s">
        <v>988</v>
      </c>
      <c r="G180" s="196">
        <v>1</v>
      </c>
      <c r="H180" s="196">
        <v>1</v>
      </c>
      <c r="I180" s="196">
        <v>1431</v>
      </c>
      <c r="J180" s="196">
        <v>16598</v>
      </c>
      <c r="K180" s="196">
        <v>90.65</v>
      </c>
      <c r="L180" s="196">
        <v>1.22</v>
      </c>
      <c r="M180" s="196">
        <v>6787</v>
      </c>
      <c r="N180" s="196">
        <v>3694940</v>
      </c>
      <c r="O180" s="196">
        <v>3201</v>
      </c>
      <c r="P180" s="196" t="s">
        <v>841</v>
      </c>
      <c r="Q180" s="196" t="s">
        <v>989</v>
      </c>
      <c r="R180" s="196" t="s">
        <v>990</v>
      </c>
      <c r="S180" s="196" t="s">
        <v>844</v>
      </c>
      <c r="T180" s="196" t="s">
        <v>845</v>
      </c>
      <c r="U180" s="196" t="s">
        <v>846</v>
      </c>
      <c r="V180" s="196" t="s">
        <v>841</v>
      </c>
      <c r="W180" s="196" t="s">
        <v>989</v>
      </c>
      <c r="X180" s="196" t="s">
        <v>991</v>
      </c>
      <c r="Y180" s="196" t="s">
        <v>848</v>
      </c>
    </row>
    <row r="181" spans="1:25">
      <c r="A181" s="196" t="s">
        <v>837</v>
      </c>
      <c r="B181" s="196" t="s">
        <v>850</v>
      </c>
      <c r="C181" s="196">
        <v>2014</v>
      </c>
      <c r="D181" s="196">
        <v>30</v>
      </c>
      <c r="E181" s="196" t="s">
        <v>861</v>
      </c>
      <c r="F181" s="196" t="s">
        <v>988</v>
      </c>
      <c r="G181" s="196">
        <v>1</v>
      </c>
      <c r="H181" s="196">
        <v>1</v>
      </c>
      <c r="I181" s="196">
        <v>1695</v>
      </c>
      <c r="J181" s="196">
        <v>6158</v>
      </c>
      <c r="K181" s="196">
        <v>90.65</v>
      </c>
      <c r="L181" s="196">
        <v>1.22</v>
      </c>
      <c r="M181" s="196">
        <v>6787</v>
      </c>
      <c r="N181" s="196">
        <v>3694940</v>
      </c>
      <c r="O181" s="196">
        <v>3201</v>
      </c>
      <c r="P181" s="196" t="s">
        <v>841</v>
      </c>
      <c r="Q181" s="196" t="s">
        <v>989</v>
      </c>
      <c r="R181" s="196" t="s">
        <v>990</v>
      </c>
      <c r="S181" s="196" t="s">
        <v>844</v>
      </c>
      <c r="T181" s="196" t="s">
        <v>845</v>
      </c>
      <c r="U181" s="196" t="s">
        <v>846</v>
      </c>
      <c r="V181" s="196" t="s">
        <v>841</v>
      </c>
      <c r="W181" s="196" t="s">
        <v>989</v>
      </c>
      <c r="X181" s="196" t="s">
        <v>991</v>
      </c>
      <c r="Y181" s="196" t="s">
        <v>848</v>
      </c>
    </row>
    <row r="182" spans="1:25">
      <c r="A182" s="196" t="s">
        <v>837</v>
      </c>
      <c r="B182" s="196" t="s">
        <v>181</v>
      </c>
      <c r="C182" s="196">
        <v>2013</v>
      </c>
      <c r="D182" s="196">
        <v>80</v>
      </c>
      <c r="E182" s="196" t="s">
        <v>876</v>
      </c>
      <c r="F182" s="196" t="s">
        <v>992</v>
      </c>
      <c r="G182" s="196">
        <v>5</v>
      </c>
      <c r="H182" s="196">
        <v>3</v>
      </c>
      <c r="I182" s="196">
        <v>6288</v>
      </c>
      <c r="J182" s="196">
        <v>57798</v>
      </c>
      <c r="K182" s="196">
        <v>87.65</v>
      </c>
      <c r="L182" s="196">
        <v>0.49</v>
      </c>
      <c r="M182" s="196">
        <v>24692</v>
      </c>
      <c r="N182" s="196">
        <v>1242891</v>
      </c>
      <c r="O182" s="196">
        <v>1406</v>
      </c>
      <c r="P182" s="196" t="s">
        <v>993</v>
      </c>
      <c r="Q182" s="196" t="s">
        <v>994</v>
      </c>
      <c r="R182" s="196" t="s">
        <v>995</v>
      </c>
      <c r="S182" s="196" t="s">
        <v>844</v>
      </c>
      <c r="T182" s="196" t="s">
        <v>923</v>
      </c>
      <c r="U182" s="196" t="s">
        <v>996</v>
      </c>
      <c r="V182" s="196" t="s">
        <v>994</v>
      </c>
      <c r="W182" s="196" t="s">
        <v>997</v>
      </c>
      <c r="X182" s="196" t="s">
        <v>848</v>
      </c>
      <c r="Y182" s="196" t="s">
        <v>848</v>
      </c>
    </row>
    <row r="183" spans="1:25">
      <c r="A183" s="196" t="s">
        <v>837</v>
      </c>
      <c r="B183" s="196" t="s">
        <v>838</v>
      </c>
      <c r="C183" s="196">
        <v>2013</v>
      </c>
      <c r="D183" s="196">
        <v>55</v>
      </c>
      <c r="E183" s="196" t="s">
        <v>849</v>
      </c>
      <c r="F183" s="196" t="s">
        <v>998</v>
      </c>
      <c r="G183" s="196">
        <v>1</v>
      </c>
      <c r="H183" s="196">
        <v>1</v>
      </c>
      <c r="I183" s="196">
        <v>1839</v>
      </c>
      <c r="J183" s="196">
        <v>9218</v>
      </c>
      <c r="K183" s="196">
        <v>58.01</v>
      </c>
      <c r="L183" s="196">
        <v>1.38</v>
      </c>
      <c r="M183" s="196">
        <v>6888</v>
      </c>
      <c r="N183" s="196">
        <v>1469267</v>
      </c>
      <c r="O183" s="196">
        <v>1434</v>
      </c>
      <c r="P183" s="196" t="s">
        <v>901</v>
      </c>
      <c r="Q183" s="196" t="s">
        <v>999</v>
      </c>
      <c r="R183" s="196" t="s">
        <v>1000</v>
      </c>
      <c r="S183" s="196" t="s">
        <v>844</v>
      </c>
      <c r="T183" s="196" t="s">
        <v>900</v>
      </c>
      <c r="U183" s="196" t="s">
        <v>901</v>
      </c>
      <c r="V183" s="196" t="s">
        <v>902</v>
      </c>
      <c r="W183" s="196" t="s">
        <v>999</v>
      </c>
      <c r="X183" s="196" t="s">
        <v>1001</v>
      </c>
      <c r="Y183" s="196" t="s">
        <v>1002</v>
      </c>
    </row>
    <row r="184" spans="1:25">
      <c r="A184" s="196" t="s">
        <v>837</v>
      </c>
      <c r="B184" s="196" t="s">
        <v>838</v>
      </c>
      <c r="C184" s="196">
        <v>2013</v>
      </c>
      <c r="D184" s="196">
        <v>30</v>
      </c>
      <c r="E184" s="196" t="s">
        <v>839</v>
      </c>
      <c r="F184" s="196" t="s">
        <v>1003</v>
      </c>
      <c r="G184" s="196">
        <v>6</v>
      </c>
      <c r="H184" s="196">
        <v>6</v>
      </c>
      <c r="I184" s="196">
        <v>6998</v>
      </c>
      <c r="J184" s="196">
        <v>60985</v>
      </c>
      <c r="K184" s="196">
        <v>86.53</v>
      </c>
      <c r="L184" s="196">
        <v>2.58</v>
      </c>
      <c r="M184" s="196">
        <v>8319</v>
      </c>
      <c r="N184" s="196">
        <v>1539776</v>
      </c>
      <c r="O184" s="196">
        <v>1566</v>
      </c>
      <c r="P184" s="196" t="s">
        <v>1004</v>
      </c>
      <c r="Q184" s="196" t="s">
        <v>911</v>
      </c>
      <c r="R184" s="196" t="s">
        <v>912</v>
      </c>
      <c r="S184" s="196" t="s">
        <v>844</v>
      </c>
      <c r="T184" s="196" t="s">
        <v>913</v>
      </c>
      <c r="U184" s="196" t="s">
        <v>914</v>
      </c>
      <c r="V184" s="196" t="s">
        <v>911</v>
      </c>
      <c r="W184" s="196" t="s">
        <v>1005</v>
      </c>
      <c r="X184" s="196" t="s">
        <v>848</v>
      </c>
      <c r="Y184" s="196" t="s">
        <v>848</v>
      </c>
    </row>
    <row r="185" spans="1:25">
      <c r="A185" s="196" t="s">
        <v>837</v>
      </c>
      <c r="B185" s="196" t="s">
        <v>838</v>
      </c>
      <c r="C185" s="196">
        <v>2013</v>
      </c>
      <c r="D185" s="196">
        <v>55</v>
      </c>
      <c r="E185" s="196" t="s">
        <v>849</v>
      </c>
      <c r="F185" s="196" t="s">
        <v>1003</v>
      </c>
      <c r="G185" s="196">
        <v>5</v>
      </c>
      <c r="H185" s="196">
        <v>5</v>
      </c>
      <c r="I185" s="196">
        <v>6558</v>
      </c>
      <c r="J185" s="196">
        <v>64981</v>
      </c>
      <c r="K185" s="196">
        <v>86.53</v>
      </c>
      <c r="L185" s="196">
        <v>2.58</v>
      </c>
      <c r="M185" s="196">
        <v>8319</v>
      </c>
      <c r="N185" s="196">
        <v>1539776</v>
      </c>
      <c r="O185" s="196">
        <v>1566</v>
      </c>
      <c r="P185" s="196" t="s">
        <v>1004</v>
      </c>
      <c r="Q185" s="196" t="s">
        <v>911</v>
      </c>
      <c r="R185" s="196" t="s">
        <v>912</v>
      </c>
      <c r="S185" s="196" t="s">
        <v>844</v>
      </c>
      <c r="T185" s="196" t="s">
        <v>913</v>
      </c>
      <c r="U185" s="196" t="s">
        <v>914</v>
      </c>
      <c r="V185" s="196" t="s">
        <v>911</v>
      </c>
      <c r="W185" s="196" t="s">
        <v>1005</v>
      </c>
      <c r="X185" s="196" t="s">
        <v>848</v>
      </c>
      <c r="Y185" s="196" t="s">
        <v>848</v>
      </c>
    </row>
    <row r="186" spans="1:25">
      <c r="A186" s="196" t="s">
        <v>837</v>
      </c>
      <c r="B186" s="196" t="s">
        <v>850</v>
      </c>
      <c r="C186" s="196">
        <v>2013</v>
      </c>
      <c r="D186" s="196">
        <v>30</v>
      </c>
      <c r="E186" s="196" t="s">
        <v>851</v>
      </c>
      <c r="F186" s="196" t="s">
        <v>1003</v>
      </c>
      <c r="G186" s="196">
        <v>8</v>
      </c>
      <c r="H186" s="196">
        <v>8</v>
      </c>
      <c r="I186" s="196">
        <v>9462</v>
      </c>
      <c r="J186" s="196">
        <v>59963</v>
      </c>
      <c r="K186" s="196">
        <v>86.53</v>
      </c>
      <c r="L186" s="196">
        <v>2.58</v>
      </c>
      <c r="M186" s="196">
        <v>8319</v>
      </c>
      <c r="N186" s="196">
        <v>1539776</v>
      </c>
      <c r="O186" s="196">
        <v>1566</v>
      </c>
      <c r="P186" s="196" t="s">
        <v>1004</v>
      </c>
      <c r="Q186" s="196" t="s">
        <v>911</v>
      </c>
      <c r="R186" s="196" t="s">
        <v>912</v>
      </c>
      <c r="S186" s="196" t="s">
        <v>844</v>
      </c>
      <c r="T186" s="196" t="s">
        <v>913</v>
      </c>
      <c r="U186" s="196" t="s">
        <v>914</v>
      </c>
      <c r="V186" s="196" t="s">
        <v>911</v>
      </c>
      <c r="W186" s="196" t="s">
        <v>1005</v>
      </c>
      <c r="X186" s="196" t="s">
        <v>848</v>
      </c>
      <c r="Y186" s="196" t="s">
        <v>848</v>
      </c>
    </row>
    <row r="187" spans="1:25">
      <c r="A187" s="196" t="s">
        <v>837</v>
      </c>
      <c r="B187" s="196" t="s">
        <v>850</v>
      </c>
      <c r="C187" s="196">
        <v>2013</v>
      </c>
      <c r="D187" s="196">
        <v>55</v>
      </c>
      <c r="E187" s="196" t="s">
        <v>852</v>
      </c>
      <c r="F187" s="196" t="s">
        <v>1003</v>
      </c>
      <c r="G187" s="196">
        <v>1</v>
      </c>
      <c r="H187" s="196">
        <v>1</v>
      </c>
      <c r="I187" s="196">
        <v>921</v>
      </c>
      <c r="J187" s="196">
        <v>4062</v>
      </c>
      <c r="K187" s="196">
        <v>86.53</v>
      </c>
      <c r="L187" s="196">
        <v>2.58</v>
      </c>
      <c r="M187" s="196">
        <v>8319</v>
      </c>
      <c r="N187" s="196">
        <v>1539776</v>
      </c>
      <c r="O187" s="196">
        <v>1566</v>
      </c>
      <c r="P187" s="196" t="s">
        <v>1004</v>
      </c>
      <c r="Q187" s="196" t="s">
        <v>911</v>
      </c>
      <c r="R187" s="196" t="s">
        <v>912</v>
      </c>
      <c r="S187" s="196" t="s">
        <v>844</v>
      </c>
      <c r="T187" s="196" t="s">
        <v>913</v>
      </c>
      <c r="U187" s="196" t="s">
        <v>914</v>
      </c>
      <c r="V187" s="196" t="s">
        <v>911</v>
      </c>
      <c r="W187" s="196" t="s">
        <v>1005</v>
      </c>
      <c r="X187" s="196" t="s">
        <v>848</v>
      </c>
      <c r="Y187" s="196" t="s">
        <v>848</v>
      </c>
    </row>
    <row r="188" spans="1:25">
      <c r="A188" s="196" t="s">
        <v>837</v>
      </c>
      <c r="B188" s="196" t="s">
        <v>181</v>
      </c>
      <c r="C188" s="196">
        <v>2014</v>
      </c>
      <c r="D188" s="196">
        <v>80</v>
      </c>
      <c r="E188" s="196" t="s">
        <v>874</v>
      </c>
      <c r="F188" s="196" t="s">
        <v>1003</v>
      </c>
      <c r="G188" s="196">
        <v>1</v>
      </c>
      <c r="H188" s="196">
        <v>1</v>
      </c>
      <c r="I188" s="196">
        <v>71</v>
      </c>
      <c r="J188" s="196">
        <v>2649</v>
      </c>
      <c r="K188" s="196">
        <v>86.53</v>
      </c>
      <c r="L188" s="196">
        <v>2.58</v>
      </c>
      <c r="M188" s="196">
        <v>8319</v>
      </c>
      <c r="N188" s="196">
        <v>1539776</v>
      </c>
      <c r="O188" s="196">
        <v>1566</v>
      </c>
      <c r="P188" s="196" t="s">
        <v>1004</v>
      </c>
      <c r="Q188" s="196" t="s">
        <v>911</v>
      </c>
      <c r="R188" s="196" t="s">
        <v>912</v>
      </c>
      <c r="S188" s="196" t="s">
        <v>844</v>
      </c>
      <c r="T188" s="196" t="s">
        <v>913</v>
      </c>
      <c r="U188" s="196" t="s">
        <v>914</v>
      </c>
      <c r="V188" s="196" t="s">
        <v>911</v>
      </c>
      <c r="W188" s="196" t="s">
        <v>1005</v>
      </c>
      <c r="X188" s="196" t="s">
        <v>848</v>
      </c>
      <c r="Y188" s="196" t="s">
        <v>848</v>
      </c>
    </row>
    <row r="189" spans="1:25">
      <c r="A189" s="196" t="s">
        <v>837</v>
      </c>
      <c r="B189" s="196" t="s">
        <v>838</v>
      </c>
      <c r="C189" s="196">
        <v>2014</v>
      </c>
      <c r="D189" s="196">
        <v>55</v>
      </c>
      <c r="E189" s="196" t="s">
        <v>854</v>
      </c>
      <c r="F189" s="196" t="s">
        <v>1003</v>
      </c>
      <c r="G189" s="196">
        <v>1</v>
      </c>
      <c r="H189" s="196">
        <v>1</v>
      </c>
      <c r="I189" s="196">
        <v>1167</v>
      </c>
      <c r="J189" s="196">
        <v>3923</v>
      </c>
      <c r="K189" s="196">
        <v>86.53</v>
      </c>
      <c r="L189" s="196">
        <v>2.58</v>
      </c>
      <c r="M189" s="196">
        <v>8319</v>
      </c>
      <c r="N189" s="196">
        <v>1539776</v>
      </c>
      <c r="O189" s="196">
        <v>1566</v>
      </c>
      <c r="P189" s="196" t="s">
        <v>1004</v>
      </c>
      <c r="Q189" s="196" t="s">
        <v>911</v>
      </c>
      <c r="R189" s="196" t="s">
        <v>912</v>
      </c>
      <c r="S189" s="196" t="s">
        <v>844</v>
      </c>
      <c r="T189" s="196" t="s">
        <v>913</v>
      </c>
      <c r="U189" s="196" t="s">
        <v>914</v>
      </c>
      <c r="V189" s="196" t="s">
        <v>911</v>
      </c>
      <c r="W189" s="196" t="s">
        <v>1005</v>
      </c>
      <c r="X189" s="196" t="s">
        <v>848</v>
      </c>
      <c r="Y189" s="196" t="s">
        <v>848</v>
      </c>
    </row>
    <row r="190" spans="1:25">
      <c r="A190" s="196" t="s">
        <v>837</v>
      </c>
      <c r="B190" s="196" t="s">
        <v>838</v>
      </c>
      <c r="C190" s="196">
        <v>2014</v>
      </c>
      <c r="D190" s="196">
        <v>55</v>
      </c>
      <c r="E190" s="196" t="s">
        <v>855</v>
      </c>
      <c r="F190" s="196" t="s">
        <v>1003</v>
      </c>
      <c r="G190" s="196">
        <v>2</v>
      </c>
      <c r="H190" s="196">
        <v>2</v>
      </c>
      <c r="I190" s="196">
        <v>2202</v>
      </c>
      <c r="J190" s="196">
        <v>15961</v>
      </c>
      <c r="K190" s="196">
        <v>86.53</v>
      </c>
      <c r="L190" s="196">
        <v>2.58</v>
      </c>
      <c r="M190" s="196">
        <v>8319</v>
      </c>
      <c r="N190" s="196">
        <v>1539776</v>
      </c>
      <c r="O190" s="196">
        <v>1566</v>
      </c>
      <c r="P190" s="196" t="s">
        <v>1004</v>
      </c>
      <c r="Q190" s="196" t="s">
        <v>911</v>
      </c>
      <c r="R190" s="196" t="s">
        <v>912</v>
      </c>
      <c r="S190" s="196" t="s">
        <v>844</v>
      </c>
      <c r="T190" s="196" t="s">
        <v>913</v>
      </c>
      <c r="U190" s="196" t="s">
        <v>914</v>
      </c>
      <c r="V190" s="196" t="s">
        <v>911</v>
      </c>
      <c r="W190" s="196" t="s">
        <v>1005</v>
      </c>
      <c r="X190" s="196" t="s">
        <v>848</v>
      </c>
      <c r="Y190" s="196" t="s">
        <v>848</v>
      </c>
    </row>
    <row r="191" spans="1:25">
      <c r="A191" s="196" t="s">
        <v>837</v>
      </c>
      <c r="B191" s="196" t="s">
        <v>181</v>
      </c>
      <c r="C191" s="196">
        <v>2014</v>
      </c>
      <c r="D191" s="196">
        <v>30</v>
      </c>
      <c r="E191" s="196" t="s">
        <v>857</v>
      </c>
      <c r="F191" s="196" t="s">
        <v>1003</v>
      </c>
      <c r="G191" s="196">
        <v>1</v>
      </c>
      <c r="H191" s="196">
        <v>1</v>
      </c>
      <c r="I191" s="196">
        <v>1146</v>
      </c>
      <c r="J191" s="196">
        <v>7225</v>
      </c>
      <c r="K191" s="196">
        <v>86.53</v>
      </c>
      <c r="L191" s="196">
        <v>2.58</v>
      </c>
      <c r="M191" s="196">
        <v>8319</v>
      </c>
      <c r="N191" s="196">
        <v>1539776</v>
      </c>
      <c r="O191" s="196">
        <v>1566</v>
      </c>
      <c r="P191" s="196" t="s">
        <v>1004</v>
      </c>
      <c r="Q191" s="196" t="s">
        <v>911</v>
      </c>
      <c r="R191" s="196" t="s">
        <v>912</v>
      </c>
      <c r="S191" s="196" t="s">
        <v>844</v>
      </c>
      <c r="T191" s="196" t="s">
        <v>913</v>
      </c>
      <c r="U191" s="196" t="s">
        <v>914</v>
      </c>
      <c r="V191" s="196" t="s">
        <v>911</v>
      </c>
      <c r="W191" s="196" t="s">
        <v>1005</v>
      </c>
      <c r="X191" s="196" t="s">
        <v>848</v>
      </c>
      <c r="Y191" s="196" t="s">
        <v>848</v>
      </c>
    </row>
    <row r="192" spans="1:25">
      <c r="A192" s="196" t="s">
        <v>837</v>
      </c>
      <c r="B192" s="196" t="s">
        <v>181</v>
      </c>
      <c r="C192" s="196">
        <v>2014</v>
      </c>
      <c r="D192" s="196">
        <v>55</v>
      </c>
      <c r="E192" s="196" t="s">
        <v>858</v>
      </c>
      <c r="F192" s="196" t="s">
        <v>1003</v>
      </c>
      <c r="G192" s="196">
        <v>10</v>
      </c>
      <c r="H192" s="196">
        <v>9</v>
      </c>
      <c r="I192" s="196">
        <v>13000</v>
      </c>
      <c r="J192" s="196">
        <v>76705</v>
      </c>
      <c r="K192" s="196">
        <v>86.53</v>
      </c>
      <c r="L192" s="196">
        <v>2.58</v>
      </c>
      <c r="M192" s="196">
        <v>8319</v>
      </c>
      <c r="N192" s="196">
        <v>1539776</v>
      </c>
      <c r="O192" s="196">
        <v>1566</v>
      </c>
      <c r="P192" s="196" t="s">
        <v>1004</v>
      </c>
      <c r="Q192" s="196" t="s">
        <v>911</v>
      </c>
      <c r="R192" s="196" t="s">
        <v>912</v>
      </c>
      <c r="S192" s="196" t="s">
        <v>844</v>
      </c>
      <c r="T192" s="196" t="s">
        <v>913</v>
      </c>
      <c r="U192" s="196" t="s">
        <v>914</v>
      </c>
      <c r="V192" s="196" t="s">
        <v>911</v>
      </c>
      <c r="W192" s="196" t="s">
        <v>1005</v>
      </c>
      <c r="X192" s="196" t="s">
        <v>848</v>
      </c>
      <c r="Y192" s="196" t="s">
        <v>848</v>
      </c>
    </row>
    <row r="193" spans="1:25">
      <c r="A193" s="196" t="s">
        <v>837</v>
      </c>
      <c r="B193" s="196" t="s">
        <v>181</v>
      </c>
      <c r="C193" s="196">
        <v>2014</v>
      </c>
      <c r="D193" s="196">
        <v>55</v>
      </c>
      <c r="E193" s="196" t="s">
        <v>859</v>
      </c>
      <c r="F193" s="196" t="s">
        <v>1003</v>
      </c>
      <c r="G193" s="196">
        <v>2</v>
      </c>
      <c r="H193" s="196">
        <v>2</v>
      </c>
      <c r="I193" s="196">
        <v>2112</v>
      </c>
      <c r="J193" s="196">
        <v>20180</v>
      </c>
      <c r="K193" s="196">
        <v>86.53</v>
      </c>
      <c r="L193" s="196">
        <v>2.58</v>
      </c>
      <c r="M193" s="196">
        <v>8319</v>
      </c>
      <c r="N193" s="196">
        <v>1539776</v>
      </c>
      <c r="O193" s="196">
        <v>1566</v>
      </c>
      <c r="P193" s="196" t="s">
        <v>1004</v>
      </c>
      <c r="Q193" s="196" t="s">
        <v>911</v>
      </c>
      <c r="R193" s="196" t="s">
        <v>912</v>
      </c>
      <c r="S193" s="196" t="s">
        <v>844</v>
      </c>
      <c r="T193" s="196" t="s">
        <v>913</v>
      </c>
      <c r="U193" s="196" t="s">
        <v>914</v>
      </c>
      <c r="V193" s="196" t="s">
        <v>911</v>
      </c>
      <c r="W193" s="196" t="s">
        <v>1005</v>
      </c>
      <c r="X193" s="196" t="s">
        <v>848</v>
      </c>
      <c r="Y193" s="196" t="s">
        <v>848</v>
      </c>
    </row>
    <row r="194" spans="1:25">
      <c r="A194" s="196" t="s">
        <v>837</v>
      </c>
      <c r="B194" s="196" t="s">
        <v>850</v>
      </c>
      <c r="C194" s="196">
        <v>2014</v>
      </c>
      <c r="D194" s="196">
        <v>30</v>
      </c>
      <c r="E194" s="196" t="s">
        <v>860</v>
      </c>
      <c r="F194" s="196" t="s">
        <v>1003</v>
      </c>
      <c r="G194" s="196">
        <v>3</v>
      </c>
      <c r="H194" s="196">
        <v>3</v>
      </c>
      <c r="I194" s="196">
        <v>3426</v>
      </c>
      <c r="J194" s="196">
        <v>36726</v>
      </c>
      <c r="K194" s="196">
        <v>86.53</v>
      </c>
      <c r="L194" s="196">
        <v>2.58</v>
      </c>
      <c r="M194" s="196">
        <v>8319</v>
      </c>
      <c r="N194" s="196">
        <v>1539776</v>
      </c>
      <c r="O194" s="196">
        <v>1566</v>
      </c>
      <c r="P194" s="196" t="s">
        <v>1004</v>
      </c>
      <c r="Q194" s="196" t="s">
        <v>911</v>
      </c>
      <c r="R194" s="196" t="s">
        <v>912</v>
      </c>
      <c r="S194" s="196" t="s">
        <v>844</v>
      </c>
      <c r="T194" s="196" t="s">
        <v>913</v>
      </c>
      <c r="U194" s="196" t="s">
        <v>914</v>
      </c>
      <c r="V194" s="196" t="s">
        <v>911</v>
      </c>
      <c r="W194" s="196" t="s">
        <v>1005</v>
      </c>
      <c r="X194" s="196" t="s">
        <v>848</v>
      </c>
      <c r="Y194" s="196" t="s">
        <v>848</v>
      </c>
    </row>
    <row r="195" spans="1:25">
      <c r="A195" s="196" t="s">
        <v>837</v>
      </c>
      <c r="B195" s="196" t="s">
        <v>850</v>
      </c>
      <c r="C195" s="196">
        <v>2014</v>
      </c>
      <c r="D195" s="196">
        <v>30</v>
      </c>
      <c r="E195" s="196" t="s">
        <v>861</v>
      </c>
      <c r="F195" s="196" t="s">
        <v>1003</v>
      </c>
      <c r="G195" s="196">
        <v>1</v>
      </c>
      <c r="H195" s="196">
        <v>1</v>
      </c>
      <c r="I195" s="196">
        <v>873</v>
      </c>
      <c r="J195" s="196">
        <v>7377</v>
      </c>
      <c r="K195" s="196">
        <v>86.53</v>
      </c>
      <c r="L195" s="196">
        <v>2.58</v>
      </c>
      <c r="M195" s="196">
        <v>8319</v>
      </c>
      <c r="N195" s="196">
        <v>1539776</v>
      </c>
      <c r="O195" s="196">
        <v>1566</v>
      </c>
      <c r="P195" s="196" t="s">
        <v>1004</v>
      </c>
      <c r="Q195" s="196" t="s">
        <v>911</v>
      </c>
      <c r="R195" s="196" t="s">
        <v>912</v>
      </c>
      <c r="S195" s="196" t="s">
        <v>844</v>
      </c>
      <c r="T195" s="196" t="s">
        <v>913</v>
      </c>
      <c r="U195" s="196" t="s">
        <v>914</v>
      </c>
      <c r="V195" s="196" t="s">
        <v>911</v>
      </c>
      <c r="W195" s="196" t="s">
        <v>1005</v>
      </c>
      <c r="X195" s="196" t="s">
        <v>848</v>
      </c>
      <c r="Y195" s="196" t="s">
        <v>848</v>
      </c>
    </row>
    <row r="196" spans="1:25">
      <c r="A196" s="196" t="s">
        <v>837</v>
      </c>
      <c r="B196" s="196" t="s">
        <v>850</v>
      </c>
      <c r="C196" s="196">
        <v>2014</v>
      </c>
      <c r="D196" s="196">
        <v>55</v>
      </c>
      <c r="E196" s="196" t="s">
        <v>862</v>
      </c>
      <c r="F196" s="196" t="s">
        <v>1003</v>
      </c>
      <c r="G196" s="196">
        <v>7</v>
      </c>
      <c r="H196" s="196">
        <v>7</v>
      </c>
      <c r="I196" s="196">
        <v>7812</v>
      </c>
      <c r="J196" s="196">
        <v>87749</v>
      </c>
      <c r="K196" s="196">
        <v>86.53</v>
      </c>
      <c r="L196" s="196">
        <v>2.58</v>
      </c>
      <c r="M196" s="196">
        <v>8319</v>
      </c>
      <c r="N196" s="196">
        <v>1539776</v>
      </c>
      <c r="O196" s="196">
        <v>1566</v>
      </c>
      <c r="P196" s="196" t="s">
        <v>1004</v>
      </c>
      <c r="Q196" s="196" t="s">
        <v>911</v>
      </c>
      <c r="R196" s="196" t="s">
        <v>912</v>
      </c>
      <c r="S196" s="196" t="s">
        <v>844</v>
      </c>
      <c r="T196" s="196" t="s">
        <v>913</v>
      </c>
      <c r="U196" s="196" t="s">
        <v>914</v>
      </c>
      <c r="V196" s="196" t="s">
        <v>911</v>
      </c>
      <c r="W196" s="196" t="s">
        <v>1005</v>
      </c>
      <c r="X196" s="196" t="s">
        <v>848</v>
      </c>
      <c r="Y196" s="196" t="s">
        <v>848</v>
      </c>
    </row>
    <row r="197" spans="1:25">
      <c r="A197" s="196" t="s">
        <v>837</v>
      </c>
      <c r="B197" s="196" t="s">
        <v>838</v>
      </c>
      <c r="C197" s="196">
        <v>2013</v>
      </c>
      <c r="D197" s="196">
        <v>30</v>
      </c>
      <c r="E197" s="196" t="s">
        <v>839</v>
      </c>
      <c r="F197" s="196" t="s">
        <v>1006</v>
      </c>
      <c r="G197" s="196">
        <v>3</v>
      </c>
      <c r="H197" s="196">
        <v>3</v>
      </c>
      <c r="I197" s="196">
        <v>4905</v>
      </c>
      <c r="J197" s="196">
        <v>25430</v>
      </c>
      <c r="K197" s="196">
        <v>93.1</v>
      </c>
      <c r="L197" s="196">
        <v>11.36</v>
      </c>
      <c r="M197" s="196">
        <v>11552</v>
      </c>
      <c r="N197" s="196">
        <v>2523511</v>
      </c>
      <c r="O197" s="196">
        <v>2672</v>
      </c>
      <c r="P197" s="196" t="s">
        <v>841</v>
      </c>
      <c r="Q197" s="196" t="s">
        <v>841</v>
      </c>
      <c r="R197" s="196" t="s">
        <v>1007</v>
      </c>
      <c r="S197" s="196" t="s">
        <v>844</v>
      </c>
      <c r="T197" s="196" t="s">
        <v>845</v>
      </c>
      <c r="U197" s="196" t="s">
        <v>846</v>
      </c>
      <c r="V197" s="196" t="s">
        <v>841</v>
      </c>
      <c r="W197" s="196" t="s">
        <v>848</v>
      </c>
      <c r="X197" s="196" t="s">
        <v>848</v>
      </c>
      <c r="Y197" s="196" t="s">
        <v>848</v>
      </c>
    </row>
    <row r="198" spans="1:25">
      <c r="A198" s="196" t="s">
        <v>837</v>
      </c>
      <c r="B198" s="196" t="s">
        <v>838</v>
      </c>
      <c r="C198" s="196">
        <v>2013</v>
      </c>
      <c r="D198" s="196">
        <v>55</v>
      </c>
      <c r="E198" s="196" t="s">
        <v>849</v>
      </c>
      <c r="F198" s="196" t="s">
        <v>1006</v>
      </c>
      <c r="G198" s="196">
        <v>5</v>
      </c>
      <c r="H198" s="196">
        <v>4</v>
      </c>
      <c r="I198" s="196">
        <v>8883</v>
      </c>
      <c r="J198" s="196">
        <v>56642</v>
      </c>
      <c r="K198" s="196">
        <v>93.1</v>
      </c>
      <c r="L198" s="196">
        <v>11.36</v>
      </c>
      <c r="M198" s="196">
        <v>11552</v>
      </c>
      <c r="N198" s="196">
        <v>2523511</v>
      </c>
      <c r="O198" s="196">
        <v>2672</v>
      </c>
      <c r="P198" s="196" t="s">
        <v>841</v>
      </c>
      <c r="Q198" s="196" t="s">
        <v>841</v>
      </c>
      <c r="R198" s="196" t="s">
        <v>1007</v>
      </c>
      <c r="S198" s="196" t="s">
        <v>844</v>
      </c>
      <c r="T198" s="196" t="s">
        <v>845</v>
      </c>
      <c r="U198" s="196" t="s">
        <v>846</v>
      </c>
      <c r="V198" s="196" t="s">
        <v>841</v>
      </c>
      <c r="W198" s="196" t="s">
        <v>848</v>
      </c>
      <c r="X198" s="196" t="s">
        <v>848</v>
      </c>
      <c r="Y198" s="196" t="s">
        <v>848</v>
      </c>
    </row>
    <row r="199" spans="1:25">
      <c r="A199" s="196" t="s">
        <v>837</v>
      </c>
      <c r="B199" s="196" t="s">
        <v>850</v>
      </c>
      <c r="C199" s="196">
        <v>2013</v>
      </c>
      <c r="D199" s="196">
        <v>30</v>
      </c>
      <c r="E199" s="196" t="s">
        <v>851</v>
      </c>
      <c r="F199" s="196" t="s">
        <v>1006</v>
      </c>
      <c r="G199" s="196">
        <v>5</v>
      </c>
      <c r="H199" s="196">
        <v>4</v>
      </c>
      <c r="I199" s="196">
        <v>5439</v>
      </c>
      <c r="J199" s="196">
        <v>49820</v>
      </c>
      <c r="K199" s="196">
        <v>93.1</v>
      </c>
      <c r="L199" s="196">
        <v>11.36</v>
      </c>
      <c r="M199" s="196">
        <v>11552</v>
      </c>
      <c r="N199" s="196">
        <v>2523511</v>
      </c>
      <c r="O199" s="196">
        <v>2672</v>
      </c>
      <c r="P199" s="196" t="s">
        <v>841</v>
      </c>
      <c r="Q199" s="196" t="s">
        <v>841</v>
      </c>
      <c r="R199" s="196" t="s">
        <v>1007</v>
      </c>
      <c r="S199" s="196" t="s">
        <v>844</v>
      </c>
      <c r="T199" s="196" t="s">
        <v>845</v>
      </c>
      <c r="U199" s="196" t="s">
        <v>846</v>
      </c>
      <c r="V199" s="196" t="s">
        <v>841</v>
      </c>
      <c r="W199" s="196" t="s">
        <v>848</v>
      </c>
      <c r="X199" s="196" t="s">
        <v>848</v>
      </c>
      <c r="Y199" s="196" t="s">
        <v>848</v>
      </c>
    </row>
    <row r="200" spans="1:25">
      <c r="A200" s="196" t="s">
        <v>837</v>
      </c>
      <c r="B200" s="196" t="s">
        <v>850</v>
      </c>
      <c r="C200" s="196">
        <v>2013</v>
      </c>
      <c r="D200" s="196">
        <v>55</v>
      </c>
      <c r="E200" s="196" t="s">
        <v>852</v>
      </c>
      <c r="F200" s="196" t="s">
        <v>1006</v>
      </c>
      <c r="G200" s="196">
        <v>9</v>
      </c>
      <c r="H200" s="196">
        <v>8</v>
      </c>
      <c r="I200" s="196">
        <v>12962</v>
      </c>
      <c r="J200" s="196">
        <v>115284</v>
      </c>
      <c r="K200" s="196">
        <v>93.1</v>
      </c>
      <c r="L200" s="196">
        <v>11.36</v>
      </c>
      <c r="M200" s="196">
        <v>11552</v>
      </c>
      <c r="N200" s="196">
        <v>2523511</v>
      </c>
      <c r="O200" s="196">
        <v>2672</v>
      </c>
      <c r="P200" s="196" t="s">
        <v>841</v>
      </c>
      <c r="Q200" s="196" t="s">
        <v>841</v>
      </c>
      <c r="R200" s="196" t="s">
        <v>1007</v>
      </c>
      <c r="S200" s="196" t="s">
        <v>844</v>
      </c>
      <c r="T200" s="196" t="s">
        <v>845</v>
      </c>
      <c r="U200" s="196" t="s">
        <v>846</v>
      </c>
      <c r="V200" s="196" t="s">
        <v>841</v>
      </c>
      <c r="W200" s="196" t="s">
        <v>848</v>
      </c>
      <c r="X200" s="196" t="s">
        <v>848</v>
      </c>
      <c r="Y200" s="196" t="s">
        <v>848</v>
      </c>
    </row>
    <row r="201" spans="1:25">
      <c r="A201" s="196" t="s">
        <v>837</v>
      </c>
      <c r="B201" s="196" t="s">
        <v>850</v>
      </c>
      <c r="C201" s="196">
        <v>2013</v>
      </c>
      <c r="D201" s="196">
        <v>80</v>
      </c>
      <c r="E201" s="196" t="s">
        <v>917</v>
      </c>
      <c r="F201" s="196" t="s">
        <v>1006</v>
      </c>
      <c r="G201" s="196">
        <v>3</v>
      </c>
      <c r="H201" s="196">
        <v>3</v>
      </c>
      <c r="I201" s="196">
        <v>5581</v>
      </c>
      <c r="J201" s="196">
        <v>41322</v>
      </c>
      <c r="K201" s="196">
        <v>93.1</v>
      </c>
      <c r="L201" s="196">
        <v>11.36</v>
      </c>
      <c r="M201" s="196">
        <v>11552</v>
      </c>
      <c r="N201" s="196">
        <v>2523511</v>
      </c>
      <c r="O201" s="196">
        <v>2672</v>
      </c>
      <c r="P201" s="196" t="s">
        <v>841</v>
      </c>
      <c r="Q201" s="196" t="s">
        <v>841</v>
      </c>
      <c r="R201" s="196" t="s">
        <v>1007</v>
      </c>
      <c r="S201" s="196" t="s">
        <v>844</v>
      </c>
      <c r="T201" s="196" t="s">
        <v>845</v>
      </c>
      <c r="U201" s="196" t="s">
        <v>846</v>
      </c>
      <c r="V201" s="196" t="s">
        <v>841</v>
      </c>
      <c r="W201" s="196" t="s">
        <v>848</v>
      </c>
      <c r="X201" s="196" t="s">
        <v>848</v>
      </c>
      <c r="Y201" s="196" t="s">
        <v>848</v>
      </c>
    </row>
    <row r="202" spans="1:25">
      <c r="A202" s="196" t="s">
        <v>837</v>
      </c>
      <c r="B202" s="196" t="s">
        <v>181</v>
      </c>
      <c r="C202" s="196">
        <v>2014</v>
      </c>
      <c r="D202" s="196">
        <v>80</v>
      </c>
      <c r="E202" s="196" t="s">
        <v>874</v>
      </c>
      <c r="F202" s="196" t="s">
        <v>1006</v>
      </c>
      <c r="G202" s="196">
        <v>8</v>
      </c>
      <c r="H202" s="196">
        <v>7</v>
      </c>
      <c r="I202" s="196">
        <v>14439</v>
      </c>
      <c r="J202" s="196">
        <v>97477</v>
      </c>
      <c r="K202" s="196">
        <v>93.1</v>
      </c>
      <c r="L202" s="196">
        <v>11.36</v>
      </c>
      <c r="M202" s="196">
        <v>11552</v>
      </c>
      <c r="N202" s="196">
        <v>2523511</v>
      </c>
      <c r="O202" s="196">
        <v>2672</v>
      </c>
      <c r="P202" s="196" t="s">
        <v>841</v>
      </c>
      <c r="Q202" s="196" t="s">
        <v>841</v>
      </c>
      <c r="R202" s="196" t="s">
        <v>1007</v>
      </c>
      <c r="S202" s="196" t="s">
        <v>844</v>
      </c>
      <c r="T202" s="196" t="s">
        <v>845</v>
      </c>
      <c r="U202" s="196" t="s">
        <v>846</v>
      </c>
      <c r="V202" s="196" t="s">
        <v>841</v>
      </c>
      <c r="W202" s="196" t="s">
        <v>848</v>
      </c>
      <c r="X202" s="196" t="s">
        <v>848</v>
      </c>
      <c r="Y202" s="196" t="s">
        <v>848</v>
      </c>
    </row>
    <row r="203" spans="1:25">
      <c r="A203" s="196" t="s">
        <v>837</v>
      </c>
      <c r="B203" s="196" t="s">
        <v>850</v>
      </c>
      <c r="C203" s="196">
        <v>2014</v>
      </c>
      <c r="D203" s="196">
        <v>80</v>
      </c>
      <c r="E203" s="196" t="s">
        <v>875</v>
      </c>
      <c r="F203" s="196" t="s">
        <v>1006</v>
      </c>
      <c r="G203" s="196">
        <v>5</v>
      </c>
      <c r="H203" s="196">
        <v>5</v>
      </c>
      <c r="I203" s="196">
        <v>4911</v>
      </c>
      <c r="J203" s="196">
        <v>64955</v>
      </c>
      <c r="K203" s="196">
        <v>93.1</v>
      </c>
      <c r="L203" s="196">
        <v>11.36</v>
      </c>
      <c r="M203" s="196">
        <v>11552</v>
      </c>
      <c r="N203" s="196">
        <v>2523511</v>
      </c>
      <c r="O203" s="196">
        <v>2672</v>
      </c>
      <c r="P203" s="196" t="s">
        <v>841</v>
      </c>
      <c r="Q203" s="196" t="s">
        <v>841</v>
      </c>
      <c r="R203" s="196" t="s">
        <v>1007</v>
      </c>
      <c r="S203" s="196" t="s">
        <v>844</v>
      </c>
      <c r="T203" s="196" t="s">
        <v>845</v>
      </c>
      <c r="U203" s="196" t="s">
        <v>846</v>
      </c>
      <c r="V203" s="196" t="s">
        <v>841</v>
      </c>
      <c r="W203" s="196" t="s">
        <v>848</v>
      </c>
      <c r="X203" s="196" t="s">
        <v>848</v>
      </c>
      <c r="Y203" s="196" t="s">
        <v>848</v>
      </c>
    </row>
    <row r="204" spans="1:25">
      <c r="A204" s="196" t="s">
        <v>837</v>
      </c>
      <c r="B204" s="196" t="s">
        <v>838</v>
      </c>
      <c r="C204" s="196">
        <v>2013</v>
      </c>
      <c r="D204" s="196">
        <v>80</v>
      </c>
      <c r="E204" s="196" t="s">
        <v>908</v>
      </c>
      <c r="F204" s="196" t="s">
        <v>1006</v>
      </c>
      <c r="G204" s="196">
        <v>4</v>
      </c>
      <c r="H204" s="196">
        <v>4</v>
      </c>
      <c r="I204" s="196">
        <v>7758</v>
      </c>
      <c r="J204" s="196">
        <v>59334</v>
      </c>
      <c r="K204" s="196">
        <v>93.1</v>
      </c>
      <c r="L204" s="196">
        <v>11.36</v>
      </c>
      <c r="M204" s="196">
        <v>11552</v>
      </c>
      <c r="N204" s="196">
        <v>2523511</v>
      </c>
      <c r="O204" s="196">
        <v>2672</v>
      </c>
      <c r="P204" s="196" t="s">
        <v>841</v>
      </c>
      <c r="Q204" s="196" t="s">
        <v>841</v>
      </c>
      <c r="R204" s="196" t="s">
        <v>1007</v>
      </c>
      <c r="S204" s="196" t="s">
        <v>844</v>
      </c>
      <c r="T204" s="196" t="s">
        <v>845</v>
      </c>
      <c r="U204" s="196" t="s">
        <v>846</v>
      </c>
      <c r="V204" s="196" t="s">
        <v>841</v>
      </c>
      <c r="W204" s="196" t="s">
        <v>848</v>
      </c>
      <c r="X204" s="196" t="s">
        <v>848</v>
      </c>
      <c r="Y204" s="196" t="s">
        <v>848</v>
      </c>
    </row>
    <row r="205" spans="1:25">
      <c r="A205" s="196" t="s">
        <v>837</v>
      </c>
      <c r="B205" s="196" t="s">
        <v>181</v>
      </c>
      <c r="C205" s="196">
        <v>2013</v>
      </c>
      <c r="D205" s="196">
        <v>80</v>
      </c>
      <c r="E205" s="196" t="s">
        <v>876</v>
      </c>
      <c r="F205" s="196" t="s">
        <v>1006</v>
      </c>
      <c r="G205" s="196">
        <v>5</v>
      </c>
      <c r="H205" s="196">
        <v>5</v>
      </c>
      <c r="I205" s="196">
        <v>5317</v>
      </c>
      <c r="J205" s="196">
        <v>72126</v>
      </c>
      <c r="K205" s="196">
        <v>93.1</v>
      </c>
      <c r="L205" s="196">
        <v>11.36</v>
      </c>
      <c r="M205" s="196">
        <v>11552</v>
      </c>
      <c r="N205" s="196">
        <v>2523511</v>
      </c>
      <c r="O205" s="196">
        <v>2672</v>
      </c>
      <c r="P205" s="196" t="s">
        <v>841</v>
      </c>
      <c r="Q205" s="196" t="s">
        <v>841</v>
      </c>
      <c r="R205" s="196" t="s">
        <v>1007</v>
      </c>
      <c r="S205" s="196" t="s">
        <v>844</v>
      </c>
      <c r="T205" s="196" t="s">
        <v>845</v>
      </c>
      <c r="U205" s="196" t="s">
        <v>846</v>
      </c>
      <c r="V205" s="196" t="s">
        <v>841</v>
      </c>
      <c r="W205" s="196" t="s">
        <v>848</v>
      </c>
      <c r="X205" s="196" t="s">
        <v>848</v>
      </c>
      <c r="Y205" s="196" t="s">
        <v>848</v>
      </c>
    </row>
    <row r="206" spans="1:25">
      <c r="A206" s="196" t="s">
        <v>837</v>
      </c>
      <c r="B206" s="196" t="s">
        <v>838</v>
      </c>
      <c r="C206" s="196">
        <v>2014</v>
      </c>
      <c r="D206" s="196">
        <v>55</v>
      </c>
      <c r="E206" s="196" t="s">
        <v>854</v>
      </c>
      <c r="F206" s="196" t="s">
        <v>1006</v>
      </c>
      <c r="G206" s="196">
        <v>2</v>
      </c>
      <c r="H206" s="196">
        <v>2</v>
      </c>
      <c r="I206" s="196">
        <v>2886</v>
      </c>
      <c r="J206" s="196">
        <v>44566</v>
      </c>
      <c r="K206" s="196">
        <v>93.1</v>
      </c>
      <c r="L206" s="196">
        <v>11.36</v>
      </c>
      <c r="M206" s="196">
        <v>11552</v>
      </c>
      <c r="N206" s="196">
        <v>2523511</v>
      </c>
      <c r="O206" s="196">
        <v>2672</v>
      </c>
      <c r="P206" s="196" t="s">
        <v>841</v>
      </c>
      <c r="Q206" s="196" t="s">
        <v>841</v>
      </c>
      <c r="R206" s="196" t="s">
        <v>1007</v>
      </c>
      <c r="S206" s="196" t="s">
        <v>844</v>
      </c>
      <c r="T206" s="196" t="s">
        <v>845</v>
      </c>
      <c r="U206" s="196" t="s">
        <v>846</v>
      </c>
      <c r="V206" s="196" t="s">
        <v>841</v>
      </c>
      <c r="W206" s="196" t="s">
        <v>848</v>
      </c>
      <c r="X206" s="196" t="s">
        <v>848</v>
      </c>
      <c r="Y206" s="196" t="s">
        <v>848</v>
      </c>
    </row>
    <row r="207" spans="1:25">
      <c r="A207" s="196" t="s">
        <v>837</v>
      </c>
      <c r="B207" s="196" t="s">
        <v>181</v>
      </c>
      <c r="C207" s="196">
        <v>2014</v>
      </c>
      <c r="D207" s="196">
        <v>30</v>
      </c>
      <c r="E207" s="196" t="s">
        <v>856</v>
      </c>
      <c r="F207" s="196" t="s">
        <v>1006</v>
      </c>
      <c r="G207" s="196">
        <v>1</v>
      </c>
      <c r="H207" s="196">
        <v>1</v>
      </c>
      <c r="I207" s="196">
        <v>507</v>
      </c>
      <c r="J207" s="196">
        <v>3207</v>
      </c>
      <c r="K207" s="196">
        <v>93.1</v>
      </c>
      <c r="L207" s="196">
        <v>11.36</v>
      </c>
      <c r="M207" s="196">
        <v>11552</v>
      </c>
      <c r="N207" s="196">
        <v>2523511</v>
      </c>
      <c r="O207" s="196">
        <v>2672</v>
      </c>
      <c r="P207" s="196" t="s">
        <v>841</v>
      </c>
      <c r="Q207" s="196" t="s">
        <v>841</v>
      </c>
      <c r="R207" s="196" t="s">
        <v>1007</v>
      </c>
      <c r="S207" s="196" t="s">
        <v>844</v>
      </c>
      <c r="T207" s="196" t="s">
        <v>845</v>
      </c>
      <c r="U207" s="196" t="s">
        <v>846</v>
      </c>
      <c r="V207" s="196" t="s">
        <v>841</v>
      </c>
      <c r="W207" s="196" t="s">
        <v>848</v>
      </c>
      <c r="X207" s="196" t="s">
        <v>848</v>
      </c>
      <c r="Y207" s="196" t="s">
        <v>848</v>
      </c>
    </row>
    <row r="208" spans="1:25">
      <c r="A208" s="196" t="s">
        <v>837</v>
      </c>
      <c r="B208" s="196" t="s">
        <v>850</v>
      </c>
      <c r="C208" s="196">
        <v>2014</v>
      </c>
      <c r="D208" s="196">
        <v>30</v>
      </c>
      <c r="E208" s="196" t="s">
        <v>861</v>
      </c>
      <c r="F208" s="196" t="s">
        <v>1006</v>
      </c>
      <c r="G208" s="196">
        <v>1</v>
      </c>
      <c r="H208" s="196">
        <v>1</v>
      </c>
      <c r="I208" s="196">
        <v>3222</v>
      </c>
      <c r="J208" s="196">
        <v>8943</v>
      </c>
      <c r="K208" s="196">
        <v>93.1</v>
      </c>
      <c r="L208" s="196">
        <v>11.36</v>
      </c>
      <c r="M208" s="196">
        <v>11552</v>
      </c>
      <c r="N208" s="196">
        <v>2523511</v>
      </c>
      <c r="O208" s="196">
        <v>2672</v>
      </c>
      <c r="P208" s="196" t="s">
        <v>841</v>
      </c>
      <c r="Q208" s="196" t="s">
        <v>841</v>
      </c>
      <c r="R208" s="196" t="s">
        <v>1007</v>
      </c>
      <c r="S208" s="196" t="s">
        <v>844</v>
      </c>
      <c r="T208" s="196" t="s">
        <v>845</v>
      </c>
      <c r="U208" s="196" t="s">
        <v>846</v>
      </c>
      <c r="V208" s="196" t="s">
        <v>841</v>
      </c>
      <c r="W208" s="196" t="s">
        <v>848</v>
      </c>
      <c r="X208" s="196" t="s">
        <v>848</v>
      </c>
      <c r="Y208" s="196" t="s">
        <v>848</v>
      </c>
    </row>
    <row r="209" spans="1:25">
      <c r="A209" s="196" t="s">
        <v>837</v>
      </c>
      <c r="B209" s="196" t="s">
        <v>850</v>
      </c>
      <c r="C209" s="196">
        <v>2013</v>
      </c>
      <c r="D209" s="196">
        <v>30</v>
      </c>
      <c r="E209" s="196" t="s">
        <v>851</v>
      </c>
      <c r="F209" s="196" t="s">
        <v>1008</v>
      </c>
      <c r="G209" s="196">
        <v>1</v>
      </c>
      <c r="H209" s="196">
        <v>1</v>
      </c>
      <c r="I209" s="196">
        <v>1008</v>
      </c>
      <c r="J209" s="196">
        <v>69322</v>
      </c>
      <c r="K209" s="196">
        <v>96.75</v>
      </c>
      <c r="L209" s="196">
        <v>0.01</v>
      </c>
      <c r="M209" s="196">
        <v>58369</v>
      </c>
      <c r="N209" s="196">
        <v>2048210</v>
      </c>
      <c r="O209" s="196">
        <v>1765</v>
      </c>
      <c r="P209" s="196" t="s">
        <v>1009</v>
      </c>
      <c r="Q209" s="196" t="s">
        <v>1010</v>
      </c>
      <c r="R209" s="196" t="s">
        <v>1011</v>
      </c>
      <c r="S209" s="196" t="s">
        <v>844</v>
      </c>
      <c r="T209" s="196" t="s">
        <v>900</v>
      </c>
      <c r="U209" s="196" t="s">
        <v>901</v>
      </c>
      <c r="V209" s="196" t="s">
        <v>1012</v>
      </c>
      <c r="W209" s="196" t="s">
        <v>1013</v>
      </c>
      <c r="X209" s="196" t="s">
        <v>1010</v>
      </c>
      <c r="Y209" s="196" t="s">
        <v>1014</v>
      </c>
    </row>
    <row r="210" spans="1:25">
      <c r="A210" s="196" t="s">
        <v>837</v>
      </c>
      <c r="B210" s="196" t="s">
        <v>181</v>
      </c>
      <c r="C210" s="196">
        <v>2014</v>
      </c>
      <c r="D210" s="196">
        <v>80</v>
      </c>
      <c r="E210" s="196" t="s">
        <v>874</v>
      </c>
      <c r="F210" s="196" t="s">
        <v>1008</v>
      </c>
      <c r="G210" s="196">
        <v>1</v>
      </c>
      <c r="H210" s="196">
        <v>1</v>
      </c>
      <c r="I210" s="196">
        <v>1755</v>
      </c>
      <c r="J210" s="196">
        <v>127111</v>
      </c>
      <c r="K210" s="196">
        <v>96.75</v>
      </c>
      <c r="L210" s="196">
        <v>0.01</v>
      </c>
      <c r="M210" s="196">
        <v>58369</v>
      </c>
      <c r="N210" s="196">
        <v>2048210</v>
      </c>
      <c r="O210" s="196">
        <v>1765</v>
      </c>
      <c r="P210" s="196" t="s">
        <v>1009</v>
      </c>
      <c r="Q210" s="196" t="s">
        <v>1010</v>
      </c>
      <c r="R210" s="196" t="s">
        <v>1011</v>
      </c>
      <c r="S210" s="196" t="s">
        <v>844</v>
      </c>
      <c r="T210" s="196" t="s">
        <v>900</v>
      </c>
      <c r="U210" s="196" t="s">
        <v>901</v>
      </c>
      <c r="V210" s="196" t="s">
        <v>1012</v>
      </c>
      <c r="W210" s="196" t="s">
        <v>1013</v>
      </c>
      <c r="X210" s="196" t="s">
        <v>1010</v>
      </c>
      <c r="Y210" s="196" t="s">
        <v>1014</v>
      </c>
    </row>
    <row r="211" spans="1:25">
      <c r="A211" s="196" t="s">
        <v>837</v>
      </c>
      <c r="B211" s="196" t="s">
        <v>838</v>
      </c>
      <c r="C211" s="196">
        <v>2014</v>
      </c>
      <c r="D211" s="196">
        <v>55</v>
      </c>
      <c r="E211" s="196" t="s">
        <v>854</v>
      </c>
      <c r="F211" s="196" t="s">
        <v>1008</v>
      </c>
      <c r="G211" s="196">
        <v>1</v>
      </c>
      <c r="H211" s="196">
        <v>1</v>
      </c>
      <c r="I211" s="196">
        <v>1008</v>
      </c>
      <c r="J211" s="196">
        <v>69322</v>
      </c>
      <c r="K211" s="196">
        <v>96.75</v>
      </c>
      <c r="L211" s="196">
        <v>0.01</v>
      </c>
      <c r="M211" s="196">
        <v>58369</v>
      </c>
      <c r="N211" s="196">
        <v>2048210</v>
      </c>
      <c r="O211" s="196">
        <v>1765</v>
      </c>
      <c r="P211" s="196" t="s">
        <v>1009</v>
      </c>
      <c r="Q211" s="196" t="s">
        <v>1010</v>
      </c>
      <c r="R211" s="196" t="s">
        <v>1011</v>
      </c>
      <c r="S211" s="196" t="s">
        <v>844</v>
      </c>
      <c r="T211" s="196" t="s">
        <v>900</v>
      </c>
      <c r="U211" s="196" t="s">
        <v>901</v>
      </c>
      <c r="V211" s="196" t="s">
        <v>1012</v>
      </c>
      <c r="W211" s="196" t="s">
        <v>1013</v>
      </c>
      <c r="X211" s="196" t="s">
        <v>1010</v>
      </c>
      <c r="Y211" s="196" t="s">
        <v>1014</v>
      </c>
    </row>
    <row r="212" spans="1:25">
      <c r="A212" s="196" t="s">
        <v>837</v>
      </c>
      <c r="B212" s="196" t="s">
        <v>181</v>
      </c>
      <c r="C212" s="196">
        <v>2014</v>
      </c>
      <c r="D212" s="196">
        <v>55</v>
      </c>
      <c r="E212" s="196" t="s">
        <v>859</v>
      </c>
      <c r="F212" s="196" t="s">
        <v>1008</v>
      </c>
      <c r="G212" s="196">
        <v>1</v>
      </c>
      <c r="H212" s="196">
        <v>1</v>
      </c>
      <c r="I212" s="196">
        <v>1578</v>
      </c>
      <c r="J212" s="196">
        <v>57231</v>
      </c>
      <c r="K212" s="196">
        <v>96.75</v>
      </c>
      <c r="L212" s="196">
        <v>0.01</v>
      </c>
      <c r="M212" s="196">
        <v>58369</v>
      </c>
      <c r="N212" s="196">
        <v>2048210</v>
      </c>
      <c r="O212" s="196">
        <v>1765</v>
      </c>
      <c r="P212" s="196" t="s">
        <v>1009</v>
      </c>
      <c r="Q212" s="196" t="s">
        <v>1010</v>
      </c>
      <c r="R212" s="196" t="s">
        <v>1011</v>
      </c>
      <c r="S212" s="196" t="s">
        <v>844</v>
      </c>
      <c r="T212" s="196" t="s">
        <v>900</v>
      </c>
      <c r="U212" s="196" t="s">
        <v>901</v>
      </c>
      <c r="V212" s="196" t="s">
        <v>1012</v>
      </c>
      <c r="W212" s="196" t="s">
        <v>1013</v>
      </c>
      <c r="X212" s="196" t="s">
        <v>1010</v>
      </c>
      <c r="Y212" s="196" t="s">
        <v>1014</v>
      </c>
    </row>
    <row r="213" spans="1:25">
      <c r="A213" s="196" t="s">
        <v>837</v>
      </c>
      <c r="B213" s="196" t="s">
        <v>850</v>
      </c>
      <c r="C213" s="196">
        <v>2014</v>
      </c>
      <c r="D213" s="196">
        <v>30</v>
      </c>
      <c r="E213" s="196" t="s">
        <v>861</v>
      </c>
      <c r="F213" s="196" t="s">
        <v>1008</v>
      </c>
      <c r="G213" s="196">
        <v>1</v>
      </c>
      <c r="H213" s="196">
        <v>1</v>
      </c>
      <c r="I213" s="196">
        <v>2820</v>
      </c>
      <c r="J213" s="196">
        <v>69322</v>
      </c>
      <c r="K213" s="196">
        <v>96.75</v>
      </c>
      <c r="L213" s="196">
        <v>0.01</v>
      </c>
      <c r="M213" s="196">
        <v>58369</v>
      </c>
      <c r="N213" s="196">
        <v>2048210</v>
      </c>
      <c r="O213" s="196">
        <v>1765</v>
      </c>
      <c r="P213" s="196" t="s">
        <v>1009</v>
      </c>
      <c r="Q213" s="196" t="s">
        <v>1010</v>
      </c>
      <c r="R213" s="196" t="s">
        <v>1011</v>
      </c>
      <c r="S213" s="196" t="s">
        <v>844</v>
      </c>
      <c r="T213" s="196" t="s">
        <v>900</v>
      </c>
      <c r="U213" s="196" t="s">
        <v>901</v>
      </c>
      <c r="V213" s="196" t="s">
        <v>1012</v>
      </c>
      <c r="W213" s="196" t="s">
        <v>1013</v>
      </c>
      <c r="X213" s="196" t="s">
        <v>1010</v>
      </c>
      <c r="Y213" s="196" t="s">
        <v>1014</v>
      </c>
    </row>
    <row r="214" spans="1:25">
      <c r="A214" s="196" t="s">
        <v>837</v>
      </c>
      <c r="B214" s="196" t="s">
        <v>838</v>
      </c>
      <c r="C214" s="196">
        <v>2013</v>
      </c>
      <c r="D214" s="196">
        <v>30</v>
      </c>
      <c r="E214" s="196" t="s">
        <v>839</v>
      </c>
      <c r="F214" s="196" t="s">
        <v>1015</v>
      </c>
      <c r="G214" s="196">
        <v>9</v>
      </c>
      <c r="H214" s="196">
        <v>9</v>
      </c>
      <c r="I214" s="196">
        <v>17208</v>
      </c>
      <c r="J214" s="196">
        <v>238379</v>
      </c>
      <c r="K214" s="196">
        <v>90.46</v>
      </c>
      <c r="L214" s="196">
        <v>1.72</v>
      </c>
      <c r="M214" s="196">
        <v>15205</v>
      </c>
      <c r="N214" s="196">
        <v>3961409</v>
      </c>
      <c r="O214" s="196">
        <v>3105</v>
      </c>
      <c r="P214" s="196" t="s">
        <v>1016</v>
      </c>
      <c r="Q214" s="196" t="s">
        <v>841</v>
      </c>
      <c r="R214" s="196" t="s">
        <v>1007</v>
      </c>
      <c r="S214" s="196" t="s">
        <v>844</v>
      </c>
      <c r="T214" s="196" t="s">
        <v>845</v>
      </c>
      <c r="U214" s="196" t="s">
        <v>846</v>
      </c>
      <c r="V214" s="196" t="s">
        <v>841</v>
      </c>
      <c r="W214" s="196" t="s">
        <v>1017</v>
      </c>
      <c r="X214" s="196" t="s">
        <v>848</v>
      </c>
      <c r="Y214" s="196" t="s">
        <v>848</v>
      </c>
    </row>
    <row r="215" spans="1:25">
      <c r="A215" s="196" t="s">
        <v>837</v>
      </c>
      <c r="B215" s="196" t="s">
        <v>838</v>
      </c>
      <c r="C215" s="196">
        <v>2013</v>
      </c>
      <c r="D215" s="196">
        <v>55</v>
      </c>
      <c r="E215" s="196" t="s">
        <v>849</v>
      </c>
      <c r="F215" s="196" t="s">
        <v>1015</v>
      </c>
      <c r="G215" s="196">
        <v>2</v>
      </c>
      <c r="H215" s="196">
        <v>2</v>
      </c>
      <c r="I215" s="196">
        <v>2670</v>
      </c>
      <c r="J215" s="196">
        <v>34666</v>
      </c>
      <c r="K215" s="196">
        <v>90.46</v>
      </c>
      <c r="L215" s="196">
        <v>1.72</v>
      </c>
      <c r="M215" s="196">
        <v>15205</v>
      </c>
      <c r="N215" s="196">
        <v>3961409</v>
      </c>
      <c r="O215" s="196">
        <v>3105</v>
      </c>
      <c r="P215" s="196" t="s">
        <v>1016</v>
      </c>
      <c r="Q215" s="196" t="s">
        <v>841</v>
      </c>
      <c r="R215" s="196" t="s">
        <v>1007</v>
      </c>
      <c r="S215" s="196" t="s">
        <v>844</v>
      </c>
      <c r="T215" s="196" t="s">
        <v>845</v>
      </c>
      <c r="U215" s="196" t="s">
        <v>846</v>
      </c>
      <c r="V215" s="196" t="s">
        <v>841</v>
      </c>
      <c r="W215" s="196" t="s">
        <v>1017</v>
      </c>
      <c r="X215" s="196" t="s">
        <v>848</v>
      </c>
      <c r="Y215" s="196" t="s">
        <v>848</v>
      </c>
    </row>
    <row r="216" spans="1:25">
      <c r="A216" s="196" t="s">
        <v>837</v>
      </c>
      <c r="B216" s="196" t="s">
        <v>850</v>
      </c>
      <c r="C216" s="196">
        <v>2013</v>
      </c>
      <c r="D216" s="196">
        <v>30</v>
      </c>
      <c r="E216" s="196" t="s">
        <v>851</v>
      </c>
      <c r="F216" s="196" t="s">
        <v>1015</v>
      </c>
      <c r="G216" s="196">
        <v>4</v>
      </c>
      <c r="H216" s="196">
        <v>4</v>
      </c>
      <c r="I216" s="196">
        <v>6119</v>
      </c>
      <c r="J216" s="196">
        <v>85013</v>
      </c>
      <c r="K216" s="196">
        <v>90.46</v>
      </c>
      <c r="L216" s="196">
        <v>1.72</v>
      </c>
      <c r="M216" s="196">
        <v>15205</v>
      </c>
      <c r="N216" s="196">
        <v>3961409</v>
      </c>
      <c r="O216" s="196">
        <v>3105</v>
      </c>
      <c r="P216" s="196" t="s">
        <v>1016</v>
      </c>
      <c r="Q216" s="196" t="s">
        <v>841</v>
      </c>
      <c r="R216" s="196" t="s">
        <v>1007</v>
      </c>
      <c r="S216" s="196" t="s">
        <v>844</v>
      </c>
      <c r="T216" s="196" t="s">
        <v>845</v>
      </c>
      <c r="U216" s="196" t="s">
        <v>846</v>
      </c>
      <c r="V216" s="196" t="s">
        <v>841</v>
      </c>
      <c r="W216" s="196" t="s">
        <v>1017</v>
      </c>
      <c r="X216" s="196" t="s">
        <v>848</v>
      </c>
      <c r="Y216" s="196" t="s">
        <v>848</v>
      </c>
    </row>
    <row r="217" spans="1:25">
      <c r="A217" s="196" t="s">
        <v>837</v>
      </c>
      <c r="B217" s="196" t="s">
        <v>850</v>
      </c>
      <c r="C217" s="196">
        <v>2013</v>
      </c>
      <c r="D217" s="196">
        <v>55</v>
      </c>
      <c r="E217" s="196" t="s">
        <v>852</v>
      </c>
      <c r="F217" s="196" t="s">
        <v>1015</v>
      </c>
      <c r="G217" s="196">
        <v>3</v>
      </c>
      <c r="H217" s="196">
        <v>3</v>
      </c>
      <c r="I217" s="196">
        <v>5100</v>
      </c>
      <c r="J217" s="196">
        <v>141229</v>
      </c>
      <c r="K217" s="196">
        <v>90.46</v>
      </c>
      <c r="L217" s="196">
        <v>1.72</v>
      </c>
      <c r="M217" s="196">
        <v>15205</v>
      </c>
      <c r="N217" s="196">
        <v>3961409</v>
      </c>
      <c r="O217" s="196">
        <v>3105</v>
      </c>
      <c r="P217" s="196" t="s">
        <v>1016</v>
      </c>
      <c r="Q217" s="196" t="s">
        <v>841</v>
      </c>
      <c r="R217" s="196" t="s">
        <v>1007</v>
      </c>
      <c r="S217" s="196" t="s">
        <v>844</v>
      </c>
      <c r="T217" s="196" t="s">
        <v>845</v>
      </c>
      <c r="U217" s="196" t="s">
        <v>846</v>
      </c>
      <c r="V217" s="196" t="s">
        <v>841</v>
      </c>
      <c r="W217" s="196" t="s">
        <v>1017</v>
      </c>
      <c r="X217" s="196" t="s">
        <v>848</v>
      </c>
      <c r="Y217" s="196" t="s">
        <v>848</v>
      </c>
    </row>
    <row r="218" spans="1:25">
      <c r="A218" s="196" t="s">
        <v>837</v>
      </c>
      <c r="B218" s="196" t="s">
        <v>850</v>
      </c>
      <c r="C218" s="196">
        <v>2013</v>
      </c>
      <c r="D218" s="196">
        <v>80</v>
      </c>
      <c r="E218" s="196" t="s">
        <v>917</v>
      </c>
      <c r="F218" s="196" t="s">
        <v>1015</v>
      </c>
      <c r="G218" s="196">
        <v>1</v>
      </c>
      <c r="H218" s="196">
        <v>1</v>
      </c>
      <c r="I218" s="196">
        <v>2583</v>
      </c>
      <c r="J218" s="196">
        <v>20599</v>
      </c>
      <c r="K218" s="196">
        <v>90.46</v>
      </c>
      <c r="L218" s="196">
        <v>1.72</v>
      </c>
      <c r="M218" s="196">
        <v>15205</v>
      </c>
      <c r="N218" s="196">
        <v>3961409</v>
      </c>
      <c r="O218" s="196">
        <v>3105</v>
      </c>
      <c r="P218" s="196" t="s">
        <v>1016</v>
      </c>
      <c r="Q218" s="196" t="s">
        <v>841</v>
      </c>
      <c r="R218" s="196" t="s">
        <v>1007</v>
      </c>
      <c r="S218" s="196" t="s">
        <v>844</v>
      </c>
      <c r="T218" s="196" t="s">
        <v>845</v>
      </c>
      <c r="U218" s="196" t="s">
        <v>846</v>
      </c>
      <c r="V218" s="196" t="s">
        <v>841</v>
      </c>
      <c r="W218" s="196" t="s">
        <v>1017</v>
      </c>
      <c r="X218" s="196" t="s">
        <v>848</v>
      </c>
      <c r="Y218" s="196" t="s">
        <v>848</v>
      </c>
    </row>
    <row r="219" spans="1:25">
      <c r="A219" s="196" t="s">
        <v>837</v>
      </c>
      <c r="B219" s="196" t="s">
        <v>181</v>
      </c>
      <c r="C219" s="196">
        <v>2014</v>
      </c>
      <c r="D219" s="196">
        <v>80</v>
      </c>
      <c r="E219" s="196" t="s">
        <v>874</v>
      </c>
      <c r="F219" s="196" t="s">
        <v>1015</v>
      </c>
      <c r="G219" s="196">
        <v>4</v>
      </c>
      <c r="H219" s="196">
        <v>4</v>
      </c>
      <c r="I219" s="196">
        <v>5961</v>
      </c>
      <c r="J219" s="196">
        <v>133145</v>
      </c>
      <c r="K219" s="196">
        <v>90.46</v>
      </c>
      <c r="L219" s="196">
        <v>1.72</v>
      </c>
      <c r="M219" s="196">
        <v>15205</v>
      </c>
      <c r="N219" s="196">
        <v>3961409</v>
      </c>
      <c r="O219" s="196">
        <v>3105</v>
      </c>
      <c r="P219" s="196" t="s">
        <v>1016</v>
      </c>
      <c r="Q219" s="196" t="s">
        <v>841</v>
      </c>
      <c r="R219" s="196" t="s">
        <v>1007</v>
      </c>
      <c r="S219" s="196" t="s">
        <v>844</v>
      </c>
      <c r="T219" s="196" t="s">
        <v>845</v>
      </c>
      <c r="U219" s="196" t="s">
        <v>846</v>
      </c>
      <c r="V219" s="196" t="s">
        <v>841</v>
      </c>
      <c r="W219" s="196" t="s">
        <v>1017</v>
      </c>
      <c r="X219" s="196" t="s">
        <v>848</v>
      </c>
      <c r="Y219" s="196" t="s">
        <v>848</v>
      </c>
    </row>
    <row r="220" spans="1:25">
      <c r="A220" s="196" t="s">
        <v>837</v>
      </c>
      <c r="B220" s="196" t="s">
        <v>838</v>
      </c>
      <c r="C220" s="196">
        <v>2013</v>
      </c>
      <c r="D220" s="196">
        <v>80</v>
      </c>
      <c r="E220" s="196" t="s">
        <v>908</v>
      </c>
      <c r="F220" s="196" t="s">
        <v>1015</v>
      </c>
      <c r="G220" s="196">
        <v>2</v>
      </c>
      <c r="H220" s="196">
        <v>2</v>
      </c>
      <c r="I220" s="196">
        <v>3435</v>
      </c>
      <c r="J220" s="196">
        <v>82835</v>
      </c>
      <c r="K220" s="196">
        <v>90.46</v>
      </c>
      <c r="L220" s="196">
        <v>1.72</v>
      </c>
      <c r="M220" s="196">
        <v>15205</v>
      </c>
      <c r="N220" s="196">
        <v>3961409</v>
      </c>
      <c r="O220" s="196">
        <v>3105</v>
      </c>
      <c r="P220" s="196" t="s">
        <v>1016</v>
      </c>
      <c r="Q220" s="196" t="s">
        <v>841</v>
      </c>
      <c r="R220" s="196" t="s">
        <v>1007</v>
      </c>
      <c r="S220" s="196" t="s">
        <v>844</v>
      </c>
      <c r="T220" s="196" t="s">
        <v>845</v>
      </c>
      <c r="U220" s="196" t="s">
        <v>846</v>
      </c>
      <c r="V220" s="196" t="s">
        <v>841</v>
      </c>
      <c r="W220" s="196" t="s">
        <v>1017</v>
      </c>
      <c r="X220" s="196" t="s">
        <v>848</v>
      </c>
      <c r="Y220" s="196" t="s">
        <v>848</v>
      </c>
    </row>
    <row r="221" spans="1:25">
      <c r="A221" s="196" t="s">
        <v>837</v>
      </c>
      <c r="B221" s="196" t="s">
        <v>181</v>
      </c>
      <c r="C221" s="196">
        <v>2013</v>
      </c>
      <c r="D221" s="196">
        <v>80</v>
      </c>
      <c r="E221" s="196" t="s">
        <v>876</v>
      </c>
      <c r="F221" s="196" t="s">
        <v>1015</v>
      </c>
      <c r="G221" s="196">
        <v>3</v>
      </c>
      <c r="H221" s="196">
        <v>3</v>
      </c>
      <c r="I221" s="196">
        <v>12614</v>
      </c>
      <c r="J221" s="196">
        <v>98332</v>
      </c>
      <c r="K221" s="196">
        <v>90.46</v>
      </c>
      <c r="L221" s="196">
        <v>1.72</v>
      </c>
      <c r="M221" s="196">
        <v>15205</v>
      </c>
      <c r="N221" s="196">
        <v>3961409</v>
      </c>
      <c r="O221" s="196">
        <v>3105</v>
      </c>
      <c r="P221" s="196" t="s">
        <v>1016</v>
      </c>
      <c r="Q221" s="196" t="s">
        <v>841</v>
      </c>
      <c r="R221" s="196" t="s">
        <v>1007</v>
      </c>
      <c r="S221" s="196" t="s">
        <v>844</v>
      </c>
      <c r="T221" s="196" t="s">
        <v>845</v>
      </c>
      <c r="U221" s="196" t="s">
        <v>846</v>
      </c>
      <c r="V221" s="196" t="s">
        <v>841</v>
      </c>
      <c r="W221" s="196" t="s">
        <v>1017</v>
      </c>
      <c r="X221" s="196" t="s">
        <v>848</v>
      </c>
      <c r="Y221" s="196" t="s">
        <v>848</v>
      </c>
    </row>
    <row r="222" spans="1:25">
      <c r="A222" s="196" t="s">
        <v>837</v>
      </c>
      <c r="B222" s="196" t="s">
        <v>181</v>
      </c>
      <c r="C222" s="196">
        <v>2014</v>
      </c>
      <c r="D222" s="196">
        <v>30</v>
      </c>
      <c r="E222" s="196" t="s">
        <v>856</v>
      </c>
      <c r="F222" s="196" t="s">
        <v>1015</v>
      </c>
      <c r="G222" s="196">
        <v>1</v>
      </c>
      <c r="H222" s="196">
        <v>1</v>
      </c>
      <c r="I222" s="196">
        <v>2310</v>
      </c>
      <c r="J222" s="196">
        <v>21022</v>
      </c>
      <c r="K222" s="196">
        <v>90.46</v>
      </c>
      <c r="L222" s="196">
        <v>1.72</v>
      </c>
      <c r="M222" s="196">
        <v>15205</v>
      </c>
      <c r="N222" s="196">
        <v>3961409</v>
      </c>
      <c r="O222" s="196">
        <v>3105</v>
      </c>
      <c r="P222" s="196" t="s">
        <v>1016</v>
      </c>
      <c r="Q222" s="196" t="s">
        <v>841</v>
      </c>
      <c r="R222" s="196" t="s">
        <v>1007</v>
      </c>
      <c r="S222" s="196" t="s">
        <v>844</v>
      </c>
      <c r="T222" s="196" t="s">
        <v>845</v>
      </c>
      <c r="U222" s="196" t="s">
        <v>846</v>
      </c>
      <c r="V222" s="196" t="s">
        <v>841</v>
      </c>
      <c r="W222" s="196" t="s">
        <v>1017</v>
      </c>
      <c r="X222" s="196" t="s">
        <v>848</v>
      </c>
      <c r="Y222" s="196" t="s">
        <v>848</v>
      </c>
    </row>
    <row r="223" spans="1:25">
      <c r="A223" s="196" t="s">
        <v>837</v>
      </c>
      <c r="B223" s="196" t="s">
        <v>181</v>
      </c>
      <c r="C223" s="196">
        <v>2014</v>
      </c>
      <c r="D223" s="196">
        <v>55</v>
      </c>
      <c r="E223" s="196" t="s">
        <v>858</v>
      </c>
      <c r="F223" s="196" t="s">
        <v>1015</v>
      </c>
      <c r="G223" s="196">
        <v>2</v>
      </c>
      <c r="H223" s="196">
        <v>2</v>
      </c>
      <c r="I223" s="196">
        <v>4413</v>
      </c>
      <c r="J223" s="196">
        <v>26584</v>
      </c>
      <c r="K223" s="196">
        <v>90.46</v>
      </c>
      <c r="L223" s="196">
        <v>1.72</v>
      </c>
      <c r="M223" s="196">
        <v>15205</v>
      </c>
      <c r="N223" s="196">
        <v>3961409</v>
      </c>
      <c r="O223" s="196">
        <v>3105</v>
      </c>
      <c r="P223" s="196" t="s">
        <v>1016</v>
      </c>
      <c r="Q223" s="196" t="s">
        <v>841</v>
      </c>
      <c r="R223" s="196" t="s">
        <v>1007</v>
      </c>
      <c r="S223" s="196" t="s">
        <v>844</v>
      </c>
      <c r="T223" s="196" t="s">
        <v>845</v>
      </c>
      <c r="U223" s="196" t="s">
        <v>846</v>
      </c>
      <c r="V223" s="196" t="s">
        <v>841</v>
      </c>
      <c r="W223" s="196" t="s">
        <v>1017</v>
      </c>
      <c r="X223" s="196" t="s">
        <v>848</v>
      </c>
      <c r="Y223" s="196" t="s">
        <v>848</v>
      </c>
    </row>
    <row r="224" spans="1:25">
      <c r="A224" s="196" t="s">
        <v>837</v>
      </c>
      <c r="B224" s="196" t="s">
        <v>838</v>
      </c>
      <c r="C224" s="196">
        <v>2013</v>
      </c>
      <c r="D224" s="196">
        <v>30</v>
      </c>
      <c r="E224" s="196" t="s">
        <v>839</v>
      </c>
      <c r="F224" s="196" t="s">
        <v>1018</v>
      </c>
      <c r="G224" s="196">
        <v>5</v>
      </c>
      <c r="H224" s="196">
        <v>5</v>
      </c>
      <c r="I224" s="196">
        <v>4977</v>
      </c>
      <c r="J224" s="196">
        <v>22244</v>
      </c>
      <c r="K224" s="196">
        <v>94.45</v>
      </c>
      <c r="L224" s="196">
        <v>14.75</v>
      </c>
      <c r="M224" s="196">
        <v>6973</v>
      </c>
      <c r="N224" s="196">
        <v>1603852</v>
      </c>
      <c r="O224" s="196">
        <v>1809</v>
      </c>
      <c r="P224" s="196" t="s">
        <v>901</v>
      </c>
      <c r="Q224" s="196" t="s">
        <v>901</v>
      </c>
      <c r="R224" s="196" t="s">
        <v>1019</v>
      </c>
      <c r="S224" s="196" t="s">
        <v>844</v>
      </c>
      <c r="T224" s="196" t="s">
        <v>900</v>
      </c>
      <c r="U224" s="196" t="s">
        <v>901</v>
      </c>
      <c r="V224" s="196" t="s">
        <v>1020</v>
      </c>
      <c r="W224" s="196" t="s">
        <v>848</v>
      </c>
      <c r="X224" s="196" t="s">
        <v>848</v>
      </c>
      <c r="Y224" s="196" t="s">
        <v>848</v>
      </c>
    </row>
    <row r="225" spans="1:25">
      <c r="A225" s="196" t="s">
        <v>837</v>
      </c>
      <c r="B225" s="196" t="s">
        <v>838</v>
      </c>
      <c r="C225" s="196">
        <v>2013</v>
      </c>
      <c r="D225" s="196">
        <v>55</v>
      </c>
      <c r="E225" s="196" t="s">
        <v>849</v>
      </c>
      <c r="F225" s="196" t="s">
        <v>1018</v>
      </c>
      <c r="G225" s="196">
        <v>4</v>
      </c>
      <c r="H225" s="196">
        <v>4</v>
      </c>
      <c r="I225" s="196">
        <v>3474</v>
      </c>
      <c r="J225" s="196">
        <v>25005</v>
      </c>
      <c r="K225" s="196">
        <v>94.45</v>
      </c>
      <c r="L225" s="196">
        <v>14.75</v>
      </c>
      <c r="M225" s="196">
        <v>6973</v>
      </c>
      <c r="N225" s="196">
        <v>1603852</v>
      </c>
      <c r="O225" s="196">
        <v>1809</v>
      </c>
      <c r="P225" s="196" t="s">
        <v>901</v>
      </c>
      <c r="Q225" s="196" t="s">
        <v>901</v>
      </c>
      <c r="R225" s="196" t="s">
        <v>1019</v>
      </c>
      <c r="S225" s="196" t="s">
        <v>844</v>
      </c>
      <c r="T225" s="196" t="s">
        <v>900</v>
      </c>
      <c r="U225" s="196" t="s">
        <v>901</v>
      </c>
      <c r="V225" s="196" t="s">
        <v>1020</v>
      </c>
      <c r="W225" s="196" t="s">
        <v>848</v>
      </c>
      <c r="X225" s="196" t="s">
        <v>848</v>
      </c>
      <c r="Y225" s="196" t="s">
        <v>848</v>
      </c>
    </row>
    <row r="226" spans="1:25">
      <c r="A226" s="196" t="s">
        <v>837</v>
      </c>
      <c r="B226" s="196" t="s">
        <v>850</v>
      </c>
      <c r="C226" s="196">
        <v>2013</v>
      </c>
      <c r="D226" s="196">
        <v>30</v>
      </c>
      <c r="E226" s="196" t="s">
        <v>851</v>
      </c>
      <c r="F226" s="196" t="s">
        <v>1018</v>
      </c>
      <c r="G226" s="196">
        <v>5</v>
      </c>
      <c r="H226" s="196">
        <v>4</v>
      </c>
      <c r="I226" s="196">
        <v>2606</v>
      </c>
      <c r="J226" s="196">
        <v>30758</v>
      </c>
      <c r="K226" s="196">
        <v>94.45</v>
      </c>
      <c r="L226" s="196">
        <v>14.75</v>
      </c>
      <c r="M226" s="196">
        <v>6973</v>
      </c>
      <c r="N226" s="196">
        <v>1603852</v>
      </c>
      <c r="O226" s="196">
        <v>1809</v>
      </c>
      <c r="P226" s="196" t="s">
        <v>901</v>
      </c>
      <c r="Q226" s="196" t="s">
        <v>901</v>
      </c>
      <c r="R226" s="196" t="s">
        <v>1019</v>
      </c>
      <c r="S226" s="196" t="s">
        <v>844</v>
      </c>
      <c r="T226" s="196" t="s">
        <v>900</v>
      </c>
      <c r="U226" s="196" t="s">
        <v>901</v>
      </c>
      <c r="V226" s="196" t="s">
        <v>1020</v>
      </c>
      <c r="W226" s="196" t="s">
        <v>848</v>
      </c>
      <c r="X226" s="196" t="s">
        <v>848</v>
      </c>
      <c r="Y226" s="196" t="s">
        <v>848</v>
      </c>
    </row>
    <row r="227" spans="1:25">
      <c r="A227" s="196" t="s">
        <v>837</v>
      </c>
      <c r="B227" s="196" t="s">
        <v>181</v>
      </c>
      <c r="C227" s="196">
        <v>2014</v>
      </c>
      <c r="D227" s="196">
        <v>80</v>
      </c>
      <c r="E227" s="196" t="s">
        <v>874</v>
      </c>
      <c r="F227" s="196" t="s">
        <v>1018</v>
      </c>
      <c r="G227" s="196">
        <v>1</v>
      </c>
      <c r="H227" s="196">
        <v>1</v>
      </c>
      <c r="I227" s="196">
        <v>615</v>
      </c>
      <c r="J227" s="196">
        <v>13861</v>
      </c>
      <c r="K227" s="196">
        <v>94.45</v>
      </c>
      <c r="L227" s="196">
        <v>14.75</v>
      </c>
      <c r="M227" s="196">
        <v>6973</v>
      </c>
      <c r="N227" s="196">
        <v>1603852</v>
      </c>
      <c r="O227" s="196">
        <v>1809</v>
      </c>
      <c r="P227" s="196" t="s">
        <v>901</v>
      </c>
      <c r="Q227" s="196" t="s">
        <v>901</v>
      </c>
      <c r="R227" s="196" t="s">
        <v>1019</v>
      </c>
      <c r="S227" s="196" t="s">
        <v>844</v>
      </c>
      <c r="T227" s="196" t="s">
        <v>900</v>
      </c>
      <c r="U227" s="196" t="s">
        <v>901</v>
      </c>
      <c r="V227" s="196" t="s">
        <v>1020</v>
      </c>
      <c r="W227" s="196" t="s">
        <v>848</v>
      </c>
      <c r="X227" s="196" t="s">
        <v>848</v>
      </c>
      <c r="Y227" s="196" t="s">
        <v>848</v>
      </c>
    </row>
    <row r="228" spans="1:25">
      <c r="A228" s="196" t="s">
        <v>837</v>
      </c>
      <c r="B228" s="196" t="s">
        <v>838</v>
      </c>
      <c r="C228" s="196">
        <v>2014</v>
      </c>
      <c r="D228" s="196">
        <v>55</v>
      </c>
      <c r="E228" s="196" t="s">
        <v>854</v>
      </c>
      <c r="F228" s="196" t="s">
        <v>1018</v>
      </c>
      <c r="G228" s="196">
        <v>2</v>
      </c>
      <c r="H228" s="196">
        <v>2</v>
      </c>
      <c r="I228" s="196">
        <v>1146</v>
      </c>
      <c r="J228" s="196">
        <v>24773</v>
      </c>
      <c r="K228" s="196">
        <v>94.45</v>
      </c>
      <c r="L228" s="196">
        <v>14.75</v>
      </c>
      <c r="M228" s="196">
        <v>6973</v>
      </c>
      <c r="N228" s="196">
        <v>1603852</v>
      </c>
      <c r="O228" s="196">
        <v>1809</v>
      </c>
      <c r="P228" s="196" t="s">
        <v>901</v>
      </c>
      <c r="Q228" s="196" t="s">
        <v>901</v>
      </c>
      <c r="R228" s="196" t="s">
        <v>1019</v>
      </c>
      <c r="S228" s="196" t="s">
        <v>844</v>
      </c>
      <c r="T228" s="196" t="s">
        <v>900</v>
      </c>
      <c r="U228" s="196" t="s">
        <v>901</v>
      </c>
      <c r="V228" s="196" t="s">
        <v>1020</v>
      </c>
      <c r="W228" s="196" t="s">
        <v>848</v>
      </c>
      <c r="X228" s="196" t="s">
        <v>848</v>
      </c>
      <c r="Y228" s="196" t="s">
        <v>848</v>
      </c>
    </row>
    <row r="229" spans="1:25">
      <c r="A229" s="196" t="s">
        <v>837</v>
      </c>
      <c r="B229" s="196" t="s">
        <v>838</v>
      </c>
      <c r="C229" s="196">
        <v>2014</v>
      </c>
      <c r="D229" s="196">
        <v>55</v>
      </c>
      <c r="E229" s="196" t="s">
        <v>855</v>
      </c>
      <c r="F229" s="196" t="s">
        <v>1018</v>
      </c>
      <c r="G229" s="196">
        <v>5</v>
      </c>
      <c r="H229" s="196">
        <v>4</v>
      </c>
      <c r="I229" s="196">
        <v>5406</v>
      </c>
      <c r="J229" s="196">
        <v>25765</v>
      </c>
      <c r="K229" s="196">
        <v>94.45</v>
      </c>
      <c r="L229" s="196">
        <v>14.75</v>
      </c>
      <c r="M229" s="196">
        <v>6973</v>
      </c>
      <c r="N229" s="196">
        <v>1603852</v>
      </c>
      <c r="O229" s="196">
        <v>1809</v>
      </c>
      <c r="P229" s="196" t="s">
        <v>901</v>
      </c>
      <c r="Q229" s="196" t="s">
        <v>901</v>
      </c>
      <c r="R229" s="196" t="s">
        <v>1019</v>
      </c>
      <c r="S229" s="196" t="s">
        <v>844</v>
      </c>
      <c r="T229" s="196" t="s">
        <v>900</v>
      </c>
      <c r="U229" s="196" t="s">
        <v>901</v>
      </c>
      <c r="V229" s="196" t="s">
        <v>1020</v>
      </c>
      <c r="W229" s="196" t="s">
        <v>848</v>
      </c>
      <c r="X229" s="196" t="s">
        <v>848</v>
      </c>
      <c r="Y229" s="196" t="s">
        <v>848</v>
      </c>
    </row>
    <row r="230" spans="1:25">
      <c r="A230" s="196" t="s">
        <v>837</v>
      </c>
      <c r="B230" s="196" t="s">
        <v>181</v>
      </c>
      <c r="C230" s="196">
        <v>2014</v>
      </c>
      <c r="D230" s="196">
        <v>30</v>
      </c>
      <c r="E230" s="196" t="s">
        <v>856</v>
      </c>
      <c r="F230" s="196" t="s">
        <v>1018</v>
      </c>
      <c r="G230" s="196">
        <v>1</v>
      </c>
      <c r="H230" s="196">
        <v>1</v>
      </c>
      <c r="I230" s="196">
        <v>672</v>
      </c>
      <c r="J230" s="196">
        <v>10883</v>
      </c>
      <c r="K230" s="196">
        <v>94.45</v>
      </c>
      <c r="L230" s="196">
        <v>14.75</v>
      </c>
      <c r="M230" s="196">
        <v>6973</v>
      </c>
      <c r="N230" s="196">
        <v>1603852</v>
      </c>
      <c r="O230" s="196">
        <v>1809</v>
      </c>
      <c r="P230" s="196" t="s">
        <v>901</v>
      </c>
      <c r="Q230" s="196" t="s">
        <v>901</v>
      </c>
      <c r="R230" s="196" t="s">
        <v>1019</v>
      </c>
      <c r="S230" s="196" t="s">
        <v>844</v>
      </c>
      <c r="T230" s="196" t="s">
        <v>900</v>
      </c>
      <c r="U230" s="196" t="s">
        <v>901</v>
      </c>
      <c r="V230" s="196" t="s">
        <v>1020</v>
      </c>
      <c r="W230" s="196" t="s">
        <v>848</v>
      </c>
      <c r="X230" s="196" t="s">
        <v>848</v>
      </c>
      <c r="Y230" s="196" t="s">
        <v>848</v>
      </c>
    </row>
    <row r="231" spans="1:25">
      <c r="A231" s="196" t="s">
        <v>837</v>
      </c>
      <c r="B231" s="196" t="s">
        <v>181</v>
      </c>
      <c r="C231" s="196">
        <v>2014</v>
      </c>
      <c r="D231" s="196">
        <v>55</v>
      </c>
      <c r="E231" s="196" t="s">
        <v>858</v>
      </c>
      <c r="F231" s="196" t="s">
        <v>1018</v>
      </c>
      <c r="G231" s="196">
        <v>3</v>
      </c>
      <c r="H231" s="196">
        <v>3</v>
      </c>
      <c r="I231" s="196">
        <v>3279</v>
      </c>
      <c r="J231" s="196">
        <v>30606</v>
      </c>
      <c r="K231" s="196">
        <v>94.45</v>
      </c>
      <c r="L231" s="196">
        <v>14.75</v>
      </c>
      <c r="M231" s="196">
        <v>6973</v>
      </c>
      <c r="N231" s="196">
        <v>1603852</v>
      </c>
      <c r="O231" s="196">
        <v>1809</v>
      </c>
      <c r="P231" s="196" t="s">
        <v>901</v>
      </c>
      <c r="Q231" s="196" t="s">
        <v>901</v>
      </c>
      <c r="R231" s="196" t="s">
        <v>1019</v>
      </c>
      <c r="S231" s="196" t="s">
        <v>844</v>
      </c>
      <c r="T231" s="196" t="s">
        <v>900</v>
      </c>
      <c r="U231" s="196" t="s">
        <v>901</v>
      </c>
      <c r="V231" s="196" t="s">
        <v>1020</v>
      </c>
      <c r="W231" s="196" t="s">
        <v>848</v>
      </c>
      <c r="X231" s="196" t="s">
        <v>848</v>
      </c>
      <c r="Y231" s="196" t="s">
        <v>848</v>
      </c>
    </row>
    <row r="232" spans="1:25">
      <c r="A232" s="196" t="s">
        <v>837</v>
      </c>
      <c r="B232" s="196" t="s">
        <v>850</v>
      </c>
      <c r="C232" s="196">
        <v>2014</v>
      </c>
      <c r="D232" s="196">
        <v>30</v>
      </c>
      <c r="E232" s="196" t="s">
        <v>860</v>
      </c>
      <c r="F232" s="196" t="s">
        <v>1018</v>
      </c>
      <c r="G232" s="196">
        <v>2</v>
      </c>
      <c r="H232" s="196">
        <v>2</v>
      </c>
      <c r="I232" s="196">
        <v>1194</v>
      </c>
      <c r="J232" s="196">
        <v>15432</v>
      </c>
      <c r="K232" s="196">
        <v>94.45</v>
      </c>
      <c r="L232" s="196">
        <v>14.75</v>
      </c>
      <c r="M232" s="196">
        <v>6973</v>
      </c>
      <c r="N232" s="196">
        <v>1603852</v>
      </c>
      <c r="O232" s="196">
        <v>1809</v>
      </c>
      <c r="P232" s="196" t="s">
        <v>901</v>
      </c>
      <c r="Q232" s="196" t="s">
        <v>901</v>
      </c>
      <c r="R232" s="196" t="s">
        <v>1019</v>
      </c>
      <c r="S232" s="196" t="s">
        <v>844</v>
      </c>
      <c r="T232" s="196" t="s">
        <v>900</v>
      </c>
      <c r="U232" s="196" t="s">
        <v>901</v>
      </c>
      <c r="V232" s="196" t="s">
        <v>1020</v>
      </c>
      <c r="W232" s="196" t="s">
        <v>848</v>
      </c>
      <c r="X232" s="196" t="s">
        <v>848</v>
      </c>
      <c r="Y232" s="196" t="s">
        <v>848</v>
      </c>
    </row>
    <row r="233" spans="1:25">
      <c r="A233" s="196" t="s">
        <v>837</v>
      </c>
      <c r="B233" s="196" t="s">
        <v>850</v>
      </c>
      <c r="C233" s="196">
        <v>2014</v>
      </c>
      <c r="D233" s="196">
        <v>30</v>
      </c>
      <c r="E233" s="196" t="s">
        <v>861</v>
      </c>
      <c r="F233" s="196" t="s">
        <v>1018</v>
      </c>
      <c r="G233" s="196">
        <v>2</v>
      </c>
      <c r="H233" s="196">
        <v>2</v>
      </c>
      <c r="I233" s="196">
        <v>723</v>
      </c>
      <c r="J233" s="196">
        <v>10636</v>
      </c>
      <c r="K233" s="196">
        <v>94.45</v>
      </c>
      <c r="L233" s="196">
        <v>14.75</v>
      </c>
      <c r="M233" s="196">
        <v>6973</v>
      </c>
      <c r="N233" s="196">
        <v>1603852</v>
      </c>
      <c r="O233" s="196">
        <v>1809</v>
      </c>
      <c r="P233" s="196" t="s">
        <v>901</v>
      </c>
      <c r="Q233" s="196" t="s">
        <v>901</v>
      </c>
      <c r="R233" s="196" t="s">
        <v>1019</v>
      </c>
      <c r="S233" s="196" t="s">
        <v>844</v>
      </c>
      <c r="T233" s="196" t="s">
        <v>900</v>
      </c>
      <c r="U233" s="196" t="s">
        <v>901</v>
      </c>
      <c r="V233" s="196" t="s">
        <v>1020</v>
      </c>
      <c r="W233" s="196" t="s">
        <v>848</v>
      </c>
      <c r="X233" s="196" t="s">
        <v>848</v>
      </c>
      <c r="Y233" s="196" t="s">
        <v>848</v>
      </c>
    </row>
    <row r="234" spans="1:25">
      <c r="A234" s="196" t="s">
        <v>837</v>
      </c>
      <c r="B234" s="196" t="s">
        <v>850</v>
      </c>
      <c r="C234" s="196">
        <v>2014</v>
      </c>
      <c r="D234" s="196">
        <v>55</v>
      </c>
      <c r="E234" s="196" t="s">
        <v>862</v>
      </c>
      <c r="F234" s="196" t="s">
        <v>1018</v>
      </c>
      <c r="G234" s="196">
        <v>10</v>
      </c>
      <c r="H234" s="196">
        <v>9</v>
      </c>
      <c r="I234" s="196">
        <v>10767</v>
      </c>
      <c r="J234" s="196">
        <v>60301</v>
      </c>
      <c r="K234" s="196">
        <v>94.45</v>
      </c>
      <c r="L234" s="196">
        <v>14.75</v>
      </c>
      <c r="M234" s="196">
        <v>6973</v>
      </c>
      <c r="N234" s="196">
        <v>1603852</v>
      </c>
      <c r="O234" s="196">
        <v>1809</v>
      </c>
      <c r="P234" s="196" t="s">
        <v>901</v>
      </c>
      <c r="Q234" s="196" t="s">
        <v>901</v>
      </c>
      <c r="R234" s="196" t="s">
        <v>1019</v>
      </c>
      <c r="S234" s="196" t="s">
        <v>844</v>
      </c>
      <c r="T234" s="196" t="s">
        <v>900</v>
      </c>
      <c r="U234" s="196" t="s">
        <v>901</v>
      </c>
      <c r="V234" s="196" t="s">
        <v>1020</v>
      </c>
      <c r="W234" s="196" t="s">
        <v>848</v>
      </c>
      <c r="X234" s="196" t="s">
        <v>848</v>
      </c>
      <c r="Y234" s="196" t="s">
        <v>848</v>
      </c>
    </row>
    <row r="235" spans="1:25">
      <c r="A235" s="196" t="s">
        <v>837</v>
      </c>
      <c r="B235" s="196" t="s">
        <v>850</v>
      </c>
      <c r="C235" s="196">
        <v>2013</v>
      </c>
      <c r="D235" s="196">
        <v>55</v>
      </c>
      <c r="E235" s="196" t="s">
        <v>852</v>
      </c>
      <c r="F235" s="196" t="s">
        <v>1021</v>
      </c>
      <c r="G235" s="196">
        <v>1</v>
      </c>
      <c r="H235" s="196">
        <v>1</v>
      </c>
      <c r="I235" s="196">
        <v>1881</v>
      </c>
      <c r="J235" s="196">
        <v>3732</v>
      </c>
      <c r="K235" s="196">
        <v>57.34</v>
      </c>
      <c r="L235" s="196">
        <v>2.71</v>
      </c>
      <c r="M235" s="196">
        <v>4422</v>
      </c>
      <c r="N235" s="196">
        <v>1396868</v>
      </c>
      <c r="O235" s="196">
        <v>1342</v>
      </c>
      <c r="P235" s="196" t="s">
        <v>1022</v>
      </c>
      <c r="Q235" s="196" t="s">
        <v>1023</v>
      </c>
      <c r="R235" s="196" t="s">
        <v>1024</v>
      </c>
      <c r="S235" s="196" t="s">
        <v>844</v>
      </c>
      <c r="T235" s="196" t="s">
        <v>845</v>
      </c>
      <c r="U235" s="196" t="s">
        <v>846</v>
      </c>
      <c r="V235" s="196" t="s">
        <v>841</v>
      </c>
      <c r="W235" s="196" t="s">
        <v>1025</v>
      </c>
      <c r="X235" s="196" t="s">
        <v>1023</v>
      </c>
      <c r="Y235" s="196" t="s">
        <v>848</v>
      </c>
    </row>
    <row r="236" spans="1:25">
      <c r="A236" s="196" t="s">
        <v>837</v>
      </c>
      <c r="B236" s="196" t="s">
        <v>181</v>
      </c>
      <c r="C236" s="196">
        <v>2013</v>
      </c>
      <c r="D236" s="196">
        <v>80</v>
      </c>
      <c r="E236" s="196" t="s">
        <v>876</v>
      </c>
      <c r="F236" s="196" t="s">
        <v>1021</v>
      </c>
      <c r="G236" s="196">
        <v>2</v>
      </c>
      <c r="H236" s="196">
        <v>2</v>
      </c>
      <c r="I236" s="196">
        <v>2514</v>
      </c>
      <c r="J236" s="196">
        <v>12023</v>
      </c>
      <c r="K236" s="196">
        <v>57.34</v>
      </c>
      <c r="L236" s="196">
        <v>2.71</v>
      </c>
      <c r="M236" s="196">
        <v>4422</v>
      </c>
      <c r="N236" s="196">
        <v>1396868</v>
      </c>
      <c r="O236" s="196">
        <v>1342</v>
      </c>
      <c r="P236" s="196" t="s">
        <v>1022</v>
      </c>
      <c r="Q236" s="196" t="s">
        <v>1023</v>
      </c>
      <c r="R236" s="196" t="s">
        <v>1024</v>
      </c>
      <c r="S236" s="196" t="s">
        <v>844</v>
      </c>
      <c r="T236" s="196" t="s">
        <v>845</v>
      </c>
      <c r="U236" s="196" t="s">
        <v>846</v>
      </c>
      <c r="V236" s="196" t="s">
        <v>841</v>
      </c>
      <c r="W236" s="196" t="s">
        <v>1025</v>
      </c>
      <c r="X236" s="196" t="s">
        <v>1023</v>
      </c>
      <c r="Y236" s="196" t="s">
        <v>848</v>
      </c>
    </row>
    <row r="237" spans="1:25">
      <c r="A237" s="196" t="s">
        <v>837</v>
      </c>
      <c r="B237" s="196" t="s">
        <v>850</v>
      </c>
      <c r="C237" s="196">
        <v>2014</v>
      </c>
      <c r="D237" s="196">
        <v>30</v>
      </c>
      <c r="E237" s="196" t="s">
        <v>860</v>
      </c>
      <c r="F237" s="196" t="s">
        <v>1021</v>
      </c>
      <c r="G237" s="196">
        <v>1</v>
      </c>
      <c r="H237" s="196">
        <v>1</v>
      </c>
      <c r="I237" s="196">
        <v>192</v>
      </c>
      <c r="J237" s="196">
        <v>5164</v>
      </c>
      <c r="K237" s="196">
        <v>57.34</v>
      </c>
      <c r="L237" s="196">
        <v>2.71</v>
      </c>
      <c r="M237" s="196">
        <v>4422</v>
      </c>
      <c r="N237" s="196">
        <v>1396868</v>
      </c>
      <c r="O237" s="196">
        <v>1342</v>
      </c>
      <c r="P237" s="196" t="s">
        <v>1022</v>
      </c>
      <c r="Q237" s="196" t="s">
        <v>1023</v>
      </c>
      <c r="R237" s="196" t="s">
        <v>1024</v>
      </c>
      <c r="S237" s="196" t="s">
        <v>844</v>
      </c>
      <c r="T237" s="196" t="s">
        <v>845</v>
      </c>
      <c r="U237" s="196" t="s">
        <v>846</v>
      </c>
      <c r="V237" s="196" t="s">
        <v>841</v>
      </c>
      <c r="W237" s="196" t="s">
        <v>1025</v>
      </c>
      <c r="X237" s="196" t="s">
        <v>1023</v>
      </c>
      <c r="Y237" s="196" t="s">
        <v>848</v>
      </c>
    </row>
    <row r="238" spans="1:25">
      <c r="A238" s="196" t="s">
        <v>837</v>
      </c>
      <c r="B238" s="196" t="s">
        <v>838</v>
      </c>
      <c r="C238" s="196">
        <v>2013</v>
      </c>
      <c r="D238" s="196">
        <v>30</v>
      </c>
      <c r="E238" s="196" t="s">
        <v>839</v>
      </c>
      <c r="F238" s="196" t="s">
        <v>1026</v>
      </c>
      <c r="G238" s="196">
        <v>3</v>
      </c>
      <c r="H238" s="196">
        <v>3</v>
      </c>
      <c r="I238" s="196">
        <v>7182</v>
      </c>
      <c r="J238" s="196">
        <v>33549</v>
      </c>
      <c r="K238" s="196">
        <v>86.16</v>
      </c>
      <c r="L238" s="196">
        <v>2.81</v>
      </c>
      <c r="M238" s="196">
        <v>8356</v>
      </c>
      <c r="N238" s="196">
        <v>3434527</v>
      </c>
      <c r="O238" s="196">
        <v>3090</v>
      </c>
      <c r="P238" s="196" t="s">
        <v>878</v>
      </c>
      <c r="Q238" s="196" t="s">
        <v>935</v>
      </c>
      <c r="R238" s="196" t="s">
        <v>936</v>
      </c>
      <c r="S238" s="196" t="s">
        <v>844</v>
      </c>
      <c r="T238" s="196" t="s">
        <v>937</v>
      </c>
      <c r="U238" s="196" t="s">
        <v>938</v>
      </c>
      <c r="V238" s="196" t="s">
        <v>935</v>
      </c>
      <c r="W238" s="196" t="s">
        <v>1027</v>
      </c>
      <c r="X238" s="196" t="s">
        <v>1028</v>
      </c>
      <c r="Y238" s="196" t="s">
        <v>848</v>
      </c>
    </row>
    <row r="239" spans="1:25">
      <c r="A239" s="196" t="s">
        <v>837</v>
      </c>
      <c r="B239" s="196" t="s">
        <v>838</v>
      </c>
      <c r="C239" s="196">
        <v>2013</v>
      </c>
      <c r="D239" s="196">
        <v>55</v>
      </c>
      <c r="E239" s="196" t="s">
        <v>849</v>
      </c>
      <c r="F239" s="196" t="s">
        <v>1026</v>
      </c>
      <c r="G239" s="196">
        <v>5</v>
      </c>
      <c r="H239" s="196">
        <v>5</v>
      </c>
      <c r="I239" s="196">
        <v>7629</v>
      </c>
      <c r="J239" s="196">
        <v>49180</v>
      </c>
      <c r="K239" s="196">
        <v>86.16</v>
      </c>
      <c r="L239" s="196">
        <v>2.81</v>
      </c>
      <c r="M239" s="196">
        <v>8356</v>
      </c>
      <c r="N239" s="196">
        <v>3434527</v>
      </c>
      <c r="O239" s="196">
        <v>3090</v>
      </c>
      <c r="P239" s="196" t="s">
        <v>878</v>
      </c>
      <c r="Q239" s="196" t="s">
        <v>935</v>
      </c>
      <c r="R239" s="196" t="s">
        <v>936</v>
      </c>
      <c r="S239" s="196" t="s">
        <v>844</v>
      </c>
      <c r="T239" s="196" t="s">
        <v>937</v>
      </c>
      <c r="U239" s="196" t="s">
        <v>938</v>
      </c>
      <c r="V239" s="196" t="s">
        <v>935</v>
      </c>
      <c r="W239" s="196" t="s">
        <v>1027</v>
      </c>
      <c r="X239" s="196" t="s">
        <v>1028</v>
      </c>
      <c r="Y239" s="196" t="s">
        <v>848</v>
      </c>
    </row>
    <row r="240" spans="1:25">
      <c r="A240" s="196" t="s">
        <v>837</v>
      </c>
      <c r="B240" s="196" t="s">
        <v>850</v>
      </c>
      <c r="C240" s="196">
        <v>2013</v>
      </c>
      <c r="D240" s="196">
        <v>30</v>
      </c>
      <c r="E240" s="196" t="s">
        <v>851</v>
      </c>
      <c r="F240" s="196" t="s">
        <v>1026</v>
      </c>
      <c r="G240" s="196">
        <v>6</v>
      </c>
      <c r="H240" s="196">
        <v>6</v>
      </c>
      <c r="I240" s="196">
        <v>9645</v>
      </c>
      <c r="J240" s="196">
        <v>61568</v>
      </c>
      <c r="K240" s="196">
        <v>86.16</v>
      </c>
      <c r="L240" s="196">
        <v>2.81</v>
      </c>
      <c r="M240" s="196">
        <v>8356</v>
      </c>
      <c r="N240" s="196">
        <v>3434527</v>
      </c>
      <c r="O240" s="196">
        <v>3090</v>
      </c>
      <c r="P240" s="196" t="s">
        <v>878</v>
      </c>
      <c r="Q240" s="196" t="s">
        <v>935</v>
      </c>
      <c r="R240" s="196" t="s">
        <v>936</v>
      </c>
      <c r="S240" s="196" t="s">
        <v>844</v>
      </c>
      <c r="T240" s="196" t="s">
        <v>937</v>
      </c>
      <c r="U240" s="196" t="s">
        <v>938</v>
      </c>
      <c r="V240" s="196" t="s">
        <v>935</v>
      </c>
      <c r="W240" s="196" t="s">
        <v>1027</v>
      </c>
      <c r="X240" s="196" t="s">
        <v>1028</v>
      </c>
      <c r="Y240" s="196" t="s">
        <v>848</v>
      </c>
    </row>
    <row r="241" spans="1:25">
      <c r="A241" s="196" t="s">
        <v>837</v>
      </c>
      <c r="B241" s="196" t="s">
        <v>850</v>
      </c>
      <c r="C241" s="196">
        <v>2013</v>
      </c>
      <c r="D241" s="196">
        <v>55</v>
      </c>
      <c r="E241" s="196" t="s">
        <v>852</v>
      </c>
      <c r="F241" s="196" t="s">
        <v>1026</v>
      </c>
      <c r="G241" s="196">
        <v>4</v>
      </c>
      <c r="H241" s="196">
        <v>4</v>
      </c>
      <c r="I241" s="196">
        <v>6987</v>
      </c>
      <c r="J241" s="196">
        <v>31765</v>
      </c>
      <c r="K241" s="196">
        <v>86.16</v>
      </c>
      <c r="L241" s="196">
        <v>2.81</v>
      </c>
      <c r="M241" s="196">
        <v>8356</v>
      </c>
      <c r="N241" s="196">
        <v>3434527</v>
      </c>
      <c r="O241" s="196">
        <v>3090</v>
      </c>
      <c r="P241" s="196" t="s">
        <v>878</v>
      </c>
      <c r="Q241" s="196" t="s">
        <v>935</v>
      </c>
      <c r="R241" s="196" t="s">
        <v>936</v>
      </c>
      <c r="S241" s="196" t="s">
        <v>844</v>
      </c>
      <c r="T241" s="196" t="s">
        <v>937</v>
      </c>
      <c r="U241" s="196" t="s">
        <v>938</v>
      </c>
      <c r="V241" s="196" t="s">
        <v>935</v>
      </c>
      <c r="W241" s="196" t="s">
        <v>1027</v>
      </c>
      <c r="X241" s="196" t="s">
        <v>1028</v>
      </c>
      <c r="Y241" s="196" t="s">
        <v>848</v>
      </c>
    </row>
    <row r="242" spans="1:25">
      <c r="A242" s="196" t="s">
        <v>837</v>
      </c>
      <c r="B242" s="196" t="s">
        <v>850</v>
      </c>
      <c r="C242" s="196">
        <v>2013</v>
      </c>
      <c r="D242" s="196">
        <v>80</v>
      </c>
      <c r="E242" s="196" t="s">
        <v>917</v>
      </c>
      <c r="F242" s="196" t="s">
        <v>1026</v>
      </c>
      <c r="G242" s="196">
        <v>3</v>
      </c>
      <c r="H242" s="196">
        <v>3</v>
      </c>
      <c r="I242" s="196">
        <v>4629</v>
      </c>
      <c r="J242" s="196">
        <v>42280</v>
      </c>
      <c r="K242" s="196">
        <v>86.16</v>
      </c>
      <c r="L242" s="196">
        <v>2.81</v>
      </c>
      <c r="M242" s="196">
        <v>8356</v>
      </c>
      <c r="N242" s="196">
        <v>3434527</v>
      </c>
      <c r="O242" s="196">
        <v>3090</v>
      </c>
      <c r="P242" s="196" t="s">
        <v>878</v>
      </c>
      <c r="Q242" s="196" t="s">
        <v>935</v>
      </c>
      <c r="R242" s="196" t="s">
        <v>936</v>
      </c>
      <c r="S242" s="196" t="s">
        <v>844</v>
      </c>
      <c r="T242" s="196" t="s">
        <v>937</v>
      </c>
      <c r="U242" s="196" t="s">
        <v>938</v>
      </c>
      <c r="V242" s="196" t="s">
        <v>935</v>
      </c>
      <c r="W242" s="196" t="s">
        <v>1027</v>
      </c>
      <c r="X242" s="196" t="s">
        <v>1028</v>
      </c>
      <c r="Y242" s="196" t="s">
        <v>848</v>
      </c>
    </row>
    <row r="243" spans="1:25">
      <c r="A243" s="196" t="s">
        <v>837</v>
      </c>
      <c r="B243" s="196" t="s">
        <v>838</v>
      </c>
      <c r="C243" s="196">
        <v>2014</v>
      </c>
      <c r="D243" s="196">
        <v>80</v>
      </c>
      <c r="E243" s="196" t="s">
        <v>853</v>
      </c>
      <c r="F243" s="196" t="s">
        <v>1026</v>
      </c>
      <c r="G243" s="196">
        <v>1</v>
      </c>
      <c r="H243" s="196">
        <v>1</v>
      </c>
      <c r="I243" s="196">
        <v>528</v>
      </c>
      <c r="J243" s="196">
        <v>8717</v>
      </c>
      <c r="K243" s="196">
        <v>86.16</v>
      </c>
      <c r="L243" s="196">
        <v>2.81</v>
      </c>
      <c r="M243" s="196">
        <v>8356</v>
      </c>
      <c r="N243" s="196">
        <v>3434527</v>
      </c>
      <c r="O243" s="196">
        <v>3090</v>
      </c>
      <c r="P243" s="196" t="s">
        <v>878</v>
      </c>
      <c r="Q243" s="196" t="s">
        <v>935</v>
      </c>
      <c r="R243" s="196" t="s">
        <v>936</v>
      </c>
      <c r="S243" s="196" t="s">
        <v>844</v>
      </c>
      <c r="T243" s="196" t="s">
        <v>937</v>
      </c>
      <c r="U243" s="196" t="s">
        <v>938</v>
      </c>
      <c r="V243" s="196" t="s">
        <v>935</v>
      </c>
      <c r="W243" s="196" t="s">
        <v>1027</v>
      </c>
      <c r="X243" s="196" t="s">
        <v>1028</v>
      </c>
      <c r="Y243" s="196" t="s">
        <v>848</v>
      </c>
    </row>
    <row r="244" spans="1:25">
      <c r="A244" s="196" t="s">
        <v>837</v>
      </c>
      <c r="B244" s="196" t="s">
        <v>181</v>
      </c>
      <c r="C244" s="196">
        <v>2014</v>
      </c>
      <c r="D244" s="196">
        <v>80</v>
      </c>
      <c r="E244" s="196" t="s">
        <v>874</v>
      </c>
      <c r="F244" s="196" t="s">
        <v>1026</v>
      </c>
      <c r="G244" s="196">
        <v>6</v>
      </c>
      <c r="H244" s="196">
        <v>6</v>
      </c>
      <c r="I244" s="196">
        <v>8016</v>
      </c>
      <c r="J244" s="196">
        <v>74717</v>
      </c>
      <c r="K244" s="196">
        <v>86.16</v>
      </c>
      <c r="L244" s="196">
        <v>2.81</v>
      </c>
      <c r="M244" s="196">
        <v>8356</v>
      </c>
      <c r="N244" s="196">
        <v>3434527</v>
      </c>
      <c r="O244" s="196">
        <v>3090</v>
      </c>
      <c r="P244" s="196" t="s">
        <v>878</v>
      </c>
      <c r="Q244" s="196" t="s">
        <v>935</v>
      </c>
      <c r="R244" s="196" t="s">
        <v>936</v>
      </c>
      <c r="S244" s="196" t="s">
        <v>844</v>
      </c>
      <c r="T244" s="196" t="s">
        <v>937</v>
      </c>
      <c r="U244" s="196" t="s">
        <v>938</v>
      </c>
      <c r="V244" s="196" t="s">
        <v>935</v>
      </c>
      <c r="W244" s="196" t="s">
        <v>1027</v>
      </c>
      <c r="X244" s="196" t="s">
        <v>1028</v>
      </c>
      <c r="Y244" s="196" t="s">
        <v>848</v>
      </c>
    </row>
    <row r="245" spans="1:25">
      <c r="A245" s="196" t="s">
        <v>837</v>
      </c>
      <c r="B245" s="196" t="s">
        <v>850</v>
      </c>
      <c r="C245" s="196">
        <v>2014</v>
      </c>
      <c r="D245" s="196">
        <v>80</v>
      </c>
      <c r="E245" s="196" t="s">
        <v>875</v>
      </c>
      <c r="F245" s="196" t="s">
        <v>1026</v>
      </c>
      <c r="G245" s="196">
        <v>5</v>
      </c>
      <c r="H245" s="196">
        <v>5</v>
      </c>
      <c r="I245" s="196">
        <v>7896</v>
      </c>
      <c r="J245" s="196">
        <v>48237</v>
      </c>
      <c r="K245" s="196">
        <v>86.16</v>
      </c>
      <c r="L245" s="196">
        <v>2.81</v>
      </c>
      <c r="M245" s="196">
        <v>8356</v>
      </c>
      <c r="N245" s="196">
        <v>3434527</v>
      </c>
      <c r="O245" s="196">
        <v>3090</v>
      </c>
      <c r="P245" s="196" t="s">
        <v>878</v>
      </c>
      <c r="Q245" s="196" t="s">
        <v>935</v>
      </c>
      <c r="R245" s="196" t="s">
        <v>936</v>
      </c>
      <c r="S245" s="196" t="s">
        <v>844</v>
      </c>
      <c r="T245" s="196" t="s">
        <v>937</v>
      </c>
      <c r="U245" s="196" t="s">
        <v>938</v>
      </c>
      <c r="V245" s="196" t="s">
        <v>935</v>
      </c>
      <c r="W245" s="196" t="s">
        <v>1027</v>
      </c>
      <c r="X245" s="196" t="s">
        <v>1028</v>
      </c>
      <c r="Y245" s="196" t="s">
        <v>848</v>
      </c>
    </row>
    <row r="246" spans="1:25">
      <c r="A246" s="196" t="s">
        <v>837</v>
      </c>
      <c r="B246" s="196" t="s">
        <v>181</v>
      </c>
      <c r="C246" s="196">
        <v>2013</v>
      </c>
      <c r="D246" s="196">
        <v>80</v>
      </c>
      <c r="E246" s="196" t="s">
        <v>876</v>
      </c>
      <c r="F246" s="196" t="s">
        <v>1026</v>
      </c>
      <c r="G246" s="196">
        <v>8</v>
      </c>
      <c r="H246" s="196">
        <v>8</v>
      </c>
      <c r="I246" s="196">
        <v>10512</v>
      </c>
      <c r="J246" s="196">
        <v>97892</v>
      </c>
      <c r="K246" s="196">
        <v>86.16</v>
      </c>
      <c r="L246" s="196">
        <v>2.81</v>
      </c>
      <c r="M246" s="196">
        <v>8356</v>
      </c>
      <c r="N246" s="196">
        <v>3434527</v>
      </c>
      <c r="O246" s="196">
        <v>3090</v>
      </c>
      <c r="P246" s="196" t="s">
        <v>878</v>
      </c>
      <c r="Q246" s="196" t="s">
        <v>935</v>
      </c>
      <c r="R246" s="196" t="s">
        <v>936</v>
      </c>
      <c r="S246" s="196" t="s">
        <v>844</v>
      </c>
      <c r="T246" s="196" t="s">
        <v>937</v>
      </c>
      <c r="U246" s="196" t="s">
        <v>938</v>
      </c>
      <c r="V246" s="196" t="s">
        <v>935</v>
      </c>
      <c r="W246" s="196" t="s">
        <v>1027</v>
      </c>
      <c r="X246" s="196" t="s">
        <v>1028</v>
      </c>
      <c r="Y246" s="196" t="s">
        <v>848</v>
      </c>
    </row>
    <row r="247" spans="1:25">
      <c r="A247" s="196" t="s">
        <v>837</v>
      </c>
      <c r="B247" s="196" t="s">
        <v>838</v>
      </c>
      <c r="C247" s="196">
        <v>2014</v>
      </c>
      <c r="D247" s="196">
        <v>55</v>
      </c>
      <c r="E247" s="196" t="s">
        <v>854</v>
      </c>
      <c r="F247" s="196" t="s">
        <v>1026</v>
      </c>
      <c r="G247" s="196">
        <v>1</v>
      </c>
      <c r="H247" s="196">
        <v>1</v>
      </c>
      <c r="I247" s="196">
        <v>2124</v>
      </c>
      <c r="J247" s="196">
        <v>4388</v>
      </c>
      <c r="K247" s="196">
        <v>86.16</v>
      </c>
      <c r="L247" s="196">
        <v>2.81</v>
      </c>
      <c r="M247" s="196">
        <v>8356</v>
      </c>
      <c r="N247" s="196">
        <v>3434527</v>
      </c>
      <c r="O247" s="196">
        <v>3090</v>
      </c>
      <c r="P247" s="196" t="s">
        <v>878</v>
      </c>
      <c r="Q247" s="196" t="s">
        <v>935</v>
      </c>
      <c r="R247" s="196" t="s">
        <v>936</v>
      </c>
      <c r="S247" s="196" t="s">
        <v>844</v>
      </c>
      <c r="T247" s="196" t="s">
        <v>937</v>
      </c>
      <c r="U247" s="196" t="s">
        <v>938</v>
      </c>
      <c r="V247" s="196" t="s">
        <v>935</v>
      </c>
      <c r="W247" s="196" t="s">
        <v>1027</v>
      </c>
      <c r="X247" s="196" t="s">
        <v>1028</v>
      </c>
      <c r="Y247" s="196" t="s">
        <v>848</v>
      </c>
    </row>
    <row r="248" spans="1:25">
      <c r="A248" s="196" t="s">
        <v>837</v>
      </c>
      <c r="B248" s="196" t="s">
        <v>838</v>
      </c>
      <c r="C248" s="196">
        <v>2014</v>
      </c>
      <c r="D248" s="196">
        <v>55</v>
      </c>
      <c r="E248" s="196" t="s">
        <v>855</v>
      </c>
      <c r="F248" s="196" t="s">
        <v>1026</v>
      </c>
      <c r="G248" s="196">
        <v>1</v>
      </c>
      <c r="H248" s="196">
        <v>1</v>
      </c>
      <c r="I248" s="196">
        <v>1122</v>
      </c>
      <c r="J248" s="196">
        <v>10115</v>
      </c>
      <c r="K248" s="196">
        <v>86.16</v>
      </c>
      <c r="L248" s="196">
        <v>2.81</v>
      </c>
      <c r="M248" s="196">
        <v>8356</v>
      </c>
      <c r="N248" s="196">
        <v>3434527</v>
      </c>
      <c r="O248" s="196">
        <v>3090</v>
      </c>
      <c r="P248" s="196" t="s">
        <v>878</v>
      </c>
      <c r="Q248" s="196" t="s">
        <v>935</v>
      </c>
      <c r="R248" s="196" t="s">
        <v>936</v>
      </c>
      <c r="S248" s="196" t="s">
        <v>844</v>
      </c>
      <c r="T248" s="196" t="s">
        <v>937</v>
      </c>
      <c r="U248" s="196" t="s">
        <v>938</v>
      </c>
      <c r="V248" s="196" t="s">
        <v>935</v>
      </c>
      <c r="W248" s="196" t="s">
        <v>1027</v>
      </c>
      <c r="X248" s="196" t="s">
        <v>1028</v>
      </c>
      <c r="Y248" s="196" t="s">
        <v>848</v>
      </c>
    </row>
    <row r="249" spans="1:25">
      <c r="A249" s="196" t="s">
        <v>837</v>
      </c>
      <c r="B249" s="196" t="s">
        <v>850</v>
      </c>
      <c r="C249" s="196">
        <v>2014</v>
      </c>
      <c r="D249" s="196">
        <v>55</v>
      </c>
      <c r="E249" s="196" t="s">
        <v>862</v>
      </c>
      <c r="F249" s="196" t="s">
        <v>1026</v>
      </c>
      <c r="G249" s="196">
        <v>1</v>
      </c>
      <c r="H249" s="196">
        <v>1</v>
      </c>
      <c r="I249" s="196">
        <v>1275</v>
      </c>
      <c r="J249" s="196">
        <v>3477</v>
      </c>
      <c r="K249" s="196">
        <v>86.16</v>
      </c>
      <c r="L249" s="196">
        <v>2.81</v>
      </c>
      <c r="M249" s="196">
        <v>8356</v>
      </c>
      <c r="N249" s="196">
        <v>3434527</v>
      </c>
      <c r="O249" s="196">
        <v>3090</v>
      </c>
      <c r="P249" s="196" t="s">
        <v>878</v>
      </c>
      <c r="Q249" s="196" t="s">
        <v>935</v>
      </c>
      <c r="R249" s="196" t="s">
        <v>936</v>
      </c>
      <c r="S249" s="196" t="s">
        <v>844</v>
      </c>
      <c r="T249" s="196" t="s">
        <v>937</v>
      </c>
      <c r="U249" s="196" t="s">
        <v>938</v>
      </c>
      <c r="V249" s="196" t="s">
        <v>935</v>
      </c>
      <c r="W249" s="196" t="s">
        <v>1027</v>
      </c>
      <c r="X249" s="196" t="s">
        <v>1028</v>
      </c>
      <c r="Y249" s="196" t="s">
        <v>848</v>
      </c>
    </row>
    <row r="250" spans="1:25">
      <c r="A250" s="196" t="s">
        <v>837</v>
      </c>
      <c r="B250" s="196" t="s">
        <v>850</v>
      </c>
      <c r="C250" s="196">
        <v>2014</v>
      </c>
      <c r="D250" s="196">
        <v>55</v>
      </c>
      <c r="E250" s="196" t="s">
        <v>863</v>
      </c>
      <c r="F250" s="196" t="s">
        <v>1026</v>
      </c>
      <c r="G250" s="196">
        <v>1</v>
      </c>
      <c r="H250" s="196">
        <v>1</v>
      </c>
      <c r="I250" s="196">
        <v>1893</v>
      </c>
      <c r="J250" s="196">
        <v>5316</v>
      </c>
      <c r="K250" s="196">
        <v>86.16</v>
      </c>
      <c r="L250" s="196">
        <v>2.81</v>
      </c>
      <c r="M250" s="196">
        <v>8356</v>
      </c>
      <c r="N250" s="196">
        <v>3434527</v>
      </c>
      <c r="O250" s="196">
        <v>3090</v>
      </c>
      <c r="P250" s="196" t="s">
        <v>878</v>
      </c>
      <c r="Q250" s="196" t="s">
        <v>935</v>
      </c>
      <c r="R250" s="196" t="s">
        <v>936</v>
      </c>
      <c r="S250" s="196" t="s">
        <v>844</v>
      </c>
      <c r="T250" s="196" t="s">
        <v>937</v>
      </c>
      <c r="U250" s="196" t="s">
        <v>938</v>
      </c>
      <c r="V250" s="196" t="s">
        <v>935</v>
      </c>
      <c r="W250" s="196" t="s">
        <v>1027</v>
      </c>
      <c r="X250" s="196" t="s">
        <v>1028</v>
      </c>
      <c r="Y250" s="196" t="s">
        <v>848</v>
      </c>
    </row>
    <row r="251" spans="1:25">
      <c r="A251" s="196" t="s">
        <v>837</v>
      </c>
      <c r="B251" s="196" t="s">
        <v>838</v>
      </c>
      <c r="C251" s="196">
        <v>2013</v>
      </c>
      <c r="D251" s="196">
        <v>55</v>
      </c>
      <c r="E251" s="196" t="s">
        <v>849</v>
      </c>
      <c r="F251" s="196" t="s">
        <v>1029</v>
      </c>
      <c r="G251" s="196">
        <v>1</v>
      </c>
      <c r="H251" s="196">
        <v>1</v>
      </c>
      <c r="I251" s="196">
        <v>2013</v>
      </c>
      <c r="J251" s="196">
        <v>18919</v>
      </c>
      <c r="K251" s="196">
        <v>78.8</v>
      </c>
      <c r="L251" s="196">
        <v>3.13</v>
      </c>
      <c r="M251" s="196">
        <v>6105</v>
      </c>
      <c r="N251" s="196">
        <v>2699092</v>
      </c>
      <c r="O251" s="196">
        <v>2466</v>
      </c>
      <c r="P251" s="196" t="s">
        <v>911</v>
      </c>
      <c r="Q251" s="196" t="s">
        <v>911</v>
      </c>
      <c r="R251" s="196" t="s">
        <v>912</v>
      </c>
      <c r="S251" s="196" t="s">
        <v>844</v>
      </c>
      <c r="T251" s="196" t="s">
        <v>913</v>
      </c>
      <c r="U251" s="196" t="s">
        <v>914</v>
      </c>
      <c r="V251" s="196" t="s">
        <v>911</v>
      </c>
      <c r="W251" s="196" t="s">
        <v>1030</v>
      </c>
      <c r="X251" s="196" t="s">
        <v>1031</v>
      </c>
      <c r="Y251" s="196" t="s">
        <v>848</v>
      </c>
    </row>
    <row r="252" spans="1:25">
      <c r="A252" s="196" t="s">
        <v>837</v>
      </c>
      <c r="B252" s="196" t="s">
        <v>850</v>
      </c>
      <c r="C252" s="196">
        <v>2013</v>
      </c>
      <c r="D252" s="196">
        <v>30</v>
      </c>
      <c r="E252" s="196" t="s">
        <v>851</v>
      </c>
      <c r="F252" s="196" t="s">
        <v>1029</v>
      </c>
      <c r="G252" s="196">
        <v>1</v>
      </c>
      <c r="H252" s="196">
        <v>1</v>
      </c>
      <c r="I252" s="196">
        <v>759</v>
      </c>
      <c r="J252" s="196">
        <v>6783</v>
      </c>
      <c r="K252" s="196">
        <v>78.8</v>
      </c>
      <c r="L252" s="196">
        <v>3.13</v>
      </c>
      <c r="M252" s="196">
        <v>6105</v>
      </c>
      <c r="N252" s="196">
        <v>2699092</v>
      </c>
      <c r="O252" s="196">
        <v>2466</v>
      </c>
      <c r="P252" s="196" t="s">
        <v>911</v>
      </c>
      <c r="Q252" s="196" t="s">
        <v>911</v>
      </c>
      <c r="R252" s="196" t="s">
        <v>912</v>
      </c>
      <c r="S252" s="196" t="s">
        <v>844</v>
      </c>
      <c r="T252" s="196" t="s">
        <v>913</v>
      </c>
      <c r="U252" s="196" t="s">
        <v>914</v>
      </c>
      <c r="V252" s="196" t="s">
        <v>911</v>
      </c>
      <c r="W252" s="196" t="s">
        <v>1030</v>
      </c>
      <c r="X252" s="196" t="s">
        <v>1031</v>
      </c>
      <c r="Y252" s="196" t="s">
        <v>848</v>
      </c>
    </row>
    <row r="253" spans="1:25">
      <c r="A253" s="196" t="s">
        <v>837</v>
      </c>
      <c r="B253" s="196" t="s">
        <v>850</v>
      </c>
      <c r="C253" s="196">
        <v>2013</v>
      </c>
      <c r="D253" s="196">
        <v>55</v>
      </c>
      <c r="E253" s="196" t="s">
        <v>852</v>
      </c>
      <c r="F253" s="196" t="s">
        <v>1029</v>
      </c>
      <c r="G253" s="196">
        <v>2</v>
      </c>
      <c r="H253" s="196">
        <v>2</v>
      </c>
      <c r="I253" s="196">
        <v>4050</v>
      </c>
      <c r="J253" s="196">
        <v>12057</v>
      </c>
      <c r="K253" s="196">
        <v>78.8</v>
      </c>
      <c r="L253" s="196">
        <v>3.13</v>
      </c>
      <c r="M253" s="196">
        <v>6105</v>
      </c>
      <c r="N253" s="196">
        <v>2699092</v>
      </c>
      <c r="O253" s="196">
        <v>2466</v>
      </c>
      <c r="P253" s="196" t="s">
        <v>911</v>
      </c>
      <c r="Q253" s="196" t="s">
        <v>911</v>
      </c>
      <c r="R253" s="196" t="s">
        <v>912</v>
      </c>
      <c r="S253" s="196" t="s">
        <v>844</v>
      </c>
      <c r="T253" s="196" t="s">
        <v>913</v>
      </c>
      <c r="U253" s="196" t="s">
        <v>914</v>
      </c>
      <c r="V253" s="196" t="s">
        <v>911</v>
      </c>
      <c r="W253" s="196" t="s">
        <v>1030</v>
      </c>
      <c r="X253" s="196" t="s">
        <v>1031</v>
      </c>
      <c r="Y253" s="196" t="s">
        <v>848</v>
      </c>
    </row>
    <row r="254" spans="1:25">
      <c r="A254" s="196" t="s">
        <v>837</v>
      </c>
      <c r="B254" s="196" t="s">
        <v>181</v>
      </c>
      <c r="C254" s="196">
        <v>2014</v>
      </c>
      <c r="D254" s="196">
        <v>80</v>
      </c>
      <c r="E254" s="196" t="s">
        <v>874</v>
      </c>
      <c r="F254" s="196" t="s">
        <v>1029</v>
      </c>
      <c r="G254" s="196">
        <v>1</v>
      </c>
      <c r="H254" s="196">
        <v>1</v>
      </c>
      <c r="I254" s="196">
        <v>177</v>
      </c>
      <c r="J254" s="196">
        <v>3658</v>
      </c>
      <c r="K254" s="196">
        <v>78.8</v>
      </c>
      <c r="L254" s="196">
        <v>3.13</v>
      </c>
      <c r="M254" s="196">
        <v>6105</v>
      </c>
      <c r="N254" s="196">
        <v>2699092</v>
      </c>
      <c r="O254" s="196">
        <v>2466</v>
      </c>
      <c r="P254" s="196" t="s">
        <v>911</v>
      </c>
      <c r="Q254" s="196" t="s">
        <v>911</v>
      </c>
      <c r="R254" s="196" t="s">
        <v>912</v>
      </c>
      <c r="S254" s="196" t="s">
        <v>844</v>
      </c>
      <c r="T254" s="196" t="s">
        <v>913</v>
      </c>
      <c r="U254" s="196" t="s">
        <v>914</v>
      </c>
      <c r="V254" s="196" t="s">
        <v>911</v>
      </c>
      <c r="W254" s="196" t="s">
        <v>1030</v>
      </c>
      <c r="X254" s="196" t="s">
        <v>1031</v>
      </c>
      <c r="Y254" s="196" t="s">
        <v>848</v>
      </c>
    </row>
    <row r="255" spans="1:25">
      <c r="A255" s="196" t="s">
        <v>837</v>
      </c>
      <c r="B255" s="196" t="s">
        <v>850</v>
      </c>
      <c r="C255" s="196">
        <v>2014</v>
      </c>
      <c r="D255" s="196">
        <v>80</v>
      </c>
      <c r="E255" s="196" t="s">
        <v>918</v>
      </c>
      <c r="F255" s="196" t="s">
        <v>1029</v>
      </c>
      <c r="G255" s="196">
        <v>1</v>
      </c>
      <c r="H255" s="196">
        <v>1</v>
      </c>
      <c r="I255" s="196">
        <v>897</v>
      </c>
      <c r="J255" s="196">
        <v>4301</v>
      </c>
      <c r="K255" s="196">
        <v>78.8</v>
      </c>
      <c r="L255" s="196">
        <v>3.13</v>
      </c>
      <c r="M255" s="196">
        <v>6105</v>
      </c>
      <c r="N255" s="196">
        <v>2699092</v>
      </c>
      <c r="O255" s="196">
        <v>2466</v>
      </c>
      <c r="P255" s="196" t="s">
        <v>911</v>
      </c>
      <c r="Q255" s="196" t="s">
        <v>911</v>
      </c>
      <c r="R255" s="196" t="s">
        <v>912</v>
      </c>
      <c r="S255" s="196" t="s">
        <v>844</v>
      </c>
      <c r="T255" s="196" t="s">
        <v>913</v>
      </c>
      <c r="U255" s="196" t="s">
        <v>914</v>
      </c>
      <c r="V255" s="196" t="s">
        <v>911</v>
      </c>
      <c r="W255" s="196" t="s">
        <v>1030</v>
      </c>
      <c r="X255" s="196" t="s">
        <v>1031</v>
      </c>
      <c r="Y255" s="196" t="s">
        <v>848</v>
      </c>
    </row>
    <row r="256" spans="1:25">
      <c r="A256" s="196" t="s">
        <v>837</v>
      </c>
      <c r="B256" s="196" t="s">
        <v>850</v>
      </c>
      <c r="C256" s="196">
        <v>2014</v>
      </c>
      <c r="D256" s="196">
        <v>80</v>
      </c>
      <c r="E256" s="196" t="s">
        <v>875</v>
      </c>
      <c r="F256" s="196" t="s">
        <v>1029</v>
      </c>
      <c r="G256" s="196">
        <v>1</v>
      </c>
      <c r="H256" s="196">
        <v>1</v>
      </c>
      <c r="I256" s="196">
        <v>756</v>
      </c>
      <c r="J256" s="196">
        <v>7292</v>
      </c>
      <c r="K256" s="196">
        <v>78.8</v>
      </c>
      <c r="L256" s="196">
        <v>3.13</v>
      </c>
      <c r="M256" s="196">
        <v>6105</v>
      </c>
      <c r="N256" s="196">
        <v>2699092</v>
      </c>
      <c r="O256" s="196">
        <v>2466</v>
      </c>
      <c r="P256" s="196" t="s">
        <v>911</v>
      </c>
      <c r="Q256" s="196" t="s">
        <v>911</v>
      </c>
      <c r="R256" s="196" t="s">
        <v>912</v>
      </c>
      <c r="S256" s="196" t="s">
        <v>844</v>
      </c>
      <c r="T256" s="196" t="s">
        <v>913</v>
      </c>
      <c r="U256" s="196" t="s">
        <v>914</v>
      </c>
      <c r="V256" s="196" t="s">
        <v>911</v>
      </c>
      <c r="W256" s="196" t="s">
        <v>1030</v>
      </c>
      <c r="X256" s="196" t="s">
        <v>1031</v>
      </c>
      <c r="Y256" s="196" t="s">
        <v>848</v>
      </c>
    </row>
    <row r="257" spans="1:25">
      <c r="A257" s="196" t="s">
        <v>837</v>
      </c>
      <c r="B257" s="196" t="s">
        <v>181</v>
      </c>
      <c r="C257" s="196">
        <v>2013</v>
      </c>
      <c r="D257" s="196">
        <v>80</v>
      </c>
      <c r="E257" s="196" t="s">
        <v>876</v>
      </c>
      <c r="F257" s="196" t="s">
        <v>1029</v>
      </c>
      <c r="G257" s="196">
        <v>1</v>
      </c>
      <c r="H257" s="196">
        <v>1</v>
      </c>
      <c r="I257" s="196">
        <v>1131</v>
      </c>
      <c r="J257" s="196">
        <v>10182</v>
      </c>
      <c r="K257" s="196">
        <v>78.8</v>
      </c>
      <c r="L257" s="196">
        <v>3.13</v>
      </c>
      <c r="M257" s="196">
        <v>6105</v>
      </c>
      <c r="N257" s="196">
        <v>2699092</v>
      </c>
      <c r="O257" s="196">
        <v>2466</v>
      </c>
      <c r="P257" s="196" t="s">
        <v>911</v>
      </c>
      <c r="Q257" s="196" t="s">
        <v>911</v>
      </c>
      <c r="R257" s="196" t="s">
        <v>912</v>
      </c>
      <c r="S257" s="196" t="s">
        <v>844</v>
      </c>
      <c r="T257" s="196" t="s">
        <v>913</v>
      </c>
      <c r="U257" s="196" t="s">
        <v>914</v>
      </c>
      <c r="V257" s="196" t="s">
        <v>911</v>
      </c>
      <c r="W257" s="196" t="s">
        <v>1030</v>
      </c>
      <c r="X257" s="196" t="s">
        <v>1031</v>
      </c>
      <c r="Y257" s="196" t="s">
        <v>848</v>
      </c>
    </row>
    <row r="258" spans="1:25">
      <c r="A258" s="196" t="s">
        <v>837</v>
      </c>
      <c r="B258" s="196" t="s">
        <v>850</v>
      </c>
      <c r="C258" s="196">
        <v>2014</v>
      </c>
      <c r="D258" s="196">
        <v>55</v>
      </c>
      <c r="E258" s="196" t="s">
        <v>862</v>
      </c>
      <c r="F258" s="196" t="s">
        <v>1029</v>
      </c>
      <c r="G258" s="196">
        <v>1</v>
      </c>
      <c r="H258" s="196">
        <v>1</v>
      </c>
      <c r="I258" s="196">
        <v>2079</v>
      </c>
      <c r="J258" s="196">
        <v>9627</v>
      </c>
      <c r="K258" s="196">
        <v>78.8</v>
      </c>
      <c r="L258" s="196">
        <v>3.13</v>
      </c>
      <c r="M258" s="196">
        <v>6105</v>
      </c>
      <c r="N258" s="196">
        <v>2699092</v>
      </c>
      <c r="O258" s="196">
        <v>2466</v>
      </c>
      <c r="P258" s="196" t="s">
        <v>911</v>
      </c>
      <c r="Q258" s="196" t="s">
        <v>911</v>
      </c>
      <c r="R258" s="196" t="s">
        <v>912</v>
      </c>
      <c r="S258" s="196" t="s">
        <v>844</v>
      </c>
      <c r="T258" s="196" t="s">
        <v>913</v>
      </c>
      <c r="U258" s="196" t="s">
        <v>914</v>
      </c>
      <c r="V258" s="196" t="s">
        <v>911</v>
      </c>
      <c r="W258" s="196" t="s">
        <v>1030</v>
      </c>
      <c r="X258" s="196" t="s">
        <v>1031</v>
      </c>
      <c r="Y258" s="196" t="s">
        <v>848</v>
      </c>
    </row>
    <row r="259" spans="1:25">
      <c r="A259" s="196" t="s">
        <v>837</v>
      </c>
      <c r="B259" s="196" t="s">
        <v>838</v>
      </c>
      <c r="C259" s="196">
        <v>2013</v>
      </c>
      <c r="D259" s="196">
        <v>55</v>
      </c>
      <c r="E259" s="196" t="s">
        <v>849</v>
      </c>
      <c r="F259" s="196" t="s">
        <v>1032</v>
      </c>
      <c r="G259" s="196">
        <v>2</v>
      </c>
      <c r="H259" s="196">
        <v>2</v>
      </c>
      <c r="I259" s="196">
        <v>2781</v>
      </c>
      <c r="J259" s="196">
        <v>13764</v>
      </c>
      <c r="K259" s="196">
        <v>68.91</v>
      </c>
      <c r="L259" s="196">
        <v>8.77</v>
      </c>
      <c r="M259" s="196">
        <v>5354</v>
      </c>
      <c r="N259" s="196">
        <v>2839938</v>
      </c>
      <c r="O259" s="196">
        <v>2815</v>
      </c>
      <c r="P259" s="196" t="s">
        <v>1033</v>
      </c>
      <c r="Q259" s="196" t="s">
        <v>1033</v>
      </c>
      <c r="R259" s="196" t="s">
        <v>1034</v>
      </c>
      <c r="S259" s="196" t="s">
        <v>844</v>
      </c>
      <c r="T259" s="196" t="s">
        <v>923</v>
      </c>
      <c r="U259" s="196" t="s">
        <v>1035</v>
      </c>
      <c r="V259" s="196" t="s">
        <v>1036</v>
      </c>
      <c r="W259" s="196" t="s">
        <v>1037</v>
      </c>
      <c r="X259" s="196" t="s">
        <v>1033</v>
      </c>
      <c r="Y259" s="196" t="s">
        <v>848</v>
      </c>
    </row>
    <row r="260" spans="1:25">
      <c r="A260" s="196" t="s">
        <v>837</v>
      </c>
      <c r="B260" s="196" t="s">
        <v>850</v>
      </c>
      <c r="C260" s="196">
        <v>2013</v>
      </c>
      <c r="D260" s="196">
        <v>30</v>
      </c>
      <c r="E260" s="196" t="s">
        <v>851</v>
      </c>
      <c r="F260" s="196" t="s">
        <v>1032</v>
      </c>
      <c r="G260" s="196">
        <v>1</v>
      </c>
      <c r="H260" s="196">
        <v>1</v>
      </c>
      <c r="I260" s="196">
        <v>150</v>
      </c>
      <c r="J260" s="196">
        <v>7574</v>
      </c>
      <c r="K260" s="196">
        <v>68.91</v>
      </c>
      <c r="L260" s="196">
        <v>8.77</v>
      </c>
      <c r="M260" s="196">
        <v>5354</v>
      </c>
      <c r="N260" s="196">
        <v>2839938</v>
      </c>
      <c r="O260" s="196">
        <v>2815</v>
      </c>
      <c r="P260" s="196" t="s">
        <v>1033</v>
      </c>
      <c r="Q260" s="196" t="s">
        <v>1033</v>
      </c>
      <c r="R260" s="196" t="s">
        <v>1034</v>
      </c>
      <c r="S260" s="196" t="s">
        <v>844</v>
      </c>
      <c r="T260" s="196" t="s">
        <v>923</v>
      </c>
      <c r="U260" s="196" t="s">
        <v>1035</v>
      </c>
      <c r="V260" s="196" t="s">
        <v>1036</v>
      </c>
      <c r="W260" s="196" t="s">
        <v>1037</v>
      </c>
      <c r="X260" s="196" t="s">
        <v>1033</v>
      </c>
      <c r="Y260" s="196" t="s">
        <v>848</v>
      </c>
    </row>
    <row r="261" spans="1:25">
      <c r="A261" s="196" t="s">
        <v>837</v>
      </c>
      <c r="B261" s="196" t="s">
        <v>850</v>
      </c>
      <c r="C261" s="196">
        <v>2013</v>
      </c>
      <c r="D261" s="196">
        <v>55</v>
      </c>
      <c r="E261" s="196" t="s">
        <v>852</v>
      </c>
      <c r="F261" s="196" t="s">
        <v>1032</v>
      </c>
      <c r="G261" s="196">
        <v>4</v>
      </c>
      <c r="H261" s="196">
        <v>3</v>
      </c>
      <c r="I261" s="196">
        <v>5083</v>
      </c>
      <c r="J261" s="196">
        <v>18397</v>
      </c>
      <c r="K261" s="196">
        <v>68.91</v>
      </c>
      <c r="L261" s="196">
        <v>8.77</v>
      </c>
      <c r="M261" s="196">
        <v>5354</v>
      </c>
      <c r="N261" s="196">
        <v>2839938</v>
      </c>
      <c r="O261" s="196">
        <v>2815</v>
      </c>
      <c r="P261" s="196" t="s">
        <v>1033</v>
      </c>
      <c r="Q261" s="196" t="s">
        <v>1033</v>
      </c>
      <c r="R261" s="196" t="s">
        <v>1034</v>
      </c>
      <c r="S261" s="196" t="s">
        <v>844</v>
      </c>
      <c r="T261" s="196" t="s">
        <v>923</v>
      </c>
      <c r="U261" s="196" t="s">
        <v>1035</v>
      </c>
      <c r="V261" s="196" t="s">
        <v>1036</v>
      </c>
      <c r="W261" s="196" t="s">
        <v>1037</v>
      </c>
      <c r="X261" s="196" t="s">
        <v>1033</v>
      </c>
      <c r="Y261" s="196" t="s">
        <v>848</v>
      </c>
    </row>
    <row r="262" spans="1:25">
      <c r="A262" s="196" t="s">
        <v>837</v>
      </c>
      <c r="B262" s="196" t="s">
        <v>850</v>
      </c>
      <c r="C262" s="196">
        <v>2013</v>
      </c>
      <c r="D262" s="196">
        <v>80</v>
      </c>
      <c r="E262" s="196" t="s">
        <v>917</v>
      </c>
      <c r="F262" s="196" t="s">
        <v>1032</v>
      </c>
      <c r="G262" s="196">
        <v>1</v>
      </c>
      <c r="H262" s="196">
        <v>1</v>
      </c>
      <c r="I262" s="196">
        <v>570</v>
      </c>
      <c r="J262" s="196">
        <v>4000</v>
      </c>
      <c r="K262" s="196">
        <v>68.91</v>
      </c>
      <c r="L262" s="196">
        <v>8.77</v>
      </c>
      <c r="M262" s="196">
        <v>5354</v>
      </c>
      <c r="N262" s="196">
        <v>2839938</v>
      </c>
      <c r="O262" s="196">
        <v>2815</v>
      </c>
      <c r="P262" s="196" t="s">
        <v>1033</v>
      </c>
      <c r="Q262" s="196" t="s">
        <v>1033</v>
      </c>
      <c r="R262" s="196" t="s">
        <v>1034</v>
      </c>
      <c r="S262" s="196" t="s">
        <v>844</v>
      </c>
      <c r="T262" s="196" t="s">
        <v>923</v>
      </c>
      <c r="U262" s="196" t="s">
        <v>1035</v>
      </c>
      <c r="V262" s="196" t="s">
        <v>1036</v>
      </c>
      <c r="W262" s="196" t="s">
        <v>1037</v>
      </c>
      <c r="X262" s="196" t="s">
        <v>1033</v>
      </c>
      <c r="Y262" s="196" t="s">
        <v>848</v>
      </c>
    </row>
    <row r="263" spans="1:25">
      <c r="A263" s="196" t="s">
        <v>837</v>
      </c>
      <c r="B263" s="196" t="s">
        <v>181</v>
      </c>
      <c r="C263" s="196">
        <v>2014</v>
      </c>
      <c r="D263" s="196">
        <v>80</v>
      </c>
      <c r="E263" s="196" t="s">
        <v>874</v>
      </c>
      <c r="F263" s="196" t="s">
        <v>1032</v>
      </c>
      <c r="G263" s="196">
        <v>1</v>
      </c>
      <c r="H263" s="196">
        <v>1</v>
      </c>
      <c r="I263" s="196">
        <v>1938</v>
      </c>
      <c r="J263" s="196">
        <v>9736</v>
      </c>
      <c r="K263" s="196">
        <v>68.91</v>
      </c>
      <c r="L263" s="196">
        <v>8.77</v>
      </c>
      <c r="M263" s="196">
        <v>5354</v>
      </c>
      <c r="N263" s="196">
        <v>2839938</v>
      </c>
      <c r="O263" s="196">
        <v>2815</v>
      </c>
      <c r="P263" s="196" t="s">
        <v>1033</v>
      </c>
      <c r="Q263" s="196" t="s">
        <v>1033</v>
      </c>
      <c r="R263" s="196" t="s">
        <v>1034</v>
      </c>
      <c r="S263" s="196" t="s">
        <v>844</v>
      </c>
      <c r="T263" s="196" t="s">
        <v>923</v>
      </c>
      <c r="U263" s="196" t="s">
        <v>1035</v>
      </c>
      <c r="V263" s="196" t="s">
        <v>1036</v>
      </c>
      <c r="W263" s="196" t="s">
        <v>1037</v>
      </c>
      <c r="X263" s="196" t="s">
        <v>1033</v>
      </c>
      <c r="Y263" s="196" t="s">
        <v>848</v>
      </c>
    </row>
    <row r="264" spans="1:25">
      <c r="A264" s="196" t="s">
        <v>837</v>
      </c>
      <c r="B264" s="196" t="s">
        <v>181</v>
      </c>
      <c r="C264" s="196">
        <v>2013</v>
      </c>
      <c r="D264" s="196">
        <v>80</v>
      </c>
      <c r="E264" s="196" t="s">
        <v>876</v>
      </c>
      <c r="F264" s="196" t="s">
        <v>1032</v>
      </c>
      <c r="G264" s="196">
        <v>1</v>
      </c>
      <c r="H264" s="196">
        <v>1</v>
      </c>
      <c r="I264" s="196">
        <v>1761</v>
      </c>
      <c r="J264" s="196">
        <v>7075</v>
      </c>
      <c r="K264" s="196">
        <v>68.91</v>
      </c>
      <c r="L264" s="196">
        <v>8.77</v>
      </c>
      <c r="M264" s="196">
        <v>5354</v>
      </c>
      <c r="N264" s="196">
        <v>2839938</v>
      </c>
      <c r="O264" s="196">
        <v>2815</v>
      </c>
      <c r="P264" s="196" t="s">
        <v>1033</v>
      </c>
      <c r="Q264" s="196" t="s">
        <v>1033</v>
      </c>
      <c r="R264" s="196" t="s">
        <v>1034</v>
      </c>
      <c r="S264" s="196" t="s">
        <v>844</v>
      </c>
      <c r="T264" s="196" t="s">
        <v>923</v>
      </c>
      <c r="U264" s="196" t="s">
        <v>1035</v>
      </c>
      <c r="V264" s="196" t="s">
        <v>1036</v>
      </c>
      <c r="W264" s="196" t="s">
        <v>1037</v>
      </c>
      <c r="X264" s="196" t="s">
        <v>1033</v>
      </c>
      <c r="Y264" s="196" t="s">
        <v>848</v>
      </c>
    </row>
    <row r="265" spans="1:25">
      <c r="A265" s="196" t="s">
        <v>837</v>
      </c>
      <c r="B265" s="196" t="s">
        <v>838</v>
      </c>
      <c r="C265" s="196">
        <v>2013</v>
      </c>
      <c r="D265" s="196">
        <v>30</v>
      </c>
      <c r="E265" s="196" t="s">
        <v>839</v>
      </c>
      <c r="F265" s="196" t="s">
        <v>1038</v>
      </c>
      <c r="G265" s="196">
        <v>3</v>
      </c>
      <c r="H265" s="196">
        <v>3</v>
      </c>
      <c r="I265" s="196">
        <v>3750</v>
      </c>
      <c r="J265" s="196">
        <v>31239</v>
      </c>
      <c r="K265" s="196">
        <v>78.56</v>
      </c>
      <c r="L265" s="196">
        <v>3.11</v>
      </c>
      <c r="M265" s="196">
        <v>7970</v>
      </c>
      <c r="N265" s="196">
        <v>3139471</v>
      </c>
      <c r="O265" s="196">
        <v>2829</v>
      </c>
      <c r="P265" s="196" t="s">
        <v>841</v>
      </c>
      <c r="Q265" s="196" t="s">
        <v>989</v>
      </c>
      <c r="R265" s="196" t="s">
        <v>990</v>
      </c>
      <c r="S265" s="196" t="s">
        <v>844</v>
      </c>
      <c r="T265" s="196" t="s">
        <v>845</v>
      </c>
      <c r="U265" s="196" t="s">
        <v>846</v>
      </c>
      <c r="V265" s="196" t="s">
        <v>841</v>
      </c>
      <c r="W265" s="196" t="s">
        <v>989</v>
      </c>
      <c r="X265" s="196" t="s">
        <v>1039</v>
      </c>
      <c r="Y265" s="196" t="s">
        <v>848</v>
      </c>
    </row>
    <row r="266" spans="1:25">
      <c r="A266" s="196" t="s">
        <v>837</v>
      </c>
      <c r="B266" s="196" t="s">
        <v>850</v>
      </c>
      <c r="C266" s="196">
        <v>2013</v>
      </c>
      <c r="D266" s="196">
        <v>80</v>
      </c>
      <c r="E266" s="196" t="s">
        <v>917</v>
      </c>
      <c r="F266" s="196" t="s">
        <v>1038</v>
      </c>
      <c r="G266" s="196">
        <v>1</v>
      </c>
      <c r="H266" s="196">
        <v>1</v>
      </c>
      <c r="I266" s="196">
        <v>939</v>
      </c>
      <c r="J266" s="196">
        <v>9355</v>
      </c>
      <c r="K266" s="196">
        <v>78.56</v>
      </c>
      <c r="L266" s="196">
        <v>3.11</v>
      </c>
      <c r="M266" s="196">
        <v>7970</v>
      </c>
      <c r="N266" s="196">
        <v>3139471</v>
      </c>
      <c r="O266" s="196">
        <v>2829</v>
      </c>
      <c r="P266" s="196" t="s">
        <v>841</v>
      </c>
      <c r="Q266" s="196" t="s">
        <v>989</v>
      </c>
      <c r="R266" s="196" t="s">
        <v>990</v>
      </c>
      <c r="S266" s="196" t="s">
        <v>844</v>
      </c>
      <c r="T266" s="196" t="s">
        <v>845</v>
      </c>
      <c r="U266" s="196" t="s">
        <v>846</v>
      </c>
      <c r="V266" s="196" t="s">
        <v>841</v>
      </c>
      <c r="W266" s="196" t="s">
        <v>989</v>
      </c>
      <c r="X266" s="196" t="s">
        <v>1039</v>
      </c>
      <c r="Y266" s="196" t="s">
        <v>848</v>
      </c>
    </row>
    <row r="267" spans="1:25">
      <c r="A267" s="196" t="s">
        <v>837</v>
      </c>
      <c r="B267" s="196" t="s">
        <v>850</v>
      </c>
      <c r="C267" s="196">
        <v>2013</v>
      </c>
      <c r="D267" s="196">
        <v>80</v>
      </c>
      <c r="E267" s="196" t="s">
        <v>917</v>
      </c>
      <c r="F267" s="196" t="s">
        <v>1040</v>
      </c>
      <c r="G267" s="196">
        <v>3</v>
      </c>
      <c r="H267" s="196">
        <v>3</v>
      </c>
      <c r="I267" s="196">
        <v>6489</v>
      </c>
      <c r="J267" s="196">
        <v>23772</v>
      </c>
      <c r="K267" s="196">
        <v>70.900000000000006</v>
      </c>
      <c r="L267" s="196">
        <v>0.7</v>
      </c>
      <c r="M267" s="196">
        <v>5647</v>
      </c>
      <c r="N267" s="196">
        <v>1007257</v>
      </c>
      <c r="O267" s="196">
        <v>1365</v>
      </c>
      <c r="P267" s="196" t="s">
        <v>1041</v>
      </c>
      <c r="Q267" s="196" t="s">
        <v>1042</v>
      </c>
      <c r="R267" s="196" t="s">
        <v>1043</v>
      </c>
      <c r="S267" s="196" t="s">
        <v>844</v>
      </c>
      <c r="T267" s="196" t="s">
        <v>913</v>
      </c>
      <c r="U267" s="196" t="s">
        <v>1044</v>
      </c>
      <c r="V267" s="196" t="s">
        <v>1041</v>
      </c>
      <c r="W267" s="196" t="s">
        <v>1042</v>
      </c>
      <c r="X267" s="196" t="s">
        <v>1045</v>
      </c>
      <c r="Y267" s="196" t="s">
        <v>848</v>
      </c>
    </row>
    <row r="268" spans="1:25">
      <c r="A268" s="196" t="s">
        <v>837</v>
      </c>
      <c r="B268" s="196" t="s">
        <v>838</v>
      </c>
      <c r="C268" s="196">
        <v>2014</v>
      </c>
      <c r="D268" s="196">
        <v>80</v>
      </c>
      <c r="E268" s="196" t="s">
        <v>853</v>
      </c>
      <c r="F268" s="196" t="s">
        <v>1040</v>
      </c>
      <c r="G268" s="196">
        <v>1</v>
      </c>
      <c r="H268" s="196">
        <v>1</v>
      </c>
      <c r="I268" s="196">
        <v>2457</v>
      </c>
      <c r="J268" s="196">
        <v>6103</v>
      </c>
      <c r="K268" s="196">
        <v>70.900000000000006</v>
      </c>
      <c r="L268" s="196">
        <v>0.7</v>
      </c>
      <c r="M268" s="196">
        <v>5647</v>
      </c>
      <c r="N268" s="196">
        <v>1007257</v>
      </c>
      <c r="O268" s="196">
        <v>1365</v>
      </c>
      <c r="P268" s="196" t="s">
        <v>1041</v>
      </c>
      <c r="Q268" s="196" t="s">
        <v>1042</v>
      </c>
      <c r="R268" s="196" t="s">
        <v>1043</v>
      </c>
      <c r="S268" s="196" t="s">
        <v>844</v>
      </c>
      <c r="T268" s="196" t="s">
        <v>913</v>
      </c>
      <c r="U268" s="196" t="s">
        <v>1044</v>
      </c>
      <c r="V268" s="196" t="s">
        <v>1041</v>
      </c>
      <c r="W268" s="196" t="s">
        <v>1042</v>
      </c>
      <c r="X268" s="196" t="s">
        <v>1045</v>
      </c>
      <c r="Y268" s="196" t="s">
        <v>848</v>
      </c>
    </row>
    <row r="269" spans="1:25">
      <c r="A269" s="196" t="s">
        <v>837</v>
      </c>
      <c r="B269" s="196" t="s">
        <v>850</v>
      </c>
      <c r="C269" s="196">
        <v>2014</v>
      </c>
      <c r="D269" s="196">
        <v>80</v>
      </c>
      <c r="E269" s="196" t="s">
        <v>918</v>
      </c>
      <c r="F269" s="196" t="s">
        <v>1040</v>
      </c>
      <c r="G269" s="196">
        <v>2</v>
      </c>
      <c r="H269" s="196">
        <v>2</v>
      </c>
      <c r="I269" s="196">
        <v>3213</v>
      </c>
      <c r="J269" s="196">
        <v>14236</v>
      </c>
      <c r="K269" s="196">
        <v>70.900000000000006</v>
      </c>
      <c r="L269" s="196">
        <v>0.7</v>
      </c>
      <c r="M269" s="196">
        <v>5647</v>
      </c>
      <c r="N269" s="196">
        <v>1007257</v>
      </c>
      <c r="O269" s="196">
        <v>1365</v>
      </c>
      <c r="P269" s="196" t="s">
        <v>1041</v>
      </c>
      <c r="Q269" s="196" t="s">
        <v>1042</v>
      </c>
      <c r="R269" s="196" t="s">
        <v>1043</v>
      </c>
      <c r="S269" s="196" t="s">
        <v>844</v>
      </c>
      <c r="T269" s="196" t="s">
        <v>913</v>
      </c>
      <c r="U269" s="196" t="s">
        <v>1044</v>
      </c>
      <c r="V269" s="196" t="s">
        <v>1041</v>
      </c>
      <c r="W269" s="196" t="s">
        <v>1042</v>
      </c>
      <c r="X269" s="196" t="s">
        <v>1045</v>
      </c>
      <c r="Y269" s="196" t="s">
        <v>848</v>
      </c>
    </row>
    <row r="270" spans="1:25">
      <c r="A270" s="196" t="s">
        <v>837</v>
      </c>
      <c r="B270" s="196" t="s">
        <v>181</v>
      </c>
      <c r="C270" s="196">
        <v>2013</v>
      </c>
      <c r="D270" s="196">
        <v>80</v>
      </c>
      <c r="E270" s="196" t="s">
        <v>876</v>
      </c>
      <c r="F270" s="196" t="s">
        <v>1040</v>
      </c>
      <c r="G270" s="196">
        <v>2</v>
      </c>
      <c r="H270" s="196">
        <v>2</v>
      </c>
      <c r="I270" s="196">
        <v>1415</v>
      </c>
      <c r="J270" s="196">
        <v>14403</v>
      </c>
      <c r="K270" s="196">
        <v>70.900000000000006</v>
      </c>
      <c r="L270" s="196">
        <v>0.7</v>
      </c>
      <c r="M270" s="196">
        <v>5647</v>
      </c>
      <c r="N270" s="196">
        <v>1007257</v>
      </c>
      <c r="O270" s="196">
        <v>1365</v>
      </c>
      <c r="P270" s="196" t="s">
        <v>1041</v>
      </c>
      <c r="Q270" s="196" t="s">
        <v>1042</v>
      </c>
      <c r="R270" s="196" t="s">
        <v>1043</v>
      </c>
      <c r="S270" s="196" t="s">
        <v>844</v>
      </c>
      <c r="T270" s="196" t="s">
        <v>913</v>
      </c>
      <c r="U270" s="196" t="s">
        <v>1044</v>
      </c>
      <c r="V270" s="196" t="s">
        <v>1041</v>
      </c>
      <c r="W270" s="196" t="s">
        <v>1042</v>
      </c>
      <c r="X270" s="196" t="s">
        <v>1045</v>
      </c>
      <c r="Y270" s="196" t="s">
        <v>848</v>
      </c>
    </row>
    <row r="271" spans="1:25">
      <c r="A271" s="196" t="s">
        <v>837</v>
      </c>
      <c r="B271" s="196" t="s">
        <v>850</v>
      </c>
      <c r="C271" s="196">
        <v>2014</v>
      </c>
      <c r="D271" s="196">
        <v>30</v>
      </c>
      <c r="E271" s="196" t="s">
        <v>860</v>
      </c>
      <c r="F271" s="196" t="s">
        <v>1040</v>
      </c>
      <c r="G271" s="196">
        <v>10</v>
      </c>
      <c r="H271" s="196">
        <v>9</v>
      </c>
      <c r="I271" s="196">
        <v>15516</v>
      </c>
      <c r="J271" s="196">
        <v>74400</v>
      </c>
      <c r="K271" s="196">
        <v>70.900000000000006</v>
      </c>
      <c r="L271" s="196">
        <v>0.7</v>
      </c>
      <c r="M271" s="196">
        <v>5647</v>
      </c>
      <c r="N271" s="196">
        <v>1007257</v>
      </c>
      <c r="O271" s="196">
        <v>1365</v>
      </c>
      <c r="P271" s="196" t="s">
        <v>1041</v>
      </c>
      <c r="Q271" s="196" t="s">
        <v>1042</v>
      </c>
      <c r="R271" s="196" t="s">
        <v>1043</v>
      </c>
      <c r="S271" s="196" t="s">
        <v>844</v>
      </c>
      <c r="T271" s="196" t="s">
        <v>913</v>
      </c>
      <c r="U271" s="196" t="s">
        <v>1044</v>
      </c>
      <c r="V271" s="196" t="s">
        <v>1041</v>
      </c>
      <c r="W271" s="196" t="s">
        <v>1042</v>
      </c>
      <c r="X271" s="196" t="s">
        <v>1045</v>
      </c>
      <c r="Y271" s="196" t="s">
        <v>848</v>
      </c>
    </row>
    <row r="272" spans="1:25">
      <c r="A272" s="196" t="s">
        <v>837</v>
      </c>
      <c r="B272" s="196" t="s">
        <v>850</v>
      </c>
      <c r="C272" s="196">
        <v>2014</v>
      </c>
      <c r="D272" s="196">
        <v>30</v>
      </c>
      <c r="E272" s="196" t="s">
        <v>861</v>
      </c>
      <c r="F272" s="196" t="s">
        <v>1040</v>
      </c>
      <c r="G272" s="196">
        <v>9</v>
      </c>
      <c r="H272" s="196">
        <v>8</v>
      </c>
      <c r="I272" s="196">
        <v>8598</v>
      </c>
      <c r="J272" s="196">
        <v>74941</v>
      </c>
      <c r="K272" s="196">
        <v>70.900000000000006</v>
      </c>
      <c r="L272" s="196">
        <v>0.7</v>
      </c>
      <c r="M272" s="196">
        <v>5647</v>
      </c>
      <c r="N272" s="196">
        <v>1007257</v>
      </c>
      <c r="O272" s="196">
        <v>1365</v>
      </c>
      <c r="P272" s="196" t="s">
        <v>1041</v>
      </c>
      <c r="Q272" s="196" t="s">
        <v>1042</v>
      </c>
      <c r="R272" s="196" t="s">
        <v>1043</v>
      </c>
      <c r="S272" s="196" t="s">
        <v>844</v>
      </c>
      <c r="T272" s="196" t="s">
        <v>913</v>
      </c>
      <c r="U272" s="196" t="s">
        <v>1044</v>
      </c>
      <c r="V272" s="196" t="s">
        <v>1041</v>
      </c>
      <c r="W272" s="196" t="s">
        <v>1042</v>
      </c>
      <c r="X272" s="196" t="s">
        <v>1045</v>
      </c>
      <c r="Y272" s="196" t="s">
        <v>848</v>
      </c>
    </row>
    <row r="273" spans="1:25">
      <c r="A273" s="196" t="s">
        <v>837</v>
      </c>
      <c r="B273" s="196" t="s">
        <v>850</v>
      </c>
      <c r="C273" s="196">
        <v>2014</v>
      </c>
      <c r="D273" s="196">
        <v>55</v>
      </c>
      <c r="E273" s="196" t="s">
        <v>862</v>
      </c>
      <c r="F273" s="196" t="s">
        <v>1040</v>
      </c>
      <c r="G273" s="196">
        <v>1</v>
      </c>
      <c r="H273" s="196">
        <v>1</v>
      </c>
      <c r="I273" s="196">
        <v>2262</v>
      </c>
      <c r="J273" s="196">
        <v>3697</v>
      </c>
      <c r="K273" s="196">
        <v>70.900000000000006</v>
      </c>
      <c r="L273" s="196">
        <v>0.7</v>
      </c>
      <c r="M273" s="196">
        <v>5647</v>
      </c>
      <c r="N273" s="196">
        <v>1007257</v>
      </c>
      <c r="O273" s="196">
        <v>1365</v>
      </c>
      <c r="P273" s="196" t="s">
        <v>1041</v>
      </c>
      <c r="Q273" s="196" t="s">
        <v>1042</v>
      </c>
      <c r="R273" s="196" t="s">
        <v>1043</v>
      </c>
      <c r="S273" s="196" t="s">
        <v>844</v>
      </c>
      <c r="T273" s="196" t="s">
        <v>913</v>
      </c>
      <c r="U273" s="196" t="s">
        <v>1044</v>
      </c>
      <c r="V273" s="196" t="s">
        <v>1041</v>
      </c>
      <c r="W273" s="196" t="s">
        <v>1042</v>
      </c>
      <c r="X273" s="196" t="s">
        <v>1045</v>
      </c>
      <c r="Y273" s="196" t="s">
        <v>848</v>
      </c>
    </row>
    <row r="274" spans="1:25">
      <c r="A274" s="196" t="s">
        <v>837</v>
      </c>
      <c r="B274" s="196" t="s">
        <v>850</v>
      </c>
      <c r="C274" s="196">
        <v>2013</v>
      </c>
      <c r="D274" s="196">
        <v>30</v>
      </c>
      <c r="E274" s="196" t="s">
        <v>851</v>
      </c>
      <c r="F274" s="196" t="s">
        <v>1046</v>
      </c>
      <c r="G274" s="196">
        <v>3</v>
      </c>
      <c r="H274" s="196">
        <v>2</v>
      </c>
      <c r="I274" s="196">
        <v>4852</v>
      </c>
      <c r="J274" s="196">
        <v>24528</v>
      </c>
      <c r="K274" s="196">
        <v>84.69</v>
      </c>
      <c r="L274" s="196">
        <v>1.62</v>
      </c>
      <c r="M274" s="196">
        <v>6738</v>
      </c>
      <c r="N274" s="196">
        <v>1373943</v>
      </c>
      <c r="O274" s="196">
        <v>1450</v>
      </c>
      <c r="P274" s="196" t="s">
        <v>993</v>
      </c>
      <c r="Q274" s="196" t="s">
        <v>923</v>
      </c>
      <c r="R274" s="196" t="s">
        <v>1047</v>
      </c>
      <c r="S274" s="196" t="s">
        <v>844</v>
      </c>
      <c r="T274" s="196" t="s">
        <v>923</v>
      </c>
      <c r="U274" s="196" t="s">
        <v>1048</v>
      </c>
      <c r="V274" s="196" t="s">
        <v>1049</v>
      </c>
      <c r="W274" s="196" t="s">
        <v>1050</v>
      </c>
      <c r="X274" s="196" t="s">
        <v>1051</v>
      </c>
      <c r="Y274" s="196" t="s">
        <v>848</v>
      </c>
    </row>
    <row r="275" spans="1:25">
      <c r="A275" s="196" t="s">
        <v>837</v>
      </c>
      <c r="B275" s="196" t="s">
        <v>850</v>
      </c>
      <c r="C275" s="196">
        <v>2014</v>
      </c>
      <c r="D275" s="196">
        <v>80</v>
      </c>
      <c r="E275" s="196" t="s">
        <v>918</v>
      </c>
      <c r="F275" s="196" t="s">
        <v>1046</v>
      </c>
      <c r="G275" s="196">
        <v>1</v>
      </c>
      <c r="H275" s="196">
        <v>1</v>
      </c>
      <c r="I275" s="196">
        <v>1095</v>
      </c>
      <c r="J275" s="196">
        <v>6882</v>
      </c>
      <c r="K275" s="196">
        <v>84.69</v>
      </c>
      <c r="L275" s="196">
        <v>1.62</v>
      </c>
      <c r="M275" s="196">
        <v>6738</v>
      </c>
      <c r="N275" s="196">
        <v>1373943</v>
      </c>
      <c r="O275" s="196">
        <v>1450</v>
      </c>
      <c r="P275" s="196" t="s">
        <v>993</v>
      </c>
      <c r="Q275" s="196" t="s">
        <v>923</v>
      </c>
      <c r="R275" s="196" t="s">
        <v>1047</v>
      </c>
      <c r="S275" s="196" t="s">
        <v>844</v>
      </c>
      <c r="T275" s="196" t="s">
        <v>923</v>
      </c>
      <c r="U275" s="196" t="s">
        <v>1048</v>
      </c>
      <c r="V275" s="196" t="s">
        <v>1049</v>
      </c>
      <c r="W275" s="196" t="s">
        <v>1050</v>
      </c>
      <c r="X275" s="196" t="s">
        <v>1051</v>
      </c>
      <c r="Y275" s="196" t="s">
        <v>848</v>
      </c>
    </row>
    <row r="276" spans="1:25">
      <c r="A276" s="196" t="s">
        <v>837</v>
      </c>
      <c r="B276" s="196" t="s">
        <v>838</v>
      </c>
      <c r="C276" s="196">
        <v>2013</v>
      </c>
      <c r="D276" s="196">
        <v>80</v>
      </c>
      <c r="E276" s="196" t="s">
        <v>908</v>
      </c>
      <c r="F276" s="196" t="s">
        <v>1046</v>
      </c>
      <c r="G276" s="196">
        <v>1</v>
      </c>
      <c r="H276" s="196">
        <v>1</v>
      </c>
      <c r="I276" s="196">
        <v>2082</v>
      </c>
      <c r="J276" s="196">
        <v>12834</v>
      </c>
      <c r="K276" s="196">
        <v>84.69</v>
      </c>
      <c r="L276" s="196">
        <v>1.62</v>
      </c>
      <c r="M276" s="196">
        <v>6738</v>
      </c>
      <c r="N276" s="196">
        <v>1373943</v>
      </c>
      <c r="O276" s="196">
        <v>1450</v>
      </c>
      <c r="P276" s="196" t="s">
        <v>993</v>
      </c>
      <c r="Q276" s="196" t="s">
        <v>923</v>
      </c>
      <c r="R276" s="196" t="s">
        <v>1047</v>
      </c>
      <c r="S276" s="196" t="s">
        <v>844</v>
      </c>
      <c r="T276" s="196" t="s">
        <v>923</v>
      </c>
      <c r="U276" s="196" t="s">
        <v>1048</v>
      </c>
      <c r="V276" s="196" t="s">
        <v>1049</v>
      </c>
      <c r="W276" s="196" t="s">
        <v>1050</v>
      </c>
      <c r="X276" s="196" t="s">
        <v>1051</v>
      </c>
      <c r="Y276" s="196" t="s">
        <v>848</v>
      </c>
    </row>
    <row r="277" spans="1:25">
      <c r="A277" s="196" t="s">
        <v>837</v>
      </c>
      <c r="B277" s="196" t="s">
        <v>181</v>
      </c>
      <c r="C277" s="196">
        <v>2013</v>
      </c>
      <c r="D277" s="196">
        <v>80</v>
      </c>
      <c r="E277" s="196" t="s">
        <v>876</v>
      </c>
      <c r="F277" s="196" t="s">
        <v>1046</v>
      </c>
      <c r="G277" s="196">
        <v>1</v>
      </c>
      <c r="H277" s="196">
        <v>1</v>
      </c>
      <c r="I277" s="196">
        <v>1560</v>
      </c>
      <c r="J277" s="196">
        <v>13525</v>
      </c>
      <c r="K277" s="196">
        <v>84.69</v>
      </c>
      <c r="L277" s="196">
        <v>1.62</v>
      </c>
      <c r="M277" s="196">
        <v>6738</v>
      </c>
      <c r="N277" s="196">
        <v>1373943</v>
      </c>
      <c r="O277" s="196">
        <v>1450</v>
      </c>
      <c r="P277" s="196" t="s">
        <v>993</v>
      </c>
      <c r="Q277" s="196" t="s">
        <v>923</v>
      </c>
      <c r="R277" s="196" t="s">
        <v>1047</v>
      </c>
      <c r="S277" s="196" t="s">
        <v>844</v>
      </c>
      <c r="T277" s="196" t="s">
        <v>923</v>
      </c>
      <c r="U277" s="196" t="s">
        <v>1048</v>
      </c>
      <c r="V277" s="196" t="s">
        <v>1049</v>
      </c>
      <c r="W277" s="196" t="s">
        <v>1050</v>
      </c>
      <c r="X277" s="196" t="s">
        <v>1051</v>
      </c>
      <c r="Y277" s="196" t="s">
        <v>848</v>
      </c>
    </row>
    <row r="278" spans="1:25">
      <c r="A278" s="196" t="s">
        <v>837</v>
      </c>
      <c r="B278" s="196" t="s">
        <v>838</v>
      </c>
      <c r="C278" s="196">
        <v>2013</v>
      </c>
      <c r="D278" s="196">
        <v>30</v>
      </c>
      <c r="E278" s="196" t="s">
        <v>839</v>
      </c>
      <c r="F278" s="196" t="s">
        <v>1052</v>
      </c>
      <c r="G278" s="196">
        <v>6</v>
      </c>
      <c r="H278" s="196">
        <v>6</v>
      </c>
      <c r="I278" s="196">
        <v>7422</v>
      </c>
      <c r="J278" s="196">
        <v>55941</v>
      </c>
      <c r="K278" s="196">
        <v>84.74</v>
      </c>
      <c r="L278" s="196">
        <v>2.35</v>
      </c>
      <c r="M278" s="196">
        <v>6623</v>
      </c>
      <c r="N278" s="196">
        <v>1458954</v>
      </c>
      <c r="O278" s="196">
        <v>1643</v>
      </c>
      <c r="P278" s="196" t="s">
        <v>1053</v>
      </c>
      <c r="Q278" s="196" t="s">
        <v>1054</v>
      </c>
      <c r="R278" s="196" t="s">
        <v>1055</v>
      </c>
      <c r="S278" s="196" t="s">
        <v>844</v>
      </c>
      <c r="T278" s="196" t="s">
        <v>900</v>
      </c>
      <c r="U278" s="196" t="s">
        <v>901</v>
      </c>
      <c r="V278" s="196" t="s">
        <v>1056</v>
      </c>
      <c r="W278" s="196" t="s">
        <v>1057</v>
      </c>
      <c r="X278" s="196" t="s">
        <v>1054</v>
      </c>
      <c r="Y278" s="196" t="s">
        <v>848</v>
      </c>
    </row>
    <row r="279" spans="1:25">
      <c r="A279" s="196" t="s">
        <v>837</v>
      </c>
      <c r="B279" s="196" t="s">
        <v>838</v>
      </c>
      <c r="C279" s="196">
        <v>2013</v>
      </c>
      <c r="D279" s="196">
        <v>55</v>
      </c>
      <c r="E279" s="196" t="s">
        <v>849</v>
      </c>
      <c r="F279" s="196" t="s">
        <v>1052</v>
      </c>
      <c r="G279" s="196">
        <v>5</v>
      </c>
      <c r="H279" s="196">
        <v>5</v>
      </c>
      <c r="I279" s="196">
        <v>5256</v>
      </c>
      <c r="J279" s="196">
        <v>43764</v>
      </c>
      <c r="K279" s="196">
        <v>84.74</v>
      </c>
      <c r="L279" s="196">
        <v>2.35</v>
      </c>
      <c r="M279" s="196">
        <v>6623</v>
      </c>
      <c r="N279" s="196">
        <v>1458954</v>
      </c>
      <c r="O279" s="196">
        <v>1643</v>
      </c>
      <c r="P279" s="196" t="s">
        <v>1053</v>
      </c>
      <c r="Q279" s="196" t="s">
        <v>1054</v>
      </c>
      <c r="R279" s="196" t="s">
        <v>1055</v>
      </c>
      <c r="S279" s="196" t="s">
        <v>844</v>
      </c>
      <c r="T279" s="196" t="s">
        <v>900</v>
      </c>
      <c r="U279" s="196" t="s">
        <v>901</v>
      </c>
      <c r="V279" s="196" t="s">
        <v>1056</v>
      </c>
      <c r="W279" s="196" t="s">
        <v>1057</v>
      </c>
      <c r="X279" s="196" t="s">
        <v>1054</v>
      </c>
      <c r="Y279" s="196" t="s">
        <v>848</v>
      </c>
    </row>
    <row r="280" spans="1:25">
      <c r="A280" s="196" t="s">
        <v>837</v>
      </c>
      <c r="B280" s="196" t="s">
        <v>850</v>
      </c>
      <c r="C280" s="196">
        <v>2013</v>
      </c>
      <c r="D280" s="196">
        <v>30</v>
      </c>
      <c r="E280" s="196" t="s">
        <v>851</v>
      </c>
      <c r="F280" s="196" t="s">
        <v>1052</v>
      </c>
      <c r="G280" s="196">
        <v>10</v>
      </c>
      <c r="H280" s="196">
        <v>10</v>
      </c>
      <c r="I280" s="196">
        <v>12894</v>
      </c>
      <c r="J280" s="196">
        <v>84807</v>
      </c>
      <c r="K280" s="196">
        <v>84.74</v>
      </c>
      <c r="L280" s="196">
        <v>2.35</v>
      </c>
      <c r="M280" s="196">
        <v>6623</v>
      </c>
      <c r="N280" s="196">
        <v>1458954</v>
      </c>
      <c r="O280" s="196">
        <v>1643</v>
      </c>
      <c r="P280" s="196" t="s">
        <v>1053</v>
      </c>
      <c r="Q280" s="196" t="s">
        <v>1054</v>
      </c>
      <c r="R280" s="196" t="s">
        <v>1055</v>
      </c>
      <c r="S280" s="196" t="s">
        <v>844</v>
      </c>
      <c r="T280" s="196" t="s">
        <v>900</v>
      </c>
      <c r="U280" s="196" t="s">
        <v>901</v>
      </c>
      <c r="V280" s="196" t="s">
        <v>1056</v>
      </c>
      <c r="W280" s="196" t="s">
        <v>1057</v>
      </c>
      <c r="X280" s="196" t="s">
        <v>1054</v>
      </c>
      <c r="Y280" s="196" t="s">
        <v>848</v>
      </c>
    </row>
    <row r="281" spans="1:25">
      <c r="A281" s="196" t="s">
        <v>837</v>
      </c>
      <c r="B281" s="196" t="s">
        <v>850</v>
      </c>
      <c r="C281" s="196">
        <v>2013</v>
      </c>
      <c r="D281" s="196">
        <v>55</v>
      </c>
      <c r="E281" s="196" t="s">
        <v>852</v>
      </c>
      <c r="F281" s="196" t="s">
        <v>1052</v>
      </c>
      <c r="G281" s="196">
        <v>2</v>
      </c>
      <c r="H281" s="196">
        <v>2</v>
      </c>
      <c r="I281" s="196">
        <v>2997</v>
      </c>
      <c r="J281" s="196">
        <v>12149</v>
      </c>
      <c r="K281" s="196">
        <v>84.74</v>
      </c>
      <c r="L281" s="196">
        <v>2.35</v>
      </c>
      <c r="M281" s="196">
        <v>6623</v>
      </c>
      <c r="N281" s="196">
        <v>1458954</v>
      </c>
      <c r="O281" s="196">
        <v>1643</v>
      </c>
      <c r="P281" s="196" t="s">
        <v>1053</v>
      </c>
      <c r="Q281" s="196" t="s">
        <v>1054</v>
      </c>
      <c r="R281" s="196" t="s">
        <v>1055</v>
      </c>
      <c r="S281" s="196" t="s">
        <v>844</v>
      </c>
      <c r="T281" s="196" t="s">
        <v>900</v>
      </c>
      <c r="U281" s="196" t="s">
        <v>901</v>
      </c>
      <c r="V281" s="196" t="s">
        <v>1056</v>
      </c>
      <c r="W281" s="196" t="s">
        <v>1057</v>
      </c>
      <c r="X281" s="196" t="s">
        <v>1054</v>
      </c>
      <c r="Y281" s="196" t="s">
        <v>848</v>
      </c>
    </row>
    <row r="282" spans="1:25">
      <c r="A282" s="196" t="s">
        <v>837</v>
      </c>
      <c r="B282" s="196" t="s">
        <v>838</v>
      </c>
      <c r="C282" s="196">
        <v>2014</v>
      </c>
      <c r="D282" s="196">
        <v>80</v>
      </c>
      <c r="E282" s="196" t="s">
        <v>853</v>
      </c>
      <c r="F282" s="196" t="s">
        <v>1052</v>
      </c>
      <c r="G282" s="196">
        <v>1</v>
      </c>
      <c r="H282" s="196">
        <v>1</v>
      </c>
      <c r="I282" s="196">
        <v>2082</v>
      </c>
      <c r="J282" s="196">
        <v>4636</v>
      </c>
      <c r="K282" s="196">
        <v>84.74</v>
      </c>
      <c r="L282" s="196">
        <v>2.35</v>
      </c>
      <c r="M282" s="196">
        <v>6623</v>
      </c>
      <c r="N282" s="196">
        <v>1458954</v>
      </c>
      <c r="O282" s="196">
        <v>1643</v>
      </c>
      <c r="P282" s="196" t="s">
        <v>1053</v>
      </c>
      <c r="Q282" s="196" t="s">
        <v>1054</v>
      </c>
      <c r="R282" s="196" t="s">
        <v>1055</v>
      </c>
      <c r="S282" s="196" t="s">
        <v>844</v>
      </c>
      <c r="T282" s="196" t="s">
        <v>900</v>
      </c>
      <c r="U282" s="196" t="s">
        <v>901</v>
      </c>
      <c r="V282" s="196" t="s">
        <v>1056</v>
      </c>
      <c r="W282" s="196" t="s">
        <v>1057</v>
      </c>
      <c r="X282" s="196" t="s">
        <v>1054</v>
      </c>
      <c r="Y282" s="196" t="s">
        <v>848</v>
      </c>
    </row>
    <row r="283" spans="1:25">
      <c r="A283" s="196" t="s">
        <v>837</v>
      </c>
      <c r="B283" s="196" t="s">
        <v>181</v>
      </c>
      <c r="C283" s="196">
        <v>2014</v>
      </c>
      <c r="D283" s="196">
        <v>80</v>
      </c>
      <c r="E283" s="196" t="s">
        <v>874</v>
      </c>
      <c r="F283" s="196" t="s">
        <v>1052</v>
      </c>
      <c r="G283" s="196">
        <v>1</v>
      </c>
      <c r="H283" s="196">
        <v>1</v>
      </c>
      <c r="I283" s="196">
        <v>77</v>
      </c>
      <c r="J283" s="196">
        <v>5444</v>
      </c>
      <c r="K283" s="196">
        <v>84.74</v>
      </c>
      <c r="L283" s="196">
        <v>2.35</v>
      </c>
      <c r="M283" s="196">
        <v>6623</v>
      </c>
      <c r="N283" s="196">
        <v>1458954</v>
      </c>
      <c r="O283" s="196">
        <v>1643</v>
      </c>
      <c r="P283" s="196" t="s">
        <v>1053</v>
      </c>
      <c r="Q283" s="196" t="s">
        <v>1054</v>
      </c>
      <c r="R283" s="196" t="s">
        <v>1055</v>
      </c>
      <c r="S283" s="196" t="s">
        <v>844</v>
      </c>
      <c r="T283" s="196" t="s">
        <v>900</v>
      </c>
      <c r="U283" s="196" t="s">
        <v>901</v>
      </c>
      <c r="V283" s="196" t="s">
        <v>1056</v>
      </c>
      <c r="W283" s="196" t="s">
        <v>1057</v>
      </c>
      <c r="X283" s="196" t="s">
        <v>1054</v>
      </c>
      <c r="Y283" s="196" t="s">
        <v>848</v>
      </c>
    </row>
    <row r="284" spans="1:25">
      <c r="A284" s="196" t="s">
        <v>837</v>
      </c>
      <c r="B284" s="196" t="s">
        <v>850</v>
      </c>
      <c r="C284" s="196">
        <v>2014</v>
      </c>
      <c r="D284" s="196">
        <v>80</v>
      </c>
      <c r="E284" s="196" t="s">
        <v>875</v>
      </c>
      <c r="F284" s="196" t="s">
        <v>1052</v>
      </c>
      <c r="G284" s="196">
        <v>1</v>
      </c>
      <c r="H284" s="196">
        <v>1</v>
      </c>
      <c r="I284" s="196">
        <v>1809</v>
      </c>
      <c r="J284" s="196">
        <v>19712</v>
      </c>
      <c r="K284" s="196">
        <v>84.74</v>
      </c>
      <c r="L284" s="196">
        <v>2.35</v>
      </c>
      <c r="M284" s="196">
        <v>6623</v>
      </c>
      <c r="N284" s="196">
        <v>1458954</v>
      </c>
      <c r="O284" s="196">
        <v>1643</v>
      </c>
      <c r="P284" s="196" t="s">
        <v>1053</v>
      </c>
      <c r="Q284" s="196" t="s">
        <v>1054</v>
      </c>
      <c r="R284" s="196" t="s">
        <v>1055</v>
      </c>
      <c r="S284" s="196" t="s">
        <v>844</v>
      </c>
      <c r="T284" s="196" t="s">
        <v>900</v>
      </c>
      <c r="U284" s="196" t="s">
        <v>901</v>
      </c>
      <c r="V284" s="196" t="s">
        <v>1056</v>
      </c>
      <c r="W284" s="196" t="s">
        <v>1057</v>
      </c>
      <c r="X284" s="196" t="s">
        <v>1054</v>
      </c>
      <c r="Y284" s="196" t="s">
        <v>848</v>
      </c>
    </row>
    <row r="285" spans="1:25">
      <c r="A285" s="196" t="s">
        <v>837</v>
      </c>
      <c r="B285" s="196" t="s">
        <v>838</v>
      </c>
      <c r="C285" s="196">
        <v>2014</v>
      </c>
      <c r="D285" s="196">
        <v>55</v>
      </c>
      <c r="E285" s="196" t="s">
        <v>854</v>
      </c>
      <c r="F285" s="196" t="s">
        <v>1052</v>
      </c>
      <c r="G285" s="196">
        <v>5</v>
      </c>
      <c r="H285" s="196">
        <v>5</v>
      </c>
      <c r="I285" s="196">
        <v>6894</v>
      </c>
      <c r="J285" s="196">
        <v>41933</v>
      </c>
      <c r="K285" s="196">
        <v>84.74</v>
      </c>
      <c r="L285" s="196">
        <v>2.35</v>
      </c>
      <c r="M285" s="196">
        <v>6623</v>
      </c>
      <c r="N285" s="196">
        <v>1458954</v>
      </c>
      <c r="O285" s="196">
        <v>1643</v>
      </c>
      <c r="P285" s="196" t="s">
        <v>1053</v>
      </c>
      <c r="Q285" s="196" t="s">
        <v>1054</v>
      </c>
      <c r="R285" s="196" t="s">
        <v>1055</v>
      </c>
      <c r="S285" s="196" t="s">
        <v>844</v>
      </c>
      <c r="T285" s="196" t="s">
        <v>900</v>
      </c>
      <c r="U285" s="196" t="s">
        <v>901</v>
      </c>
      <c r="V285" s="196" t="s">
        <v>1056</v>
      </c>
      <c r="W285" s="196" t="s">
        <v>1057</v>
      </c>
      <c r="X285" s="196" t="s">
        <v>1054</v>
      </c>
      <c r="Y285" s="196" t="s">
        <v>848</v>
      </c>
    </row>
    <row r="286" spans="1:25">
      <c r="A286" s="196" t="s">
        <v>837</v>
      </c>
      <c r="B286" s="196" t="s">
        <v>838</v>
      </c>
      <c r="C286" s="196">
        <v>2014</v>
      </c>
      <c r="D286" s="196">
        <v>55</v>
      </c>
      <c r="E286" s="196" t="s">
        <v>855</v>
      </c>
      <c r="F286" s="196" t="s">
        <v>1052</v>
      </c>
      <c r="G286" s="196">
        <v>3</v>
      </c>
      <c r="H286" s="196">
        <v>3</v>
      </c>
      <c r="I286" s="196">
        <v>3867</v>
      </c>
      <c r="J286" s="196">
        <v>18022</v>
      </c>
      <c r="K286" s="196">
        <v>84.74</v>
      </c>
      <c r="L286" s="196">
        <v>2.35</v>
      </c>
      <c r="M286" s="196">
        <v>6623</v>
      </c>
      <c r="N286" s="196">
        <v>1458954</v>
      </c>
      <c r="O286" s="196">
        <v>1643</v>
      </c>
      <c r="P286" s="196" t="s">
        <v>1053</v>
      </c>
      <c r="Q286" s="196" t="s">
        <v>1054</v>
      </c>
      <c r="R286" s="196" t="s">
        <v>1055</v>
      </c>
      <c r="S286" s="196" t="s">
        <v>844</v>
      </c>
      <c r="T286" s="196" t="s">
        <v>900</v>
      </c>
      <c r="U286" s="196" t="s">
        <v>901</v>
      </c>
      <c r="V286" s="196" t="s">
        <v>1056</v>
      </c>
      <c r="W286" s="196" t="s">
        <v>1057</v>
      </c>
      <c r="X286" s="196" t="s">
        <v>1054</v>
      </c>
      <c r="Y286" s="196" t="s">
        <v>848</v>
      </c>
    </row>
    <row r="287" spans="1:25">
      <c r="A287" s="196" t="s">
        <v>837</v>
      </c>
      <c r="B287" s="196" t="s">
        <v>181</v>
      </c>
      <c r="C287" s="196">
        <v>2014</v>
      </c>
      <c r="D287" s="196">
        <v>30</v>
      </c>
      <c r="E287" s="196" t="s">
        <v>856</v>
      </c>
      <c r="F287" s="196" t="s">
        <v>1052</v>
      </c>
      <c r="G287" s="196">
        <v>3</v>
      </c>
      <c r="H287" s="196">
        <v>3</v>
      </c>
      <c r="I287" s="196">
        <v>3564</v>
      </c>
      <c r="J287" s="196">
        <v>21690</v>
      </c>
      <c r="K287" s="196">
        <v>84.74</v>
      </c>
      <c r="L287" s="196">
        <v>2.35</v>
      </c>
      <c r="M287" s="196">
        <v>6623</v>
      </c>
      <c r="N287" s="196">
        <v>1458954</v>
      </c>
      <c r="O287" s="196">
        <v>1643</v>
      </c>
      <c r="P287" s="196" t="s">
        <v>1053</v>
      </c>
      <c r="Q287" s="196" t="s">
        <v>1054</v>
      </c>
      <c r="R287" s="196" t="s">
        <v>1055</v>
      </c>
      <c r="S287" s="196" t="s">
        <v>844</v>
      </c>
      <c r="T287" s="196" t="s">
        <v>900</v>
      </c>
      <c r="U287" s="196" t="s">
        <v>901</v>
      </c>
      <c r="V287" s="196" t="s">
        <v>1056</v>
      </c>
      <c r="W287" s="196" t="s">
        <v>1057</v>
      </c>
      <c r="X287" s="196" t="s">
        <v>1054</v>
      </c>
      <c r="Y287" s="196" t="s">
        <v>848</v>
      </c>
    </row>
    <row r="288" spans="1:25">
      <c r="A288" s="196" t="s">
        <v>837</v>
      </c>
      <c r="B288" s="196" t="s">
        <v>181</v>
      </c>
      <c r="C288" s="196">
        <v>2014</v>
      </c>
      <c r="D288" s="196">
        <v>30</v>
      </c>
      <c r="E288" s="196" t="s">
        <v>857</v>
      </c>
      <c r="F288" s="196" t="s">
        <v>1052</v>
      </c>
      <c r="G288" s="196">
        <v>1</v>
      </c>
      <c r="H288" s="196">
        <v>1</v>
      </c>
      <c r="I288" s="196">
        <v>420</v>
      </c>
      <c r="J288" s="196">
        <v>4926</v>
      </c>
      <c r="K288" s="196">
        <v>84.74</v>
      </c>
      <c r="L288" s="196">
        <v>2.35</v>
      </c>
      <c r="M288" s="196">
        <v>6623</v>
      </c>
      <c r="N288" s="196">
        <v>1458954</v>
      </c>
      <c r="O288" s="196">
        <v>1643</v>
      </c>
      <c r="P288" s="196" t="s">
        <v>1053</v>
      </c>
      <c r="Q288" s="196" t="s">
        <v>1054</v>
      </c>
      <c r="R288" s="196" t="s">
        <v>1055</v>
      </c>
      <c r="S288" s="196" t="s">
        <v>844</v>
      </c>
      <c r="T288" s="196" t="s">
        <v>900</v>
      </c>
      <c r="U288" s="196" t="s">
        <v>901</v>
      </c>
      <c r="V288" s="196" t="s">
        <v>1056</v>
      </c>
      <c r="W288" s="196" t="s">
        <v>1057</v>
      </c>
      <c r="X288" s="196" t="s">
        <v>1054</v>
      </c>
      <c r="Y288" s="196" t="s">
        <v>848</v>
      </c>
    </row>
    <row r="289" spans="1:25">
      <c r="A289" s="196" t="s">
        <v>837</v>
      </c>
      <c r="B289" s="196" t="s">
        <v>181</v>
      </c>
      <c r="C289" s="196">
        <v>2014</v>
      </c>
      <c r="D289" s="196">
        <v>55</v>
      </c>
      <c r="E289" s="196" t="s">
        <v>858</v>
      </c>
      <c r="F289" s="196" t="s">
        <v>1052</v>
      </c>
      <c r="G289" s="196">
        <v>9</v>
      </c>
      <c r="H289" s="196">
        <v>9</v>
      </c>
      <c r="I289" s="196">
        <v>9946</v>
      </c>
      <c r="J289" s="196">
        <v>66291</v>
      </c>
      <c r="K289" s="196">
        <v>84.74</v>
      </c>
      <c r="L289" s="196">
        <v>2.35</v>
      </c>
      <c r="M289" s="196">
        <v>6623</v>
      </c>
      <c r="N289" s="196">
        <v>1458954</v>
      </c>
      <c r="O289" s="196">
        <v>1643</v>
      </c>
      <c r="P289" s="196" t="s">
        <v>1053</v>
      </c>
      <c r="Q289" s="196" t="s">
        <v>1054</v>
      </c>
      <c r="R289" s="196" t="s">
        <v>1055</v>
      </c>
      <c r="S289" s="196" t="s">
        <v>844</v>
      </c>
      <c r="T289" s="196" t="s">
        <v>900</v>
      </c>
      <c r="U289" s="196" t="s">
        <v>901</v>
      </c>
      <c r="V289" s="196" t="s">
        <v>1056</v>
      </c>
      <c r="W289" s="196" t="s">
        <v>1057</v>
      </c>
      <c r="X289" s="196" t="s">
        <v>1054</v>
      </c>
      <c r="Y289" s="196" t="s">
        <v>848</v>
      </c>
    </row>
    <row r="290" spans="1:25">
      <c r="A290" s="196" t="s">
        <v>837</v>
      </c>
      <c r="B290" s="196" t="s">
        <v>181</v>
      </c>
      <c r="C290" s="196">
        <v>2014</v>
      </c>
      <c r="D290" s="196">
        <v>55</v>
      </c>
      <c r="E290" s="196" t="s">
        <v>859</v>
      </c>
      <c r="F290" s="196" t="s">
        <v>1052</v>
      </c>
      <c r="G290" s="196">
        <v>1</v>
      </c>
      <c r="H290" s="196">
        <v>1</v>
      </c>
      <c r="I290" s="196">
        <v>1767</v>
      </c>
      <c r="J290" s="196">
        <v>2983</v>
      </c>
      <c r="K290" s="196">
        <v>84.74</v>
      </c>
      <c r="L290" s="196">
        <v>2.35</v>
      </c>
      <c r="M290" s="196">
        <v>6623</v>
      </c>
      <c r="N290" s="196">
        <v>1458954</v>
      </c>
      <c r="O290" s="196">
        <v>1643</v>
      </c>
      <c r="P290" s="196" t="s">
        <v>1053</v>
      </c>
      <c r="Q290" s="196" t="s">
        <v>1054</v>
      </c>
      <c r="R290" s="196" t="s">
        <v>1055</v>
      </c>
      <c r="S290" s="196" t="s">
        <v>844</v>
      </c>
      <c r="T290" s="196" t="s">
        <v>900</v>
      </c>
      <c r="U290" s="196" t="s">
        <v>901</v>
      </c>
      <c r="V290" s="196" t="s">
        <v>1056</v>
      </c>
      <c r="W290" s="196" t="s">
        <v>1057</v>
      </c>
      <c r="X290" s="196" t="s">
        <v>1054</v>
      </c>
      <c r="Y290" s="196" t="s">
        <v>848</v>
      </c>
    </row>
    <row r="291" spans="1:25">
      <c r="A291" s="196" t="s">
        <v>837</v>
      </c>
      <c r="B291" s="196" t="s">
        <v>850</v>
      </c>
      <c r="C291" s="196">
        <v>2014</v>
      </c>
      <c r="D291" s="196">
        <v>30</v>
      </c>
      <c r="E291" s="196" t="s">
        <v>860</v>
      </c>
      <c r="F291" s="196" t="s">
        <v>1052</v>
      </c>
      <c r="G291" s="196">
        <v>3</v>
      </c>
      <c r="H291" s="196">
        <v>3</v>
      </c>
      <c r="I291" s="196">
        <v>2379</v>
      </c>
      <c r="J291" s="196">
        <v>18376</v>
      </c>
      <c r="K291" s="196">
        <v>84.74</v>
      </c>
      <c r="L291" s="196">
        <v>2.35</v>
      </c>
      <c r="M291" s="196">
        <v>6623</v>
      </c>
      <c r="N291" s="196">
        <v>1458954</v>
      </c>
      <c r="O291" s="196">
        <v>1643</v>
      </c>
      <c r="P291" s="196" t="s">
        <v>1053</v>
      </c>
      <c r="Q291" s="196" t="s">
        <v>1054</v>
      </c>
      <c r="R291" s="196" t="s">
        <v>1055</v>
      </c>
      <c r="S291" s="196" t="s">
        <v>844</v>
      </c>
      <c r="T291" s="196" t="s">
        <v>900</v>
      </c>
      <c r="U291" s="196" t="s">
        <v>901</v>
      </c>
      <c r="V291" s="196" t="s">
        <v>1056</v>
      </c>
      <c r="W291" s="196" t="s">
        <v>1057</v>
      </c>
      <c r="X291" s="196" t="s">
        <v>1054</v>
      </c>
      <c r="Y291" s="196" t="s">
        <v>848</v>
      </c>
    </row>
    <row r="292" spans="1:25">
      <c r="A292" s="196" t="s">
        <v>837</v>
      </c>
      <c r="B292" s="196" t="s">
        <v>850</v>
      </c>
      <c r="C292" s="196">
        <v>2014</v>
      </c>
      <c r="D292" s="196">
        <v>30</v>
      </c>
      <c r="E292" s="196" t="s">
        <v>861</v>
      </c>
      <c r="F292" s="196" t="s">
        <v>1052</v>
      </c>
      <c r="G292" s="196">
        <v>3</v>
      </c>
      <c r="H292" s="196">
        <v>3</v>
      </c>
      <c r="I292" s="196">
        <v>4449</v>
      </c>
      <c r="J292" s="196">
        <v>30116</v>
      </c>
      <c r="K292" s="196">
        <v>84.74</v>
      </c>
      <c r="L292" s="196">
        <v>2.35</v>
      </c>
      <c r="M292" s="196">
        <v>6623</v>
      </c>
      <c r="N292" s="196">
        <v>1458954</v>
      </c>
      <c r="O292" s="196">
        <v>1643</v>
      </c>
      <c r="P292" s="196" t="s">
        <v>1053</v>
      </c>
      <c r="Q292" s="196" t="s">
        <v>1054</v>
      </c>
      <c r="R292" s="196" t="s">
        <v>1055</v>
      </c>
      <c r="S292" s="196" t="s">
        <v>844</v>
      </c>
      <c r="T292" s="196" t="s">
        <v>900</v>
      </c>
      <c r="U292" s="196" t="s">
        <v>901</v>
      </c>
      <c r="V292" s="196" t="s">
        <v>1056</v>
      </c>
      <c r="W292" s="196" t="s">
        <v>1057</v>
      </c>
      <c r="X292" s="196" t="s">
        <v>1054</v>
      </c>
      <c r="Y292" s="196" t="s">
        <v>848</v>
      </c>
    </row>
    <row r="293" spans="1:25">
      <c r="A293" s="196" t="s">
        <v>837</v>
      </c>
      <c r="B293" s="196" t="s">
        <v>850</v>
      </c>
      <c r="C293" s="196">
        <v>2014</v>
      </c>
      <c r="D293" s="196">
        <v>55</v>
      </c>
      <c r="E293" s="196" t="s">
        <v>862</v>
      </c>
      <c r="F293" s="196" t="s">
        <v>1052</v>
      </c>
      <c r="G293" s="196">
        <v>9</v>
      </c>
      <c r="H293" s="196">
        <v>9</v>
      </c>
      <c r="I293" s="196">
        <v>10569</v>
      </c>
      <c r="J293" s="196">
        <v>53808</v>
      </c>
      <c r="K293" s="196">
        <v>84.74</v>
      </c>
      <c r="L293" s="196">
        <v>2.35</v>
      </c>
      <c r="M293" s="196">
        <v>6623</v>
      </c>
      <c r="N293" s="196">
        <v>1458954</v>
      </c>
      <c r="O293" s="196">
        <v>1643</v>
      </c>
      <c r="P293" s="196" t="s">
        <v>1053</v>
      </c>
      <c r="Q293" s="196" t="s">
        <v>1054</v>
      </c>
      <c r="R293" s="196" t="s">
        <v>1055</v>
      </c>
      <c r="S293" s="196" t="s">
        <v>844</v>
      </c>
      <c r="T293" s="196" t="s">
        <v>900</v>
      </c>
      <c r="U293" s="196" t="s">
        <v>901</v>
      </c>
      <c r="V293" s="196" t="s">
        <v>1056</v>
      </c>
      <c r="W293" s="196" t="s">
        <v>1057</v>
      </c>
      <c r="X293" s="196" t="s">
        <v>1054</v>
      </c>
      <c r="Y293" s="196" t="s">
        <v>848</v>
      </c>
    </row>
    <row r="294" spans="1:25">
      <c r="A294" s="196" t="s">
        <v>837</v>
      </c>
      <c r="B294" s="196" t="s">
        <v>850</v>
      </c>
      <c r="C294" s="196">
        <v>2014</v>
      </c>
      <c r="D294" s="196">
        <v>55</v>
      </c>
      <c r="E294" s="196" t="s">
        <v>863</v>
      </c>
      <c r="F294" s="196" t="s">
        <v>1052</v>
      </c>
      <c r="G294" s="196">
        <v>1</v>
      </c>
      <c r="H294" s="196">
        <v>1</v>
      </c>
      <c r="I294" s="196">
        <v>1026</v>
      </c>
      <c r="J294" s="196">
        <v>6426</v>
      </c>
      <c r="K294" s="196">
        <v>84.74</v>
      </c>
      <c r="L294" s="196">
        <v>2.35</v>
      </c>
      <c r="M294" s="196">
        <v>6623</v>
      </c>
      <c r="N294" s="196">
        <v>1458954</v>
      </c>
      <c r="O294" s="196">
        <v>1643</v>
      </c>
      <c r="P294" s="196" t="s">
        <v>1053</v>
      </c>
      <c r="Q294" s="196" t="s">
        <v>1054</v>
      </c>
      <c r="R294" s="196" t="s">
        <v>1055</v>
      </c>
      <c r="S294" s="196" t="s">
        <v>844</v>
      </c>
      <c r="T294" s="196" t="s">
        <v>900</v>
      </c>
      <c r="U294" s="196" t="s">
        <v>901</v>
      </c>
      <c r="V294" s="196" t="s">
        <v>1056</v>
      </c>
      <c r="W294" s="196" t="s">
        <v>1057</v>
      </c>
      <c r="X294" s="196" t="s">
        <v>1054</v>
      </c>
      <c r="Y294" s="196" t="s">
        <v>848</v>
      </c>
    </row>
    <row r="295" spans="1:25">
      <c r="A295" s="196" t="s">
        <v>837</v>
      </c>
      <c r="B295" s="196" t="s">
        <v>838</v>
      </c>
      <c r="C295" s="196">
        <v>2013</v>
      </c>
      <c r="D295" s="196">
        <v>30</v>
      </c>
      <c r="E295" s="196" t="s">
        <v>839</v>
      </c>
      <c r="F295" s="196" t="s">
        <v>1058</v>
      </c>
      <c r="G295" s="196">
        <v>1</v>
      </c>
      <c r="H295" s="196">
        <v>1</v>
      </c>
      <c r="I295" s="196">
        <v>1476</v>
      </c>
      <c r="J295" s="196">
        <v>4814</v>
      </c>
      <c r="K295" s="196">
        <v>52.9</v>
      </c>
      <c r="L295" s="196">
        <v>3</v>
      </c>
      <c r="M295" s="196">
        <v>4769</v>
      </c>
      <c r="N295" s="196">
        <v>833152</v>
      </c>
      <c r="O295" s="196">
        <v>1013</v>
      </c>
      <c r="P295" s="196" t="s">
        <v>878</v>
      </c>
      <c r="Q295" s="196" t="s">
        <v>1059</v>
      </c>
      <c r="R295" s="196" t="s">
        <v>1060</v>
      </c>
      <c r="S295" s="196" t="s">
        <v>844</v>
      </c>
      <c r="T295" s="196" t="s">
        <v>1061</v>
      </c>
      <c r="U295" s="196" t="s">
        <v>1062</v>
      </c>
      <c r="V295" s="196" t="s">
        <v>1063</v>
      </c>
      <c r="W295" s="196" t="s">
        <v>1059</v>
      </c>
      <c r="X295" s="196" t="s">
        <v>1064</v>
      </c>
      <c r="Y295" s="196" t="s">
        <v>848</v>
      </c>
    </row>
    <row r="296" spans="1:25">
      <c r="A296" s="196" t="s">
        <v>837</v>
      </c>
      <c r="B296" s="196" t="s">
        <v>850</v>
      </c>
      <c r="C296" s="196">
        <v>2013</v>
      </c>
      <c r="D296" s="196">
        <v>55</v>
      </c>
      <c r="E296" s="196" t="s">
        <v>852</v>
      </c>
      <c r="F296" s="196" t="s">
        <v>1058</v>
      </c>
      <c r="G296" s="196">
        <v>1</v>
      </c>
      <c r="H296" s="196">
        <v>1</v>
      </c>
      <c r="I296" s="196">
        <v>76</v>
      </c>
      <c r="J296" s="196">
        <v>3908</v>
      </c>
      <c r="K296" s="196">
        <v>52.9</v>
      </c>
      <c r="L296" s="196">
        <v>3</v>
      </c>
      <c r="M296" s="196">
        <v>4769</v>
      </c>
      <c r="N296" s="196">
        <v>833152</v>
      </c>
      <c r="O296" s="196">
        <v>1013</v>
      </c>
      <c r="P296" s="196" t="s">
        <v>878</v>
      </c>
      <c r="Q296" s="196" t="s">
        <v>1059</v>
      </c>
      <c r="R296" s="196" t="s">
        <v>1060</v>
      </c>
      <c r="S296" s="196" t="s">
        <v>844</v>
      </c>
      <c r="T296" s="196" t="s">
        <v>1061</v>
      </c>
      <c r="U296" s="196" t="s">
        <v>1062</v>
      </c>
      <c r="V296" s="196" t="s">
        <v>1063</v>
      </c>
      <c r="W296" s="196" t="s">
        <v>1059</v>
      </c>
      <c r="X296" s="196" t="s">
        <v>1064</v>
      </c>
      <c r="Y296" s="196" t="s">
        <v>848</v>
      </c>
    </row>
    <row r="297" spans="1:25">
      <c r="A297" s="196" t="s">
        <v>837</v>
      </c>
      <c r="B297" s="196" t="s">
        <v>838</v>
      </c>
      <c r="C297" s="196">
        <v>2013</v>
      </c>
      <c r="D297" s="196">
        <v>30</v>
      </c>
      <c r="E297" s="196" t="s">
        <v>839</v>
      </c>
      <c r="F297" s="196" t="s">
        <v>1065</v>
      </c>
      <c r="G297" s="196">
        <v>1</v>
      </c>
      <c r="H297" s="196">
        <v>1</v>
      </c>
      <c r="I297" s="196">
        <v>1917</v>
      </c>
      <c r="J297" s="196">
        <v>5187</v>
      </c>
      <c r="K297" s="196">
        <v>86.23</v>
      </c>
      <c r="L297" s="196">
        <v>1.62</v>
      </c>
      <c r="M297" s="196">
        <v>9438</v>
      </c>
      <c r="N297" s="196">
        <v>1808932</v>
      </c>
      <c r="O297" s="196">
        <v>1844</v>
      </c>
      <c r="P297" s="196" t="s">
        <v>1066</v>
      </c>
      <c r="Q297" s="196" t="s">
        <v>1066</v>
      </c>
      <c r="R297" s="196" t="s">
        <v>1067</v>
      </c>
      <c r="S297" s="196" t="s">
        <v>844</v>
      </c>
      <c r="T297" s="196" t="s">
        <v>913</v>
      </c>
      <c r="U297" s="196" t="s">
        <v>914</v>
      </c>
      <c r="V297" s="196" t="s">
        <v>1068</v>
      </c>
      <c r="W297" s="196" t="s">
        <v>1066</v>
      </c>
      <c r="X297" s="196" t="s">
        <v>1069</v>
      </c>
      <c r="Y297" s="196" t="s">
        <v>848</v>
      </c>
    </row>
    <row r="298" spans="1:25">
      <c r="A298" s="196" t="s">
        <v>837</v>
      </c>
      <c r="B298" s="196" t="s">
        <v>850</v>
      </c>
      <c r="C298" s="196">
        <v>2013</v>
      </c>
      <c r="D298" s="196">
        <v>30</v>
      </c>
      <c r="E298" s="196" t="s">
        <v>851</v>
      </c>
      <c r="F298" s="196" t="s">
        <v>1070</v>
      </c>
      <c r="G298" s="196">
        <v>2</v>
      </c>
      <c r="H298" s="196">
        <v>2</v>
      </c>
      <c r="I298" s="196">
        <v>3582</v>
      </c>
      <c r="J298" s="196">
        <v>19857</v>
      </c>
      <c r="K298" s="196">
        <v>95.24</v>
      </c>
      <c r="L298" s="196">
        <v>1.2</v>
      </c>
      <c r="M298" s="196">
        <v>23269</v>
      </c>
      <c r="N298" s="196">
        <v>2831475</v>
      </c>
      <c r="O298" s="196">
        <v>2809</v>
      </c>
      <c r="P298" s="196" t="s">
        <v>841</v>
      </c>
      <c r="Q298" s="196" t="s">
        <v>841</v>
      </c>
      <c r="R298" s="196" t="s">
        <v>1007</v>
      </c>
      <c r="S298" s="196" t="s">
        <v>844</v>
      </c>
      <c r="T298" s="196" t="s">
        <v>845</v>
      </c>
      <c r="U298" s="196" t="s">
        <v>846</v>
      </c>
      <c r="V298" s="196" t="s">
        <v>841</v>
      </c>
      <c r="W298" s="196" t="s">
        <v>1071</v>
      </c>
      <c r="X298" s="196" t="s">
        <v>1072</v>
      </c>
      <c r="Y298" s="196" t="s">
        <v>848</v>
      </c>
    </row>
    <row r="299" spans="1:25">
      <c r="A299" s="196" t="s">
        <v>837</v>
      </c>
      <c r="B299" s="196" t="s">
        <v>850</v>
      </c>
      <c r="C299" s="196">
        <v>2013</v>
      </c>
      <c r="D299" s="196">
        <v>55</v>
      </c>
      <c r="E299" s="196" t="s">
        <v>852</v>
      </c>
      <c r="F299" s="196" t="s">
        <v>1070</v>
      </c>
      <c r="G299" s="196">
        <v>1</v>
      </c>
      <c r="H299" s="196">
        <v>1</v>
      </c>
      <c r="I299" s="196">
        <v>2838</v>
      </c>
      <c r="J299" s="196">
        <v>6571</v>
      </c>
      <c r="K299" s="196">
        <v>95.24</v>
      </c>
      <c r="L299" s="196">
        <v>1.2</v>
      </c>
      <c r="M299" s="196">
        <v>23269</v>
      </c>
      <c r="N299" s="196">
        <v>2831475</v>
      </c>
      <c r="O299" s="196">
        <v>2809</v>
      </c>
      <c r="P299" s="196" t="s">
        <v>841</v>
      </c>
      <c r="Q299" s="196" t="s">
        <v>841</v>
      </c>
      <c r="R299" s="196" t="s">
        <v>1007</v>
      </c>
      <c r="S299" s="196" t="s">
        <v>844</v>
      </c>
      <c r="T299" s="196" t="s">
        <v>845</v>
      </c>
      <c r="U299" s="196" t="s">
        <v>846</v>
      </c>
      <c r="V299" s="196" t="s">
        <v>841</v>
      </c>
      <c r="W299" s="196" t="s">
        <v>1071</v>
      </c>
      <c r="X299" s="196" t="s">
        <v>1072</v>
      </c>
      <c r="Y299" s="196" t="s">
        <v>848</v>
      </c>
    </row>
    <row r="300" spans="1:25">
      <c r="A300" s="196" t="s">
        <v>837</v>
      </c>
      <c r="B300" s="196" t="s">
        <v>850</v>
      </c>
      <c r="C300" s="196">
        <v>2013</v>
      </c>
      <c r="D300" s="196">
        <v>80</v>
      </c>
      <c r="E300" s="196" t="s">
        <v>917</v>
      </c>
      <c r="F300" s="196" t="s">
        <v>1070</v>
      </c>
      <c r="G300" s="196">
        <v>1</v>
      </c>
      <c r="H300" s="196">
        <v>1</v>
      </c>
      <c r="I300" s="196">
        <v>2838</v>
      </c>
      <c r="J300" s="196">
        <v>6571</v>
      </c>
      <c r="K300" s="196">
        <v>95.24</v>
      </c>
      <c r="L300" s="196">
        <v>1.2</v>
      </c>
      <c r="M300" s="196">
        <v>23269</v>
      </c>
      <c r="N300" s="196">
        <v>2831475</v>
      </c>
      <c r="O300" s="196">
        <v>2809</v>
      </c>
      <c r="P300" s="196" t="s">
        <v>841</v>
      </c>
      <c r="Q300" s="196" t="s">
        <v>841</v>
      </c>
      <c r="R300" s="196" t="s">
        <v>1007</v>
      </c>
      <c r="S300" s="196" t="s">
        <v>844</v>
      </c>
      <c r="T300" s="196" t="s">
        <v>845</v>
      </c>
      <c r="U300" s="196" t="s">
        <v>846</v>
      </c>
      <c r="V300" s="196" t="s">
        <v>841</v>
      </c>
      <c r="W300" s="196" t="s">
        <v>1071</v>
      </c>
      <c r="X300" s="196" t="s">
        <v>1072</v>
      </c>
      <c r="Y300" s="196" t="s">
        <v>848</v>
      </c>
    </row>
    <row r="301" spans="1:25">
      <c r="A301" s="196" t="s">
        <v>837</v>
      </c>
      <c r="B301" s="196" t="s">
        <v>850</v>
      </c>
      <c r="C301" s="196">
        <v>2014</v>
      </c>
      <c r="D301" s="196">
        <v>30</v>
      </c>
      <c r="E301" s="196" t="s">
        <v>860</v>
      </c>
      <c r="F301" s="196" t="s">
        <v>1070</v>
      </c>
      <c r="G301" s="196">
        <v>1</v>
      </c>
      <c r="H301" s="196">
        <v>1</v>
      </c>
      <c r="I301" s="196">
        <v>1248</v>
      </c>
      <c r="J301" s="196">
        <v>85202</v>
      </c>
      <c r="K301" s="196">
        <v>95.24</v>
      </c>
      <c r="L301" s="196">
        <v>1.2</v>
      </c>
      <c r="M301" s="196">
        <v>23269</v>
      </c>
      <c r="N301" s="196">
        <v>2831475</v>
      </c>
      <c r="O301" s="196">
        <v>2809</v>
      </c>
      <c r="P301" s="196" t="s">
        <v>841</v>
      </c>
      <c r="Q301" s="196" t="s">
        <v>841</v>
      </c>
      <c r="R301" s="196" t="s">
        <v>1007</v>
      </c>
      <c r="S301" s="196" t="s">
        <v>844</v>
      </c>
      <c r="T301" s="196" t="s">
        <v>845</v>
      </c>
      <c r="U301" s="196" t="s">
        <v>846</v>
      </c>
      <c r="V301" s="196" t="s">
        <v>841</v>
      </c>
      <c r="W301" s="196" t="s">
        <v>1071</v>
      </c>
      <c r="X301" s="196" t="s">
        <v>1072</v>
      </c>
      <c r="Y301" s="196" t="s">
        <v>848</v>
      </c>
    </row>
    <row r="302" spans="1:25">
      <c r="A302" s="196" t="s">
        <v>837</v>
      </c>
      <c r="B302" s="196" t="s">
        <v>838</v>
      </c>
      <c r="C302" s="196">
        <v>2013</v>
      </c>
      <c r="D302" s="196">
        <v>30</v>
      </c>
      <c r="E302" s="196" t="s">
        <v>839</v>
      </c>
      <c r="F302" s="196" t="s">
        <v>1073</v>
      </c>
      <c r="G302" s="196">
        <v>1</v>
      </c>
      <c r="H302" s="196">
        <v>1</v>
      </c>
      <c r="I302" s="196">
        <v>180</v>
      </c>
      <c r="J302" s="196">
        <v>14080</v>
      </c>
      <c r="K302" s="196">
        <v>83.06</v>
      </c>
      <c r="L302" s="196">
        <v>13.16</v>
      </c>
      <c r="M302" s="196">
        <v>9211</v>
      </c>
      <c r="N302" s="196">
        <v>2729278</v>
      </c>
      <c r="O302" s="196">
        <v>2508</v>
      </c>
      <c r="P302" s="196" t="s">
        <v>1074</v>
      </c>
      <c r="Q302" s="196" t="s">
        <v>1075</v>
      </c>
      <c r="R302" s="196" t="s">
        <v>1076</v>
      </c>
      <c r="S302" s="196" t="s">
        <v>953</v>
      </c>
      <c r="T302" s="196" t="s">
        <v>1077</v>
      </c>
      <c r="U302" s="196" t="s">
        <v>1075</v>
      </c>
      <c r="V302" s="196" t="s">
        <v>1078</v>
      </c>
      <c r="W302" s="196" t="s">
        <v>848</v>
      </c>
      <c r="X302" s="196" t="s">
        <v>848</v>
      </c>
      <c r="Y302" s="196" t="s">
        <v>848</v>
      </c>
    </row>
    <row r="303" spans="1:25">
      <c r="A303" s="196" t="s">
        <v>837</v>
      </c>
      <c r="B303" s="196" t="s">
        <v>838</v>
      </c>
      <c r="C303" s="196">
        <v>2013</v>
      </c>
      <c r="D303" s="196">
        <v>55</v>
      </c>
      <c r="E303" s="196" t="s">
        <v>849</v>
      </c>
      <c r="F303" s="196" t="s">
        <v>1073</v>
      </c>
      <c r="G303" s="196">
        <v>1</v>
      </c>
      <c r="H303" s="196">
        <v>1</v>
      </c>
      <c r="I303" s="196">
        <v>2367</v>
      </c>
      <c r="J303" s="196">
        <v>11968</v>
      </c>
      <c r="K303" s="196">
        <v>83.06</v>
      </c>
      <c r="L303" s="196">
        <v>13.16</v>
      </c>
      <c r="M303" s="196">
        <v>9211</v>
      </c>
      <c r="N303" s="196">
        <v>2729278</v>
      </c>
      <c r="O303" s="196">
        <v>2508</v>
      </c>
      <c r="P303" s="196" t="s">
        <v>1074</v>
      </c>
      <c r="Q303" s="196" t="s">
        <v>1075</v>
      </c>
      <c r="R303" s="196" t="s">
        <v>1076</v>
      </c>
      <c r="S303" s="196" t="s">
        <v>953</v>
      </c>
      <c r="T303" s="196" t="s">
        <v>1077</v>
      </c>
      <c r="U303" s="196" t="s">
        <v>1075</v>
      </c>
      <c r="V303" s="196" t="s">
        <v>1078</v>
      </c>
      <c r="W303" s="196" t="s">
        <v>848</v>
      </c>
      <c r="X303" s="196" t="s">
        <v>848</v>
      </c>
      <c r="Y303" s="196" t="s">
        <v>848</v>
      </c>
    </row>
    <row r="304" spans="1:25">
      <c r="A304" s="196" t="s">
        <v>837</v>
      </c>
      <c r="B304" s="196" t="s">
        <v>850</v>
      </c>
      <c r="C304" s="196">
        <v>2013</v>
      </c>
      <c r="D304" s="196">
        <v>55</v>
      </c>
      <c r="E304" s="196" t="s">
        <v>852</v>
      </c>
      <c r="F304" s="196" t="s">
        <v>1073</v>
      </c>
      <c r="G304" s="196">
        <v>2</v>
      </c>
      <c r="H304" s="196">
        <v>2</v>
      </c>
      <c r="I304" s="196">
        <v>3684</v>
      </c>
      <c r="J304" s="196">
        <v>15303</v>
      </c>
      <c r="K304" s="196">
        <v>83.06</v>
      </c>
      <c r="L304" s="196">
        <v>13.16</v>
      </c>
      <c r="M304" s="196">
        <v>9211</v>
      </c>
      <c r="N304" s="196">
        <v>2729278</v>
      </c>
      <c r="O304" s="196">
        <v>2508</v>
      </c>
      <c r="P304" s="196" t="s">
        <v>1074</v>
      </c>
      <c r="Q304" s="196" t="s">
        <v>1075</v>
      </c>
      <c r="R304" s="196" t="s">
        <v>1076</v>
      </c>
      <c r="S304" s="196" t="s">
        <v>953</v>
      </c>
      <c r="T304" s="196" t="s">
        <v>1077</v>
      </c>
      <c r="U304" s="196" t="s">
        <v>1075</v>
      </c>
      <c r="V304" s="196" t="s">
        <v>1078</v>
      </c>
      <c r="W304" s="196" t="s">
        <v>848</v>
      </c>
      <c r="X304" s="196" t="s">
        <v>848</v>
      </c>
      <c r="Y304" s="196" t="s">
        <v>848</v>
      </c>
    </row>
    <row r="305" spans="1:25">
      <c r="A305" s="196" t="s">
        <v>837</v>
      </c>
      <c r="B305" s="196" t="s">
        <v>181</v>
      </c>
      <c r="C305" s="196">
        <v>2014</v>
      </c>
      <c r="D305" s="196">
        <v>80</v>
      </c>
      <c r="E305" s="196" t="s">
        <v>874</v>
      </c>
      <c r="F305" s="196" t="s">
        <v>1073</v>
      </c>
      <c r="G305" s="196">
        <v>1</v>
      </c>
      <c r="H305" s="196">
        <v>1</v>
      </c>
      <c r="I305" s="196">
        <v>2139</v>
      </c>
      <c r="J305" s="196">
        <v>3871</v>
      </c>
      <c r="K305" s="196">
        <v>83.06</v>
      </c>
      <c r="L305" s="196">
        <v>13.16</v>
      </c>
      <c r="M305" s="196">
        <v>9211</v>
      </c>
      <c r="N305" s="196">
        <v>2729278</v>
      </c>
      <c r="O305" s="196">
        <v>2508</v>
      </c>
      <c r="P305" s="196" t="s">
        <v>1074</v>
      </c>
      <c r="Q305" s="196" t="s">
        <v>1075</v>
      </c>
      <c r="R305" s="196" t="s">
        <v>1076</v>
      </c>
      <c r="S305" s="196" t="s">
        <v>953</v>
      </c>
      <c r="T305" s="196" t="s">
        <v>1077</v>
      </c>
      <c r="U305" s="196" t="s">
        <v>1075</v>
      </c>
      <c r="V305" s="196" t="s">
        <v>1078</v>
      </c>
      <c r="W305" s="196" t="s">
        <v>848</v>
      </c>
      <c r="X305" s="196" t="s">
        <v>848</v>
      </c>
      <c r="Y305" s="196" t="s">
        <v>848</v>
      </c>
    </row>
    <row r="306" spans="1:25">
      <c r="A306" s="196" t="s">
        <v>837</v>
      </c>
      <c r="B306" s="196" t="s">
        <v>181</v>
      </c>
      <c r="C306" s="196">
        <v>2013</v>
      </c>
      <c r="D306" s="196">
        <v>80</v>
      </c>
      <c r="E306" s="196" t="s">
        <v>876</v>
      </c>
      <c r="F306" s="196" t="s">
        <v>1073</v>
      </c>
      <c r="G306" s="196">
        <v>1</v>
      </c>
      <c r="H306" s="196">
        <v>1</v>
      </c>
      <c r="I306" s="196">
        <v>1572</v>
      </c>
      <c r="J306" s="196">
        <v>5533</v>
      </c>
      <c r="K306" s="196">
        <v>83.06</v>
      </c>
      <c r="L306" s="196">
        <v>13.16</v>
      </c>
      <c r="M306" s="196">
        <v>9211</v>
      </c>
      <c r="N306" s="196">
        <v>2729278</v>
      </c>
      <c r="O306" s="196">
        <v>2508</v>
      </c>
      <c r="P306" s="196" t="s">
        <v>1074</v>
      </c>
      <c r="Q306" s="196" t="s">
        <v>1075</v>
      </c>
      <c r="R306" s="196" t="s">
        <v>1076</v>
      </c>
      <c r="S306" s="196" t="s">
        <v>953</v>
      </c>
      <c r="T306" s="196" t="s">
        <v>1077</v>
      </c>
      <c r="U306" s="196" t="s">
        <v>1075</v>
      </c>
      <c r="V306" s="196" t="s">
        <v>1078</v>
      </c>
      <c r="W306" s="196" t="s">
        <v>848</v>
      </c>
      <c r="X306" s="196" t="s">
        <v>848</v>
      </c>
      <c r="Y306" s="196" t="s">
        <v>848</v>
      </c>
    </row>
    <row r="307" spans="1:25">
      <c r="A307" s="196" t="s">
        <v>837</v>
      </c>
      <c r="B307" s="196" t="s">
        <v>181</v>
      </c>
      <c r="C307" s="196">
        <v>2014</v>
      </c>
      <c r="D307" s="196">
        <v>55</v>
      </c>
      <c r="E307" s="196" t="s">
        <v>858</v>
      </c>
      <c r="F307" s="196" t="s">
        <v>1073</v>
      </c>
      <c r="G307" s="196">
        <v>1</v>
      </c>
      <c r="H307" s="196">
        <v>1</v>
      </c>
      <c r="I307" s="196">
        <v>1503</v>
      </c>
      <c r="J307" s="196">
        <v>40114</v>
      </c>
      <c r="K307" s="196">
        <v>83.06</v>
      </c>
      <c r="L307" s="196">
        <v>13.16</v>
      </c>
      <c r="M307" s="196">
        <v>9211</v>
      </c>
      <c r="N307" s="196">
        <v>2729278</v>
      </c>
      <c r="O307" s="196">
        <v>2508</v>
      </c>
      <c r="P307" s="196" t="s">
        <v>1074</v>
      </c>
      <c r="Q307" s="196" t="s">
        <v>1075</v>
      </c>
      <c r="R307" s="196" t="s">
        <v>1076</v>
      </c>
      <c r="S307" s="196" t="s">
        <v>953</v>
      </c>
      <c r="T307" s="196" t="s">
        <v>1077</v>
      </c>
      <c r="U307" s="196" t="s">
        <v>1075</v>
      </c>
      <c r="V307" s="196" t="s">
        <v>1078</v>
      </c>
      <c r="W307" s="196" t="s">
        <v>848</v>
      </c>
      <c r="X307" s="196" t="s">
        <v>848</v>
      </c>
      <c r="Y307" s="196" t="s">
        <v>848</v>
      </c>
    </row>
    <row r="308" spans="1:25">
      <c r="A308" s="196" t="s">
        <v>837</v>
      </c>
      <c r="B308" s="196" t="s">
        <v>850</v>
      </c>
      <c r="C308" s="196">
        <v>2014</v>
      </c>
      <c r="D308" s="196">
        <v>30</v>
      </c>
      <c r="E308" s="196" t="s">
        <v>860</v>
      </c>
      <c r="F308" s="196" t="s">
        <v>1073</v>
      </c>
      <c r="G308" s="196">
        <v>1</v>
      </c>
      <c r="H308" s="196">
        <v>1</v>
      </c>
      <c r="I308" s="196">
        <v>3261</v>
      </c>
      <c r="J308" s="196">
        <v>6247</v>
      </c>
      <c r="K308" s="196">
        <v>83.06</v>
      </c>
      <c r="L308" s="196">
        <v>13.16</v>
      </c>
      <c r="M308" s="196">
        <v>9211</v>
      </c>
      <c r="N308" s="196">
        <v>2729278</v>
      </c>
      <c r="O308" s="196">
        <v>2508</v>
      </c>
      <c r="P308" s="196" t="s">
        <v>1074</v>
      </c>
      <c r="Q308" s="196" t="s">
        <v>1075</v>
      </c>
      <c r="R308" s="196" t="s">
        <v>1076</v>
      </c>
      <c r="S308" s="196" t="s">
        <v>953</v>
      </c>
      <c r="T308" s="196" t="s">
        <v>1077</v>
      </c>
      <c r="U308" s="196" t="s">
        <v>1075</v>
      </c>
      <c r="V308" s="196" t="s">
        <v>1078</v>
      </c>
      <c r="W308" s="196" t="s">
        <v>848</v>
      </c>
      <c r="X308" s="196" t="s">
        <v>848</v>
      </c>
      <c r="Y308" s="196" t="s">
        <v>848</v>
      </c>
    </row>
    <row r="309" spans="1:25">
      <c r="A309" s="196" t="s">
        <v>837</v>
      </c>
      <c r="B309" s="196" t="s">
        <v>838</v>
      </c>
      <c r="C309" s="196">
        <v>2014</v>
      </c>
      <c r="D309" s="196">
        <v>80</v>
      </c>
      <c r="E309" s="196" t="s">
        <v>853</v>
      </c>
      <c r="F309" s="196" t="s">
        <v>1079</v>
      </c>
      <c r="G309" s="196">
        <v>98</v>
      </c>
      <c r="H309" s="196">
        <v>47</v>
      </c>
      <c r="I309" s="196">
        <v>85164</v>
      </c>
      <c r="J309" s="196">
        <v>160473</v>
      </c>
      <c r="K309" s="196">
        <v>14.71</v>
      </c>
      <c r="L309" s="196">
        <v>0</v>
      </c>
      <c r="M309" s="196">
        <v>3272</v>
      </c>
      <c r="N309" s="196">
        <v>217574</v>
      </c>
      <c r="O309" s="196">
        <v>272</v>
      </c>
      <c r="P309" s="196" t="s">
        <v>920</v>
      </c>
      <c r="Q309" s="196" t="s">
        <v>925</v>
      </c>
      <c r="R309" s="196" t="s">
        <v>1080</v>
      </c>
      <c r="S309" s="196" t="s">
        <v>844</v>
      </c>
      <c r="T309" s="196" t="s">
        <v>923</v>
      </c>
      <c r="U309" s="196" t="s">
        <v>924</v>
      </c>
      <c r="V309" s="196" t="s">
        <v>925</v>
      </c>
      <c r="W309" s="196" t="s">
        <v>1081</v>
      </c>
      <c r="X309" s="196" t="s">
        <v>1082</v>
      </c>
      <c r="Y309" s="196" t="s">
        <v>1083</v>
      </c>
    </row>
    <row r="310" spans="1:25">
      <c r="A310" s="196" t="s">
        <v>837</v>
      </c>
      <c r="B310" s="196" t="s">
        <v>850</v>
      </c>
      <c r="C310" s="196">
        <v>2014</v>
      </c>
      <c r="D310" s="196">
        <v>80</v>
      </c>
      <c r="E310" s="196" t="s">
        <v>918</v>
      </c>
      <c r="F310" s="196" t="s">
        <v>1079</v>
      </c>
      <c r="G310" s="196">
        <v>32</v>
      </c>
      <c r="H310" s="196">
        <v>26</v>
      </c>
      <c r="I310" s="196">
        <v>36591</v>
      </c>
      <c r="J310" s="196">
        <v>89363</v>
      </c>
      <c r="K310" s="196">
        <v>14.71</v>
      </c>
      <c r="L310" s="196">
        <v>0</v>
      </c>
      <c r="M310" s="196">
        <v>3272</v>
      </c>
      <c r="N310" s="196">
        <v>217574</v>
      </c>
      <c r="O310" s="196">
        <v>272</v>
      </c>
      <c r="P310" s="196" t="s">
        <v>920</v>
      </c>
      <c r="Q310" s="196" t="s">
        <v>925</v>
      </c>
      <c r="R310" s="196" t="s">
        <v>1080</v>
      </c>
      <c r="S310" s="196" t="s">
        <v>844</v>
      </c>
      <c r="T310" s="196" t="s">
        <v>923</v>
      </c>
      <c r="U310" s="196" t="s">
        <v>924</v>
      </c>
      <c r="V310" s="196" t="s">
        <v>925</v>
      </c>
      <c r="W310" s="196" t="s">
        <v>1081</v>
      </c>
      <c r="X310" s="196" t="s">
        <v>1082</v>
      </c>
      <c r="Y310" s="196" t="s">
        <v>1083</v>
      </c>
    </row>
    <row r="311" spans="1:25">
      <c r="A311" s="196" t="s">
        <v>837</v>
      </c>
      <c r="B311" s="196" t="s">
        <v>850</v>
      </c>
      <c r="C311" s="196">
        <v>2014</v>
      </c>
      <c r="D311" s="196">
        <v>80</v>
      </c>
      <c r="E311" s="196" t="s">
        <v>875</v>
      </c>
      <c r="F311" s="196" t="s">
        <v>1079</v>
      </c>
      <c r="G311" s="196">
        <v>1</v>
      </c>
      <c r="H311" s="196">
        <v>1</v>
      </c>
      <c r="I311" s="196">
        <v>2163</v>
      </c>
      <c r="J311" s="196">
        <v>3550</v>
      </c>
      <c r="K311" s="196">
        <v>14.71</v>
      </c>
      <c r="L311" s="196">
        <v>0</v>
      </c>
      <c r="M311" s="196">
        <v>3272</v>
      </c>
      <c r="N311" s="196">
        <v>217574</v>
      </c>
      <c r="O311" s="196">
        <v>272</v>
      </c>
      <c r="P311" s="196" t="s">
        <v>920</v>
      </c>
      <c r="Q311" s="196" t="s">
        <v>925</v>
      </c>
      <c r="R311" s="196" t="s">
        <v>1080</v>
      </c>
      <c r="S311" s="196" t="s">
        <v>844</v>
      </c>
      <c r="T311" s="196" t="s">
        <v>923</v>
      </c>
      <c r="U311" s="196" t="s">
        <v>924</v>
      </c>
      <c r="V311" s="196" t="s">
        <v>925</v>
      </c>
      <c r="W311" s="196" t="s">
        <v>1081</v>
      </c>
      <c r="X311" s="196" t="s">
        <v>1082</v>
      </c>
      <c r="Y311" s="196" t="s">
        <v>1083</v>
      </c>
    </row>
    <row r="312" spans="1:25">
      <c r="A312" s="196" t="s">
        <v>837</v>
      </c>
      <c r="B312" s="196" t="s">
        <v>850</v>
      </c>
      <c r="C312" s="196">
        <v>2014</v>
      </c>
      <c r="D312" s="196">
        <v>55</v>
      </c>
      <c r="E312" s="196" t="s">
        <v>862</v>
      </c>
      <c r="F312" s="196" t="s">
        <v>1079</v>
      </c>
      <c r="G312" s="196">
        <v>1</v>
      </c>
      <c r="H312" s="196">
        <v>1</v>
      </c>
      <c r="I312" s="196">
        <v>549</v>
      </c>
      <c r="J312" s="196">
        <v>3846</v>
      </c>
      <c r="K312" s="196">
        <v>14.71</v>
      </c>
      <c r="L312" s="196">
        <v>0</v>
      </c>
      <c r="M312" s="196">
        <v>3272</v>
      </c>
      <c r="N312" s="196">
        <v>217574</v>
      </c>
      <c r="O312" s="196">
        <v>272</v>
      </c>
      <c r="P312" s="196" t="s">
        <v>920</v>
      </c>
      <c r="Q312" s="196" t="s">
        <v>925</v>
      </c>
      <c r="R312" s="196" t="s">
        <v>1080</v>
      </c>
      <c r="S312" s="196" t="s">
        <v>844</v>
      </c>
      <c r="T312" s="196" t="s">
        <v>923</v>
      </c>
      <c r="U312" s="196" t="s">
        <v>924</v>
      </c>
      <c r="V312" s="196" t="s">
        <v>925</v>
      </c>
      <c r="W312" s="196" t="s">
        <v>1081</v>
      </c>
      <c r="X312" s="196" t="s">
        <v>1082</v>
      </c>
      <c r="Y312" s="196" t="s">
        <v>1083</v>
      </c>
    </row>
    <row r="313" spans="1:25">
      <c r="A313" s="196" t="s">
        <v>837</v>
      </c>
      <c r="B313" s="196" t="s">
        <v>850</v>
      </c>
      <c r="C313" s="196">
        <v>2013</v>
      </c>
      <c r="D313" s="196">
        <v>30</v>
      </c>
      <c r="E313" s="196" t="s">
        <v>851</v>
      </c>
      <c r="F313" s="196" t="s">
        <v>1084</v>
      </c>
      <c r="G313" s="196">
        <v>1</v>
      </c>
      <c r="H313" s="196">
        <v>1</v>
      </c>
      <c r="I313" s="196">
        <v>2682</v>
      </c>
      <c r="J313" s="196">
        <v>4720</v>
      </c>
      <c r="K313" s="196">
        <v>86.82</v>
      </c>
      <c r="L313" s="196">
        <v>4.59</v>
      </c>
      <c r="M313" s="196">
        <v>7971</v>
      </c>
      <c r="N313" s="196">
        <v>1965857</v>
      </c>
      <c r="O313" s="196">
        <v>1932</v>
      </c>
      <c r="P313" s="196" t="s">
        <v>878</v>
      </c>
      <c r="Q313" s="196" t="s">
        <v>844</v>
      </c>
      <c r="R313" s="196" t="s">
        <v>844</v>
      </c>
      <c r="S313" s="196" t="s">
        <v>844</v>
      </c>
      <c r="T313" s="196" t="s">
        <v>1085</v>
      </c>
      <c r="U313" s="196" t="s">
        <v>1086</v>
      </c>
      <c r="V313" s="196" t="s">
        <v>1087</v>
      </c>
      <c r="W313" s="196" t="s">
        <v>1088</v>
      </c>
      <c r="X313" s="196" t="s">
        <v>1089</v>
      </c>
      <c r="Y313" s="196" t="s">
        <v>1090</v>
      </c>
    </row>
    <row r="314" spans="1:25">
      <c r="A314" s="196" t="s">
        <v>837</v>
      </c>
      <c r="B314" s="196" t="s">
        <v>850</v>
      </c>
      <c r="C314" s="196">
        <v>2014</v>
      </c>
      <c r="D314" s="196">
        <v>80</v>
      </c>
      <c r="E314" s="196" t="s">
        <v>918</v>
      </c>
      <c r="F314" s="196" t="s">
        <v>1084</v>
      </c>
      <c r="G314" s="196">
        <v>1</v>
      </c>
      <c r="H314" s="196">
        <v>1</v>
      </c>
      <c r="I314" s="196">
        <v>2895</v>
      </c>
      <c r="J314" s="196">
        <v>5175</v>
      </c>
      <c r="K314" s="196">
        <v>86.82</v>
      </c>
      <c r="L314" s="196">
        <v>4.59</v>
      </c>
      <c r="M314" s="196">
        <v>7971</v>
      </c>
      <c r="N314" s="196">
        <v>1965857</v>
      </c>
      <c r="O314" s="196">
        <v>1932</v>
      </c>
      <c r="P314" s="196" t="s">
        <v>878</v>
      </c>
      <c r="Q314" s="196" t="s">
        <v>844</v>
      </c>
      <c r="R314" s="196" t="s">
        <v>844</v>
      </c>
      <c r="S314" s="196" t="s">
        <v>844</v>
      </c>
      <c r="T314" s="196" t="s">
        <v>1085</v>
      </c>
      <c r="U314" s="196" t="s">
        <v>1086</v>
      </c>
      <c r="V314" s="196" t="s">
        <v>1087</v>
      </c>
      <c r="W314" s="196" t="s">
        <v>1088</v>
      </c>
      <c r="X314" s="196" t="s">
        <v>1089</v>
      </c>
      <c r="Y314" s="196" t="s">
        <v>1090</v>
      </c>
    </row>
    <row r="315" spans="1:25">
      <c r="A315" s="196" t="s">
        <v>837</v>
      </c>
      <c r="B315" s="196" t="s">
        <v>181</v>
      </c>
      <c r="C315" s="196">
        <v>2013</v>
      </c>
      <c r="D315" s="196">
        <v>80</v>
      </c>
      <c r="E315" s="196" t="s">
        <v>876</v>
      </c>
      <c r="F315" s="196" t="s">
        <v>1084</v>
      </c>
      <c r="G315" s="196">
        <v>1</v>
      </c>
      <c r="H315" s="196">
        <v>1</v>
      </c>
      <c r="I315" s="196">
        <v>3273</v>
      </c>
      <c r="J315" s="196">
        <v>4472</v>
      </c>
      <c r="K315" s="196">
        <v>86.82</v>
      </c>
      <c r="L315" s="196">
        <v>4.59</v>
      </c>
      <c r="M315" s="196">
        <v>7971</v>
      </c>
      <c r="N315" s="196">
        <v>1965857</v>
      </c>
      <c r="O315" s="196">
        <v>1932</v>
      </c>
      <c r="P315" s="196" t="s">
        <v>878</v>
      </c>
      <c r="Q315" s="196" t="s">
        <v>844</v>
      </c>
      <c r="R315" s="196" t="s">
        <v>844</v>
      </c>
      <c r="S315" s="196" t="s">
        <v>844</v>
      </c>
      <c r="T315" s="196" t="s">
        <v>1085</v>
      </c>
      <c r="U315" s="196" t="s">
        <v>1086</v>
      </c>
      <c r="V315" s="196" t="s">
        <v>1087</v>
      </c>
      <c r="W315" s="196" t="s">
        <v>1088</v>
      </c>
      <c r="X315" s="196" t="s">
        <v>1089</v>
      </c>
      <c r="Y315" s="196" t="s">
        <v>1090</v>
      </c>
    </row>
    <row r="316" spans="1:25">
      <c r="A316" s="196" t="s">
        <v>837</v>
      </c>
      <c r="B316" s="196" t="s">
        <v>181</v>
      </c>
      <c r="C316" s="196">
        <v>2014</v>
      </c>
      <c r="D316" s="196">
        <v>55</v>
      </c>
      <c r="E316" s="196" t="s">
        <v>858</v>
      </c>
      <c r="F316" s="196" t="s">
        <v>1084</v>
      </c>
      <c r="G316" s="196">
        <v>2</v>
      </c>
      <c r="H316" s="196">
        <v>2</v>
      </c>
      <c r="I316" s="196">
        <v>4173</v>
      </c>
      <c r="J316" s="196">
        <v>11288</v>
      </c>
      <c r="K316" s="196">
        <v>86.82</v>
      </c>
      <c r="L316" s="196">
        <v>4.59</v>
      </c>
      <c r="M316" s="196">
        <v>7971</v>
      </c>
      <c r="N316" s="196">
        <v>1965857</v>
      </c>
      <c r="O316" s="196">
        <v>1932</v>
      </c>
      <c r="P316" s="196" t="s">
        <v>878</v>
      </c>
      <c r="Q316" s="196" t="s">
        <v>844</v>
      </c>
      <c r="R316" s="196" t="s">
        <v>844</v>
      </c>
      <c r="S316" s="196" t="s">
        <v>844</v>
      </c>
      <c r="T316" s="196" t="s">
        <v>1085</v>
      </c>
      <c r="U316" s="196" t="s">
        <v>1086</v>
      </c>
      <c r="V316" s="196" t="s">
        <v>1087</v>
      </c>
      <c r="W316" s="196" t="s">
        <v>1088</v>
      </c>
      <c r="X316" s="196" t="s">
        <v>1089</v>
      </c>
      <c r="Y316" s="196" t="s">
        <v>1090</v>
      </c>
    </row>
    <row r="317" spans="1:25">
      <c r="A317" s="196" t="s">
        <v>837</v>
      </c>
      <c r="B317" s="196" t="s">
        <v>850</v>
      </c>
      <c r="C317" s="196">
        <v>2014</v>
      </c>
      <c r="D317" s="196">
        <v>55</v>
      </c>
      <c r="E317" s="196" t="s">
        <v>862</v>
      </c>
      <c r="F317" s="196" t="s">
        <v>1084</v>
      </c>
      <c r="G317" s="196">
        <v>2</v>
      </c>
      <c r="H317" s="196">
        <v>2</v>
      </c>
      <c r="I317" s="196">
        <v>2637</v>
      </c>
      <c r="J317" s="196">
        <v>17527</v>
      </c>
      <c r="K317" s="196">
        <v>86.82</v>
      </c>
      <c r="L317" s="196">
        <v>4.59</v>
      </c>
      <c r="M317" s="196">
        <v>7971</v>
      </c>
      <c r="N317" s="196">
        <v>1965857</v>
      </c>
      <c r="O317" s="196">
        <v>1932</v>
      </c>
      <c r="P317" s="196" t="s">
        <v>878</v>
      </c>
      <c r="Q317" s="196" t="s">
        <v>844</v>
      </c>
      <c r="R317" s="196" t="s">
        <v>844</v>
      </c>
      <c r="S317" s="196" t="s">
        <v>844</v>
      </c>
      <c r="T317" s="196" t="s">
        <v>1085</v>
      </c>
      <c r="U317" s="196" t="s">
        <v>1086</v>
      </c>
      <c r="V317" s="196" t="s">
        <v>1087</v>
      </c>
      <c r="W317" s="196" t="s">
        <v>1088</v>
      </c>
      <c r="X317" s="196" t="s">
        <v>1089</v>
      </c>
      <c r="Y317" s="196" t="s">
        <v>1090</v>
      </c>
    </row>
    <row r="318" spans="1:25">
      <c r="A318" s="196" t="s">
        <v>837</v>
      </c>
      <c r="B318" s="196" t="s">
        <v>838</v>
      </c>
      <c r="C318" s="196">
        <v>2013</v>
      </c>
      <c r="D318" s="196">
        <v>30</v>
      </c>
      <c r="E318" s="196" t="s">
        <v>839</v>
      </c>
      <c r="F318" s="196" t="s">
        <v>1091</v>
      </c>
      <c r="G318" s="196">
        <v>4</v>
      </c>
      <c r="H318" s="196">
        <v>4</v>
      </c>
      <c r="I318" s="196">
        <v>3645</v>
      </c>
      <c r="J318" s="196">
        <v>21312</v>
      </c>
      <c r="K318" s="196">
        <v>100</v>
      </c>
      <c r="L318" s="196">
        <v>1.93</v>
      </c>
      <c r="M318" s="196">
        <v>9271</v>
      </c>
      <c r="N318" s="196">
        <v>1565180</v>
      </c>
      <c r="O318" s="196">
        <v>1784</v>
      </c>
      <c r="P318" s="196" t="s">
        <v>878</v>
      </c>
      <c r="Q318" s="196" t="s">
        <v>901</v>
      </c>
      <c r="R318" s="196" t="s">
        <v>1019</v>
      </c>
      <c r="S318" s="196" t="s">
        <v>844</v>
      </c>
      <c r="T318" s="196" t="s">
        <v>900</v>
      </c>
      <c r="U318" s="196" t="s">
        <v>901</v>
      </c>
      <c r="V318" s="196" t="s">
        <v>1092</v>
      </c>
      <c r="W318" s="196" t="s">
        <v>1093</v>
      </c>
      <c r="X318" s="196" t="s">
        <v>1094</v>
      </c>
      <c r="Y318" s="196" t="s">
        <v>1095</v>
      </c>
    </row>
    <row r="319" spans="1:25">
      <c r="A319" s="196" t="s">
        <v>837</v>
      </c>
      <c r="B319" s="196" t="s">
        <v>838</v>
      </c>
      <c r="C319" s="196">
        <v>2013</v>
      </c>
      <c r="D319" s="196">
        <v>55</v>
      </c>
      <c r="E319" s="196" t="s">
        <v>849</v>
      </c>
      <c r="F319" s="196" t="s">
        <v>1091</v>
      </c>
      <c r="G319" s="196">
        <v>4</v>
      </c>
      <c r="H319" s="196">
        <v>4</v>
      </c>
      <c r="I319" s="196">
        <v>5721</v>
      </c>
      <c r="J319" s="196">
        <v>56671</v>
      </c>
      <c r="K319" s="196">
        <v>100</v>
      </c>
      <c r="L319" s="196">
        <v>1.93</v>
      </c>
      <c r="M319" s="196">
        <v>9271</v>
      </c>
      <c r="N319" s="196">
        <v>1565180</v>
      </c>
      <c r="O319" s="196">
        <v>1784</v>
      </c>
      <c r="P319" s="196" t="s">
        <v>878</v>
      </c>
      <c r="Q319" s="196" t="s">
        <v>901</v>
      </c>
      <c r="R319" s="196" t="s">
        <v>1019</v>
      </c>
      <c r="S319" s="196" t="s">
        <v>844</v>
      </c>
      <c r="T319" s="196" t="s">
        <v>900</v>
      </c>
      <c r="U319" s="196" t="s">
        <v>901</v>
      </c>
      <c r="V319" s="196" t="s">
        <v>1092</v>
      </c>
      <c r="W319" s="196" t="s">
        <v>1093</v>
      </c>
      <c r="X319" s="196" t="s">
        <v>1094</v>
      </c>
      <c r="Y319" s="196" t="s">
        <v>1095</v>
      </c>
    </row>
    <row r="320" spans="1:25">
      <c r="A320" s="196" t="s">
        <v>837</v>
      </c>
      <c r="B320" s="196" t="s">
        <v>850</v>
      </c>
      <c r="C320" s="196">
        <v>2013</v>
      </c>
      <c r="D320" s="196">
        <v>30</v>
      </c>
      <c r="E320" s="196" t="s">
        <v>851</v>
      </c>
      <c r="F320" s="196" t="s">
        <v>1091</v>
      </c>
      <c r="G320" s="196">
        <v>9</v>
      </c>
      <c r="H320" s="196">
        <v>9</v>
      </c>
      <c r="I320" s="196">
        <v>9738</v>
      </c>
      <c r="J320" s="196">
        <v>103032</v>
      </c>
      <c r="K320" s="196">
        <v>100</v>
      </c>
      <c r="L320" s="196">
        <v>1.93</v>
      </c>
      <c r="M320" s="196">
        <v>9271</v>
      </c>
      <c r="N320" s="196">
        <v>1565180</v>
      </c>
      <c r="O320" s="196">
        <v>1784</v>
      </c>
      <c r="P320" s="196" t="s">
        <v>878</v>
      </c>
      <c r="Q320" s="196" t="s">
        <v>901</v>
      </c>
      <c r="R320" s="196" t="s">
        <v>1019</v>
      </c>
      <c r="S320" s="196" t="s">
        <v>844</v>
      </c>
      <c r="T320" s="196" t="s">
        <v>900</v>
      </c>
      <c r="U320" s="196" t="s">
        <v>901</v>
      </c>
      <c r="V320" s="196" t="s">
        <v>1092</v>
      </c>
      <c r="W320" s="196" t="s">
        <v>1093</v>
      </c>
      <c r="X320" s="196" t="s">
        <v>1094</v>
      </c>
      <c r="Y320" s="196" t="s">
        <v>1095</v>
      </c>
    </row>
    <row r="321" spans="1:25">
      <c r="A321" s="196" t="s">
        <v>837</v>
      </c>
      <c r="B321" s="196" t="s">
        <v>850</v>
      </c>
      <c r="C321" s="196">
        <v>2013</v>
      </c>
      <c r="D321" s="196">
        <v>55</v>
      </c>
      <c r="E321" s="196" t="s">
        <v>852</v>
      </c>
      <c r="F321" s="196" t="s">
        <v>1091</v>
      </c>
      <c r="G321" s="196">
        <v>3</v>
      </c>
      <c r="H321" s="196">
        <v>3</v>
      </c>
      <c r="I321" s="196">
        <v>6597</v>
      </c>
      <c r="J321" s="196">
        <v>43563</v>
      </c>
      <c r="K321" s="196">
        <v>100</v>
      </c>
      <c r="L321" s="196">
        <v>1.93</v>
      </c>
      <c r="M321" s="196">
        <v>9271</v>
      </c>
      <c r="N321" s="196">
        <v>1565180</v>
      </c>
      <c r="O321" s="196">
        <v>1784</v>
      </c>
      <c r="P321" s="196" t="s">
        <v>878</v>
      </c>
      <c r="Q321" s="196" t="s">
        <v>901</v>
      </c>
      <c r="R321" s="196" t="s">
        <v>1019</v>
      </c>
      <c r="S321" s="196" t="s">
        <v>844</v>
      </c>
      <c r="T321" s="196" t="s">
        <v>900</v>
      </c>
      <c r="U321" s="196" t="s">
        <v>901</v>
      </c>
      <c r="V321" s="196" t="s">
        <v>1092</v>
      </c>
      <c r="W321" s="196" t="s">
        <v>1093</v>
      </c>
      <c r="X321" s="196" t="s">
        <v>1094</v>
      </c>
      <c r="Y321" s="196" t="s">
        <v>1095</v>
      </c>
    </row>
    <row r="322" spans="1:25">
      <c r="A322" s="196" t="s">
        <v>837</v>
      </c>
      <c r="B322" s="196" t="s">
        <v>838</v>
      </c>
      <c r="C322" s="196">
        <v>2014</v>
      </c>
      <c r="D322" s="196">
        <v>55</v>
      </c>
      <c r="E322" s="196" t="s">
        <v>854</v>
      </c>
      <c r="F322" s="196" t="s">
        <v>1091</v>
      </c>
      <c r="G322" s="196">
        <v>3</v>
      </c>
      <c r="H322" s="196">
        <v>3</v>
      </c>
      <c r="I322" s="196">
        <v>5907</v>
      </c>
      <c r="J322" s="196">
        <v>42047</v>
      </c>
      <c r="K322" s="196">
        <v>100</v>
      </c>
      <c r="L322" s="196">
        <v>1.93</v>
      </c>
      <c r="M322" s="196">
        <v>9271</v>
      </c>
      <c r="N322" s="196">
        <v>1565180</v>
      </c>
      <c r="O322" s="196">
        <v>1784</v>
      </c>
      <c r="P322" s="196" t="s">
        <v>878</v>
      </c>
      <c r="Q322" s="196" t="s">
        <v>901</v>
      </c>
      <c r="R322" s="196" t="s">
        <v>1019</v>
      </c>
      <c r="S322" s="196" t="s">
        <v>844</v>
      </c>
      <c r="T322" s="196" t="s">
        <v>900</v>
      </c>
      <c r="U322" s="196" t="s">
        <v>901</v>
      </c>
      <c r="V322" s="196" t="s">
        <v>1092</v>
      </c>
      <c r="W322" s="196" t="s">
        <v>1093</v>
      </c>
      <c r="X322" s="196" t="s">
        <v>1094</v>
      </c>
      <c r="Y322" s="196" t="s">
        <v>1095</v>
      </c>
    </row>
    <row r="323" spans="1:25">
      <c r="A323" s="196" t="s">
        <v>837</v>
      </c>
      <c r="B323" s="196" t="s">
        <v>838</v>
      </c>
      <c r="C323" s="196">
        <v>2014</v>
      </c>
      <c r="D323" s="196">
        <v>55</v>
      </c>
      <c r="E323" s="196" t="s">
        <v>855</v>
      </c>
      <c r="F323" s="196" t="s">
        <v>1091</v>
      </c>
      <c r="G323" s="196">
        <v>4</v>
      </c>
      <c r="H323" s="196">
        <v>4</v>
      </c>
      <c r="I323" s="196">
        <v>5355</v>
      </c>
      <c r="J323" s="196">
        <v>53324</v>
      </c>
      <c r="K323" s="196">
        <v>100</v>
      </c>
      <c r="L323" s="196">
        <v>1.93</v>
      </c>
      <c r="M323" s="196">
        <v>9271</v>
      </c>
      <c r="N323" s="196">
        <v>1565180</v>
      </c>
      <c r="O323" s="196">
        <v>1784</v>
      </c>
      <c r="P323" s="196" t="s">
        <v>878</v>
      </c>
      <c r="Q323" s="196" t="s">
        <v>901</v>
      </c>
      <c r="R323" s="196" t="s">
        <v>1019</v>
      </c>
      <c r="S323" s="196" t="s">
        <v>844</v>
      </c>
      <c r="T323" s="196" t="s">
        <v>900</v>
      </c>
      <c r="U323" s="196" t="s">
        <v>901</v>
      </c>
      <c r="V323" s="196" t="s">
        <v>1092</v>
      </c>
      <c r="W323" s="196" t="s">
        <v>1093</v>
      </c>
      <c r="X323" s="196" t="s">
        <v>1094</v>
      </c>
      <c r="Y323" s="196" t="s">
        <v>1095</v>
      </c>
    </row>
    <row r="324" spans="1:25">
      <c r="A324" s="196" t="s">
        <v>837</v>
      </c>
      <c r="B324" s="196" t="s">
        <v>181</v>
      </c>
      <c r="C324" s="196">
        <v>2014</v>
      </c>
      <c r="D324" s="196">
        <v>30</v>
      </c>
      <c r="E324" s="196" t="s">
        <v>856</v>
      </c>
      <c r="F324" s="196" t="s">
        <v>1091</v>
      </c>
      <c r="G324" s="196">
        <v>3</v>
      </c>
      <c r="H324" s="196">
        <v>2</v>
      </c>
      <c r="I324" s="196">
        <v>4821</v>
      </c>
      <c r="J324" s="196">
        <v>24107</v>
      </c>
      <c r="K324" s="196">
        <v>100</v>
      </c>
      <c r="L324" s="196">
        <v>1.93</v>
      </c>
      <c r="M324" s="196">
        <v>9271</v>
      </c>
      <c r="N324" s="196">
        <v>1565180</v>
      </c>
      <c r="O324" s="196">
        <v>1784</v>
      </c>
      <c r="P324" s="196" t="s">
        <v>878</v>
      </c>
      <c r="Q324" s="196" t="s">
        <v>901</v>
      </c>
      <c r="R324" s="196" t="s">
        <v>1019</v>
      </c>
      <c r="S324" s="196" t="s">
        <v>844</v>
      </c>
      <c r="T324" s="196" t="s">
        <v>900</v>
      </c>
      <c r="U324" s="196" t="s">
        <v>901</v>
      </c>
      <c r="V324" s="196" t="s">
        <v>1092</v>
      </c>
      <c r="W324" s="196" t="s">
        <v>1093</v>
      </c>
      <c r="X324" s="196" t="s">
        <v>1094</v>
      </c>
      <c r="Y324" s="196" t="s">
        <v>1095</v>
      </c>
    </row>
    <row r="325" spans="1:25">
      <c r="A325" s="196" t="s">
        <v>837</v>
      </c>
      <c r="B325" s="196" t="s">
        <v>181</v>
      </c>
      <c r="C325" s="196">
        <v>2014</v>
      </c>
      <c r="D325" s="196">
        <v>55</v>
      </c>
      <c r="E325" s="196" t="s">
        <v>858</v>
      </c>
      <c r="F325" s="196" t="s">
        <v>1091</v>
      </c>
      <c r="G325" s="196">
        <v>5</v>
      </c>
      <c r="H325" s="196">
        <v>5</v>
      </c>
      <c r="I325" s="196">
        <v>4791</v>
      </c>
      <c r="J325" s="196">
        <v>57995</v>
      </c>
      <c r="K325" s="196">
        <v>100</v>
      </c>
      <c r="L325" s="196">
        <v>1.93</v>
      </c>
      <c r="M325" s="196">
        <v>9271</v>
      </c>
      <c r="N325" s="196">
        <v>1565180</v>
      </c>
      <c r="O325" s="196">
        <v>1784</v>
      </c>
      <c r="P325" s="196" t="s">
        <v>878</v>
      </c>
      <c r="Q325" s="196" t="s">
        <v>901</v>
      </c>
      <c r="R325" s="196" t="s">
        <v>1019</v>
      </c>
      <c r="S325" s="196" t="s">
        <v>844</v>
      </c>
      <c r="T325" s="196" t="s">
        <v>900</v>
      </c>
      <c r="U325" s="196" t="s">
        <v>901</v>
      </c>
      <c r="V325" s="196" t="s">
        <v>1092</v>
      </c>
      <c r="W325" s="196" t="s">
        <v>1093</v>
      </c>
      <c r="X325" s="196" t="s">
        <v>1094</v>
      </c>
      <c r="Y325" s="196" t="s">
        <v>1095</v>
      </c>
    </row>
    <row r="326" spans="1:25">
      <c r="A326" s="196" t="s">
        <v>837</v>
      </c>
      <c r="B326" s="196" t="s">
        <v>850</v>
      </c>
      <c r="C326" s="196">
        <v>2014</v>
      </c>
      <c r="D326" s="196">
        <v>30</v>
      </c>
      <c r="E326" s="196" t="s">
        <v>860</v>
      </c>
      <c r="F326" s="196" t="s">
        <v>1091</v>
      </c>
      <c r="G326" s="196">
        <v>1</v>
      </c>
      <c r="H326" s="196">
        <v>1</v>
      </c>
      <c r="I326" s="196">
        <v>936</v>
      </c>
      <c r="J326" s="196">
        <v>14111</v>
      </c>
      <c r="K326" s="196">
        <v>100</v>
      </c>
      <c r="L326" s="196">
        <v>1.93</v>
      </c>
      <c r="M326" s="196">
        <v>9271</v>
      </c>
      <c r="N326" s="196">
        <v>1565180</v>
      </c>
      <c r="O326" s="196">
        <v>1784</v>
      </c>
      <c r="P326" s="196" t="s">
        <v>878</v>
      </c>
      <c r="Q326" s="196" t="s">
        <v>901</v>
      </c>
      <c r="R326" s="196" t="s">
        <v>1019</v>
      </c>
      <c r="S326" s="196" t="s">
        <v>844</v>
      </c>
      <c r="T326" s="196" t="s">
        <v>900</v>
      </c>
      <c r="U326" s="196" t="s">
        <v>901</v>
      </c>
      <c r="V326" s="196" t="s">
        <v>1092</v>
      </c>
      <c r="W326" s="196" t="s">
        <v>1093</v>
      </c>
      <c r="X326" s="196" t="s">
        <v>1094</v>
      </c>
      <c r="Y326" s="196" t="s">
        <v>1095</v>
      </c>
    </row>
    <row r="327" spans="1:25">
      <c r="A327" s="196" t="s">
        <v>837</v>
      </c>
      <c r="B327" s="196" t="s">
        <v>850</v>
      </c>
      <c r="C327" s="196">
        <v>2014</v>
      </c>
      <c r="D327" s="196">
        <v>30</v>
      </c>
      <c r="E327" s="196" t="s">
        <v>861</v>
      </c>
      <c r="F327" s="196" t="s">
        <v>1091</v>
      </c>
      <c r="G327" s="196">
        <v>6</v>
      </c>
      <c r="H327" s="196">
        <v>6</v>
      </c>
      <c r="I327" s="196">
        <v>7971</v>
      </c>
      <c r="J327" s="196">
        <v>73209</v>
      </c>
      <c r="K327" s="196">
        <v>100</v>
      </c>
      <c r="L327" s="196">
        <v>1.93</v>
      </c>
      <c r="M327" s="196">
        <v>9271</v>
      </c>
      <c r="N327" s="196">
        <v>1565180</v>
      </c>
      <c r="O327" s="196">
        <v>1784</v>
      </c>
      <c r="P327" s="196" t="s">
        <v>878</v>
      </c>
      <c r="Q327" s="196" t="s">
        <v>901</v>
      </c>
      <c r="R327" s="196" t="s">
        <v>1019</v>
      </c>
      <c r="S327" s="196" t="s">
        <v>844</v>
      </c>
      <c r="T327" s="196" t="s">
        <v>900</v>
      </c>
      <c r="U327" s="196" t="s">
        <v>901</v>
      </c>
      <c r="V327" s="196" t="s">
        <v>1092</v>
      </c>
      <c r="W327" s="196" t="s">
        <v>1093</v>
      </c>
      <c r="X327" s="196" t="s">
        <v>1094</v>
      </c>
      <c r="Y327" s="196" t="s">
        <v>1095</v>
      </c>
    </row>
    <row r="328" spans="1:25">
      <c r="A328" s="196" t="s">
        <v>837</v>
      </c>
      <c r="B328" s="196" t="s">
        <v>850</v>
      </c>
      <c r="C328" s="196">
        <v>2014</v>
      </c>
      <c r="D328" s="196">
        <v>55</v>
      </c>
      <c r="E328" s="196" t="s">
        <v>862</v>
      </c>
      <c r="F328" s="196" t="s">
        <v>1091</v>
      </c>
      <c r="G328" s="196">
        <v>12</v>
      </c>
      <c r="H328" s="196">
        <v>11</v>
      </c>
      <c r="I328" s="196">
        <v>18117</v>
      </c>
      <c r="J328" s="196">
        <v>134315</v>
      </c>
      <c r="K328" s="196">
        <v>100</v>
      </c>
      <c r="L328" s="196">
        <v>1.93</v>
      </c>
      <c r="M328" s="196">
        <v>9271</v>
      </c>
      <c r="N328" s="196">
        <v>1565180</v>
      </c>
      <c r="O328" s="196">
        <v>1784</v>
      </c>
      <c r="P328" s="196" t="s">
        <v>878</v>
      </c>
      <c r="Q328" s="196" t="s">
        <v>901</v>
      </c>
      <c r="R328" s="196" t="s">
        <v>1019</v>
      </c>
      <c r="S328" s="196" t="s">
        <v>844</v>
      </c>
      <c r="T328" s="196" t="s">
        <v>900</v>
      </c>
      <c r="U328" s="196" t="s">
        <v>901</v>
      </c>
      <c r="V328" s="196" t="s">
        <v>1092</v>
      </c>
      <c r="W328" s="196" t="s">
        <v>1093</v>
      </c>
      <c r="X328" s="196" t="s">
        <v>1094</v>
      </c>
      <c r="Y328" s="196" t="s">
        <v>1095</v>
      </c>
    </row>
    <row r="329" spans="1:25">
      <c r="A329" s="196" t="s">
        <v>837</v>
      </c>
      <c r="B329" s="196" t="s">
        <v>850</v>
      </c>
      <c r="C329" s="196">
        <v>2013</v>
      </c>
      <c r="D329" s="196">
        <v>30</v>
      </c>
      <c r="E329" s="196" t="s">
        <v>851</v>
      </c>
      <c r="F329" s="196" t="s">
        <v>1096</v>
      </c>
      <c r="G329" s="196">
        <v>3</v>
      </c>
      <c r="H329" s="196">
        <v>2</v>
      </c>
      <c r="I329" s="196">
        <v>2908</v>
      </c>
      <c r="J329" s="196">
        <v>13604</v>
      </c>
      <c r="K329" s="196">
        <v>80.63</v>
      </c>
      <c r="L329" s="196">
        <v>5.21</v>
      </c>
      <c r="M329" s="196">
        <v>6311</v>
      </c>
      <c r="N329" s="196">
        <v>1456509</v>
      </c>
      <c r="O329" s="196">
        <v>1633</v>
      </c>
      <c r="P329" s="196" t="s">
        <v>1041</v>
      </c>
      <c r="Q329" s="196" t="s">
        <v>1042</v>
      </c>
      <c r="R329" s="196" t="s">
        <v>1043</v>
      </c>
      <c r="S329" s="196" t="s">
        <v>844</v>
      </c>
      <c r="T329" s="196" t="s">
        <v>913</v>
      </c>
      <c r="U329" s="196" t="s">
        <v>1044</v>
      </c>
      <c r="V329" s="196" t="s">
        <v>1041</v>
      </c>
      <c r="W329" s="196" t="s">
        <v>1042</v>
      </c>
      <c r="X329" s="196" t="s">
        <v>1097</v>
      </c>
      <c r="Y329" s="196" t="s">
        <v>848</v>
      </c>
    </row>
    <row r="330" spans="1:25">
      <c r="A330" s="196" t="s">
        <v>837</v>
      </c>
      <c r="B330" s="196" t="s">
        <v>850</v>
      </c>
      <c r="C330" s="196">
        <v>2013</v>
      </c>
      <c r="D330" s="196">
        <v>80</v>
      </c>
      <c r="E330" s="196" t="s">
        <v>917</v>
      </c>
      <c r="F330" s="196" t="s">
        <v>1096</v>
      </c>
      <c r="G330" s="196">
        <v>2</v>
      </c>
      <c r="H330" s="196">
        <v>2</v>
      </c>
      <c r="I330" s="196">
        <v>2787</v>
      </c>
      <c r="J330" s="196">
        <v>30586</v>
      </c>
      <c r="K330" s="196">
        <v>80.63</v>
      </c>
      <c r="L330" s="196">
        <v>5.21</v>
      </c>
      <c r="M330" s="196">
        <v>6311</v>
      </c>
      <c r="N330" s="196">
        <v>1456509</v>
      </c>
      <c r="O330" s="196">
        <v>1633</v>
      </c>
      <c r="P330" s="196" t="s">
        <v>1041</v>
      </c>
      <c r="Q330" s="196" t="s">
        <v>1042</v>
      </c>
      <c r="R330" s="196" t="s">
        <v>1043</v>
      </c>
      <c r="S330" s="196" t="s">
        <v>844</v>
      </c>
      <c r="T330" s="196" t="s">
        <v>913</v>
      </c>
      <c r="U330" s="196" t="s">
        <v>1044</v>
      </c>
      <c r="V330" s="196" t="s">
        <v>1041</v>
      </c>
      <c r="W330" s="196" t="s">
        <v>1042</v>
      </c>
      <c r="X330" s="196" t="s">
        <v>1097</v>
      </c>
      <c r="Y330" s="196" t="s">
        <v>848</v>
      </c>
    </row>
    <row r="331" spans="1:25">
      <c r="A331" s="196" t="s">
        <v>837</v>
      </c>
      <c r="B331" s="196" t="s">
        <v>181</v>
      </c>
      <c r="C331" s="196">
        <v>2013</v>
      </c>
      <c r="D331" s="196">
        <v>80</v>
      </c>
      <c r="E331" s="196" t="s">
        <v>876</v>
      </c>
      <c r="F331" s="196" t="s">
        <v>1096</v>
      </c>
      <c r="G331" s="196">
        <v>1</v>
      </c>
      <c r="H331" s="196">
        <v>1</v>
      </c>
      <c r="I331" s="196">
        <v>1540</v>
      </c>
      <c r="J331" s="196">
        <v>2591</v>
      </c>
      <c r="K331" s="196">
        <v>80.63</v>
      </c>
      <c r="L331" s="196">
        <v>5.21</v>
      </c>
      <c r="M331" s="196">
        <v>6311</v>
      </c>
      <c r="N331" s="196">
        <v>1456509</v>
      </c>
      <c r="O331" s="196">
        <v>1633</v>
      </c>
      <c r="P331" s="196" t="s">
        <v>1041</v>
      </c>
      <c r="Q331" s="196" t="s">
        <v>1042</v>
      </c>
      <c r="R331" s="196" t="s">
        <v>1043</v>
      </c>
      <c r="S331" s="196" t="s">
        <v>844</v>
      </c>
      <c r="T331" s="196" t="s">
        <v>913</v>
      </c>
      <c r="U331" s="196" t="s">
        <v>1044</v>
      </c>
      <c r="V331" s="196" t="s">
        <v>1041</v>
      </c>
      <c r="W331" s="196" t="s">
        <v>1042</v>
      </c>
      <c r="X331" s="196" t="s">
        <v>1097</v>
      </c>
      <c r="Y331" s="196" t="s">
        <v>848</v>
      </c>
    </row>
    <row r="332" spans="1:25">
      <c r="A332" s="196" t="s">
        <v>837</v>
      </c>
      <c r="B332" s="196" t="s">
        <v>838</v>
      </c>
      <c r="C332" s="196">
        <v>2014</v>
      </c>
      <c r="D332" s="196">
        <v>55</v>
      </c>
      <c r="E332" s="196" t="s">
        <v>854</v>
      </c>
      <c r="F332" s="196" t="s">
        <v>1096</v>
      </c>
      <c r="G332" s="196">
        <v>1</v>
      </c>
      <c r="H332" s="196">
        <v>1</v>
      </c>
      <c r="I332" s="196">
        <v>1131</v>
      </c>
      <c r="J332" s="196">
        <v>11013</v>
      </c>
      <c r="K332" s="196">
        <v>80.63</v>
      </c>
      <c r="L332" s="196">
        <v>5.21</v>
      </c>
      <c r="M332" s="196">
        <v>6311</v>
      </c>
      <c r="N332" s="196">
        <v>1456509</v>
      </c>
      <c r="O332" s="196">
        <v>1633</v>
      </c>
      <c r="P332" s="196" t="s">
        <v>1041</v>
      </c>
      <c r="Q332" s="196" t="s">
        <v>1042</v>
      </c>
      <c r="R332" s="196" t="s">
        <v>1043</v>
      </c>
      <c r="S332" s="196" t="s">
        <v>844</v>
      </c>
      <c r="T332" s="196" t="s">
        <v>913</v>
      </c>
      <c r="U332" s="196" t="s">
        <v>1044</v>
      </c>
      <c r="V332" s="196" t="s">
        <v>1041</v>
      </c>
      <c r="W332" s="196" t="s">
        <v>1042</v>
      </c>
      <c r="X332" s="196" t="s">
        <v>1097</v>
      </c>
      <c r="Y332" s="196" t="s">
        <v>848</v>
      </c>
    </row>
    <row r="333" spans="1:25">
      <c r="A333" s="196" t="s">
        <v>837</v>
      </c>
      <c r="B333" s="196" t="s">
        <v>850</v>
      </c>
      <c r="C333" s="196">
        <v>2014</v>
      </c>
      <c r="D333" s="196">
        <v>30</v>
      </c>
      <c r="E333" s="196" t="s">
        <v>860</v>
      </c>
      <c r="F333" s="196" t="s">
        <v>1096</v>
      </c>
      <c r="G333" s="196">
        <v>1</v>
      </c>
      <c r="H333" s="196">
        <v>1</v>
      </c>
      <c r="I333" s="196">
        <v>1131</v>
      </c>
      <c r="J333" s="196">
        <v>11013</v>
      </c>
      <c r="K333" s="196">
        <v>80.63</v>
      </c>
      <c r="L333" s="196">
        <v>5.21</v>
      </c>
      <c r="M333" s="196">
        <v>6311</v>
      </c>
      <c r="N333" s="196">
        <v>1456509</v>
      </c>
      <c r="O333" s="196">
        <v>1633</v>
      </c>
      <c r="P333" s="196" t="s">
        <v>1041</v>
      </c>
      <c r="Q333" s="196" t="s">
        <v>1042</v>
      </c>
      <c r="R333" s="196" t="s">
        <v>1043</v>
      </c>
      <c r="S333" s="196" t="s">
        <v>844</v>
      </c>
      <c r="T333" s="196" t="s">
        <v>913</v>
      </c>
      <c r="U333" s="196" t="s">
        <v>1044</v>
      </c>
      <c r="V333" s="196" t="s">
        <v>1041</v>
      </c>
      <c r="W333" s="196" t="s">
        <v>1042</v>
      </c>
      <c r="X333" s="196" t="s">
        <v>1097</v>
      </c>
      <c r="Y333" s="196" t="s">
        <v>848</v>
      </c>
    </row>
    <row r="334" spans="1:25">
      <c r="A334" s="196" t="s">
        <v>837</v>
      </c>
      <c r="B334" s="196" t="s">
        <v>850</v>
      </c>
      <c r="C334" s="196">
        <v>2014</v>
      </c>
      <c r="D334" s="196">
        <v>30</v>
      </c>
      <c r="E334" s="196" t="s">
        <v>861</v>
      </c>
      <c r="F334" s="196" t="s">
        <v>1096</v>
      </c>
      <c r="G334" s="196">
        <v>1</v>
      </c>
      <c r="H334" s="196">
        <v>1</v>
      </c>
      <c r="I334" s="196">
        <v>1131</v>
      </c>
      <c r="J334" s="196">
        <v>11013</v>
      </c>
      <c r="K334" s="196">
        <v>80.63</v>
      </c>
      <c r="L334" s="196">
        <v>5.21</v>
      </c>
      <c r="M334" s="196">
        <v>6311</v>
      </c>
      <c r="N334" s="196">
        <v>1456509</v>
      </c>
      <c r="O334" s="196">
        <v>1633</v>
      </c>
      <c r="P334" s="196" t="s">
        <v>1041</v>
      </c>
      <c r="Q334" s="196" t="s">
        <v>1042</v>
      </c>
      <c r="R334" s="196" t="s">
        <v>1043</v>
      </c>
      <c r="S334" s="196" t="s">
        <v>844</v>
      </c>
      <c r="T334" s="196" t="s">
        <v>913</v>
      </c>
      <c r="U334" s="196" t="s">
        <v>1044</v>
      </c>
      <c r="V334" s="196" t="s">
        <v>1041</v>
      </c>
      <c r="W334" s="196" t="s">
        <v>1042</v>
      </c>
      <c r="X334" s="196" t="s">
        <v>1097</v>
      </c>
      <c r="Y334" s="196" t="s">
        <v>848</v>
      </c>
    </row>
    <row r="335" spans="1:25">
      <c r="A335" s="196" t="s">
        <v>837</v>
      </c>
      <c r="B335" s="196" t="s">
        <v>181</v>
      </c>
      <c r="C335" s="196">
        <v>2014</v>
      </c>
      <c r="D335" s="196">
        <v>80</v>
      </c>
      <c r="E335" s="196" t="s">
        <v>874</v>
      </c>
      <c r="F335" s="196" t="s">
        <v>1098</v>
      </c>
      <c r="G335" s="196">
        <v>1</v>
      </c>
      <c r="H335" s="196">
        <v>1</v>
      </c>
      <c r="I335" s="196">
        <v>291</v>
      </c>
      <c r="J335" s="196">
        <v>2587</v>
      </c>
      <c r="K335" s="196">
        <v>17.71</v>
      </c>
      <c r="L335" s="196">
        <v>0.04</v>
      </c>
      <c r="M335" s="196">
        <v>3221</v>
      </c>
      <c r="N335" s="196">
        <v>748060</v>
      </c>
      <c r="O335" s="196">
        <v>704</v>
      </c>
      <c r="P335" s="196" t="s">
        <v>993</v>
      </c>
      <c r="Q335" s="196" t="s">
        <v>923</v>
      </c>
      <c r="R335" s="196" t="s">
        <v>1047</v>
      </c>
      <c r="S335" s="196" t="s">
        <v>844</v>
      </c>
      <c r="T335" s="196" t="s">
        <v>923</v>
      </c>
      <c r="U335" s="196" t="s">
        <v>1048</v>
      </c>
      <c r="V335" s="196" t="s">
        <v>1049</v>
      </c>
      <c r="W335" s="196" t="s">
        <v>1050</v>
      </c>
      <c r="X335" s="196" t="s">
        <v>848</v>
      </c>
      <c r="Y335" s="196" t="s">
        <v>848</v>
      </c>
    </row>
    <row r="336" spans="1:25">
      <c r="A336" s="196" t="s">
        <v>837</v>
      </c>
      <c r="B336" s="196" t="s">
        <v>850</v>
      </c>
      <c r="C336" s="196">
        <v>2014</v>
      </c>
      <c r="D336" s="196">
        <v>30</v>
      </c>
      <c r="E336" s="196" t="s">
        <v>860</v>
      </c>
      <c r="F336" s="196" t="s">
        <v>1098</v>
      </c>
      <c r="G336" s="196">
        <v>1</v>
      </c>
      <c r="H336" s="196">
        <v>1</v>
      </c>
      <c r="I336" s="196">
        <v>438</v>
      </c>
      <c r="J336" s="196">
        <v>3020</v>
      </c>
      <c r="K336" s="196">
        <v>17.71</v>
      </c>
      <c r="L336" s="196">
        <v>0.04</v>
      </c>
      <c r="M336" s="196">
        <v>3221</v>
      </c>
      <c r="N336" s="196">
        <v>748060</v>
      </c>
      <c r="O336" s="196">
        <v>704</v>
      </c>
      <c r="P336" s="196" t="s">
        <v>993</v>
      </c>
      <c r="Q336" s="196" t="s">
        <v>923</v>
      </c>
      <c r="R336" s="196" t="s">
        <v>1047</v>
      </c>
      <c r="S336" s="196" t="s">
        <v>844</v>
      </c>
      <c r="T336" s="196" t="s">
        <v>923</v>
      </c>
      <c r="U336" s="196" t="s">
        <v>1048</v>
      </c>
      <c r="V336" s="196" t="s">
        <v>1049</v>
      </c>
      <c r="W336" s="196" t="s">
        <v>1050</v>
      </c>
      <c r="X336" s="196" t="s">
        <v>848</v>
      </c>
      <c r="Y336" s="196" t="s">
        <v>848</v>
      </c>
    </row>
    <row r="337" spans="1:25">
      <c r="A337" s="196" t="s">
        <v>837</v>
      </c>
      <c r="B337" s="196" t="s">
        <v>838</v>
      </c>
      <c r="C337" s="196">
        <v>2013</v>
      </c>
      <c r="D337" s="196">
        <v>30</v>
      </c>
      <c r="E337" s="196" t="s">
        <v>839</v>
      </c>
      <c r="F337" s="196" t="s">
        <v>1099</v>
      </c>
      <c r="G337" s="196">
        <v>5</v>
      </c>
      <c r="H337" s="196">
        <v>5</v>
      </c>
      <c r="I337" s="196">
        <v>7854</v>
      </c>
      <c r="J337" s="196">
        <v>42627</v>
      </c>
      <c r="K337" s="196">
        <v>71.08</v>
      </c>
      <c r="L337" s="196">
        <v>2.06</v>
      </c>
      <c r="M337" s="196">
        <v>4984</v>
      </c>
      <c r="N337" s="196">
        <v>1260423</v>
      </c>
      <c r="O337" s="196">
        <v>1497</v>
      </c>
      <c r="P337" s="196" t="s">
        <v>1100</v>
      </c>
      <c r="Q337" s="196" t="s">
        <v>1101</v>
      </c>
      <c r="R337" s="196" t="s">
        <v>1102</v>
      </c>
      <c r="S337" s="196" t="s">
        <v>844</v>
      </c>
      <c r="T337" s="196" t="s">
        <v>923</v>
      </c>
      <c r="U337" s="196" t="s">
        <v>1103</v>
      </c>
      <c r="V337" s="196" t="s">
        <v>1104</v>
      </c>
      <c r="W337" s="196" t="s">
        <v>1100</v>
      </c>
      <c r="X337" s="196" t="s">
        <v>1101</v>
      </c>
      <c r="Y337" s="196" t="s">
        <v>848</v>
      </c>
    </row>
    <row r="338" spans="1:25">
      <c r="A338" s="196" t="s">
        <v>837</v>
      </c>
      <c r="B338" s="196" t="s">
        <v>838</v>
      </c>
      <c r="C338" s="196">
        <v>2013</v>
      </c>
      <c r="D338" s="196">
        <v>55</v>
      </c>
      <c r="E338" s="196" t="s">
        <v>849</v>
      </c>
      <c r="F338" s="196" t="s">
        <v>1099</v>
      </c>
      <c r="G338" s="196">
        <v>7</v>
      </c>
      <c r="H338" s="196">
        <v>6</v>
      </c>
      <c r="I338" s="196">
        <v>7428</v>
      </c>
      <c r="J338" s="196">
        <v>31192</v>
      </c>
      <c r="K338" s="196">
        <v>71.08</v>
      </c>
      <c r="L338" s="196">
        <v>2.06</v>
      </c>
      <c r="M338" s="196">
        <v>4984</v>
      </c>
      <c r="N338" s="196">
        <v>1260423</v>
      </c>
      <c r="O338" s="196">
        <v>1497</v>
      </c>
      <c r="P338" s="196" t="s">
        <v>1100</v>
      </c>
      <c r="Q338" s="196" t="s">
        <v>1101</v>
      </c>
      <c r="R338" s="196" t="s">
        <v>1102</v>
      </c>
      <c r="S338" s="196" t="s">
        <v>844</v>
      </c>
      <c r="T338" s="196" t="s">
        <v>923</v>
      </c>
      <c r="U338" s="196" t="s">
        <v>1103</v>
      </c>
      <c r="V338" s="196" t="s">
        <v>1104</v>
      </c>
      <c r="W338" s="196" t="s">
        <v>1100</v>
      </c>
      <c r="X338" s="196" t="s">
        <v>1101</v>
      </c>
      <c r="Y338" s="196" t="s">
        <v>848</v>
      </c>
    </row>
    <row r="339" spans="1:25">
      <c r="A339" s="196" t="s">
        <v>837</v>
      </c>
      <c r="B339" s="196" t="s">
        <v>850</v>
      </c>
      <c r="C339" s="196">
        <v>2013</v>
      </c>
      <c r="D339" s="196">
        <v>30</v>
      </c>
      <c r="E339" s="196" t="s">
        <v>851</v>
      </c>
      <c r="F339" s="196" t="s">
        <v>1099</v>
      </c>
      <c r="G339" s="196">
        <v>13</v>
      </c>
      <c r="H339" s="196">
        <v>11</v>
      </c>
      <c r="I339" s="196">
        <v>16614</v>
      </c>
      <c r="J339" s="196">
        <v>66508</v>
      </c>
      <c r="K339" s="196">
        <v>71.08</v>
      </c>
      <c r="L339" s="196">
        <v>2.06</v>
      </c>
      <c r="M339" s="196">
        <v>4984</v>
      </c>
      <c r="N339" s="196">
        <v>1260423</v>
      </c>
      <c r="O339" s="196">
        <v>1497</v>
      </c>
      <c r="P339" s="196" t="s">
        <v>1100</v>
      </c>
      <c r="Q339" s="196" t="s">
        <v>1101</v>
      </c>
      <c r="R339" s="196" t="s">
        <v>1102</v>
      </c>
      <c r="S339" s="196" t="s">
        <v>844</v>
      </c>
      <c r="T339" s="196" t="s">
        <v>923</v>
      </c>
      <c r="U339" s="196" t="s">
        <v>1103</v>
      </c>
      <c r="V339" s="196" t="s">
        <v>1104</v>
      </c>
      <c r="W339" s="196" t="s">
        <v>1100</v>
      </c>
      <c r="X339" s="196" t="s">
        <v>1101</v>
      </c>
      <c r="Y339" s="196" t="s">
        <v>848</v>
      </c>
    </row>
    <row r="340" spans="1:25">
      <c r="A340" s="196" t="s">
        <v>837</v>
      </c>
      <c r="B340" s="196" t="s">
        <v>850</v>
      </c>
      <c r="C340" s="196">
        <v>2013</v>
      </c>
      <c r="D340" s="196">
        <v>55</v>
      </c>
      <c r="E340" s="196" t="s">
        <v>852</v>
      </c>
      <c r="F340" s="196" t="s">
        <v>1099</v>
      </c>
      <c r="G340" s="196">
        <v>1</v>
      </c>
      <c r="H340" s="196">
        <v>1</v>
      </c>
      <c r="I340" s="196">
        <v>1023</v>
      </c>
      <c r="J340" s="196">
        <v>4786</v>
      </c>
      <c r="K340" s="196">
        <v>71.08</v>
      </c>
      <c r="L340" s="196">
        <v>2.06</v>
      </c>
      <c r="M340" s="196">
        <v>4984</v>
      </c>
      <c r="N340" s="196">
        <v>1260423</v>
      </c>
      <c r="O340" s="196">
        <v>1497</v>
      </c>
      <c r="P340" s="196" t="s">
        <v>1100</v>
      </c>
      <c r="Q340" s="196" t="s">
        <v>1101</v>
      </c>
      <c r="R340" s="196" t="s">
        <v>1102</v>
      </c>
      <c r="S340" s="196" t="s">
        <v>844</v>
      </c>
      <c r="T340" s="196" t="s">
        <v>923</v>
      </c>
      <c r="U340" s="196" t="s">
        <v>1103</v>
      </c>
      <c r="V340" s="196" t="s">
        <v>1104</v>
      </c>
      <c r="W340" s="196" t="s">
        <v>1100</v>
      </c>
      <c r="X340" s="196" t="s">
        <v>1101</v>
      </c>
      <c r="Y340" s="196" t="s">
        <v>848</v>
      </c>
    </row>
    <row r="341" spans="1:25">
      <c r="A341" s="196" t="s">
        <v>837</v>
      </c>
      <c r="B341" s="196" t="s">
        <v>838</v>
      </c>
      <c r="C341" s="196">
        <v>2014</v>
      </c>
      <c r="D341" s="196">
        <v>55</v>
      </c>
      <c r="E341" s="196" t="s">
        <v>854</v>
      </c>
      <c r="F341" s="196" t="s">
        <v>1099</v>
      </c>
      <c r="G341" s="196">
        <v>6</v>
      </c>
      <c r="H341" s="196">
        <v>6</v>
      </c>
      <c r="I341" s="196">
        <v>7698</v>
      </c>
      <c r="J341" s="196">
        <v>25983</v>
      </c>
      <c r="K341" s="196">
        <v>71.08</v>
      </c>
      <c r="L341" s="196">
        <v>2.06</v>
      </c>
      <c r="M341" s="196">
        <v>4984</v>
      </c>
      <c r="N341" s="196">
        <v>1260423</v>
      </c>
      <c r="O341" s="196">
        <v>1497</v>
      </c>
      <c r="P341" s="196" t="s">
        <v>1100</v>
      </c>
      <c r="Q341" s="196" t="s">
        <v>1101</v>
      </c>
      <c r="R341" s="196" t="s">
        <v>1102</v>
      </c>
      <c r="S341" s="196" t="s">
        <v>844</v>
      </c>
      <c r="T341" s="196" t="s">
        <v>923</v>
      </c>
      <c r="U341" s="196" t="s">
        <v>1103</v>
      </c>
      <c r="V341" s="196" t="s">
        <v>1104</v>
      </c>
      <c r="W341" s="196" t="s">
        <v>1100</v>
      </c>
      <c r="X341" s="196" t="s">
        <v>1101</v>
      </c>
      <c r="Y341" s="196" t="s">
        <v>848</v>
      </c>
    </row>
    <row r="342" spans="1:25">
      <c r="A342" s="196" t="s">
        <v>837</v>
      </c>
      <c r="B342" s="196" t="s">
        <v>181</v>
      </c>
      <c r="C342" s="196">
        <v>2014</v>
      </c>
      <c r="D342" s="196">
        <v>30</v>
      </c>
      <c r="E342" s="196" t="s">
        <v>857</v>
      </c>
      <c r="F342" s="196" t="s">
        <v>1099</v>
      </c>
      <c r="G342" s="196">
        <v>1</v>
      </c>
      <c r="H342" s="196">
        <v>1</v>
      </c>
      <c r="I342" s="196">
        <v>792</v>
      </c>
      <c r="J342" s="196">
        <v>2754</v>
      </c>
      <c r="K342" s="196">
        <v>71.08</v>
      </c>
      <c r="L342" s="196">
        <v>2.06</v>
      </c>
      <c r="M342" s="196">
        <v>4984</v>
      </c>
      <c r="N342" s="196">
        <v>1260423</v>
      </c>
      <c r="O342" s="196">
        <v>1497</v>
      </c>
      <c r="P342" s="196" t="s">
        <v>1100</v>
      </c>
      <c r="Q342" s="196" t="s">
        <v>1101</v>
      </c>
      <c r="R342" s="196" t="s">
        <v>1102</v>
      </c>
      <c r="S342" s="196" t="s">
        <v>844</v>
      </c>
      <c r="T342" s="196" t="s">
        <v>923</v>
      </c>
      <c r="U342" s="196" t="s">
        <v>1103</v>
      </c>
      <c r="V342" s="196" t="s">
        <v>1104</v>
      </c>
      <c r="W342" s="196" t="s">
        <v>1100</v>
      </c>
      <c r="X342" s="196" t="s">
        <v>1101</v>
      </c>
      <c r="Y342" s="196" t="s">
        <v>848</v>
      </c>
    </row>
    <row r="343" spans="1:25">
      <c r="A343" s="196" t="s">
        <v>837</v>
      </c>
      <c r="B343" s="196" t="s">
        <v>181</v>
      </c>
      <c r="C343" s="196">
        <v>2014</v>
      </c>
      <c r="D343" s="196">
        <v>55</v>
      </c>
      <c r="E343" s="196" t="s">
        <v>858</v>
      </c>
      <c r="F343" s="196" t="s">
        <v>1099</v>
      </c>
      <c r="G343" s="196">
        <v>2</v>
      </c>
      <c r="H343" s="196">
        <v>2</v>
      </c>
      <c r="I343" s="196">
        <v>1578</v>
      </c>
      <c r="J343" s="196">
        <v>9877</v>
      </c>
      <c r="K343" s="196">
        <v>71.08</v>
      </c>
      <c r="L343" s="196">
        <v>2.06</v>
      </c>
      <c r="M343" s="196">
        <v>4984</v>
      </c>
      <c r="N343" s="196">
        <v>1260423</v>
      </c>
      <c r="O343" s="196">
        <v>1497</v>
      </c>
      <c r="P343" s="196" t="s">
        <v>1100</v>
      </c>
      <c r="Q343" s="196" t="s">
        <v>1101</v>
      </c>
      <c r="R343" s="196" t="s">
        <v>1102</v>
      </c>
      <c r="S343" s="196" t="s">
        <v>844</v>
      </c>
      <c r="T343" s="196" t="s">
        <v>923</v>
      </c>
      <c r="U343" s="196" t="s">
        <v>1103</v>
      </c>
      <c r="V343" s="196" t="s">
        <v>1104</v>
      </c>
      <c r="W343" s="196" t="s">
        <v>1100</v>
      </c>
      <c r="X343" s="196" t="s">
        <v>1101</v>
      </c>
      <c r="Y343" s="196" t="s">
        <v>848</v>
      </c>
    </row>
    <row r="344" spans="1:25">
      <c r="A344" s="196" t="s">
        <v>837</v>
      </c>
      <c r="B344" s="196" t="s">
        <v>181</v>
      </c>
      <c r="C344" s="196">
        <v>2014</v>
      </c>
      <c r="D344" s="196">
        <v>55</v>
      </c>
      <c r="E344" s="196" t="s">
        <v>859</v>
      </c>
      <c r="F344" s="196" t="s">
        <v>1099</v>
      </c>
      <c r="G344" s="196">
        <v>5</v>
      </c>
      <c r="H344" s="196">
        <v>5</v>
      </c>
      <c r="I344" s="196">
        <v>5547</v>
      </c>
      <c r="J344" s="196">
        <v>24665</v>
      </c>
      <c r="K344" s="196">
        <v>71.08</v>
      </c>
      <c r="L344" s="196">
        <v>2.06</v>
      </c>
      <c r="M344" s="196">
        <v>4984</v>
      </c>
      <c r="N344" s="196">
        <v>1260423</v>
      </c>
      <c r="O344" s="196">
        <v>1497</v>
      </c>
      <c r="P344" s="196" t="s">
        <v>1100</v>
      </c>
      <c r="Q344" s="196" t="s">
        <v>1101</v>
      </c>
      <c r="R344" s="196" t="s">
        <v>1102</v>
      </c>
      <c r="S344" s="196" t="s">
        <v>844</v>
      </c>
      <c r="T344" s="196" t="s">
        <v>923</v>
      </c>
      <c r="U344" s="196" t="s">
        <v>1103</v>
      </c>
      <c r="V344" s="196" t="s">
        <v>1104</v>
      </c>
      <c r="W344" s="196" t="s">
        <v>1100</v>
      </c>
      <c r="X344" s="196" t="s">
        <v>1101</v>
      </c>
      <c r="Y344" s="196" t="s">
        <v>848</v>
      </c>
    </row>
    <row r="345" spans="1:25">
      <c r="A345" s="196" t="s">
        <v>837</v>
      </c>
      <c r="B345" s="196" t="s">
        <v>850</v>
      </c>
      <c r="C345" s="196">
        <v>2014</v>
      </c>
      <c r="D345" s="196">
        <v>30</v>
      </c>
      <c r="E345" s="196" t="s">
        <v>860</v>
      </c>
      <c r="F345" s="196" t="s">
        <v>1099</v>
      </c>
      <c r="G345" s="196">
        <v>3</v>
      </c>
      <c r="H345" s="196">
        <v>3</v>
      </c>
      <c r="I345" s="196">
        <v>4326</v>
      </c>
      <c r="J345" s="196">
        <v>25699</v>
      </c>
      <c r="K345" s="196">
        <v>71.08</v>
      </c>
      <c r="L345" s="196">
        <v>2.06</v>
      </c>
      <c r="M345" s="196">
        <v>4984</v>
      </c>
      <c r="N345" s="196">
        <v>1260423</v>
      </c>
      <c r="O345" s="196">
        <v>1497</v>
      </c>
      <c r="P345" s="196" t="s">
        <v>1100</v>
      </c>
      <c r="Q345" s="196" t="s">
        <v>1101</v>
      </c>
      <c r="R345" s="196" t="s">
        <v>1102</v>
      </c>
      <c r="S345" s="196" t="s">
        <v>844</v>
      </c>
      <c r="T345" s="196" t="s">
        <v>923</v>
      </c>
      <c r="U345" s="196" t="s">
        <v>1103</v>
      </c>
      <c r="V345" s="196" t="s">
        <v>1104</v>
      </c>
      <c r="W345" s="196" t="s">
        <v>1100</v>
      </c>
      <c r="X345" s="196" t="s">
        <v>1101</v>
      </c>
      <c r="Y345" s="196" t="s">
        <v>848</v>
      </c>
    </row>
    <row r="346" spans="1:25">
      <c r="A346" s="196" t="s">
        <v>837</v>
      </c>
      <c r="B346" s="196" t="s">
        <v>850</v>
      </c>
      <c r="C346" s="196">
        <v>2014</v>
      </c>
      <c r="D346" s="196">
        <v>30</v>
      </c>
      <c r="E346" s="196" t="s">
        <v>861</v>
      </c>
      <c r="F346" s="196" t="s">
        <v>1099</v>
      </c>
      <c r="G346" s="196">
        <v>7</v>
      </c>
      <c r="H346" s="196">
        <v>6</v>
      </c>
      <c r="I346" s="196">
        <v>6942</v>
      </c>
      <c r="J346" s="196">
        <v>26201</v>
      </c>
      <c r="K346" s="196">
        <v>71.08</v>
      </c>
      <c r="L346" s="196">
        <v>2.06</v>
      </c>
      <c r="M346" s="196">
        <v>4984</v>
      </c>
      <c r="N346" s="196">
        <v>1260423</v>
      </c>
      <c r="O346" s="196">
        <v>1497</v>
      </c>
      <c r="P346" s="196" t="s">
        <v>1100</v>
      </c>
      <c r="Q346" s="196" t="s">
        <v>1101</v>
      </c>
      <c r="R346" s="196" t="s">
        <v>1102</v>
      </c>
      <c r="S346" s="196" t="s">
        <v>844</v>
      </c>
      <c r="T346" s="196" t="s">
        <v>923</v>
      </c>
      <c r="U346" s="196" t="s">
        <v>1103</v>
      </c>
      <c r="V346" s="196" t="s">
        <v>1104</v>
      </c>
      <c r="W346" s="196" t="s">
        <v>1100</v>
      </c>
      <c r="X346" s="196" t="s">
        <v>1101</v>
      </c>
      <c r="Y346" s="196" t="s">
        <v>848</v>
      </c>
    </row>
    <row r="347" spans="1:25">
      <c r="A347" s="196" t="s">
        <v>837</v>
      </c>
      <c r="B347" s="196" t="s">
        <v>850</v>
      </c>
      <c r="C347" s="196">
        <v>2014</v>
      </c>
      <c r="D347" s="196">
        <v>55</v>
      </c>
      <c r="E347" s="196" t="s">
        <v>862</v>
      </c>
      <c r="F347" s="196" t="s">
        <v>1099</v>
      </c>
      <c r="G347" s="196">
        <v>12</v>
      </c>
      <c r="H347" s="196">
        <v>9</v>
      </c>
      <c r="I347" s="196">
        <v>16764</v>
      </c>
      <c r="J347" s="196">
        <v>47153</v>
      </c>
      <c r="K347" s="196">
        <v>71.08</v>
      </c>
      <c r="L347" s="196">
        <v>2.06</v>
      </c>
      <c r="M347" s="196">
        <v>4984</v>
      </c>
      <c r="N347" s="196">
        <v>1260423</v>
      </c>
      <c r="O347" s="196">
        <v>1497</v>
      </c>
      <c r="P347" s="196" t="s">
        <v>1100</v>
      </c>
      <c r="Q347" s="196" t="s">
        <v>1101</v>
      </c>
      <c r="R347" s="196" t="s">
        <v>1102</v>
      </c>
      <c r="S347" s="196" t="s">
        <v>844</v>
      </c>
      <c r="T347" s="196" t="s">
        <v>923</v>
      </c>
      <c r="U347" s="196" t="s">
        <v>1103</v>
      </c>
      <c r="V347" s="196" t="s">
        <v>1104</v>
      </c>
      <c r="W347" s="196" t="s">
        <v>1100</v>
      </c>
      <c r="X347" s="196" t="s">
        <v>1101</v>
      </c>
      <c r="Y347" s="196" t="s">
        <v>848</v>
      </c>
    </row>
    <row r="348" spans="1:25">
      <c r="A348" s="196" t="s">
        <v>837</v>
      </c>
      <c r="B348" s="196" t="s">
        <v>838</v>
      </c>
      <c r="C348" s="196">
        <v>2013</v>
      </c>
      <c r="D348" s="196">
        <v>55</v>
      </c>
      <c r="E348" s="196" t="s">
        <v>849</v>
      </c>
      <c r="F348" s="196" t="s">
        <v>1105</v>
      </c>
      <c r="G348" s="196">
        <v>1</v>
      </c>
      <c r="H348" s="196">
        <v>1</v>
      </c>
      <c r="I348" s="196">
        <v>1128</v>
      </c>
      <c r="J348" s="196">
        <v>3046</v>
      </c>
      <c r="K348" s="196">
        <v>70.42</v>
      </c>
      <c r="L348" s="196">
        <v>0.91</v>
      </c>
      <c r="M348" s="196">
        <v>5013</v>
      </c>
      <c r="N348" s="196">
        <v>1602142</v>
      </c>
      <c r="O348" s="196">
        <v>1661</v>
      </c>
      <c r="P348" s="196" t="s">
        <v>1106</v>
      </c>
      <c r="Q348" s="196" t="s">
        <v>1107</v>
      </c>
      <c r="R348" s="196" t="s">
        <v>1108</v>
      </c>
      <c r="S348" s="196" t="s">
        <v>844</v>
      </c>
      <c r="T348" s="196" t="s">
        <v>1109</v>
      </c>
      <c r="U348" s="196" t="s">
        <v>1110</v>
      </c>
      <c r="V348" s="196" t="s">
        <v>1111</v>
      </c>
      <c r="W348" s="196" t="s">
        <v>1107</v>
      </c>
      <c r="X348" s="196" t="s">
        <v>1112</v>
      </c>
      <c r="Y348" s="196" t="s">
        <v>1113</v>
      </c>
    </row>
    <row r="349" spans="1:25">
      <c r="A349" s="196" t="s">
        <v>837</v>
      </c>
      <c r="B349" s="196" t="s">
        <v>850</v>
      </c>
      <c r="C349" s="196">
        <v>2013</v>
      </c>
      <c r="D349" s="196">
        <v>30</v>
      </c>
      <c r="E349" s="196" t="s">
        <v>851</v>
      </c>
      <c r="F349" s="196" t="s">
        <v>1105</v>
      </c>
      <c r="G349" s="196">
        <v>1</v>
      </c>
      <c r="H349" s="196">
        <v>1</v>
      </c>
      <c r="I349" s="196">
        <v>624</v>
      </c>
      <c r="J349" s="196">
        <v>3135</v>
      </c>
      <c r="K349" s="196">
        <v>70.42</v>
      </c>
      <c r="L349" s="196">
        <v>0.91</v>
      </c>
      <c r="M349" s="196">
        <v>5013</v>
      </c>
      <c r="N349" s="196">
        <v>1602142</v>
      </c>
      <c r="O349" s="196">
        <v>1661</v>
      </c>
      <c r="P349" s="196" t="s">
        <v>1106</v>
      </c>
      <c r="Q349" s="196" t="s">
        <v>1107</v>
      </c>
      <c r="R349" s="196" t="s">
        <v>1108</v>
      </c>
      <c r="S349" s="196" t="s">
        <v>844</v>
      </c>
      <c r="T349" s="196" t="s">
        <v>1109</v>
      </c>
      <c r="U349" s="196" t="s">
        <v>1110</v>
      </c>
      <c r="V349" s="196" t="s">
        <v>1111</v>
      </c>
      <c r="W349" s="196" t="s">
        <v>1107</v>
      </c>
      <c r="X349" s="196" t="s">
        <v>1112</v>
      </c>
      <c r="Y349" s="196" t="s">
        <v>1113</v>
      </c>
    </row>
    <row r="350" spans="1:25">
      <c r="A350" s="196" t="s">
        <v>837</v>
      </c>
      <c r="B350" s="196" t="s">
        <v>850</v>
      </c>
      <c r="C350" s="196">
        <v>2013</v>
      </c>
      <c r="D350" s="196">
        <v>55</v>
      </c>
      <c r="E350" s="196" t="s">
        <v>852</v>
      </c>
      <c r="F350" s="196" t="s">
        <v>1105</v>
      </c>
      <c r="G350" s="196">
        <v>1</v>
      </c>
      <c r="H350" s="196">
        <v>1</v>
      </c>
      <c r="I350" s="196">
        <v>624</v>
      </c>
      <c r="J350" s="196">
        <v>3135</v>
      </c>
      <c r="K350" s="196">
        <v>70.42</v>
      </c>
      <c r="L350" s="196">
        <v>0.91</v>
      </c>
      <c r="M350" s="196">
        <v>5013</v>
      </c>
      <c r="N350" s="196">
        <v>1602142</v>
      </c>
      <c r="O350" s="196">
        <v>1661</v>
      </c>
      <c r="P350" s="196" t="s">
        <v>1106</v>
      </c>
      <c r="Q350" s="196" t="s">
        <v>1107</v>
      </c>
      <c r="R350" s="196" t="s">
        <v>1108</v>
      </c>
      <c r="S350" s="196" t="s">
        <v>844</v>
      </c>
      <c r="T350" s="196" t="s">
        <v>1109</v>
      </c>
      <c r="U350" s="196" t="s">
        <v>1110</v>
      </c>
      <c r="V350" s="196" t="s">
        <v>1111</v>
      </c>
      <c r="W350" s="196" t="s">
        <v>1107</v>
      </c>
      <c r="X350" s="196" t="s">
        <v>1112</v>
      </c>
      <c r="Y350" s="196" t="s">
        <v>1113</v>
      </c>
    </row>
    <row r="351" spans="1:25">
      <c r="A351" s="196" t="s">
        <v>837</v>
      </c>
      <c r="B351" s="196" t="s">
        <v>838</v>
      </c>
      <c r="C351" s="196">
        <v>2014</v>
      </c>
      <c r="D351" s="196">
        <v>55</v>
      </c>
      <c r="E351" s="196" t="s">
        <v>855</v>
      </c>
      <c r="F351" s="196" t="s">
        <v>1105</v>
      </c>
      <c r="G351" s="196">
        <v>1</v>
      </c>
      <c r="H351" s="196">
        <v>1</v>
      </c>
      <c r="I351" s="196">
        <v>1128</v>
      </c>
      <c r="J351" s="196">
        <v>3046</v>
      </c>
      <c r="K351" s="196">
        <v>70.42</v>
      </c>
      <c r="L351" s="196">
        <v>0.91</v>
      </c>
      <c r="M351" s="196">
        <v>5013</v>
      </c>
      <c r="N351" s="196">
        <v>1602142</v>
      </c>
      <c r="O351" s="196">
        <v>1661</v>
      </c>
      <c r="P351" s="196" t="s">
        <v>1106</v>
      </c>
      <c r="Q351" s="196" t="s">
        <v>1107</v>
      </c>
      <c r="R351" s="196" t="s">
        <v>1108</v>
      </c>
      <c r="S351" s="196" t="s">
        <v>844</v>
      </c>
      <c r="T351" s="196" t="s">
        <v>1109</v>
      </c>
      <c r="U351" s="196" t="s">
        <v>1110</v>
      </c>
      <c r="V351" s="196" t="s">
        <v>1111</v>
      </c>
      <c r="W351" s="196" t="s">
        <v>1107</v>
      </c>
      <c r="X351" s="196" t="s">
        <v>1112</v>
      </c>
      <c r="Y351" s="196" t="s">
        <v>1113</v>
      </c>
    </row>
    <row r="352" spans="1:25">
      <c r="A352" s="196" t="s">
        <v>837</v>
      </c>
      <c r="B352" s="196" t="s">
        <v>181</v>
      </c>
      <c r="C352" s="196">
        <v>2014</v>
      </c>
      <c r="D352" s="196">
        <v>55</v>
      </c>
      <c r="E352" s="196" t="s">
        <v>858</v>
      </c>
      <c r="F352" s="196" t="s">
        <v>1105</v>
      </c>
      <c r="G352" s="196">
        <v>1</v>
      </c>
      <c r="H352" s="196">
        <v>1</v>
      </c>
      <c r="I352" s="196">
        <v>1206</v>
      </c>
      <c r="J352" s="196">
        <v>6617</v>
      </c>
      <c r="K352" s="196">
        <v>70.42</v>
      </c>
      <c r="L352" s="196">
        <v>0.91</v>
      </c>
      <c r="M352" s="196">
        <v>5013</v>
      </c>
      <c r="N352" s="196">
        <v>1602142</v>
      </c>
      <c r="O352" s="196">
        <v>1661</v>
      </c>
      <c r="P352" s="196" t="s">
        <v>1106</v>
      </c>
      <c r="Q352" s="196" t="s">
        <v>1107</v>
      </c>
      <c r="R352" s="196" t="s">
        <v>1108</v>
      </c>
      <c r="S352" s="196" t="s">
        <v>844</v>
      </c>
      <c r="T352" s="196" t="s">
        <v>1109</v>
      </c>
      <c r="U352" s="196" t="s">
        <v>1110</v>
      </c>
      <c r="V352" s="196" t="s">
        <v>1111</v>
      </c>
      <c r="W352" s="196" t="s">
        <v>1107</v>
      </c>
      <c r="X352" s="196" t="s">
        <v>1112</v>
      </c>
      <c r="Y352" s="196" t="s">
        <v>1113</v>
      </c>
    </row>
    <row r="353" spans="1:25">
      <c r="A353" s="196" t="s">
        <v>837</v>
      </c>
      <c r="B353" s="196" t="s">
        <v>850</v>
      </c>
      <c r="C353" s="196">
        <v>2014</v>
      </c>
      <c r="D353" s="196">
        <v>55</v>
      </c>
      <c r="E353" s="196" t="s">
        <v>862</v>
      </c>
      <c r="F353" s="196" t="s">
        <v>1105</v>
      </c>
      <c r="G353" s="196">
        <v>1</v>
      </c>
      <c r="H353" s="196">
        <v>1</v>
      </c>
      <c r="I353" s="196">
        <v>1128</v>
      </c>
      <c r="J353" s="196">
        <v>3046</v>
      </c>
      <c r="K353" s="196">
        <v>70.42</v>
      </c>
      <c r="L353" s="196">
        <v>0.91</v>
      </c>
      <c r="M353" s="196">
        <v>5013</v>
      </c>
      <c r="N353" s="196">
        <v>1602142</v>
      </c>
      <c r="O353" s="196">
        <v>1661</v>
      </c>
      <c r="P353" s="196" t="s">
        <v>1106</v>
      </c>
      <c r="Q353" s="196" t="s">
        <v>1107</v>
      </c>
      <c r="R353" s="196" t="s">
        <v>1108</v>
      </c>
      <c r="S353" s="196" t="s">
        <v>844</v>
      </c>
      <c r="T353" s="196" t="s">
        <v>1109</v>
      </c>
      <c r="U353" s="196" t="s">
        <v>1110</v>
      </c>
      <c r="V353" s="196" t="s">
        <v>1111</v>
      </c>
      <c r="W353" s="196" t="s">
        <v>1107</v>
      </c>
      <c r="X353" s="196" t="s">
        <v>1112</v>
      </c>
      <c r="Y353" s="196" t="s">
        <v>1113</v>
      </c>
    </row>
    <row r="354" spans="1:25">
      <c r="A354" s="196" t="s">
        <v>837</v>
      </c>
      <c r="B354" s="196" t="s">
        <v>838</v>
      </c>
      <c r="C354" s="196">
        <v>2013</v>
      </c>
      <c r="D354" s="196">
        <v>30</v>
      </c>
      <c r="E354" s="196" t="s">
        <v>839</v>
      </c>
      <c r="F354" s="196" t="s">
        <v>1114</v>
      </c>
      <c r="G354" s="196">
        <v>8</v>
      </c>
      <c r="H354" s="196">
        <v>7</v>
      </c>
      <c r="I354" s="196">
        <v>8955</v>
      </c>
      <c r="J354" s="196">
        <v>122360</v>
      </c>
      <c r="K354" s="196">
        <v>86.6</v>
      </c>
      <c r="L354" s="196">
        <v>1.85</v>
      </c>
      <c r="M354" s="196">
        <v>12849</v>
      </c>
      <c r="N354" s="196">
        <v>1755682</v>
      </c>
      <c r="O354" s="196">
        <v>1947</v>
      </c>
      <c r="P354" s="196" t="s">
        <v>1033</v>
      </c>
      <c r="Q354" s="196" t="s">
        <v>1033</v>
      </c>
      <c r="R354" s="196" t="s">
        <v>1034</v>
      </c>
      <c r="S354" s="196" t="s">
        <v>844</v>
      </c>
      <c r="T354" s="196" t="s">
        <v>923</v>
      </c>
      <c r="U354" s="196" t="s">
        <v>1035</v>
      </c>
      <c r="V354" s="196" t="s">
        <v>1036</v>
      </c>
      <c r="W354" s="196" t="s">
        <v>1037</v>
      </c>
      <c r="X354" s="196" t="s">
        <v>1033</v>
      </c>
      <c r="Y354" s="196" t="s">
        <v>848</v>
      </c>
    </row>
    <row r="355" spans="1:25">
      <c r="A355" s="196" t="s">
        <v>837</v>
      </c>
      <c r="B355" s="196" t="s">
        <v>838</v>
      </c>
      <c r="C355" s="196">
        <v>2013</v>
      </c>
      <c r="D355" s="196">
        <v>55</v>
      </c>
      <c r="E355" s="196" t="s">
        <v>849</v>
      </c>
      <c r="F355" s="196" t="s">
        <v>1114</v>
      </c>
      <c r="G355" s="196">
        <v>8</v>
      </c>
      <c r="H355" s="196">
        <v>7</v>
      </c>
      <c r="I355" s="196">
        <v>10596</v>
      </c>
      <c r="J355" s="196">
        <v>83835</v>
      </c>
      <c r="K355" s="196">
        <v>86.6</v>
      </c>
      <c r="L355" s="196">
        <v>1.85</v>
      </c>
      <c r="M355" s="196">
        <v>12849</v>
      </c>
      <c r="N355" s="196">
        <v>1755682</v>
      </c>
      <c r="O355" s="196">
        <v>1947</v>
      </c>
      <c r="P355" s="196" t="s">
        <v>1033</v>
      </c>
      <c r="Q355" s="196" t="s">
        <v>1033</v>
      </c>
      <c r="R355" s="196" t="s">
        <v>1034</v>
      </c>
      <c r="S355" s="196" t="s">
        <v>844</v>
      </c>
      <c r="T355" s="196" t="s">
        <v>923</v>
      </c>
      <c r="U355" s="196" t="s">
        <v>1035</v>
      </c>
      <c r="V355" s="196" t="s">
        <v>1036</v>
      </c>
      <c r="W355" s="196" t="s">
        <v>1037</v>
      </c>
      <c r="X355" s="196" t="s">
        <v>1033</v>
      </c>
      <c r="Y355" s="196" t="s">
        <v>848</v>
      </c>
    </row>
    <row r="356" spans="1:25">
      <c r="A356" s="196" t="s">
        <v>837</v>
      </c>
      <c r="B356" s="196" t="s">
        <v>850</v>
      </c>
      <c r="C356" s="196">
        <v>2013</v>
      </c>
      <c r="D356" s="196">
        <v>30</v>
      </c>
      <c r="E356" s="196" t="s">
        <v>851</v>
      </c>
      <c r="F356" s="196" t="s">
        <v>1114</v>
      </c>
      <c r="G356" s="196">
        <v>45</v>
      </c>
      <c r="H356" s="196">
        <v>24</v>
      </c>
      <c r="I356" s="196">
        <v>40506</v>
      </c>
      <c r="J356" s="196">
        <v>209582</v>
      </c>
      <c r="K356" s="196">
        <v>86.6</v>
      </c>
      <c r="L356" s="196">
        <v>1.85</v>
      </c>
      <c r="M356" s="196">
        <v>12849</v>
      </c>
      <c r="N356" s="196">
        <v>1755682</v>
      </c>
      <c r="O356" s="196">
        <v>1947</v>
      </c>
      <c r="P356" s="196" t="s">
        <v>1033</v>
      </c>
      <c r="Q356" s="196" t="s">
        <v>1033</v>
      </c>
      <c r="R356" s="196" t="s">
        <v>1034</v>
      </c>
      <c r="S356" s="196" t="s">
        <v>844</v>
      </c>
      <c r="T356" s="196" t="s">
        <v>923</v>
      </c>
      <c r="U356" s="196" t="s">
        <v>1035</v>
      </c>
      <c r="V356" s="196" t="s">
        <v>1036</v>
      </c>
      <c r="W356" s="196" t="s">
        <v>1037</v>
      </c>
      <c r="X356" s="196" t="s">
        <v>1033</v>
      </c>
      <c r="Y356" s="196" t="s">
        <v>848</v>
      </c>
    </row>
    <row r="357" spans="1:25">
      <c r="A357" s="196" t="s">
        <v>837</v>
      </c>
      <c r="B357" s="196" t="s">
        <v>850</v>
      </c>
      <c r="C357" s="196">
        <v>2013</v>
      </c>
      <c r="D357" s="196">
        <v>55</v>
      </c>
      <c r="E357" s="196" t="s">
        <v>852</v>
      </c>
      <c r="F357" s="196" t="s">
        <v>1114</v>
      </c>
      <c r="G357" s="196">
        <v>3</v>
      </c>
      <c r="H357" s="196">
        <v>3</v>
      </c>
      <c r="I357" s="196">
        <v>2820</v>
      </c>
      <c r="J357" s="196">
        <v>35634</v>
      </c>
      <c r="K357" s="196">
        <v>86.6</v>
      </c>
      <c r="L357" s="196">
        <v>1.85</v>
      </c>
      <c r="M357" s="196">
        <v>12849</v>
      </c>
      <c r="N357" s="196">
        <v>1755682</v>
      </c>
      <c r="O357" s="196">
        <v>1947</v>
      </c>
      <c r="P357" s="196" t="s">
        <v>1033</v>
      </c>
      <c r="Q357" s="196" t="s">
        <v>1033</v>
      </c>
      <c r="R357" s="196" t="s">
        <v>1034</v>
      </c>
      <c r="S357" s="196" t="s">
        <v>844</v>
      </c>
      <c r="T357" s="196" t="s">
        <v>923</v>
      </c>
      <c r="U357" s="196" t="s">
        <v>1035</v>
      </c>
      <c r="V357" s="196" t="s">
        <v>1036</v>
      </c>
      <c r="W357" s="196" t="s">
        <v>1037</v>
      </c>
      <c r="X357" s="196" t="s">
        <v>1033</v>
      </c>
      <c r="Y357" s="196" t="s">
        <v>848</v>
      </c>
    </row>
    <row r="358" spans="1:25">
      <c r="A358" s="196" t="s">
        <v>837</v>
      </c>
      <c r="B358" s="196" t="s">
        <v>850</v>
      </c>
      <c r="C358" s="196">
        <v>2013</v>
      </c>
      <c r="D358" s="196">
        <v>80</v>
      </c>
      <c r="E358" s="196" t="s">
        <v>917</v>
      </c>
      <c r="F358" s="196" t="s">
        <v>1114</v>
      </c>
      <c r="G358" s="196">
        <v>1</v>
      </c>
      <c r="H358" s="196">
        <v>1</v>
      </c>
      <c r="I358" s="196">
        <v>1818</v>
      </c>
      <c r="J358" s="196">
        <v>7070</v>
      </c>
      <c r="K358" s="196">
        <v>86.6</v>
      </c>
      <c r="L358" s="196">
        <v>1.85</v>
      </c>
      <c r="M358" s="196">
        <v>12849</v>
      </c>
      <c r="N358" s="196">
        <v>1755682</v>
      </c>
      <c r="O358" s="196">
        <v>1947</v>
      </c>
      <c r="P358" s="196" t="s">
        <v>1033</v>
      </c>
      <c r="Q358" s="196" t="s">
        <v>1033</v>
      </c>
      <c r="R358" s="196" t="s">
        <v>1034</v>
      </c>
      <c r="S358" s="196" t="s">
        <v>844</v>
      </c>
      <c r="T358" s="196" t="s">
        <v>923</v>
      </c>
      <c r="U358" s="196" t="s">
        <v>1035</v>
      </c>
      <c r="V358" s="196" t="s">
        <v>1036</v>
      </c>
      <c r="W358" s="196" t="s">
        <v>1037</v>
      </c>
      <c r="X358" s="196" t="s">
        <v>1033</v>
      </c>
      <c r="Y358" s="196" t="s">
        <v>848</v>
      </c>
    </row>
    <row r="359" spans="1:25">
      <c r="A359" s="196" t="s">
        <v>837</v>
      </c>
      <c r="B359" s="196" t="s">
        <v>838</v>
      </c>
      <c r="C359" s="196">
        <v>2014</v>
      </c>
      <c r="D359" s="196">
        <v>55</v>
      </c>
      <c r="E359" s="196" t="s">
        <v>854</v>
      </c>
      <c r="F359" s="196" t="s">
        <v>1114</v>
      </c>
      <c r="G359" s="196">
        <v>15</v>
      </c>
      <c r="H359" s="196">
        <v>12</v>
      </c>
      <c r="I359" s="196">
        <v>15009</v>
      </c>
      <c r="J359" s="196">
        <v>124879</v>
      </c>
      <c r="K359" s="196">
        <v>86.6</v>
      </c>
      <c r="L359" s="196">
        <v>1.85</v>
      </c>
      <c r="M359" s="196">
        <v>12849</v>
      </c>
      <c r="N359" s="196">
        <v>1755682</v>
      </c>
      <c r="O359" s="196">
        <v>1947</v>
      </c>
      <c r="P359" s="196" t="s">
        <v>1033</v>
      </c>
      <c r="Q359" s="196" t="s">
        <v>1033</v>
      </c>
      <c r="R359" s="196" t="s">
        <v>1034</v>
      </c>
      <c r="S359" s="196" t="s">
        <v>844</v>
      </c>
      <c r="T359" s="196" t="s">
        <v>923</v>
      </c>
      <c r="U359" s="196" t="s">
        <v>1035</v>
      </c>
      <c r="V359" s="196" t="s">
        <v>1036</v>
      </c>
      <c r="W359" s="196" t="s">
        <v>1037</v>
      </c>
      <c r="X359" s="196" t="s">
        <v>1033</v>
      </c>
      <c r="Y359" s="196" t="s">
        <v>848</v>
      </c>
    </row>
    <row r="360" spans="1:25">
      <c r="A360" s="196" t="s">
        <v>837</v>
      </c>
      <c r="B360" s="196" t="s">
        <v>838</v>
      </c>
      <c r="C360" s="196">
        <v>2014</v>
      </c>
      <c r="D360" s="196">
        <v>55</v>
      </c>
      <c r="E360" s="196" t="s">
        <v>855</v>
      </c>
      <c r="F360" s="196" t="s">
        <v>1114</v>
      </c>
      <c r="G360" s="196">
        <v>3</v>
      </c>
      <c r="H360" s="196">
        <v>3</v>
      </c>
      <c r="I360" s="196">
        <v>5385</v>
      </c>
      <c r="J360" s="196">
        <v>28202</v>
      </c>
      <c r="K360" s="196">
        <v>86.6</v>
      </c>
      <c r="L360" s="196">
        <v>1.85</v>
      </c>
      <c r="M360" s="196">
        <v>12849</v>
      </c>
      <c r="N360" s="196">
        <v>1755682</v>
      </c>
      <c r="O360" s="196">
        <v>1947</v>
      </c>
      <c r="P360" s="196" t="s">
        <v>1033</v>
      </c>
      <c r="Q360" s="196" t="s">
        <v>1033</v>
      </c>
      <c r="R360" s="196" t="s">
        <v>1034</v>
      </c>
      <c r="S360" s="196" t="s">
        <v>844</v>
      </c>
      <c r="T360" s="196" t="s">
        <v>923</v>
      </c>
      <c r="U360" s="196" t="s">
        <v>1035</v>
      </c>
      <c r="V360" s="196" t="s">
        <v>1036</v>
      </c>
      <c r="W360" s="196" t="s">
        <v>1037</v>
      </c>
      <c r="X360" s="196" t="s">
        <v>1033</v>
      </c>
      <c r="Y360" s="196" t="s">
        <v>848</v>
      </c>
    </row>
    <row r="361" spans="1:25">
      <c r="A361" s="196" t="s">
        <v>837</v>
      </c>
      <c r="B361" s="196" t="s">
        <v>181</v>
      </c>
      <c r="C361" s="196">
        <v>2014</v>
      </c>
      <c r="D361" s="196">
        <v>30</v>
      </c>
      <c r="E361" s="196" t="s">
        <v>856</v>
      </c>
      <c r="F361" s="196" t="s">
        <v>1114</v>
      </c>
      <c r="G361" s="196">
        <v>3</v>
      </c>
      <c r="H361" s="196">
        <v>3</v>
      </c>
      <c r="I361" s="196">
        <v>3054</v>
      </c>
      <c r="J361" s="196">
        <v>48514</v>
      </c>
      <c r="K361" s="196">
        <v>86.6</v>
      </c>
      <c r="L361" s="196">
        <v>1.85</v>
      </c>
      <c r="M361" s="196">
        <v>12849</v>
      </c>
      <c r="N361" s="196">
        <v>1755682</v>
      </c>
      <c r="O361" s="196">
        <v>1947</v>
      </c>
      <c r="P361" s="196" t="s">
        <v>1033</v>
      </c>
      <c r="Q361" s="196" t="s">
        <v>1033</v>
      </c>
      <c r="R361" s="196" t="s">
        <v>1034</v>
      </c>
      <c r="S361" s="196" t="s">
        <v>844</v>
      </c>
      <c r="T361" s="196" t="s">
        <v>923</v>
      </c>
      <c r="U361" s="196" t="s">
        <v>1035</v>
      </c>
      <c r="V361" s="196" t="s">
        <v>1036</v>
      </c>
      <c r="W361" s="196" t="s">
        <v>1037</v>
      </c>
      <c r="X361" s="196" t="s">
        <v>1033</v>
      </c>
      <c r="Y361" s="196" t="s">
        <v>848</v>
      </c>
    </row>
    <row r="362" spans="1:25">
      <c r="A362" s="196" t="s">
        <v>837</v>
      </c>
      <c r="B362" s="196" t="s">
        <v>181</v>
      </c>
      <c r="C362" s="196">
        <v>2014</v>
      </c>
      <c r="D362" s="196">
        <v>55</v>
      </c>
      <c r="E362" s="196" t="s">
        <v>858</v>
      </c>
      <c r="F362" s="196" t="s">
        <v>1114</v>
      </c>
      <c r="G362" s="196">
        <v>5</v>
      </c>
      <c r="H362" s="196">
        <v>5</v>
      </c>
      <c r="I362" s="196">
        <v>7059</v>
      </c>
      <c r="J362" s="196">
        <v>61989</v>
      </c>
      <c r="K362" s="196">
        <v>86.6</v>
      </c>
      <c r="L362" s="196">
        <v>1.85</v>
      </c>
      <c r="M362" s="196">
        <v>12849</v>
      </c>
      <c r="N362" s="196">
        <v>1755682</v>
      </c>
      <c r="O362" s="196">
        <v>1947</v>
      </c>
      <c r="P362" s="196" t="s">
        <v>1033</v>
      </c>
      <c r="Q362" s="196" t="s">
        <v>1033</v>
      </c>
      <c r="R362" s="196" t="s">
        <v>1034</v>
      </c>
      <c r="S362" s="196" t="s">
        <v>844</v>
      </c>
      <c r="T362" s="196" t="s">
        <v>923</v>
      </c>
      <c r="U362" s="196" t="s">
        <v>1035</v>
      </c>
      <c r="V362" s="196" t="s">
        <v>1036</v>
      </c>
      <c r="W362" s="196" t="s">
        <v>1037</v>
      </c>
      <c r="X362" s="196" t="s">
        <v>1033</v>
      </c>
      <c r="Y362" s="196" t="s">
        <v>848</v>
      </c>
    </row>
    <row r="363" spans="1:25">
      <c r="A363" s="196" t="s">
        <v>837</v>
      </c>
      <c r="B363" s="196" t="s">
        <v>181</v>
      </c>
      <c r="C363" s="196">
        <v>2014</v>
      </c>
      <c r="D363" s="196">
        <v>55</v>
      </c>
      <c r="E363" s="196" t="s">
        <v>859</v>
      </c>
      <c r="F363" s="196" t="s">
        <v>1114</v>
      </c>
      <c r="G363" s="196">
        <v>7</v>
      </c>
      <c r="H363" s="196">
        <v>7</v>
      </c>
      <c r="I363" s="196">
        <v>5988</v>
      </c>
      <c r="J363" s="196">
        <v>104193</v>
      </c>
      <c r="K363" s="196">
        <v>86.6</v>
      </c>
      <c r="L363" s="196">
        <v>1.85</v>
      </c>
      <c r="M363" s="196">
        <v>12849</v>
      </c>
      <c r="N363" s="196">
        <v>1755682</v>
      </c>
      <c r="O363" s="196">
        <v>1947</v>
      </c>
      <c r="P363" s="196" t="s">
        <v>1033</v>
      </c>
      <c r="Q363" s="196" t="s">
        <v>1033</v>
      </c>
      <c r="R363" s="196" t="s">
        <v>1034</v>
      </c>
      <c r="S363" s="196" t="s">
        <v>844</v>
      </c>
      <c r="T363" s="196" t="s">
        <v>923</v>
      </c>
      <c r="U363" s="196" t="s">
        <v>1035</v>
      </c>
      <c r="V363" s="196" t="s">
        <v>1036</v>
      </c>
      <c r="W363" s="196" t="s">
        <v>1037</v>
      </c>
      <c r="X363" s="196" t="s">
        <v>1033</v>
      </c>
      <c r="Y363" s="196" t="s">
        <v>848</v>
      </c>
    </row>
    <row r="364" spans="1:25">
      <c r="A364" s="196" t="s">
        <v>837</v>
      </c>
      <c r="B364" s="196" t="s">
        <v>850</v>
      </c>
      <c r="C364" s="196">
        <v>2014</v>
      </c>
      <c r="D364" s="196">
        <v>30</v>
      </c>
      <c r="E364" s="196" t="s">
        <v>860</v>
      </c>
      <c r="F364" s="196" t="s">
        <v>1114</v>
      </c>
      <c r="G364" s="196">
        <v>10</v>
      </c>
      <c r="H364" s="196">
        <v>8</v>
      </c>
      <c r="I364" s="196">
        <v>10650</v>
      </c>
      <c r="J364" s="196">
        <v>70242</v>
      </c>
      <c r="K364" s="196">
        <v>86.6</v>
      </c>
      <c r="L364" s="196">
        <v>1.85</v>
      </c>
      <c r="M364" s="196">
        <v>12849</v>
      </c>
      <c r="N364" s="196">
        <v>1755682</v>
      </c>
      <c r="O364" s="196">
        <v>1947</v>
      </c>
      <c r="P364" s="196" t="s">
        <v>1033</v>
      </c>
      <c r="Q364" s="196" t="s">
        <v>1033</v>
      </c>
      <c r="R364" s="196" t="s">
        <v>1034</v>
      </c>
      <c r="S364" s="196" t="s">
        <v>844</v>
      </c>
      <c r="T364" s="196" t="s">
        <v>923</v>
      </c>
      <c r="U364" s="196" t="s">
        <v>1035</v>
      </c>
      <c r="V364" s="196" t="s">
        <v>1036</v>
      </c>
      <c r="W364" s="196" t="s">
        <v>1037</v>
      </c>
      <c r="X364" s="196" t="s">
        <v>1033</v>
      </c>
      <c r="Y364" s="196" t="s">
        <v>848</v>
      </c>
    </row>
    <row r="365" spans="1:25">
      <c r="A365" s="196" t="s">
        <v>837</v>
      </c>
      <c r="B365" s="196" t="s">
        <v>850</v>
      </c>
      <c r="C365" s="196">
        <v>2014</v>
      </c>
      <c r="D365" s="196">
        <v>30</v>
      </c>
      <c r="E365" s="196" t="s">
        <v>861</v>
      </c>
      <c r="F365" s="196" t="s">
        <v>1114</v>
      </c>
      <c r="G365" s="196">
        <v>3</v>
      </c>
      <c r="H365" s="196">
        <v>3</v>
      </c>
      <c r="I365" s="196">
        <v>2058</v>
      </c>
      <c r="J365" s="196">
        <v>22382</v>
      </c>
      <c r="K365" s="196">
        <v>86.6</v>
      </c>
      <c r="L365" s="196">
        <v>1.85</v>
      </c>
      <c r="M365" s="196">
        <v>12849</v>
      </c>
      <c r="N365" s="196">
        <v>1755682</v>
      </c>
      <c r="O365" s="196">
        <v>1947</v>
      </c>
      <c r="P365" s="196" t="s">
        <v>1033</v>
      </c>
      <c r="Q365" s="196" t="s">
        <v>1033</v>
      </c>
      <c r="R365" s="196" t="s">
        <v>1034</v>
      </c>
      <c r="S365" s="196" t="s">
        <v>844</v>
      </c>
      <c r="T365" s="196" t="s">
        <v>923</v>
      </c>
      <c r="U365" s="196" t="s">
        <v>1035</v>
      </c>
      <c r="V365" s="196" t="s">
        <v>1036</v>
      </c>
      <c r="W365" s="196" t="s">
        <v>1037</v>
      </c>
      <c r="X365" s="196" t="s">
        <v>1033</v>
      </c>
      <c r="Y365" s="196" t="s">
        <v>848</v>
      </c>
    </row>
    <row r="366" spans="1:25">
      <c r="A366" s="196" t="s">
        <v>837</v>
      </c>
      <c r="B366" s="196" t="s">
        <v>850</v>
      </c>
      <c r="C366" s="196">
        <v>2014</v>
      </c>
      <c r="D366" s="196">
        <v>55</v>
      </c>
      <c r="E366" s="196" t="s">
        <v>862</v>
      </c>
      <c r="F366" s="196" t="s">
        <v>1114</v>
      </c>
      <c r="G366" s="196">
        <v>30</v>
      </c>
      <c r="H366" s="196">
        <v>24</v>
      </c>
      <c r="I366" s="196">
        <v>31668</v>
      </c>
      <c r="J366" s="196">
        <v>237849</v>
      </c>
      <c r="K366" s="196">
        <v>86.6</v>
      </c>
      <c r="L366" s="196">
        <v>1.85</v>
      </c>
      <c r="M366" s="196">
        <v>12849</v>
      </c>
      <c r="N366" s="196">
        <v>1755682</v>
      </c>
      <c r="O366" s="196">
        <v>1947</v>
      </c>
      <c r="P366" s="196" t="s">
        <v>1033</v>
      </c>
      <c r="Q366" s="196" t="s">
        <v>1033</v>
      </c>
      <c r="R366" s="196" t="s">
        <v>1034</v>
      </c>
      <c r="S366" s="196" t="s">
        <v>844</v>
      </c>
      <c r="T366" s="196" t="s">
        <v>923</v>
      </c>
      <c r="U366" s="196" t="s">
        <v>1035</v>
      </c>
      <c r="V366" s="196" t="s">
        <v>1036</v>
      </c>
      <c r="W366" s="196" t="s">
        <v>1037</v>
      </c>
      <c r="X366" s="196" t="s">
        <v>1033</v>
      </c>
      <c r="Y366" s="196" t="s">
        <v>848</v>
      </c>
    </row>
    <row r="367" spans="1:25">
      <c r="A367" s="196" t="s">
        <v>837</v>
      </c>
      <c r="B367" s="196" t="s">
        <v>838</v>
      </c>
      <c r="C367" s="196">
        <v>2013</v>
      </c>
      <c r="D367" s="196">
        <v>30</v>
      </c>
      <c r="E367" s="196" t="s">
        <v>839</v>
      </c>
      <c r="F367" s="196" t="s">
        <v>1115</v>
      </c>
      <c r="G367" s="196">
        <v>2</v>
      </c>
      <c r="H367" s="196">
        <v>2</v>
      </c>
      <c r="I367" s="196">
        <v>2640</v>
      </c>
      <c r="J367" s="196">
        <v>9465</v>
      </c>
      <c r="K367" s="196">
        <v>98.3</v>
      </c>
      <c r="L367" s="196">
        <v>2.54</v>
      </c>
      <c r="M367" s="196">
        <v>16617</v>
      </c>
      <c r="N367" s="196">
        <v>2448237</v>
      </c>
      <c r="O367" s="196">
        <v>2235</v>
      </c>
      <c r="P367" s="196" t="s">
        <v>1116</v>
      </c>
      <c r="Q367" s="196" t="s">
        <v>1117</v>
      </c>
      <c r="R367" s="196" t="s">
        <v>1118</v>
      </c>
      <c r="S367" s="196" t="s">
        <v>844</v>
      </c>
      <c r="T367" s="196" t="s">
        <v>845</v>
      </c>
      <c r="U367" s="196" t="s">
        <v>846</v>
      </c>
      <c r="V367" s="196" t="s">
        <v>841</v>
      </c>
      <c r="W367" s="196" t="s">
        <v>1117</v>
      </c>
      <c r="X367" s="196" t="s">
        <v>1119</v>
      </c>
      <c r="Y367" s="196" t="s">
        <v>848</v>
      </c>
    </row>
    <row r="368" spans="1:25">
      <c r="A368" s="196" t="s">
        <v>837</v>
      </c>
      <c r="B368" s="196" t="s">
        <v>850</v>
      </c>
      <c r="C368" s="196">
        <v>2013</v>
      </c>
      <c r="D368" s="196">
        <v>80</v>
      </c>
      <c r="E368" s="196" t="s">
        <v>917</v>
      </c>
      <c r="F368" s="196" t="s">
        <v>1115</v>
      </c>
      <c r="G368" s="196">
        <v>1</v>
      </c>
      <c r="H368" s="196">
        <v>1</v>
      </c>
      <c r="I368" s="196">
        <v>2013</v>
      </c>
      <c r="J368" s="196">
        <v>8779</v>
      </c>
      <c r="K368" s="196">
        <v>98.3</v>
      </c>
      <c r="L368" s="196">
        <v>2.54</v>
      </c>
      <c r="M368" s="196">
        <v>16617</v>
      </c>
      <c r="N368" s="196">
        <v>2448237</v>
      </c>
      <c r="O368" s="196">
        <v>2235</v>
      </c>
      <c r="P368" s="196" t="s">
        <v>1116</v>
      </c>
      <c r="Q368" s="196" t="s">
        <v>1117</v>
      </c>
      <c r="R368" s="196" t="s">
        <v>1118</v>
      </c>
      <c r="S368" s="196" t="s">
        <v>844</v>
      </c>
      <c r="T368" s="196" t="s">
        <v>845</v>
      </c>
      <c r="U368" s="196" t="s">
        <v>846</v>
      </c>
      <c r="V368" s="196" t="s">
        <v>841</v>
      </c>
      <c r="W368" s="196" t="s">
        <v>1117</v>
      </c>
      <c r="X368" s="196" t="s">
        <v>1119</v>
      </c>
      <c r="Y368" s="196" t="s">
        <v>848</v>
      </c>
    </row>
    <row r="369" spans="1:25">
      <c r="A369" s="196" t="s">
        <v>837</v>
      </c>
      <c r="B369" s="196" t="s">
        <v>181</v>
      </c>
      <c r="C369" s="196">
        <v>2013</v>
      </c>
      <c r="D369" s="196">
        <v>80</v>
      </c>
      <c r="E369" s="196" t="s">
        <v>876</v>
      </c>
      <c r="F369" s="196" t="s">
        <v>1115</v>
      </c>
      <c r="G369" s="196">
        <v>1</v>
      </c>
      <c r="H369" s="196">
        <v>1</v>
      </c>
      <c r="I369" s="196">
        <v>78</v>
      </c>
      <c r="J369" s="196">
        <v>15734</v>
      </c>
      <c r="K369" s="196">
        <v>98.3</v>
      </c>
      <c r="L369" s="196">
        <v>2.54</v>
      </c>
      <c r="M369" s="196">
        <v>16617</v>
      </c>
      <c r="N369" s="196">
        <v>2448237</v>
      </c>
      <c r="O369" s="196">
        <v>2235</v>
      </c>
      <c r="P369" s="196" t="s">
        <v>1116</v>
      </c>
      <c r="Q369" s="196" t="s">
        <v>1117</v>
      </c>
      <c r="R369" s="196" t="s">
        <v>1118</v>
      </c>
      <c r="S369" s="196" t="s">
        <v>844</v>
      </c>
      <c r="T369" s="196" t="s">
        <v>845</v>
      </c>
      <c r="U369" s="196" t="s">
        <v>846</v>
      </c>
      <c r="V369" s="196" t="s">
        <v>841</v>
      </c>
      <c r="W369" s="196" t="s">
        <v>1117</v>
      </c>
      <c r="X369" s="196" t="s">
        <v>1119</v>
      </c>
      <c r="Y369" s="196" t="s">
        <v>848</v>
      </c>
    </row>
    <row r="370" spans="1:25">
      <c r="A370" s="196" t="s">
        <v>837</v>
      </c>
      <c r="B370" s="196" t="s">
        <v>838</v>
      </c>
      <c r="C370" s="196">
        <v>2013</v>
      </c>
      <c r="D370" s="196">
        <v>55</v>
      </c>
      <c r="E370" s="196" t="s">
        <v>849</v>
      </c>
      <c r="F370" s="196" t="s">
        <v>1120</v>
      </c>
      <c r="G370" s="196">
        <v>1</v>
      </c>
      <c r="H370" s="196">
        <v>1</v>
      </c>
      <c r="I370" s="196">
        <v>1194</v>
      </c>
      <c r="J370" s="196">
        <v>3914</v>
      </c>
      <c r="K370" s="196">
        <v>89.63</v>
      </c>
      <c r="L370" s="196">
        <v>5.2</v>
      </c>
      <c r="M370" s="196">
        <v>6394</v>
      </c>
      <c r="N370" s="196">
        <v>4167518</v>
      </c>
      <c r="O370" s="196">
        <v>3801</v>
      </c>
      <c r="P370" s="196" t="s">
        <v>1121</v>
      </c>
      <c r="Q370" s="196" t="s">
        <v>1122</v>
      </c>
      <c r="R370" s="196" t="s">
        <v>1123</v>
      </c>
      <c r="S370" s="196" t="s">
        <v>844</v>
      </c>
      <c r="T370" s="196" t="s">
        <v>900</v>
      </c>
      <c r="U370" s="196" t="s">
        <v>901</v>
      </c>
      <c r="V370" s="196" t="s">
        <v>1121</v>
      </c>
      <c r="W370" s="196" t="s">
        <v>1124</v>
      </c>
      <c r="X370" s="196" t="s">
        <v>1122</v>
      </c>
      <c r="Y370" s="196" t="s">
        <v>1125</v>
      </c>
    </row>
    <row r="371" spans="1:25">
      <c r="A371" s="196" t="s">
        <v>837</v>
      </c>
      <c r="B371" s="196" t="s">
        <v>850</v>
      </c>
      <c r="C371" s="196">
        <v>2013</v>
      </c>
      <c r="D371" s="196">
        <v>30</v>
      </c>
      <c r="E371" s="196" t="s">
        <v>851</v>
      </c>
      <c r="F371" s="196" t="s">
        <v>1120</v>
      </c>
      <c r="G371" s="196">
        <v>3</v>
      </c>
      <c r="H371" s="196">
        <v>3</v>
      </c>
      <c r="I371" s="196">
        <v>4038</v>
      </c>
      <c r="J371" s="196">
        <v>21485</v>
      </c>
      <c r="K371" s="196">
        <v>89.63</v>
      </c>
      <c r="L371" s="196">
        <v>5.2</v>
      </c>
      <c r="M371" s="196">
        <v>6394</v>
      </c>
      <c r="N371" s="196">
        <v>4167518</v>
      </c>
      <c r="O371" s="196">
        <v>3801</v>
      </c>
      <c r="P371" s="196" t="s">
        <v>1121</v>
      </c>
      <c r="Q371" s="196" t="s">
        <v>1122</v>
      </c>
      <c r="R371" s="196" t="s">
        <v>1123</v>
      </c>
      <c r="S371" s="196" t="s">
        <v>844</v>
      </c>
      <c r="T371" s="196" t="s">
        <v>900</v>
      </c>
      <c r="U371" s="196" t="s">
        <v>901</v>
      </c>
      <c r="V371" s="196" t="s">
        <v>1121</v>
      </c>
      <c r="W371" s="196" t="s">
        <v>1124</v>
      </c>
      <c r="X371" s="196" t="s">
        <v>1122</v>
      </c>
      <c r="Y371" s="196" t="s">
        <v>1125</v>
      </c>
    </row>
    <row r="372" spans="1:25">
      <c r="A372" s="196" t="s">
        <v>837</v>
      </c>
      <c r="B372" s="196" t="s">
        <v>850</v>
      </c>
      <c r="C372" s="196">
        <v>2013</v>
      </c>
      <c r="D372" s="196">
        <v>55</v>
      </c>
      <c r="E372" s="196" t="s">
        <v>852</v>
      </c>
      <c r="F372" s="196" t="s">
        <v>1120</v>
      </c>
      <c r="G372" s="196">
        <v>1</v>
      </c>
      <c r="H372" s="196">
        <v>1</v>
      </c>
      <c r="I372" s="196">
        <v>1950</v>
      </c>
      <c r="J372" s="196">
        <v>3911</v>
      </c>
      <c r="K372" s="196">
        <v>89.63</v>
      </c>
      <c r="L372" s="196">
        <v>5.2</v>
      </c>
      <c r="M372" s="196">
        <v>6394</v>
      </c>
      <c r="N372" s="196">
        <v>4167518</v>
      </c>
      <c r="O372" s="196">
        <v>3801</v>
      </c>
      <c r="P372" s="196" t="s">
        <v>1121</v>
      </c>
      <c r="Q372" s="196" t="s">
        <v>1122</v>
      </c>
      <c r="R372" s="196" t="s">
        <v>1123</v>
      </c>
      <c r="S372" s="196" t="s">
        <v>844</v>
      </c>
      <c r="T372" s="196" t="s">
        <v>900</v>
      </c>
      <c r="U372" s="196" t="s">
        <v>901</v>
      </c>
      <c r="V372" s="196" t="s">
        <v>1121</v>
      </c>
      <c r="W372" s="196" t="s">
        <v>1124</v>
      </c>
      <c r="X372" s="196" t="s">
        <v>1122</v>
      </c>
      <c r="Y372" s="196" t="s">
        <v>1125</v>
      </c>
    </row>
    <row r="373" spans="1:25">
      <c r="A373" s="196" t="s">
        <v>837</v>
      </c>
      <c r="B373" s="196" t="s">
        <v>838</v>
      </c>
      <c r="C373" s="196">
        <v>2013</v>
      </c>
      <c r="D373" s="196">
        <v>30</v>
      </c>
      <c r="E373" s="196" t="s">
        <v>839</v>
      </c>
      <c r="F373" s="196" t="s">
        <v>1126</v>
      </c>
      <c r="G373" s="196">
        <v>2</v>
      </c>
      <c r="H373" s="196">
        <v>2</v>
      </c>
      <c r="I373" s="196">
        <v>1341</v>
      </c>
      <c r="J373" s="196">
        <v>13810</v>
      </c>
      <c r="K373" s="196">
        <v>53.59</v>
      </c>
      <c r="L373" s="196">
        <v>1.39</v>
      </c>
      <c r="M373" s="196">
        <v>4233</v>
      </c>
      <c r="N373" s="196">
        <v>2376128</v>
      </c>
      <c r="O373" s="196">
        <v>2511</v>
      </c>
      <c r="P373" s="196" t="s">
        <v>910</v>
      </c>
      <c r="Q373" s="196" t="s">
        <v>911</v>
      </c>
      <c r="R373" s="196" t="s">
        <v>912</v>
      </c>
      <c r="S373" s="196" t="s">
        <v>844</v>
      </c>
      <c r="T373" s="196" t="s">
        <v>913</v>
      </c>
      <c r="U373" s="196" t="s">
        <v>914</v>
      </c>
      <c r="V373" s="196" t="s">
        <v>911</v>
      </c>
      <c r="W373" s="196" t="s">
        <v>1127</v>
      </c>
      <c r="X373" s="196" t="s">
        <v>1128</v>
      </c>
      <c r="Y373" s="196" t="s">
        <v>848</v>
      </c>
    </row>
    <row r="374" spans="1:25">
      <c r="A374" s="196" t="s">
        <v>837</v>
      </c>
      <c r="B374" s="196" t="s">
        <v>838</v>
      </c>
      <c r="C374" s="196">
        <v>2013</v>
      </c>
      <c r="D374" s="196">
        <v>55</v>
      </c>
      <c r="E374" s="196" t="s">
        <v>849</v>
      </c>
      <c r="F374" s="196" t="s">
        <v>1126</v>
      </c>
      <c r="G374" s="196">
        <v>1</v>
      </c>
      <c r="H374" s="196">
        <v>1</v>
      </c>
      <c r="I374" s="196">
        <v>1512</v>
      </c>
      <c r="J374" s="196">
        <v>5310</v>
      </c>
      <c r="K374" s="196">
        <v>53.59</v>
      </c>
      <c r="L374" s="196">
        <v>1.39</v>
      </c>
      <c r="M374" s="196">
        <v>4233</v>
      </c>
      <c r="N374" s="196">
        <v>2376128</v>
      </c>
      <c r="O374" s="196">
        <v>2511</v>
      </c>
      <c r="P374" s="196" t="s">
        <v>910</v>
      </c>
      <c r="Q374" s="196" t="s">
        <v>911</v>
      </c>
      <c r="R374" s="196" t="s">
        <v>912</v>
      </c>
      <c r="S374" s="196" t="s">
        <v>844</v>
      </c>
      <c r="T374" s="196" t="s">
        <v>913</v>
      </c>
      <c r="U374" s="196" t="s">
        <v>914</v>
      </c>
      <c r="V374" s="196" t="s">
        <v>911</v>
      </c>
      <c r="W374" s="196" t="s">
        <v>1127</v>
      </c>
      <c r="X374" s="196" t="s">
        <v>1128</v>
      </c>
      <c r="Y374" s="196" t="s">
        <v>848</v>
      </c>
    </row>
    <row r="375" spans="1:25">
      <c r="A375" s="196" t="s">
        <v>837</v>
      </c>
      <c r="B375" s="196" t="s">
        <v>850</v>
      </c>
      <c r="C375" s="196">
        <v>2013</v>
      </c>
      <c r="D375" s="196">
        <v>30</v>
      </c>
      <c r="E375" s="196" t="s">
        <v>851</v>
      </c>
      <c r="F375" s="196" t="s">
        <v>1126</v>
      </c>
      <c r="G375" s="196">
        <v>2</v>
      </c>
      <c r="H375" s="196">
        <v>2</v>
      </c>
      <c r="I375" s="196">
        <v>2852</v>
      </c>
      <c r="J375" s="196">
        <v>6260</v>
      </c>
      <c r="K375" s="196">
        <v>53.59</v>
      </c>
      <c r="L375" s="196">
        <v>1.39</v>
      </c>
      <c r="M375" s="196">
        <v>4233</v>
      </c>
      <c r="N375" s="196">
        <v>2376128</v>
      </c>
      <c r="O375" s="196">
        <v>2511</v>
      </c>
      <c r="P375" s="196" t="s">
        <v>910</v>
      </c>
      <c r="Q375" s="196" t="s">
        <v>911</v>
      </c>
      <c r="R375" s="196" t="s">
        <v>912</v>
      </c>
      <c r="S375" s="196" t="s">
        <v>844</v>
      </c>
      <c r="T375" s="196" t="s">
        <v>913</v>
      </c>
      <c r="U375" s="196" t="s">
        <v>914</v>
      </c>
      <c r="V375" s="196" t="s">
        <v>911</v>
      </c>
      <c r="W375" s="196" t="s">
        <v>1127</v>
      </c>
      <c r="X375" s="196" t="s">
        <v>1128</v>
      </c>
      <c r="Y375" s="196" t="s">
        <v>848</v>
      </c>
    </row>
    <row r="376" spans="1:25">
      <c r="A376" s="196" t="s">
        <v>837</v>
      </c>
      <c r="B376" s="196" t="s">
        <v>838</v>
      </c>
      <c r="C376" s="196">
        <v>2014</v>
      </c>
      <c r="D376" s="196">
        <v>55</v>
      </c>
      <c r="E376" s="196" t="s">
        <v>854</v>
      </c>
      <c r="F376" s="196" t="s">
        <v>1126</v>
      </c>
      <c r="G376" s="196">
        <v>1</v>
      </c>
      <c r="H376" s="196">
        <v>1</v>
      </c>
      <c r="I376" s="196">
        <v>1617</v>
      </c>
      <c r="J376" s="196">
        <v>9872</v>
      </c>
      <c r="K376" s="196">
        <v>53.59</v>
      </c>
      <c r="L376" s="196">
        <v>1.39</v>
      </c>
      <c r="M376" s="196">
        <v>4233</v>
      </c>
      <c r="N376" s="196">
        <v>2376128</v>
      </c>
      <c r="O376" s="196">
        <v>2511</v>
      </c>
      <c r="P376" s="196" t="s">
        <v>910</v>
      </c>
      <c r="Q376" s="196" t="s">
        <v>911</v>
      </c>
      <c r="R376" s="196" t="s">
        <v>912</v>
      </c>
      <c r="S376" s="196" t="s">
        <v>844</v>
      </c>
      <c r="T376" s="196" t="s">
        <v>913</v>
      </c>
      <c r="U376" s="196" t="s">
        <v>914</v>
      </c>
      <c r="V376" s="196" t="s">
        <v>911</v>
      </c>
      <c r="W376" s="196" t="s">
        <v>1127</v>
      </c>
      <c r="X376" s="196" t="s">
        <v>1128</v>
      </c>
      <c r="Y376" s="196" t="s">
        <v>848</v>
      </c>
    </row>
    <row r="377" spans="1:25">
      <c r="A377" s="196" t="s">
        <v>837</v>
      </c>
      <c r="B377" s="196" t="s">
        <v>850</v>
      </c>
      <c r="C377" s="196">
        <v>2013</v>
      </c>
      <c r="D377" s="196">
        <v>55</v>
      </c>
      <c r="E377" s="196" t="s">
        <v>852</v>
      </c>
      <c r="F377" s="196" t="s">
        <v>1129</v>
      </c>
      <c r="G377" s="196">
        <v>1</v>
      </c>
      <c r="H377" s="196">
        <v>1</v>
      </c>
      <c r="I377" s="196">
        <v>723</v>
      </c>
      <c r="J377" s="196">
        <v>7858</v>
      </c>
      <c r="K377" s="196">
        <v>67.81</v>
      </c>
      <c r="L377" s="196">
        <v>2.66</v>
      </c>
      <c r="M377" s="196">
        <v>5186</v>
      </c>
      <c r="N377" s="196">
        <v>1014354</v>
      </c>
      <c r="O377" s="196">
        <v>1235</v>
      </c>
      <c r="P377" s="196" t="s">
        <v>1074</v>
      </c>
      <c r="Q377" s="196" t="s">
        <v>1130</v>
      </c>
      <c r="R377" s="196" t="s">
        <v>1131</v>
      </c>
      <c r="S377" s="196" t="s">
        <v>953</v>
      </c>
      <c r="T377" s="196" t="s">
        <v>1132</v>
      </c>
      <c r="U377" s="196" t="s">
        <v>1133</v>
      </c>
      <c r="V377" s="196" t="s">
        <v>1130</v>
      </c>
      <c r="W377" s="196" t="s">
        <v>1134</v>
      </c>
      <c r="X377" s="196" t="s">
        <v>848</v>
      </c>
      <c r="Y377" s="196" t="s">
        <v>848</v>
      </c>
    </row>
    <row r="378" spans="1:25">
      <c r="A378" s="196" t="s">
        <v>837</v>
      </c>
      <c r="B378" s="196" t="s">
        <v>850</v>
      </c>
      <c r="C378" s="196">
        <v>2013</v>
      </c>
      <c r="D378" s="196">
        <v>80</v>
      </c>
      <c r="E378" s="196" t="s">
        <v>917</v>
      </c>
      <c r="F378" s="196" t="s">
        <v>1129</v>
      </c>
      <c r="G378" s="196">
        <v>1</v>
      </c>
      <c r="H378" s="196">
        <v>1</v>
      </c>
      <c r="I378" s="196">
        <v>3450</v>
      </c>
      <c r="J378" s="196">
        <v>5144</v>
      </c>
      <c r="K378" s="196">
        <v>67.81</v>
      </c>
      <c r="L378" s="196">
        <v>2.66</v>
      </c>
      <c r="M378" s="196">
        <v>5186</v>
      </c>
      <c r="N378" s="196">
        <v>1014354</v>
      </c>
      <c r="O378" s="196">
        <v>1235</v>
      </c>
      <c r="P378" s="196" t="s">
        <v>1074</v>
      </c>
      <c r="Q378" s="196" t="s">
        <v>1130</v>
      </c>
      <c r="R378" s="196" t="s">
        <v>1131</v>
      </c>
      <c r="S378" s="196" t="s">
        <v>953</v>
      </c>
      <c r="T378" s="196" t="s">
        <v>1132</v>
      </c>
      <c r="U378" s="196" t="s">
        <v>1133</v>
      </c>
      <c r="V378" s="196" t="s">
        <v>1130</v>
      </c>
      <c r="W378" s="196" t="s">
        <v>1134</v>
      </c>
      <c r="X378" s="196" t="s">
        <v>848</v>
      </c>
      <c r="Y378" s="196" t="s">
        <v>848</v>
      </c>
    </row>
    <row r="379" spans="1:25">
      <c r="A379" s="196" t="s">
        <v>837</v>
      </c>
      <c r="B379" s="196" t="s">
        <v>838</v>
      </c>
      <c r="C379" s="196">
        <v>2014</v>
      </c>
      <c r="D379" s="196">
        <v>80</v>
      </c>
      <c r="E379" s="196" t="s">
        <v>853</v>
      </c>
      <c r="F379" s="196" t="s">
        <v>1129</v>
      </c>
      <c r="G379" s="196">
        <v>15</v>
      </c>
      <c r="H379" s="196">
        <v>12</v>
      </c>
      <c r="I379" s="196">
        <v>18108</v>
      </c>
      <c r="J379" s="196">
        <v>86404</v>
      </c>
      <c r="K379" s="196">
        <v>67.81</v>
      </c>
      <c r="L379" s="196">
        <v>2.66</v>
      </c>
      <c r="M379" s="196">
        <v>5186</v>
      </c>
      <c r="N379" s="196">
        <v>1014354</v>
      </c>
      <c r="O379" s="196">
        <v>1235</v>
      </c>
      <c r="P379" s="196" t="s">
        <v>1074</v>
      </c>
      <c r="Q379" s="196" t="s">
        <v>1130</v>
      </c>
      <c r="R379" s="196" t="s">
        <v>1131</v>
      </c>
      <c r="S379" s="196" t="s">
        <v>953</v>
      </c>
      <c r="T379" s="196" t="s">
        <v>1132</v>
      </c>
      <c r="U379" s="196" t="s">
        <v>1133</v>
      </c>
      <c r="V379" s="196" t="s">
        <v>1130</v>
      </c>
      <c r="W379" s="196" t="s">
        <v>1134</v>
      </c>
      <c r="X379" s="196" t="s">
        <v>848</v>
      </c>
      <c r="Y379" s="196" t="s">
        <v>848</v>
      </c>
    </row>
    <row r="380" spans="1:25">
      <c r="A380" s="196" t="s">
        <v>837</v>
      </c>
      <c r="B380" s="196" t="s">
        <v>181</v>
      </c>
      <c r="C380" s="196">
        <v>2014</v>
      </c>
      <c r="D380" s="196">
        <v>80</v>
      </c>
      <c r="E380" s="196" t="s">
        <v>874</v>
      </c>
      <c r="F380" s="196" t="s">
        <v>1129</v>
      </c>
      <c r="G380" s="196">
        <v>8</v>
      </c>
      <c r="H380" s="196">
        <v>7</v>
      </c>
      <c r="I380" s="196">
        <v>12510</v>
      </c>
      <c r="J380" s="196">
        <v>52608</v>
      </c>
      <c r="K380" s="196">
        <v>67.81</v>
      </c>
      <c r="L380" s="196">
        <v>2.66</v>
      </c>
      <c r="M380" s="196">
        <v>5186</v>
      </c>
      <c r="N380" s="196">
        <v>1014354</v>
      </c>
      <c r="O380" s="196">
        <v>1235</v>
      </c>
      <c r="P380" s="196" t="s">
        <v>1074</v>
      </c>
      <c r="Q380" s="196" t="s">
        <v>1130</v>
      </c>
      <c r="R380" s="196" t="s">
        <v>1131</v>
      </c>
      <c r="S380" s="196" t="s">
        <v>953</v>
      </c>
      <c r="T380" s="196" t="s">
        <v>1132</v>
      </c>
      <c r="U380" s="196" t="s">
        <v>1133</v>
      </c>
      <c r="V380" s="196" t="s">
        <v>1130</v>
      </c>
      <c r="W380" s="196" t="s">
        <v>1134</v>
      </c>
      <c r="X380" s="196" t="s">
        <v>848</v>
      </c>
      <c r="Y380" s="196" t="s">
        <v>848</v>
      </c>
    </row>
    <row r="381" spans="1:25">
      <c r="A381" s="196" t="s">
        <v>837</v>
      </c>
      <c r="B381" s="196" t="s">
        <v>850</v>
      </c>
      <c r="C381" s="196">
        <v>2014</v>
      </c>
      <c r="D381" s="196">
        <v>80</v>
      </c>
      <c r="E381" s="196" t="s">
        <v>918</v>
      </c>
      <c r="F381" s="196" t="s">
        <v>1129</v>
      </c>
      <c r="G381" s="196">
        <v>20</v>
      </c>
      <c r="H381" s="196">
        <v>15</v>
      </c>
      <c r="I381" s="196">
        <v>24382</v>
      </c>
      <c r="J381" s="196">
        <v>91561</v>
      </c>
      <c r="K381" s="196">
        <v>67.81</v>
      </c>
      <c r="L381" s="196">
        <v>2.66</v>
      </c>
      <c r="M381" s="196">
        <v>5186</v>
      </c>
      <c r="N381" s="196">
        <v>1014354</v>
      </c>
      <c r="O381" s="196">
        <v>1235</v>
      </c>
      <c r="P381" s="196" t="s">
        <v>1074</v>
      </c>
      <c r="Q381" s="196" t="s">
        <v>1130</v>
      </c>
      <c r="R381" s="196" t="s">
        <v>1131</v>
      </c>
      <c r="S381" s="196" t="s">
        <v>953</v>
      </c>
      <c r="T381" s="196" t="s">
        <v>1132</v>
      </c>
      <c r="U381" s="196" t="s">
        <v>1133</v>
      </c>
      <c r="V381" s="196" t="s">
        <v>1130</v>
      </c>
      <c r="W381" s="196" t="s">
        <v>1134</v>
      </c>
      <c r="X381" s="196" t="s">
        <v>848</v>
      </c>
      <c r="Y381" s="196" t="s">
        <v>848</v>
      </c>
    </row>
    <row r="382" spans="1:25">
      <c r="A382" s="196" t="s">
        <v>837</v>
      </c>
      <c r="B382" s="196" t="s">
        <v>850</v>
      </c>
      <c r="C382" s="196">
        <v>2014</v>
      </c>
      <c r="D382" s="196">
        <v>80</v>
      </c>
      <c r="E382" s="196" t="s">
        <v>875</v>
      </c>
      <c r="F382" s="196" t="s">
        <v>1129</v>
      </c>
      <c r="G382" s="196">
        <v>3</v>
      </c>
      <c r="H382" s="196">
        <v>3</v>
      </c>
      <c r="I382" s="196">
        <v>3876</v>
      </c>
      <c r="J382" s="196">
        <v>17463</v>
      </c>
      <c r="K382" s="196">
        <v>67.81</v>
      </c>
      <c r="L382" s="196">
        <v>2.66</v>
      </c>
      <c r="M382" s="196">
        <v>5186</v>
      </c>
      <c r="N382" s="196">
        <v>1014354</v>
      </c>
      <c r="O382" s="196">
        <v>1235</v>
      </c>
      <c r="P382" s="196" t="s">
        <v>1074</v>
      </c>
      <c r="Q382" s="196" t="s">
        <v>1130</v>
      </c>
      <c r="R382" s="196" t="s">
        <v>1131</v>
      </c>
      <c r="S382" s="196" t="s">
        <v>953</v>
      </c>
      <c r="T382" s="196" t="s">
        <v>1132</v>
      </c>
      <c r="U382" s="196" t="s">
        <v>1133</v>
      </c>
      <c r="V382" s="196" t="s">
        <v>1130</v>
      </c>
      <c r="W382" s="196" t="s">
        <v>1134</v>
      </c>
      <c r="X382" s="196" t="s">
        <v>848</v>
      </c>
      <c r="Y382" s="196" t="s">
        <v>848</v>
      </c>
    </row>
    <row r="383" spans="1:25">
      <c r="A383" s="196" t="s">
        <v>837</v>
      </c>
      <c r="B383" s="196" t="s">
        <v>181</v>
      </c>
      <c r="C383" s="196">
        <v>2013</v>
      </c>
      <c r="D383" s="196">
        <v>80</v>
      </c>
      <c r="E383" s="196" t="s">
        <v>876</v>
      </c>
      <c r="F383" s="196" t="s">
        <v>1129</v>
      </c>
      <c r="G383" s="196">
        <v>4</v>
      </c>
      <c r="H383" s="196">
        <v>4</v>
      </c>
      <c r="I383" s="196">
        <v>3572</v>
      </c>
      <c r="J383" s="196">
        <v>25515</v>
      </c>
      <c r="K383" s="196">
        <v>67.81</v>
      </c>
      <c r="L383" s="196">
        <v>2.66</v>
      </c>
      <c r="M383" s="196">
        <v>5186</v>
      </c>
      <c r="N383" s="196">
        <v>1014354</v>
      </c>
      <c r="O383" s="196">
        <v>1235</v>
      </c>
      <c r="P383" s="196" t="s">
        <v>1074</v>
      </c>
      <c r="Q383" s="196" t="s">
        <v>1130</v>
      </c>
      <c r="R383" s="196" t="s">
        <v>1131</v>
      </c>
      <c r="S383" s="196" t="s">
        <v>953</v>
      </c>
      <c r="T383" s="196" t="s">
        <v>1132</v>
      </c>
      <c r="U383" s="196" t="s">
        <v>1133</v>
      </c>
      <c r="V383" s="196" t="s">
        <v>1130</v>
      </c>
      <c r="W383" s="196" t="s">
        <v>1134</v>
      </c>
      <c r="X383" s="196" t="s">
        <v>848</v>
      </c>
      <c r="Y383" s="196" t="s">
        <v>848</v>
      </c>
    </row>
    <row r="384" spans="1:25">
      <c r="A384" s="196" t="s">
        <v>837</v>
      </c>
      <c r="B384" s="196" t="s">
        <v>181</v>
      </c>
      <c r="C384" s="196">
        <v>2014</v>
      </c>
      <c r="D384" s="196">
        <v>30</v>
      </c>
      <c r="E384" s="196" t="s">
        <v>856</v>
      </c>
      <c r="F384" s="196" t="s">
        <v>1129</v>
      </c>
      <c r="G384" s="196">
        <v>1</v>
      </c>
      <c r="H384" s="196">
        <v>1</v>
      </c>
      <c r="I384" s="196">
        <v>333</v>
      </c>
      <c r="J384" s="196">
        <v>3014</v>
      </c>
      <c r="K384" s="196">
        <v>67.81</v>
      </c>
      <c r="L384" s="196">
        <v>2.66</v>
      </c>
      <c r="M384" s="196">
        <v>5186</v>
      </c>
      <c r="N384" s="196">
        <v>1014354</v>
      </c>
      <c r="O384" s="196">
        <v>1235</v>
      </c>
      <c r="P384" s="196" t="s">
        <v>1074</v>
      </c>
      <c r="Q384" s="196" t="s">
        <v>1130</v>
      </c>
      <c r="R384" s="196" t="s">
        <v>1131</v>
      </c>
      <c r="S384" s="196" t="s">
        <v>953</v>
      </c>
      <c r="T384" s="196" t="s">
        <v>1132</v>
      </c>
      <c r="U384" s="196" t="s">
        <v>1133</v>
      </c>
      <c r="V384" s="196" t="s">
        <v>1130</v>
      </c>
      <c r="W384" s="196" t="s">
        <v>1134</v>
      </c>
      <c r="X384" s="196" t="s">
        <v>848</v>
      </c>
      <c r="Y384" s="196" t="s">
        <v>848</v>
      </c>
    </row>
    <row r="385" spans="1:25">
      <c r="A385" s="196" t="s">
        <v>837</v>
      </c>
      <c r="B385" s="196" t="s">
        <v>850</v>
      </c>
      <c r="C385" s="196">
        <v>2014</v>
      </c>
      <c r="D385" s="196">
        <v>55</v>
      </c>
      <c r="E385" s="196" t="s">
        <v>862</v>
      </c>
      <c r="F385" s="196" t="s">
        <v>1129</v>
      </c>
      <c r="G385" s="196">
        <v>1</v>
      </c>
      <c r="H385" s="196">
        <v>1</v>
      </c>
      <c r="I385" s="196">
        <v>1359</v>
      </c>
      <c r="J385" s="196">
        <v>10193</v>
      </c>
      <c r="K385" s="196">
        <v>67.81</v>
      </c>
      <c r="L385" s="196">
        <v>2.66</v>
      </c>
      <c r="M385" s="196">
        <v>5186</v>
      </c>
      <c r="N385" s="196">
        <v>1014354</v>
      </c>
      <c r="O385" s="196">
        <v>1235</v>
      </c>
      <c r="P385" s="196" t="s">
        <v>1074</v>
      </c>
      <c r="Q385" s="196" t="s">
        <v>1130</v>
      </c>
      <c r="R385" s="196" t="s">
        <v>1131</v>
      </c>
      <c r="S385" s="196" t="s">
        <v>953</v>
      </c>
      <c r="T385" s="196" t="s">
        <v>1132</v>
      </c>
      <c r="U385" s="196" t="s">
        <v>1133</v>
      </c>
      <c r="V385" s="196" t="s">
        <v>1130</v>
      </c>
      <c r="W385" s="196" t="s">
        <v>1134</v>
      </c>
      <c r="X385" s="196" t="s">
        <v>848</v>
      </c>
      <c r="Y385" s="196" t="s">
        <v>848</v>
      </c>
    </row>
    <row r="386" spans="1:25">
      <c r="A386" s="196" t="s">
        <v>837</v>
      </c>
      <c r="B386" s="196" t="s">
        <v>838</v>
      </c>
      <c r="C386" s="196">
        <v>2013</v>
      </c>
      <c r="D386" s="196">
        <v>30</v>
      </c>
      <c r="E386" s="196" t="s">
        <v>839</v>
      </c>
      <c r="F386" s="196" t="s">
        <v>1135</v>
      </c>
      <c r="G386" s="196">
        <v>5</v>
      </c>
      <c r="H386" s="196">
        <v>3</v>
      </c>
      <c r="I386" s="196">
        <v>7116</v>
      </c>
      <c r="J386" s="196">
        <v>158421</v>
      </c>
      <c r="K386" s="196">
        <v>66.89</v>
      </c>
      <c r="L386" s="196">
        <v>3.07</v>
      </c>
      <c r="M386" s="196">
        <v>37240</v>
      </c>
      <c r="N386" s="196">
        <v>1386356</v>
      </c>
      <c r="O386" s="196">
        <v>1423</v>
      </c>
      <c r="P386" s="196" t="s">
        <v>1106</v>
      </c>
      <c r="Q386" s="196" t="s">
        <v>1110</v>
      </c>
      <c r="R386" s="196" t="s">
        <v>1136</v>
      </c>
      <c r="S386" s="196" t="s">
        <v>844</v>
      </c>
      <c r="T386" s="196" t="s">
        <v>1109</v>
      </c>
      <c r="U386" s="196" t="s">
        <v>1110</v>
      </c>
      <c r="V386" s="196" t="s">
        <v>1137</v>
      </c>
      <c r="W386" s="196" t="s">
        <v>1138</v>
      </c>
      <c r="X386" s="196" t="s">
        <v>1139</v>
      </c>
      <c r="Y386" s="196" t="s">
        <v>848</v>
      </c>
    </row>
    <row r="387" spans="1:25">
      <c r="A387" s="196" t="s">
        <v>837</v>
      </c>
      <c r="B387" s="196" t="s">
        <v>838</v>
      </c>
      <c r="C387" s="196">
        <v>2013</v>
      </c>
      <c r="D387" s="196">
        <v>55</v>
      </c>
      <c r="E387" s="196" t="s">
        <v>849</v>
      </c>
      <c r="F387" s="196" t="s">
        <v>1135</v>
      </c>
      <c r="G387" s="196">
        <v>2</v>
      </c>
      <c r="H387" s="196">
        <v>1</v>
      </c>
      <c r="I387" s="196">
        <v>5292</v>
      </c>
      <c r="J387" s="196">
        <v>51242</v>
      </c>
      <c r="K387" s="196">
        <v>66.89</v>
      </c>
      <c r="L387" s="196">
        <v>3.07</v>
      </c>
      <c r="M387" s="196">
        <v>37240</v>
      </c>
      <c r="N387" s="196">
        <v>1386356</v>
      </c>
      <c r="O387" s="196">
        <v>1423</v>
      </c>
      <c r="P387" s="196" t="s">
        <v>1106</v>
      </c>
      <c r="Q387" s="196" t="s">
        <v>1110</v>
      </c>
      <c r="R387" s="196" t="s">
        <v>1136</v>
      </c>
      <c r="S387" s="196" t="s">
        <v>844</v>
      </c>
      <c r="T387" s="196" t="s">
        <v>1109</v>
      </c>
      <c r="U387" s="196" t="s">
        <v>1110</v>
      </c>
      <c r="V387" s="196" t="s">
        <v>1137</v>
      </c>
      <c r="W387" s="196" t="s">
        <v>1138</v>
      </c>
      <c r="X387" s="196" t="s">
        <v>1139</v>
      </c>
      <c r="Y387" s="196" t="s">
        <v>848</v>
      </c>
    </row>
    <row r="388" spans="1:25">
      <c r="A388" s="196" t="s">
        <v>837</v>
      </c>
      <c r="B388" s="196" t="s">
        <v>850</v>
      </c>
      <c r="C388" s="196">
        <v>2013</v>
      </c>
      <c r="D388" s="196">
        <v>30</v>
      </c>
      <c r="E388" s="196" t="s">
        <v>851</v>
      </c>
      <c r="F388" s="196" t="s">
        <v>1135</v>
      </c>
      <c r="G388" s="196">
        <v>8</v>
      </c>
      <c r="H388" s="196">
        <v>8</v>
      </c>
      <c r="I388" s="196">
        <v>11143</v>
      </c>
      <c r="J388" s="196">
        <v>261878</v>
      </c>
      <c r="K388" s="196">
        <v>66.89</v>
      </c>
      <c r="L388" s="196">
        <v>3.07</v>
      </c>
      <c r="M388" s="196">
        <v>37240</v>
      </c>
      <c r="N388" s="196">
        <v>1386356</v>
      </c>
      <c r="O388" s="196">
        <v>1423</v>
      </c>
      <c r="P388" s="196" t="s">
        <v>1106</v>
      </c>
      <c r="Q388" s="196" t="s">
        <v>1110</v>
      </c>
      <c r="R388" s="196" t="s">
        <v>1136</v>
      </c>
      <c r="S388" s="196" t="s">
        <v>844</v>
      </c>
      <c r="T388" s="196" t="s">
        <v>1109</v>
      </c>
      <c r="U388" s="196" t="s">
        <v>1110</v>
      </c>
      <c r="V388" s="196" t="s">
        <v>1137</v>
      </c>
      <c r="W388" s="196" t="s">
        <v>1138</v>
      </c>
      <c r="X388" s="196" t="s">
        <v>1139</v>
      </c>
      <c r="Y388" s="196" t="s">
        <v>848</v>
      </c>
    </row>
    <row r="389" spans="1:25">
      <c r="A389" s="196" t="s">
        <v>837</v>
      </c>
      <c r="B389" s="196" t="s">
        <v>850</v>
      </c>
      <c r="C389" s="196">
        <v>2013</v>
      </c>
      <c r="D389" s="196">
        <v>55</v>
      </c>
      <c r="E389" s="196" t="s">
        <v>852</v>
      </c>
      <c r="F389" s="196" t="s">
        <v>1135</v>
      </c>
      <c r="G389" s="196">
        <v>2</v>
      </c>
      <c r="H389" s="196">
        <v>2</v>
      </c>
      <c r="I389" s="196">
        <v>2916</v>
      </c>
      <c r="J389" s="196">
        <v>98520</v>
      </c>
      <c r="K389" s="196">
        <v>66.89</v>
      </c>
      <c r="L389" s="196">
        <v>3.07</v>
      </c>
      <c r="M389" s="196">
        <v>37240</v>
      </c>
      <c r="N389" s="196">
        <v>1386356</v>
      </c>
      <c r="O389" s="196">
        <v>1423</v>
      </c>
      <c r="P389" s="196" t="s">
        <v>1106</v>
      </c>
      <c r="Q389" s="196" t="s">
        <v>1110</v>
      </c>
      <c r="R389" s="196" t="s">
        <v>1136</v>
      </c>
      <c r="S389" s="196" t="s">
        <v>844</v>
      </c>
      <c r="T389" s="196" t="s">
        <v>1109</v>
      </c>
      <c r="U389" s="196" t="s">
        <v>1110</v>
      </c>
      <c r="V389" s="196" t="s">
        <v>1137</v>
      </c>
      <c r="W389" s="196" t="s">
        <v>1138</v>
      </c>
      <c r="X389" s="196" t="s">
        <v>1139</v>
      </c>
      <c r="Y389" s="196" t="s">
        <v>848</v>
      </c>
    </row>
    <row r="390" spans="1:25">
      <c r="A390" s="196" t="s">
        <v>837</v>
      </c>
      <c r="B390" s="196" t="s">
        <v>181</v>
      </c>
      <c r="C390" s="196">
        <v>2014</v>
      </c>
      <c r="D390" s="196">
        <v>80</v>
      </c>
      <c r="E390" s="196" t="s">
        <v>874</v>
      </c>
      <c r="F390" s="196" t="s">
        <v>1135</v>
      </c>
      <c r="G390" s="196">
        <v>2</v>
      </c>
      <c r="H390" s="196">
        <v>2</v>
      </c>
      <c r="I390" s="196">
        <v>545</v>
      </c>
      <c r="J390" s="196">
        <v>55236</v>
      </c>
      <c r="K390" s="196">
        <v>66.89</v>
      </c>
      <c r="L390" s="196">
        <v>3.07</v>
      </c>
      <c r="M390" s="196">
        <v>37240</v>
      </c>
      <c r="N390" s="196">
        <v>1386356</v>
      </c>
      <c r="O390" s="196">
        <v>1423</v>
      </c>
      <c r="P390" s="196" t="s">
        <v>1106</v>
      </c>
      <c r="Q390" s="196" t="s">
        <v>1110</v>
      </c>
      <c r="R390" s="196" t="s">
        <v>1136</v>
      </c>
      <c r="S390" s="196" t="s">
        <v>844</v>
      </c>
      <c r="T390" s="196" t="s">
        <v>1109</v>
      </c>
      <c r="U390" s="196" t="s">
        <v>1110</v>
      </c>
      <c r="V390" s="196" t="s">
        <v>1137</v>
      </c>
      <c r="W390" s="196" t="s">
        <v>1138</v>
      </c>
      <c r="X390" s="196" t="s">
        <v>1139</v>
      </c>
      <c r="Y390" s="196" t="s">
        <v>848</v>
      </c>
    </row>
    <row r="391" spans="1:25">
      <c r="A391" s="196" t="s">
        <v>837</v>
      </c>
      <c r="B391" s="196" t="s">
        <v>838</v>
      </c>
      <c r="C391" s="196">
        <v>2014</v>
      </c>
      <c r="D391" s="196">
        <v>55</v>
      </c>
      <c r="E391" s="196" t="s">
        <v>854</v>
      </c>
      <c r="F391" s="196" t="s">
        <v>1135</v>
      </c>
      <c r="G391" s="196">
        <v>2</v>
      </c>
      <c r="H391" s="196">
        <v>2</v>
      </c>
      <c r="I391" s="196">
        <v>3780</v>
      </c>
      <c r="J391" s="196">
        <v>48066</v>
      </c>
      <c r="K391" s="196">
        <v>66.89</v>
      </c>
      <c r="L391" s="196">
        <v>3.07</v>
      </c>
      <c r="M391" s="196">
        <v>37240</v>
      </c>
      <c r="N391" s="196">
        <v>1386356</v>
      </c>
      <c r="O391" s="196">
        <v>1423</v>
      </c>
      <c r="P391" s="196" t="s">
        <v>1106</v>
      </c>
      <c r="Q391" s="196" t="s">
        <v>1110</v>
      </c>
      <c r="R391" s="196" t="s">
        <v>1136</v>
      </c>
      <c r="S391" s="196" t="s">
        <v>844</v>
      </c>
      <c r="T391" s="196" t="s">
        <v>1109</v>
      </c>
      <c r="U391" s="196" t="s">
        <v>1110</v>
      </c>
      <c r="V391" s="196" t="s">
        <v>1137</v>
      </c>
      <c r="W391" s="196" t="s">
        <v>1138</v>
      </c>
      <c r="X391" s="196" t="s">
        <v>1139</v>
      </c>
      <c r="Y391" s="196" t="s">
        <v>848</v>
      </c>
    </row>
    <row r="392" spans="1:25">
      <c r="A392" s="196" t="s">
        <v>837</v>
      </c>
      <c r="B392" s="196" t="s">
        <v>838</v>
      </c>
      <c r="C392" s="196">
        <v>2014</v>
      </c>
      <c r="D392" s="196">
        <v>55</v>
      </c>
      <c r="E392" s="196" t="s">
        <v>855</v>
      </c>
      <c r="F392" s="196" t="s">
        <v>1135</v>
      </c>
      <c r="G392" s="196">
        <v>1</v>
      </c>
      <c r="H392" s="196">
        <v>1</v>
      </c>
      <c r="I392" s="196">
        <v>732</v>
      </c>
      <c r="J392" s="196">
        <v>51242</v>
      </c>
      <c r="K392" s="196">
        <v>66.89</v>
      </c>
      <c r="L392" s="196">
        <v>3.07</v>
      </c>
      <c r="M392" s="196">
        <v>37240</v>
      </c>
      <c r="N392" s="196">
        <v>1386356</v>
      </c>
      <c r="O392" s="196">
        <v>1423</v>
      </c>
      <c r="P392" s="196" t="s">
        <v>1106</v>
      </c>
      <c r="Q392" s="196" t="s">
        <v>1110</v>
      </c>
      <c r="R392" s="196" t="s">
        <v>1136</v>
      </c>
      <c r="S392" s="196" t="s">
        <v>844</v>
      </c>
      <c r="T392" s="196" t="s">
        <v>1109</v>
      </c>
      <c r="U392" s="196" t="s">
        <v>1110</v>
      </c>
      <c r="V392" s="196" t="s">
        <v>1137</v>
      </c>
      <c r="W392" s="196" t="s">
        <v>1138</v>
      </c>
      <c r="X392" s="196" t="s">
        <v>1139</v>
      </c>
      <c r="Y392" s="196" t="s">
        <v>848</v>
      </c>
    </row>
    <row r="393" spans="1:25">
      <c r="A393" s="196" t="s">
        <v>837</v>
      </c>
      <c r="B393" s="196" t="s">
        <v>181</v>
      </c>
      <c r="C393" s="196">
        <v>2014</v>
      </c>
      <c r="D393" s="196">
        <v>30</v>
      </c>
      <c r="E393" s="196" t="s">
        <v>856</v>
      </c>
      <c r="F393" s="196" t="s">
        <v>1135</v>
      </c>
      <c r="G393" s="196">
        <v>5</v>
      </c>
      <c r="H393" s="196">
        <v>5</v>
      </c>
      <c r="I393" s="196">
        <v>3018</v>
      </c>
      <c r="J393" s="196">
        <v>124244</v>
      </c>
      <c r="K393" s="196">
        <v>66.89</v>
      </c>
      <c r="L393" s="196">
        <v>3.07</v>
      </c>
      <c r="M393" s="196">
        <v>37240</v>
      </c>
      <c r="N393" s="196">
        <v>1386356</v>
      </c>
      <c r="O393" s="196">
        <v>1423</v>
      </c>
      <c r="P393" s="196" t="s">
        <v>1106</v>
      </c>
      <c r="Q393" s="196" t="s">
        <v>1110</v>
      </c>
      <c r="R393" s="196" t="s">
        <v>1136</v>
      </c>
      <c r="S393" s="196" t="s">
        <v>844</v>
      </c>
      <c r="T393" s="196" t="s">
        <v>1109</v>
      </c>
      <c r="U393" s="196" t="s">
        <v>1110</v>
      </c>
      <c r="V393" s="196" t="s">
        <v>1137</v>
      </c>
      <c r="W393" s="196" t="s">
        <v>1138</v>
      </c>
      <c r="X393" s="196" t="s">
        <v>1139</v>
      </c>
      <c r="Y393" s="196" t="s">
        <v>848</v>
      </c>
    </row>
    <row r="394" spans="1:25">
      <c r="A394" s="196" t="s">
        <v>837</v>
      </c>
      <c r="B394" s="196" t="s">
        <v>181</v>
      </c>
      <c r="C394" s="196">
        <v>2014</v>
      </c>
      <c r="D394" s="196">
        <v>30</v>
      </c>
      <c r="E394" s="196" t="s">
        <v>857</v>
      </c>
      <c r="F394" s="196" t="s">
        <v>1135</v>
      </c>
      <c r="G394" s="196">
        <v>1</v>
      </c>
      <c r="H394" s="196">
        <v>1</v>
      </c>
      <c r="I394" s="196">
        <v>1173</v>
      </c>
      <c r="J394" s="196">
        <v>47278</v>
      </c>
      <c r="K394" s="196">
        <v>66.89</v>
      </c>
      <c r="L394" s="196">
        <v>3.07</v>
      </c>
      <c r="M394" s="196">
        <v>37240</v>
      </c>
      <c r="N394" s="196">
        <v>1386356</v>
      </c>
      <c r="O394" s="196">
        <v>1423</v>
      </c>
      <c r="P394" s="196" t="s">
        <v>1106</v>
      </c>
      <c r="Q394" s="196" t="s">
        <v>1110</v>
      </c>
      <c r="R394" s="196" t="s">
        <v>1136</v>
      </c>
      <c r="S394" s="196" t="s">
        <v>844</v>
      </c>
      <c r="T394" s="196" t="s">
        <v>1109</v>
      </c>
      <c r="U394" s="196" t="s">
        <v>1110</v>
      </c>
      <c r="V394" s="196" t="s">
        <v>1137</v>
      </c>
      <c r="W394" s="196" t="s">
        <v>1138</v>
      </c>
      <c r="X394" s="196" t="s">
        <v>1139</v>
      </c>
      <c r="Y394" s="196" t="s">
        <v>848</v>
      </c>
    </row>
    <row r="395" spans="1:25">
      <c r="A395" s="196" t="s">
        <v>837</v>
      </c>
      <c r="B395" s="196" t="s">
        <v>181</v>
      </c>
      <c r="C395" s="196">
        <v>2014</v>
      </c>
      <c r="D395" s="196">
        <v>55</v>
      </c>
      <c r="E395" s="196" t="s">
        <v>858</v>
      </c>
      <c r="F395" s="196" t="s">
        <v>1135</v>
      </c>
      <c r="G395" s="196">
        <v>4</v>
      </c>
      <c r="H395" s="196">
        <v>4</v>
      </c>
      <c r="I395" s="196">
        <v>7147</v>
      </c>
      <c r="J395" s="196">
        <v>182211</v>
      </c>
      <c r="K395" s="196">
        <v>66.89</v>
      </c>
      <c r="L395" s="196">
        <v>3.07</v>
      </c>
      <c r="M395" s="196">
        <v>37240</v>
      </c>
      <c r="N395" s="196">
        <v>1386356</v>
      </c>
      <c r="O395" s="196">
        <v>1423</v>
      </c>
      <c r="P395" s="196" t="s">
        <v>1106</v>
      </c>
      <c r="Q395" s="196" t="s">
        <v>1110</v>
      </c>
      <c r="R395" s="196" t="s">
        <v>1136</v>
      </c>
      <c r="S395" s="196" t="s">
        <v>844</v>
      </c>
      <c r="T395" s="196" t="s">
        <v>1109</v>
      </c>
      <c r="U395" s="196" t="s">
        <v>1110</v>
      </c>
      <c r="V395" s="196" t="s">
        <v>1137</v>
      </c>
      <c r="W395" s="196" t="s">
        <v>1138</v>
      </c>
      <c r="X395" s="196" t="s">
        <v>1139</v>
      </c>
      <c r="Y395" s="196" t="s">
        <v>848</v>
      </c>
    </row>
    <row r="396" spans="1:25">
      <c r="A396" s="196" t="s">
        <v>837</v>
      </c>
      <c r="B396" s="196" t="s">
        <v>181</v>
      </c>
      <c r="C396" s="196">
        <v>2014</v>
      </c>
      <c r="D396" s="196">
        <v>55</v>
      </c>
      <c r="E396" s="196" t="s">
        <v>859</v>
      </c>
      <c r="F396" s="196" t="s">
        <v>1135</v>
      </c>
      <c r="G396" s="196">
        <v>1</v>
      </c>
      <c r="H396" s="196">
        <v>1</v>
      </c>
      <c r="I396" s="196">
        <v>951</v>
      </c>
      <c r="J396" s="196">
        <v>18191</v>
      </c>
      <c r="K396" s="196">
        <v>66.89</v>
      </c>
      <c r="L396" s="196">
        <v>3.07</v>
      </c>
      <c r="M396" s="196">
        <v>37240</v>
      </c>
      <c r="N396" s="196">
        <v>1386356</v>
      </c>
      <c r="O396" s="196">
        <v>1423</v>
      </c>
      <c r="P396" s="196" t="s">
        <v>1106</v>
      </c>
      <c r="Q396" s="196" t="s">
        <v>1110</v>
      </c>
      <c r="R396" s="196" t="s">
        <v>1136</v>
      </c>
      <c r="S396" s="196" t="s">
        <v>844</v>
      </c>
      <c r="T396" s="196" t="s">
        <v>1109</v>
      </c>
      <c r="U396" s="196" t="s">
        <v>1110</v>
      </c>
      <c r="V396" s="196" t="s">
        <v>1137</v>
      </c>
      <c r="W396" s="196" t="s">
        <v>1138</v>
      </c>
      <c r="X396" s="196" t="s">
        <v>1139</v>
      </c>
      <c r="Y396" s="196" t="s">
        <v>848</v>
      </c>
    </row>
    <row r="397" spans="1:25">
      <c r="A397" s="196" t="s">
        <v>837</v>
      </c>
      <c r="B397" s="196" t="s">
        <v>850</v>
      </c>
      <c r="C397" s="196">
        <v>2014</v>
      </c>
      <c r="D397" s="196">
        <v>30</v>
      </c>
      <c r="E397" s="196" t="s">
        <v>861</v>
      </c>
      <c r="F397" s="196" t="s">
        <v>1135</v>
      </c>
      <c r="G397" s="196">
        <v>2</v>
      </c>
      <c r="H397" s="196">
        <v>2</v>
      </c>
      <c r="I397" s="196">
        <v>1908</v>
      </c>
      <c r="J397" s="196">
        <v>62083</v>
      </c>
      <c r="K397" s="196">
        <v>66.89</v>
      </c>
      <c r="L397" s="196">
        <v>3.07</v>
      </c>
      <c r="M397" s="196">
        <v>37240</v>
      </c>
      <c r="N397" s="196">
        <v>1386356</v>
      </c>
      <c r="O397" s="196">
        <v>1423</v>
      </c>
      <c r="P397" s="196" t="s">
        <v>1106</v>
      </c>
      <c r="Q397" s="196" t="s">
        <v>1110</v>
      </c>
      <c r="R397" s="196" t="s">
        <v>1136</v>
      </c>
      <c r="S397" s="196" t="s">
        <v>844</v>
      </c>
      <c r="T397" s="196" t="s">
        <v>1109</v>
      </c>
      <c r="U397" s="196" t="s">
        <v>1110</v>
      </c>
      <c r="V397" s="196" t="s">
        <v>1137</v>
      </c>
      <c r="W397" s="196" t="s">
        <v>1138</v>
      </c>
      <c r="X397" s="196" t="s">
        <v>1139</v>
      </c>
      <c r="Y397" s="196" t="s">
        <v>848</v>
      </c>
    </row>
    <row r="398" spans="1:25">
      <c r="A398" s="196" t="s">
        <v>837</v>
      </c>
      <c r="B398" s="196" t="s">
        <v>850</v>
      </c>
      <c r="C398" s="196">
        <v>2014</v>
      </c>
      <c r="D398" s="196">
        <v>55</v>
      </c>
      <c r="E398" s="196" t="s">
        <v>862</v>
      </c>
      <c r="F398" s="196" t="s">
        <v>1135</v>
      </c>
      <c r="G398" s="196">
        <v>3</v>
      </c>
      <c r="H398" s="196">
        <v>3</v>
      </c>
      <c r="I398" s="196">
        <v>2796</v>
      </c>
      <c r="J398" s="196">
        <v>97539</v>
      </c>
      <c r="K398" s="196">
        <v>66.89</v>
      </c>
      <c r="L398" s="196">
        <v>3.07</v>
      </c>
      <c r="M398" s="196">
        <v>37240</v>
      </c>
      <c r="N398" s="196">
        <v>1386356</v>
      </c>
      <c r="O398" s="196">
        <v>1423</v>
      </c>
      <c r="P398" s="196" t="s">
        <v>1106</v>
      </c>
      <c r="Q398" s="196" t="s">
        <v>1110</v>
      </c>
      <c r="R398" s="196" t="s">
        <v>1136</v>
      </c>
      <c r="S398" s="196" t="s">
        <v>844</v>
      </c>
      <c r="T398" s="196" t="s">
        <v>1109</v>
      </c>
      <c r="U398" s="196" t="s">
        <v>1110</v>
      </c>
      <c r="V398" s="196" t="s">
        <v>1137</v>
      </c>
      <c r="W398" s="196" t="s">
        <v>1138</v>
      </c>
      <c r="X398" s="196" t="s">
        <v>1139</v>
      </c>
      <c r="Y398" s="196" t="s">
        <v>848</v>
      </c>
    </row>
    <row r="399" spans="1:25">
      <c r="A399" s="196" t="s">
        <v>837</v>
      </c>
      <c r="B399" s="196" t="s">
        <v>838</v>
      </c>
      <c r="C399" s="196">
        <v>2013</v>
      </c>
      <c r="D399" s="196">
        <v>30</v>
      </c>
      <c r="E399" s="196" t="s">
        <v>839</v>
      </c>
      <c r="F399" s="196" t="s">
        <v>1140</v>
      </c>
      <c r="G399" s="196">
        <v>1</v>
      </c>
      <c r="H399" s="196">
        <v>1</v>
      </c>
      <c r="I399" s="196">
        <v>2001</v>
      </c>
      <c r="J399" s="196">
        <v>19481</v>
      </c>
      <c r="K399" s="196">
        <v>92.75</v>
      </c>
      <c r="L399" s="196">
        <v>0.91</v>
      </c>
      <c r="M399" s="196">
        <v>15535</v>
      </c>
      <c r="N399" s="196">
        <v>1672682</v>
      </c>
      <c r="O399" s="196">
        <v>1712</v>
      </c>
      <c r="P399" s="196" t="s">
        <v>878</v>
      </c>
      <c r="Q399" s="196" t="s">
        <v>1141</v>
      </c>
      <c r="R399" s="196" t="s">
        <v>1142</v>
      </c>
      <c r="S399" s="196" t="s">
        <v>844</v>
      </c>
      <c r="T399" s="196" t="s">
        <v>923</v>
      </c>
      <c r="U399" s="196" t="s">
        <v>1143</v>
      </c>
      <c r="V399" s="196" t="s">
        <v>1144</v>
      </c>
      <c r="W399" s="196" t="s">
        <v>1141</v>
      </c>
      <c r="X399" s="196" t="s">
        <v>1145</v>
      </c>
      <c r="Y399" s="196" t="s">
        <v>848</v>
      </c>
    </row>
    <row r="400" spans="1:25">
      <c r="A400" s="196" t="s">
        <v>837</v>
      </c>
      <c r="B400" s="196" t="s">
        <v>838</v>
      </c>
      <c r="C400" s="196">
        <v>2013</v>
      </c>
      <c r="D400" s="196">
        <v>55</v>
      </c>
      <c r="E400" s="196" t="s">
        <v>849</v>
      </c>
      <c r="F400" s="196" t="s">
        <v>1140</v>
      </c>
      <c r="G400" s="196">
        <v>1</v>
      </c>
      <c r="H400" s="196">
        <v>1</v>
      </c>
      <c r="I400" s="196">
        <v>1617</v>
      </c>
      <c r="J400" s="196">
        <v>21416</v>
      </c>
      <c r="K400" s="196">
        <v>92.75</v>
      </c>
      <c r="L400" s="196">
        <v>0.91</v>
      </c>
      <c r="M400" s="196">
        <v>15535</v>
      </c>
      <c r="N400" s="196">
        <v>1672682</v>
      </c>
      <c r="O400" s="196">
        <v>1712</v>
      </c>
      <c r="P400" s="196" t="s">
        <v>878</v>
      </c>
      <c r="Q400" s="196" t="s">
        <v>1141</v>
      </c>
      <c r="R400" s="196" t="s">
        <v>1142</v>
      </c>
      <c r="S400" s="196" t="s">
        <v>844</v>
      </c>
      <c r="T400" s="196" t="s">
        <v>923</v>
      </c>
      <c r="U400" s="196" t="s">
        <v>1143</v>
      </c>
      <c r="V400" s="196" t="s">
        <v>1144</v>
      </c>
      <c r="W400" s="196" t="s">
        <v>1141</v>
      </c>
      <c r="X400" s="196" t="s">
        <v>1145</v>
      </c>
      <c r="Y400" s="196" t="s">
        <v>848</v>
      </c>
    </row>
    <row r="401" spans="1:25">
      <c r="A401" s="196" t="s">
        <v>837</v>
      </c>
      <c r="B401" s="196" t="s">
        <v>850</v>
      </c>
      <c r="C401" s="196">
        <v>2013</v>
      </c>
      <c r="D401" s="196">
        <v>30</v>
      </c>
      <c r="E401" s="196" t="s">
        <v>851</v>
      </c>
      <c r="F401" s="196" t="s">
        <v>1140</v>
      </c>
      <c r="G401" s="196">
        <v>1</v>
      </c>
      <c r="H401" s="196">
        <v>1</v>
      </c>
      <c r="I401" s="196">
        <v>1329</v>
      </c>
      <c r="J401" s="196">
        <v>21290</v>
      </c>
      <c r="K401" s="196">
        <v>92.75</v>
      </c>
      <c r="L401" s="196">
        <v>0.91</v>
      </c>
      <c r="M401" s="196">
        <v>15535</v>
      </c>
      <c r="N401" s="196">
        <v>1672682</v>
      </c>
      <c r="O401" s="196">
        <v>1712</v>
      </c>
      <c r="P401" s="196" t="s">
        <v>878</v>
      </c>
      <c r="Q401" s="196" t="s">
        <v>1141</v>
      </c>
      <c r="R401" s="196" t="s">
        <v>1142</v>
      </c>
      <c r="S401" s="196" t="s">
        <v>844</v>
      </c>
      <c r="T401" s="196" t="s">
        <v>923</v>
      </c>
      <c r="U401" s="196" t="s">
        <v>1143</v>
      </c>
      <c r="V401" s="196" t="s">
        <v>1144</v>
      </c>
      <c r="W401" s="196" t="s">
        <v>1141</v>
      </c>
      <c r="X401" s="196" t="s">
        <v>1145</v>
      </c>
      <c r="Y401" s="196" t="s">
        <v>848</v>
      </c>
    </row>
    <row r="402" spans="1:25">
      <c r="A402" s="196" t="s">
        <v>837</v>
      </c>
      <c r="B402" s="196" t="s">
        <v>850</v>
      </c>
      <c r="C402" s="196">
        <v>2013</v>
      </c>
      <c r="D402" s="196">
        <v>80</v>
      </c>
      <c r="E402" s="196" t="s">
        <v>917</v>
      </c>
      <c r="F402" s="196" t="s">
        <v>1140</v>
      </c>
      <c r="G402" s="196">
        <v>1</v>
      </c>
      <c r="H402" s="196">
        <v>1</v>
      </c>
      <c r="I402" s="196">
        <v>1938</v>
      </c>
      <c r="J402" s="196">
        <v>5625</v>
      </c>
      <c r="K402" s="196">
        <v>92.75</v>
      </c>
      <c r="L402" s="196">
        <v>0.91</v>
      </c>
      <c r="M402" s="196">
        <v>15535</v>
      </c>
      <c r="N402" s="196">
        <v>1672682</v>
      </c>
      <c r="O402" s="196">
        <v>1712</v>
      </c>
      <c r="P402" s="196" t="s">
        <v>878</v>
      </c>
      <c r="Q402" s="196" t="s">
        <v>1141</v>
      </c>
      <c r="R402" s="196" t="s">
        <v>1142</v>
      </c>
      <c r="S402" s="196" t="s">
        <v>844</v>
      </c>
      <c r="T402" s="196" t="s">
        <v>923</v>
      </c>
      <c r="U402" s="196" t="s">
        <v>1143</v>
      </c>
      <c r="V402" s="196" t="s">
        <v>1144</v>
      </c>
      <c r="W402" s="196" t="s">
        <v>1141</v>
      </c>
      <c r="X402" s="196" t="s">
        <v>1145</v>
      </c>
      <c r="Y402" s="196" t="s">
        <v>848</v>
      </c>
    </row>
    <row r="403" spans="1:25">
      <c r="A403" s="196" t="s">
        <v>837</v>
      </c>
      <c r="B403" s="196" t="s">
        <v>838</v>
      </c>
      <c r="C403" s="196">
        <v>2014</v>
      </c>
      <c r="D403" s="196">
        <v>80</v>
      </c>
      <c r="E403" s="196" t="s">
        <v>853</v>
      </c>
      <c r="F403" s="196" t="s">
        <v>1140</v>
      </c>
      <c r="G403" s="196">
        <v>1</v>
      </c>
      <c r="H403" s="196">
        <v>1</v>
      </c>
      <c r="I403" s="196">
        <v>1617</v>
      </c>
      <c r="J403" s="196">
        <v>21416</v>
      </c>
      <c r="K403" s="196">
        <v>92.75</v>
      </c>
      <c r="L403" s="196">
        <v>0.91</v>
      </c>
      <c r="M403" s="196">
        <v>15535</v>
      </c>
      <c r="N403" s="196">
        <v>1672682</v>
      </c>
      <c r="O403" s="196">
        <v>1712</v>
      </c>
      <c r="P403" s="196" t="s">
        <v>878</v>
      </c>
      <c r="Q403" s="196" t="s">
        <v>1141</v>
      </c>
      <c r="R403" s="196" t="s">
        <v>1142</v>
      </c>
      <c r="S403" s="196" t="s">
        <v>844</v>
      </c>
      <c r="T403" s="196" t="s">
        <v>923</v>
      </c>
      <c r="U403" s="196" t="s">
        <v>1143</v>
      </c>
      <c r="V403" s="196" t="s">
        <v>1144</v>
      </c>
      <c r="W403" s="196" t="s">
        <v>1141</v>
      </c>
      <c r="X403" s="196" t="s">
        <v>1145</v>
      </c>
      <c r="Y403" s="196" t="s">
        <v>848</v>
      </c>
    </row>
    <row r="404" spans="1:25">
      <c r="A404" s="196" t="s">
        <v>837</v>
      </c>
      <c r="B404" s="196" t="s">
        <v>850</v>
      </c>
      <c r="C404" s="196">
        <v>2014</v>
      </c>
      <c r="D404" s="196">
        <v>80</v>
      </c>
      <c r="E404" s="196" t="s">
        <v>875</v>
      </c>
      <c r="F404" s="196" t="s">
        <v>1140</v>
      </c>
      <c r="G404" s="196">
        <v>1</v>
      </c>
      <c r="H404" s="196">
        <v>1</v>
      </c>
      <c r="I404" s="196">
        <v>89</v>
      </c>
      <c r="J404" s="196">
        <v>27498</v>
      </c>
      <c r="K404" s="196">
        <v>92.75</v>
      </c>
      <c r="L404" s="196">
        <v>0.91</v>
      </c>
      <c r="M404" s="196">
        <v>15535</v>
      </c>
      <c r="N404" s="196">
        <v>1672682</v>
      </c>
      <c r="O404" s="196">
        <v>1712</v>
      </c>
      <c r="P404" s="196" t="s">
        <v>878</v>
      </c>
      <c r="Q404" s="196" t="s">
        <v>1141</v>
      </c>
      <c r="R404" s="196" t="s">
        <v>1142</v>
      </c>
      <c r="S404" s="196" t="s">
        <v>844</v>
      </c>
      <c r="T404" s="196" t="s">
        <v>923</v>
      </c>
      <c r="U404" s="196" t="s">
        <v>1143</v>
      </c>
      <c r="V404" s="196" t="s">
        <v>1144</v>
      </c>
      <c r="W404" s="196" t="s">
        <v>1141</v>
      </c>
      <c r="X404" s="196" t="s">
        <v>1145</v>
      </c>
      <c r="Y404" s="196" t="s">
        <v>848</v>
      </c>
    </row>
    <row r="405" spans="1:25">
      <c r="A405" s="196" t="s">
        <v>837</v>
      </c>
      <c r="B405" s="196" t="s">
        <v>181</v>
      </c>
      <c r="C405" s="196">
        <v>2013</v>
      </c>
      <c r="D405" s="196">
        <v>80</v>
      </c>
      <c r="E405" s="196" t="s">
        <v>876</v>
      </c>
      <c r="F405" s="196" t="s">
        <v>1140</v>
      </c>
      <c r="G405" s="196">
        <v>1</v>
      </c>
      <c r="H405" s="196">
        <v>1</v>
      </c>
      <c r="I405" s="196">
        <v>339</v>
      </c>
      <c r="J405" s="196">
        <v>7175</v>
      </c>
      <c r="K405" s="196">
        <v>92.75</v>
      </c>
      <c r="L405" s="196">
        <v>0.91</v>
      </c>
      <c r="M405" s="196">
        <v>15535</v>
      </c>
      <c r="N405" s="196">
        <v>1672682</v>
      </c>
      <c r="O405" s="196">
        <v>1712</v>
      </c>
      <c r="P405" s="196" t="s">
        <v>878</v>
      </c>
      <c r="Q405" s="196" t="s">
        <v>1141</v>
      </c>
      <c r="R405" s="196" t="s">
        <v>1142</v>
      </c>
      <c r="S405" s="196" t="s">
        <v>844</v>
      </c>
      <c r="T405" s="196" t="s">
        <v>923</v>
      </c>
      <c r="U405" s="196" t="s">
        <v>1143</v>
      </c>
      <c r="V405" s="196" t="s">
        <v>1144</v>
      </c>
      <c r="W405" s="196" t="s">
        <v>1141</v>
      </c>
      <c r="X405" s="196" t="s">
        <v>1145</v>
      </c>
      <c r="Y405" s="196" t="s">
        <v>848</v>
      </c>
    </row>
    <row r="406" spans="1:25">
      <c r="A406" s="196" t="s">
        <v>837</v>
      </c>
      <c r="B406" s="196" t="s">
        <v>838</v>
      </c>
      <c r="C406" s="196">
        <v>2014</v>
      </c>
      <c r="D406" s="196">
        <v>55</v>
      </c>
      <c r="E406" s="196" t="s">
        <v>854</v>
      </c>
      <c r="F406" s="196" t="s">
        <v>1140</v>
      </c>
      <c r="G406" s="196">
        <v>1</v>
      </c>
      <c r="H406" s="196">
        <v>1</v>
      </c>
      <c r="I406" s="196">
        <v>1983</v>
      </c>
      <c r="J406" s="196">
        <v>29689</v>
      </c>
      <c r="K406" s="196">
        <v>92.75</v>
      </c>
      <c r="L406" s="196">
        <v>0.91</v>
      </c>
      <c r="M406" s="196">
        <v>15535</v>
      </c>
      <c r="N406" s="196">
        <v>1672682</v>
      </c>
      <c r="O406" s="196">
        <v>1712</v>
      </c>
      <c r="P406" s="196" t="s">
        <v>878</v>
      </c>
      <c r="Q406" s="196" t="s">
        <v>1141</v>
      </c>
      <c r="R406" s="196" t="s">
        <v>1142</v>
      </c>
      <c r="S406" s="196" t="s">
        <v>844</v>
      </c>
      <c r="T406" s="196" t="s">
        <v>923</v>
      </c>
      <c r="U406" s="196" t="s">
        <v>1143</v>
      </c>
      <c r="V406" s="196" t="s">
        <v>1144</v>
      </c>
      <c r="W406" s="196" t="s">
        <v>1141</v>
      </c>
      <c r="X406" s="196" t="s">
        <v>1145</v>
      </c>
      <c r="Y406" s="196" t="s">
        <v>848</v>
      </c>
    </row>
    <row r="407" spans="1:25">
      <c r="A407" s="196" t="s">
        <v>837</v>
      </c>
      <c r="B407" s="196" t="s">
        <v>838</v>
      </c>
      <c r="C407" s="196">
        <v>2014</v>
      </c>
      <c r="D407" s="196">
        <v>55</v>
      </c>
      <c r="E407" s="196" t="s">
        <v>855</v>
      </c>
      <c r="F407" s="196" t="s">
        <v>1140</v>
      </c>
      <c r="G407" s="196">
        <v>1</v>
      </c>
      <c r="H407" s="196">
        <v>1</v>
      </c>
      <c r="I407" s="196">
        <v>1617</v>
      </c>
      <c r="J407" s="196">
        <v>21416</v>
      </c>
      <c r="K407" s="196">
        <v>92.75</v>
      </c>
      <c r="L407" s="196">
        <v>0.91</v>
      </c>
      <c r="M407" s="196">
        <v>15535</v>
      </c>
      <c r="N407" s="196">
        <v>1672682</v>
      </c>
      <c r="O407" s="196">
        <v>1712</v>
      </c>
      <c r="P407" s="196" t="s">
        <v>878</v>
      </c>
      <c r="Q407" s="196" t="s">
        <v>1141</v>
      </c>
      <c r="R407" s="196" t="s">
        <v>1142</v>
      </c>
      <c r="S407" s="196" t="s">
        <v>844</v>
      </c>
      <c r="T407" s="196" t="s">
        <v>923</v>
      </c>
      <c r="U407" s="196" t="s">
        <v>1143</v>
      </c>
      <c r="V407" s="196" t="s">
        <v>1144</v>
      </c>
      <c r="W407" s="196" t="s">
        <v>1141</v>
      </c>
      <c r="X407" s="196" t="s">
        <v>1145</v>
      </c>
      <c r="Y407" s="196" t="s">
        <v>848</v>
      </c>
    </row>
    <row r="408" spans="1:25">
      <c r="A408" s="196" t="s">
        <v>837</v>
      </c>
      <c r="B408" s="196" t="s">
        <v>181</v>
      </c>
      <c r="C408" s="196">
        <v>2014</v>
      </c>
      <c r="D408" s="196">
        <v>55</v>
      </c>
      <c r="E408" s="196" t="s">
        <v>858</v>
      </c>
      <c r="F408" s="196" t="s">
        <v>1140</v>
      </c>
      <c r="G408" s="196">
        <v>1</v>
      </c>
      <c r="H408" s="196">
        <v>1</v>
      </c>
      <c r="I408" s="196">
        <v>1617</v>
      </c>
      <c r="J408" s="196">
        <v>21416</v>
      </c>
      <c r="K408" s="196">
        <v>92.75</v>
      </c>
      <c r="L408" s="196">
        <v>0.91</v>
      </c>
      <c r="M408" s="196">
        <v>15535</v>
      </c>
      <c r="N408" s="196">
        <v>1672682</v>
      </c>
      <c r="O408" s="196">
        <v>1712</v>
      </c>
      <c r="P408" s="196" t="s">
        <v>878</v>
      </c>
      <c r="Q408" s="196" t="s">
        <v>1141</v>
      </c>
      <c r="R408" s="196" t="s">
        <v>1142</v>
      </c>
      <c r="S408" s="196" t="s">
        <v>844</v>
      </c>
      <c r="T408" s="196" t="s">
        <v>923</v>
      </c>
      <c r="U408" s="196" t="s">
        <v>1143</v>
      </c>
      <c r="V408" s="196" t="s">
        <v>1144</v>
      </c>
      <c r="W408" s="196" t="s">
        <v>1141</v>
      </c>
      <c r="X408" s="196" t="s">
        <v>1145</v>
      </c>
      <c r="Y408" s="196" t="s">
        <v>848</v>
      </c>
    </row>
    <row r="409" spans="1:25">
      <c r="A409" s="196" t="s">
        <v>837</v>
      </c>
      <c r="B409" s="196" t="s">
        <v>850</v>
      </c>
      <c r="C409" s="196">
        <v>2014</v>
      </c>
      <c r="D409" s="196">
        <v>30</v>
      </c>
      <c r="E409" s="196" t="s">
        <v>860</v>
      </c>
      <c r="F409" s="196" t="s">
        <v>1140</v>
      </c>
      <c r="G409" s="196">
        <v>1</v>
      </c>
      <c r="H409" s="196">
        <v>1</v>
      </c>
      <c r="I409" s="196">
        <v>864</v>
      </c>
      <c r="J409" s="196">
        <v>5916</v>
      </c>
      <c r="K409" s="196">
        <v>92.75</v>
      </c>
      <c r="L409" s="196">
        <v>0.91</v>
      </c>
      <c r="M409" s="196">
        <v>15535</v>
      </c>
      <c r="N409" s="196">
        <v>1672682</v>
      </c>
      <c r="O409" s="196">
        <v>1712</v>
      </c>
      <c r="P409" s="196" t="s">
        <v>878</v>
      </c>
      <c r="Q409" s="196" t="s">
        <v>1141</v>
      </c>
      <c r="R409" s="196" t="s">
        <v>1142</v>
      </c>
      <c r="S409" s="196" t="s">
        <v>844</v>
      </c>
      <c r="T409" s="196" t="s">
        <v>923</v>
      </c>
      <c r="U409" s="196" t="s">
        <v>1143</v>
      </c>
      <c r="V409" s="196" t="s">
        <v>1144</v>
      </c>
      <c r="W409" s="196" t="s">
        <v>1141</v>
      </c>
      <c r="X409" s="196" t="s">
        <v>1145</v>
      </c>
      <c r="Y409" s="196" t="s">
        <v>848</v>
      </c>
    </row>
    <row r="410" spans="1:25">
      <c r="A410" s="196" t="s">
        <v>837</v>
      </c>
      <c r="B410" s="196" t="s">
        <v>850</v>
      </c>
      <c r="C410" s="196">
        <v>2014</v>
      </c>
      <c r="D410" s="196">
        <v>55</v>
      </c>
      <c r="E410" s="196" t="s">
        <v>862</v>
      </c>
      <c r="F410" s="196" t="s">
        <v>1140</v>
      </c>
      <c r="G410" s="196">
        <v>1</v>
      </c>
      <c r="H410" s="196">
        <v>1</v>
      </c>
      <c r="I410" s="196">
        <v>1617</v>
      </c>
      <c r="J410" s="196">
        <v>21416</v>
      </c>
      <c r="K410" s="196">
        <v>92.75</v>
      </c>
      <c r="L410" s="196">
        <v>0.91</v>
      </c>
      <c r="M410" s="196">
        <v>15535</v>
      </c>
      <c r="N410" s="196">
        <v>1672682</v>
      </c>
      <c r="O410" s="196">
        <v>1712</v>
      </c>
      <c r="P410" s="196" t="s">
        <v>878</v>
      </c>
      <c r="Q410" s="196" t="s">
        <v>1141</v>
      </c>
      <c r="R410" s="196" t="s">
        <v>1142</v>
      </c>
      <c r="S410" s="196" t="s">
        <v>844</v>
      </c>
      <c r="T410" s="196" t="s">
        <v>923</v>
      </c>
      <c r="U410" s="196" t="s">
        <v>1143</v>
      </c>
      <c r="V410" s="196" t="s">
        <v>1144</v>
      </c>
      <c r="W410" s="196" t="s">
        <v>1141</v>
      </c>
      <c r="X410" s="196" t="s">
        <v>1145</v>
      </c>
      <c r="Y410" s="196" t="s">
        <v>848</v>
      </c>
    </row>
    <row r="411" spans="1:25">
      <c r="A411" s="196" t="s">
        <v>837</v>
      </c>
      <c r="B411" s="196" t="s">
        <v>850</v>
      </c>
      <c r="C411" s="196">
        <v>2014</v>
      </c>
      <c r="D411" s="196">
        <v>55</v>
      </c>
      <c r="E411" s="196" t="s">
        <v>863</v>
      </c>
      <c r="F411" s="196" t="s">
        <v>1140</v>
      </c>
      <c r="G411" s="196">
        <v>1</v>
      </c>
      <c r="H411" s="196">
        <v>1</v>
      </c>
      <c r="I411" s="196">
        <v>2085</v>
      </c>
      <c r="J411" s="196">
        <v>11639</v>
      </c>
      <c r="K411" s="196">
        <v>92.75</v>
      </c>
      <c r="L411" s="196">
        <v>0.91</v>
      </c>
      <c r="M411" s="196">
        <v>15535</v>
      </c>
      <c r="N411" s="196">
        <v>1672682</v>
      </c>
      <c r="O411" s="196">
        <v>1712</v>
      </c>
      <c r="P411" s="196" t="s">
        <v>878</v>
      </c>
      <c r="Q411" s="196" t="s">
        <v>1141</v>
      </c>
      <c r="R411" s="196" t="s">
        <v>1142</v>
      </c>
      <c r="S411" s="196" t="s">
        <v>844</v>
      </c>
      <c r="T411" s="196" t="s">
        <v>923</v>
      </c>
      <c r="U411" s="196" t="s">
        <v>1143</v>
      </c>
      <c r="V411" s="196" t="s">
        <v>1144</v>
      </c>
      <c r="W411" s="196" t="s">
        <v>1141</v>
      </c>
      <c r="X411" s="196" t="s">
        <v>1145</v>
      </c>
      <c r="Y411" s="196" t="s">
        <v>848</v>
      </c>
    </row>
    <row r="412" spans="1:25">
      <c r="A412" s="196" t="s">
        <v>837</v>
      </c>
      <c r="B412" s="196" t="s">
        <v>838</v>
      </c>
      <c r="C412" s="196">
        <v>2013</v>
      </c>
      <c r="D412" s="196">
        <v>30</v>
      </c>
      <c r="E412" s="196" t="s">
        <v>839</v>
      </c>
      <c r="F412" s="196" t="s">
        <v>1146</v>
      </c>
      <c r="G412" s="196">
        <v>4</v>
      </c>
      <c r="H412" s="196">
        <v>4</v>
      </c>
      <c r="I412" s="196">
        <v>3267</v>
      </c>
      <c r="J412" s="196">
        <v>68122</v>
      </c>
      <c r="K412" s="196">
        <v>84.03</v>
      </c>
      <c r="L412" s="196">
        <v>3.06</v>
      </c>
      <c r="M412" s="196">
        <v>9212</v>
      </c>
      <c r="N412" s="196">
        <v>1708214</v>
      </c>
      <c r="O412" s="196">
        <v>1836</v>
      </c>
      <c r="P412" s="196" t="s">
        <v>1004</v>
      </c>
      <c r="Q412" s="196" t="s">
        <v>911</v>
      </c>
      <c r="R412" s="196" t="s">
        <v>912</v>
      </c>
      <c r="S412" s="196" t="s">
        <v>844</v>
      </c>
      <c r="T412" s="196" t="s">
        <v>913</v>
      </c>
      <c r="U412" s="196" t="s">
        <v>914</v>
      </c>
      <c r="V412" s="196" t="s">
        <v>911</v>
      </c>
      <c r="W412" s="196" t="s">
        <v>1005</v>
      </c>
      <c r="X412" s="196" t="s">
        <v>1147</v>
      </c>
      <c r="Y412" s="196" t="s">
        <v>848</v>
      </c>
    </row>
    <row r="413" spans="1:25">
      <c r="A413" s="196" t="s">
        <v>837</v>
      </c>
      <c r="B413" s="196" t="s">
        <v>850</v>
      </c>
      <c r="C413" s="196">
        <v>2013</v>
      </c>
      <c r="D413" s="196">
        <v>30</v>
      </c>
      <c r="E413" s="196" t="s">
        <v>851</v>
      </c>
      <c r="F413" s="196" t="s">
        <v>1146</v>
      </c>
      <c r="G413" s="196">
        <v>3</v>
      </c>
      <c r="H413" s="196">
        <v>3</v>
      </c>
      <c r="I413" s="196">
        <v>4809</v>
      </c>
      <c r="J413" s="196">
        <v>43402</v>
      </c>
      <c r="K413" s="196">
        <v>84.03</v>
      </c>
      <c r="L413" s="196">
        <v>3.06</v>
      </c>
      <c r="M413" s="196">
        <v>9212</v>
      </c>
      <c r="N413" s="196">
        <v>1708214</v>
      </c>
      <c r="O413" s="196">
        <v>1836</v>
      </c>
      <c r="P413" s="196" t="s">
        <v>1004</v>
      </c>
      <c r="Q413" s="196" t="s">
        <v>911</v>
      </c>
      <c r="R413" s="196" t="s">
        <v>912</v>
      </c>
      <c r="S413" s="196" t="s">
        <v>844</v>
      </c>
      <c r="T413" s="196" t="s">
        <v>913</v>
      </c>
      <c r="U413" s="196" t="s">
        <v>914</v>
      </c>
      <c r="V413" s="196" t="s">
        <v>911</v>
      </c>
      <c r="W413" s="196" t="s">
        <v>1005</v>
      </c>
      <c r="X413" s="196" t="s">
        <v>1147</v>
      </c>
      <c r="Y413" s="196" t="s">
        <v>848</v>
      </c>
    </row>
    <row r="414" spans="1:25">
      <c r="A414" s="196" t="s">
        <v>837</v>
      </c>
      <c r="B414" s="196" t="s">
        <v>181</v>
      </c>
      <c r="C414" s="196">
        <v>2014</v>
      </c>
      <c r="D414" s="196">
        <v>80</v>
      </c>
      <c r="E414" s="196" t="s">
        <v>874</v>
      </c>
      <c r="F414" s="196" t="s">
        <v>1146</v>
      </c>
      <c r="G414" s="196">
        <v>1</v>
      </c>
      <c r="H414" s="196">
        <v>1</v>
      </c>
      <c r="I414" s="196">
        <v>77</v>
      </c>
      <c r="J414" s="196">
        <v>7836</v>
      </c>
      <c r="K414" s="196">
        <v>84.03</v>
      </c>
      <c r="L414" s="196">
        <v>3.06</v>
      </c>
      <c r="M414" s="196">
        <v>9212</v>
      </c>
      <c r="N414" s="196">
        <v>1708214</v>
      </c>
      <c r="O414" s="196">
        <v>1836</v>
      </c>
      <c r="P414" s="196" t="s">
        <v>1004</v>
      </c>
      <c r="Q414" s="196" t="s">
        <v>911</v>
      </c>
      <c r="R414" s="196" t="s">
        <v>912</v>
      </c>
      <c r="S414" s="196" t="s">
        <v>844</v>
      </c>
      <c r="T414" s="196" t="s">
        <v>913</v>
      </c>
      <c r="U414" s="196" t="s">
        <v>914</v>
      </c>
      <c r="V414" s="196" t="s">
        <v>911</v>
      </c>
      <c r="W414" s="196" t="s">
        <v>1005</v>
      </c>
      <c r="X414" s="196" t="s">
        <v>1147</v>
      </c>
      <c r="Y414" s="196" t="s">
        <v>848</v>
      </c>
    </row>
    <row r="415" spans="1:25">
      <c r="A415" s="196" t="s">
        <v>837</v>
      </c>
      <c r="B415" s="196" t="s">
        <v>181</v>
      </c>
      <c r="C415" s="196">
        <v>2014</v>
      </c>
      <c r="D415" s="196">
        <v>55</v>
      </c>
      <c r="E415" s="196" t="s">
        <v>858</v>
      </c>
      <c r="F415" s="196" t="s">
        <v>1146</v>
      </c>
      <c r="G415" s="196">
        <v>3</v>
      </c>
      <c r="H415" s="196">
        <v>3</v>
      </c>
      <c r="I415" s="196">
        <v>6564</v>
      </c>
      <c r="J415" s="196">
        <v>50448</v>
      </c>
      <c r="K415" s="196">
        <v>84.03</v>
      </c>
      <c r="L415" s="196">
        <v>3.06</v>
      </c>
      <c r="M415" s="196">
        <v>9212</v>
      </c>
      <c r="N415" s="196">
        <v>1708214</v>
      </c>
      <c r="O415" s="196">
        <v>1836</v>
      </c>
      <c r="P415" s="196" t="s">
        <v>1004</v>
      </c>
      <c r="Q415" s="196" t="s">
        <v>911</v>
      </c>
      <c r="R415" s="196" t="s">
        <v>912</v>
      </c>
      <c r="S415" s="196" t="s">
        <v>844</v>
      </c>
      <c r="T415" s="196" t="s">
        <v>913</v>
      </c>
      <c r="U415" s="196" t="s">
        <v>914</v>
      </c>
      <c r="V415" s="196" t="s">
        <v>911</v>
      </c>
      <c r="W415" s="196" t="s">
        <v>1005</v>
      </c>
      <c r="X415" s="196" t="s">
        <v>1147</v>
      </c>
      <c r="Y415" s="196" t="s">
        <v>848</v>
      </c>
    </row>
    <row r="416" spans="1:25">
      <c r="A416" s="196" t="s">
        <v>837</v>
      </c>
      <c r="B416" s="196" t="s">
        <v>850</v>
      </c>
      <c r="C416" s="196">
        <v>2014</v>
      </c>
      <c r="D416" s="196">
        <v>30</v>
      </c>
      <c r="E416" s="196" t="s">
        <v>860</v>
      </c>
      <c r="F416" s="196" t="s">
        <v>1146</v>
      </c>
      <c r="G416" s="196">
        <v>1</v>
      </c>
      <c r="H416" s="196">
        <v>1</v>
      </c>
      <c r="I416" s="196">
        <v>597</v>
      </c>
      <c r="J416" s="196">
        <v>11258</v>
      </c>
      <c r="K416" s="196">
        <v>84.03</v>
      </c>
      <c r="L416" s="196">
        <v>3.06</v>
      </c>
      <c r="M416" s="196">
        <v>9212</v>
      </c>
      <c r="N416" s="196">
        <v>1708214</v>
      </c>
      <c r="O416" s="196">
        <v>1836</v>
      </c>
      <c r="P416" s="196" t="s">
        <v>1004</v>
      </c>
      <c r="Q416" s="196" t="s">
        <v>911</v>
      </c>
      <c r="R416" s="196" t="s">
        <v>912</v>
      </c>
      <c r="S416" s="196" t="s">
        <v>844</v>
      </c>
      <c r="T416" s="196" t="s">
        <v>913</v>
      </c>
      <c r="U416" s="196" t="s">
        <v>914</v>
      </c>
      <c r="V416" s="196" t="s">
        <v>911</v>
      </c>
      <c r="W416" s="196" t="s">
        <v>1005</v>
      </c>
      <c r="X416" s="196" t="s">
        <v>1147</v>
      </c>
      <c r="Y416" s="196" t="s">
        <v>848</v>
      </c>
    </row>
    <row r="417" spans="1:25">
      <c r="A417" s="196" t="s">
        <v>837</v>
      </c>
      <c r="B417" s="196" t="s">
        <v>850</v>
      </c>
      <c r="C417" s="196">
        <v>2014</v>
      </c>
      <c r="D417" s="196">
        <v>30</v>
      </c>
      <c r="E417" s="196" t="s">
        <v>861</v>
      </c>
      <c r="F417" s="196" t="s">
        <v>1146</v>
      </c>
      <c r="G417" s="196">
        <v>1</v>
      </c>
      <c r="H417" s="196">
        <v>1</v>
      </c>
      <c r="I417" s="196">
        <v>597</v>
      </c>
      <c r="J417" s="196">
        <v>11258</v>
      </c>
      <c r="K417" s="196">
        <v>84.03</v>
      </c>
      <c r="L417" s="196">
        <v>3.06</v>
      </c>
      <c r="M417" s="196">
        <v>9212</v>
      </c>
      <c r="N417" s="196">
        <v>1708214</v>
      </c>
      <c r="O417" s="196">
        <v>1836</v>
      </c>
      <c r="P417" s="196" t="s">
        <v>1004</v>
      </c>
      <c r="Q417" s="196" t="s">
        <v>911</v>
      </c>
      <c r="R417" s="196" t="s">
        <v>912</v>
      </c>
      <c r="S417" s="196" t="s">
        <v>844</v>
      </c>
      <c r="T417" s="196" t="s">
        <v>913</v>
      </c>
      <c r="U417" s="196" t="s">
        <v>914</v>
      </c>
      <c r="V417" s="196" t="s">
        <v>911</v>
      </c>
      <c r="W417" s="196" t="s">
        <v>1005</v>
      </c>
      <c r="X417" s="196" t="s">
        <v>1147</v>
      </c>
      <c r="Y417" s="196" t="s">
        <v>848</v>
      </c>
    </row>
    <row r="418" spans="1:25">
      <c r="A418" s="196" t="s">
        <v>837</v>
      </c>
      <c r="B418" s="196" t="s">
        <v>850</v>
      </c>
      <c r="C418" s="196">
        <v>2014</v>
      </c>
      <c r="D418" s="196">
        <v>55</v>
      </c>
      <c r="E418" s="196" t="s">
        <v>862</v>
      </c>
      <c r="F418" s="196" t="s">
        <v>1146</v>
      </c>
      <c r="G418" s="196">
        <v>2</v>
      </c>
      <c r="H418" s="196">
        <v>2</v>
      </c>
      <c r="I418" s="196">
        <v>1059</v>
      </c>
      <c r="J418" s="196">
        <v>20961</v>
      </c>
      <c r="K418" s="196">
        <v>84.03</v>
      </c>
      <c r="L418" s="196">
        <v>3.06</v>
      </c>
      <c r="M418" s="196">
        <v>9212</v>
      </c>
      <c r="N418" s="196">
        <v>1708214</v>
      </c>
      <c r="O418" s="196">
        <v>1836</v>
      </c>
      <c r="P418" s="196" t="s">
        <v>1004</v>
      </c>
      <c r="Q418" s="196" t="s">
        <v>911</v>
      </c>
      <c r="R418" s="196" t="s">
        <v>912</v>
      </c>
      <c r="S418" s="196" t="s">
        <v>844</v>
      </c>
      <c r="T418" s="196" t="s">
        <v>913</v>
      </c>
      <c r="U418" s="196" t="s">
        <v>914</v>
      </c>
      <c r="V418" s="196" t="s">
        <v>911</v>
      </c>
      <c r="W418" s="196" t="s">
        <v>1005</v>
      </c>
      <c r="X418" s="196" t="s">
        <v>1147</v>
      </c>
      <c r="Y418" s="196" t="s">
        <v>848</v>
      </c>
    </row>
    <row r="419" spans="1:25">
      <c r="A419" s="196" t="s">
        <v>837</v>
      </c>
      <c r="B419" s="196" t="s">
        <v>838</v>
      </c>
      <c r="C419" s="196">
        <v>2013</v>
      </c>
      <c r="D419" s="196">
        <v>30</v>
      </c>
      <c r="E419" s="196" t="s">
        <v>839</v>
      </c>
      <c r="F419" s="196" t="s">
        <v>1148</v>
      </c>
      <c r="G419" s="196">
        <v>1</v>
      </c>
      <c r="H419" s="196">
        <v>1</v>
      </c>
      <c r="I419" s="196">
        <v>702</v>
      </c>
      <c r="J419" s="196">
        <v>48878</v>
      </c>
      <c r="K419" s="196">
        <v>96.49</v>
      </c>
      <c r="L419" s="196">
        <v>0.28000000000000003</v>
      </c>
      <c r="M419" s="196">
        <v>23124</v>
      </c>
      <c r="N419" s="196">
        <v>2416406</v>
      </c>
      <c r="O419" s="196">
        <v>2137</v>
      </c>
      <c r="P419" s="196" t="s">
        <v>1149</v>
      </c>
      <c r="Q419" s="196" t="s">
        <v>886</v>
      </c>
      <c r="R419" s="196" t="s">
        <v>887</v>
      </c>
      <c r="S419" s="196" t="s">
        <v>844</v>
      </c>
      <c r="T419" s="196" t="s">
        <v>888</v>
      </c>
      <c r="U419" s="196" t="s">
        <v>889</v>
      </c>
      <c r="V419" s="196" t="s">
        <v>886</v>
      </c>
      <c r="W419" s="196" t="s">
        <v>890</v>
      </c>
      <c r="X419" s="196" t="s">
        <v>1150</v>
      </c>
      <c r="Y419" s="196" t="s">
        <v>848</v>
      </c>
    </row>
    <row r="420" spans="1:25">
      <c r="A420" s="196" t="s">
        <v>837</v>
      </c>
      <c r="B420" s="196" t="s">
        <v>850</v>
      </c>
      <c r="C420" s="196">
        <v>2013</v>
      </c>
      <c r="D420" s="196">
        <v>30</v>
      </c>
      <c r="E420" s="196" t="s">
        <v>851</v>
      </c>
      <c r="F420" s="196" t="s">
        <v>1148</v>
      </c>
      <c r="G420" s="196">
        <v>1</v>
      </c>
      <c r="H420" s="196">
        <v>1</v>
      </c>
      <c r="I420" s="196">
        <v>384</v>
      </c>
      <c r="J420" s="196">
        <v>39343</v>
      </c>
      <c r="K420" s="196">
        <v>96.49</v>
      </c>
      <c r="L420" s="196">
        <v>0.28000000000000003</v>
      </c>
      <c r="M420" s="196">
        <v>23124</v>
      </c>
      <c r="N420" s="196">
        <v>2416406</v>
      </c>
      <c r="O420" s="196">
        <v>2137</v>
      </c>
      <c r="P420" s="196" t="s">
        <v>1149</v>
      </c>
      <c r="Q420" s="196" t="s">
        <v>886</v>
      </c>
      <c r="R420" s="196" t="s">
        <v>887</v>
      </c>
      <c r="S420" s="196" t="s">
        <v>844</v>
      </c>
      <c r="T420" s="196" t="s">
        <v>888</v>
      </c>
      <c r="U420" s="196" t="s">
        <v>889</v>
      </c>
      <c r="V420" s="196" t="s">
        <v>886</v>
      </c>
      <c r="W420" s="196" t="s">
        <v>890</v>
      </c>
      <c r="X420" s="196" t="s">
        <v>1150</v>
      </c>
      <c r="Y420" s="196" t="s">
        <v>848</v>
      </c>
    </row>
    <row r="421" spans="1:25">
      <c r="A421" s="196" t="s">
        <v>837</v>
      </c>
      <c r="B421" s="196" t="s">
        <v>850</v>
      </c>
      <c r="C421" s="196">
        <v>2013</v>
      </c>
      <c r="D421" s="196">
        <v>55</v>
      </c>
      <c r="E421" s="196" t="s">
        <v>852</v>
      </c>
      <c r="F421" s="196" t="s">
        <v>1148</v>
      </c>
      <c r="G421" s="196">
        <v>120</v>
      </c>
      <c r="H421" s="196">
        <v>65</v>
      </c>
      <c r="I421" s="196">
        <v>201355</v>
      </c>
      <c r="J421" s="196">
        <v>1450808</v>
      </c>
      <c r="K421" s="196">
        <v>96.49</v>
      </c>
      <c r="L421" s="196">
        <v>0.28000000000000003</v>
      </c>
      <c r="M421" s="196">
        <v>23124</v>
      </c>
      <c r="N421" s="196">
        <v>2416406</v>
      </c>
      <c r="O421" s="196">
        <v>2137</v>
      </c>
      <c r="P421" s="196" t="s">
        <v>1149</v>
      </c>
      <c r="Q421" s="196" t="s">
        <v>886</v>
      </c>
      <c r="R421" s="196" t="s">
        <v>887</v>
      </c>
      <c r="S421" s="196" t="s">
        <v>844</v>
      </c>
      <c r="T421" s="196" t="s">
        <v>888</v>
      </c>
      <c r="U421" s="196" t="s">
        <v>889</v>
      </c>
      <c r="V421" s="196" t="s">
        <v>886</v>
      </c>
      <c r="W421" s="196" t="s">
        <v>890</v>
      </c>
      <c r="X421" s="196" t="s">
        <v>1150</v>
      </c>
      <c r="Y421" s="196" t="s">
        <v>848</v>
      </c>
    </row>
    <row r="422" spans="1:25">
      <c r="A422" s="196" t="s">
        <v>837</v>
      </c>
      <c r="B422" s="196" t="s">
        <v>181</v>
      </c>
      <c r="C422" s="196">
        <v>2014</v>
      </c>
      <c r="D422" s="196">
        <v>80</v>
      </c>
      <c r="E422" s="196" t="s">
        <v>874</v>
      </c>
      <c r="F422" s="196" t="s">
        <v>1148</v>
      </c>
      <c r="G422" s="196">
        <v>2</v>
      </c>
      <c r="H422" s="196">
        <v>2</v>
      </c>
      <c r="I422" s="196">
        <v>967</v>
      </c>
      <c r="J422" s="196">
        <v>73505</v>
      </c>
      <c r="K422" s="196">
        <v>96.49</v>
      </c>
      <c r="L422" s="196">
        <v>0.28000000000000003</v>
      </c>
      <c r="M422" s="196">
        <v>23124</v>
      </c>
      <c r="N422" s="196">
        <v>2416406</v>
      </c>
      <c r="O422" s="196">
        <v>2137</v>
      </c>
      <c r="P422" s="196" t="s">
        <v>1149</v>
      </c>
      <c r="Q422" s="196" t="s">
        <v>886</v>
      </c>
      <c r="R422" s="196" t="s">
        <v>887</v>
      </c>
      <c r="S422" s="196" t="s">
        <v>844</v>
      </c>
      <c r="T422" s="196" t="s">
        <v>888</v>
      </c>
      <c r="U422" s="196" t="s">
        <v>889</v>
      </c>
      <c r="V422" s="196" t="s">
        <v>886</v>
      </c>
      <c r="W422" s="196" t="s">
        <v>890</v>
      </c>
      <c r="X422" s="196" t="s">
        <v>1150</v>
      </c>
      <c r="Y422" s="196" t="s">
        <v>848</v>
      </c>
    </row>
    <row r="423" spans="1:25">
      <c r="A423" s="196" t="s">
        <v>837</v>
      </c>
      <c r="B423" s="196" t="s">
        <v>850</v>
      </c>
      <c r="C423" s="196">
        <v>2014</v>
      </c>
      <c r="D423" s="196">
        <v>80</v>
      </c>
      <c r="E423" s="196" t="s">
        <v>918</v>
      </c>
      <c r="F423" s="196" t="s">
        <v>1148</v>
      </c>
      <c r="G423" s="196">
        <v>1</v>
      </c>
      <c r="H423" s="196">
        <v>1</v>
      </c>
      <c r="I423" s="196">
        <v>468</v>
      </c>
      <c r="J423" s="196">
        <v>39343</v>
      </c>
      <c r="K423" s="196">
        <v>96.49</v>
      </c>
      <c r="L423" s="196">
        <v>0.28000000000000003</v>
      </c>
      <c r="M423" s="196">
        <v>23124</v>
      </c>
      <c r="N423" s="196">
        <v>2416406</v>
      </c>
      <c r="O423" s="196">
        <v>2137</v>
      </c>
      <c r="P423" s="196" t="s">
        <v>1149</v>
      </c>
      <c r="Q423" s="196" t="s">
        <v>886</v>
      </c>
      <c r="R423" s="196" t="s">
        <v>887</v>
      </c>
      <c r="S423" s="196" t="s">
        <v>844</v>
      </c>
      <c r="T423" s="196" t="s">
        <v>888</v>
      </c>
      <c r="U423" s="196" t="s">
        <v>889</v>
      </c>
      <c r="V423" s="196" t="s">
        <v>886</v>
      </c>
      <c r="W423" s="196" t="s">
        <v>890</v>
      </c>
      <c r="X423" s="196" t="s">
        <v>1150</v>
      </c>
      <c r="Y423" s="196" t="s">
        <v>848</v>
      </c>
    </row>
    <row r="424" spans="1:25">
      <c r="A424" s="196" t="s">
        <v>837</v>
      </c>
      <c r="B424" s="196" t="s">
        <v>850</v>
      </c>
      <c r="C424" s="196">
        <v>2014</v>
      </c>
      <c r="D424" s="196">
        <v>80</v>
      </c>
      <c r="E424" s="196" t="s">
        <v>875</v>
      </c>
      <c r="F424" s="196" t="s">
        <v>1148</v>
      </c>
      <c r="G424" s="196">
        <v>2</v>
      </c>
      <c r="H424" s="196">
        <v>2</v>
      </c>
      <c r="I424" s="196">
        <v>1911</v>
      </c>
      <c r="J424" s="196">
        <v>88221</v>
      </c>
      <c r="K424" s="196">
        <v>96.49</v>
      </c>
      <c r="L424" s="196">
        <v>0.28000000000000003</v>
      </c>
      <c r="M424" s="196">
        <v>23124</v>
      </c>
      <c r="N424" s="196">
        <v>2416406</v>
      </c>
      <c r="O424" s="196">
        <v>2137</v>
      </c>
      <c r="P424" s="196" t="s">
        <v>1149</v>
      </c>
      <c r="Q424" s="196" t="s">
        <v>886</v>
      </c>
      <c r="R424" s="196" t="s">
        <v>887</v>
      </c>
      <c r="S424" s="196" t="s">
        <v>844</v>
      </c>
      <c r="T424" s="196" t="s">
        <v>888</v>
      </c>
      <c r="U424" s="196" t="s">
        <v>889</v>
      </c>
      <c r="V424" s="196" t="s">
        <v>886</v>
      </c>
      <c r="W424" s="196" t="s">
        <v>890</v>
      </c>
      <c r="X424" s="196" t="s">
        <v>1150</v>
      </c>
      <c r="Y424" s="196" t="s">
        <v>848</v>
      </c>
    </row>
    <row r="425" spans="1:25">
      <c r="A425" s="196" t="s">
        <v>837</v>
      </c>
      <c r="B425" s="196" t="s">
        <v>838</v>
      </c>
      <c r="C425" s="196">
        <v>2014</v>
      </c>
      <c r="D425" s="196">
        <v>55</v>
      </c>
      <c r="E425" s="196" t="s">
        <v>854</v>
      </c>
      <c r="F425" s="196" t="s">
        <v>1148</v>
      </c>
      <c r="G425" s="196">
        <v>2</v>
      </c>
      <c r="H425" s="196">
        <v>2</v>
      </c>
      <c r="I425" s="196">
        <v>821</v>
      </c>
      <c r="J425" s="196">
        <v>42874</v>
      </c>
      <c r="K425" s="196">
        <v>96.49</v>
      </c>
      <c r="L425" s="196">
        <v>0.28000000000000003</v>
      </c>
      <c r="M425" s="196">
        <v>23124</v>
      </c>
      <c r="N425" s="196">
        <v>2416406</v>
      </c>
      <c r="O425" s="196">
        <v>2137</v>
      </c>
      <c r="P425" s="196" t="s">
        <v>1149</v>
      </c>
      <c r="Q425" s="196" t="s">
        <v>886</v>
      </c>
      <c r="R425" s="196" t="s">
        <v>887</v>
      </c>
      <c r="S425" s="196" t="s">
        <v>844</v>
      </c>
      <c r="T425" s="196" t="s">
        <v>888</v>
      </c>
      <c r="U425" s="196" t="s">
        <v>889</v>
      </c>
      <c r="V425" s="196" t="s">
        <v>886</v>
      </c>
      <c r="W425" s="196" t="s">
        <v>890</v>
      </c>
      <c r="X425" s="196" t="s">
        <v>1150</v>
      </c>
      <c r="Y425" s="196" t="s">
        <v>848</v>
      </c>
    </row>
    <row r="426" spans="1:25">
      <c r="A426" s="196" t="s">
        <v>837</v>
      </c>
      <c r="B426" s="196" t="s">
        <v>181</v>
      </c>
      <c r="C426" s="196">
        <v>2014</v>
      </c>
      <c r="D426" s="196">
        <v>30</v>
      </c>
      <c r="E426" s="196" t="s">
        <v>856</v>
      </c>
      <c r="F426" s="196" t="s">
        <v>1148</v>
      </c>
      <c r="G426" s="196">
        <v>1</v>
      </c>
      <c r="H426" s="196">
        <v>1</v>
      </c>
      <c r="I426" s="196">
        <v>1410</v>
      </c>
      <c r="J426" s="196">
        <v>26872</v>
      </c>
      <c r="K426" s="196">
        <v>96.49</v>
      </c>
      <c r="L426" s="196">
        <v>0.28000000000000003</v>
      </c>
      <c r="M426" s="196">
        <v>23124</v>
      </c>
      <c r="N426" s="196">
        <v>2416406</v>
      </c>
      <c r="O426" s="196">
        <v>2137</v>
      </c>
      <c r="P426" s="196" t="s">
        <v>1149</v>
      </c>
      <c r="Q426" s="196" t="s">
        <v>886</v>
      </c>
      <c r="R426" s="196" t="s">
        <v>887</v>
      </c>
      <c r="S426" s="196" t="s">
        <v>844</v>
      </c>
      <c r="T426" s="196" t="s">
        <v>888</v>
      </c>
      <c r="U426" s="196" t="s">
        <v>889</v>
      </c>
      <c r="V426" s="196" t="s">
        <v>886</v>
      </c>
      <c r="W426" s="196" t="s">
        <v>890</v>
      </c>
      <c r="X426" s="196" t="s">
        <v>1150</v>
      </c>
      <c r="Y426" s="196" t="s">
        <v>848</v>
      </c>
    </row>
    <row r="427" spans="1:25">
      <c r="A427" s="196" t="s">
        <v>837</v>
      </c>
      <c r="B427" s="196" t="s">
        <v>850</v>
      </c>
      <c r="C427" s="196">
        <v>2014</v>
      </c>
      <c r="D427" s="196">
        <v>30</v>
      </c>
      <c r="E427" s="196" t="s">
        <v>860</v>
      </c>
      <c r="F427" s="196" t="s">
        <v>1148</v>
      </c>
      <c r="G427" s="196">
        <v>6</v>
      </c>
      <c r="H427" s="196">
        <v>5</v>
      </c>
      <c r="I427" s="196">
        <v>7770</v>
      </c>
      <c r="J427" s="196">
        <v>140412</v>
      </c>
      <c r="K427" s="196">
        <v>96.49</v>
      </c>
      <c r="L427" s="196">
        <v>0.28000000000000003</v>
      </c>
      <c r="M427" s="196">
        <v>23124</v>
      </c>
      <c r="N427" s="196">
        <v>2416406</v>
      </c>
      <c r="O427" s="196">
        <v>2137</v>
      </c>
      <c r="P427" s="196" t="s">
        <v>1149</v>
      </c>
      <c r="Q427" s="196" t="s">
        <v>886</v>
      </c>
      <c r="R427" s="196" t="s">
        <v>887</v>
      </c>
      <c r="S427" s="196" t="s">
        <v>844</v>
      </c>
      <c r="T427" s="196" t="s">
        <v>888</v>
      </c>
      <c r="U427" s="196" t="s">
        <v>889</v>
      </c>
      <c r="V427" s="196" t="s">
        <v>886</v>
      </c>
      <c r="W427" s="196" t="s">
        <v>890</v>
      </c>
      <c r="X427" s="196" t="s">
        <v>1150</v>
      </c>
      <c r="Y427" s="196" t="s">
        <v>848</v>
      </c>
    </row>
    <row r="428" spans="1:25">
      <c r="A428" s="196" t="s">
        <v>837</v>
      </c>
      <c r="B428" s="196" t="s">
        <v>850</v>
      </c>
      <c r="C428" s="196">
        <v>2014</v>
      </c>
      <c r="D428" s="196">
        <v>55</v>
      </c>
      <c r="E428" s="196" t="s">
        <v>862</v>
      </c>
      <c r="F428" s="196" t="s">
        <v>1148</v>
      </c>
      <c r="G428" s="196">
        <v>24</v>
      </c>
      <c r="H428" s="196">
        <v>21</v>
      </c>
      <c r="I428" s="196">
        <v>42669</v>
      </c>
      <c r="J428" s="196">
        <v>657189</v>
      </c>
      <c r="K428" s="196">
        <v>96.49</v>
      </c>
      <c r="L428" s="196">
        <v>0.28000000000000003</v>
      </c>
      <c r="M428" s="196">
        <v>23124</v>
      </c>
      <c r="N428" s="196">
        <v>2416406</v>
      </c>
      <c r="O428" s="196">
        <v>2137</v>
      </c>
      <c r="P428" s="196" t="s">
        <v>1149</v>
      </c>
      <c r="Q428" s="196" t="s">
        <v>886</v>
      </c>
      <c r="R428" s="196" t="s">
        <v>887</v>
      </c>
      <c r="S428" s="196" t="s">
        <v>844</v>
      </c>
      <c r="T428" s="196" t="s">
        <v>888</v>
      </c>
      <c r="U428" s="196" t="s">
        <v>889</v>
      </c>
      <c r="V428" s="196" t="s">
        <v>886</v>
      </c>
      <c r="W428" s="196" t="s">
        <v>890</v>
      </c>
      <c r="X428" s="196" t="s">
        <v>1150</v>
      </c>
      <c r="Y428" s="196" t="s">
        <v>848</v>
      </c>
    </row>
    <row r="429" spans="1:25">
      <c r="A429" s="196" t="s">
        <v>837</v>
      </c>
      <c r="B429" s="196" t="s">
        <v>850</v>
      </c>
      <c r="C429" s="196">
        <v>2014</v>
      </c>
      <c r="D429" s="196">
        <v>55</v>
      </c>
      <c r="E429" s="196" t="s">
        <v>863</v>
      </c>
      <c r="F429" s="196" t="s">
        <v>1148</v>
      </c>
      <c r="G429" s="196">
        <v>1</v>
      </c>
      <c r="H429" s="196">
        <v>1</v>
      </c>
      <c r="I429" s="196">
        <v>1038</v>
      </c>
      <c r="J429" s="196">
        <v>19612</v>
      </c>
      <c r="K429" s="196">
        <v>96.49</v>
      </c>
      <c r="L429" s="196">
        <v>0.28000000000000003</v>
      </c>
      <c r="M429" s="196">
        <v>23124</v>
      </c>
      <c r="N429" s="196">
        <v>2416406</v>
      </c>
      <c r="O429" s="196">
        <v>2137</v>
      </c>
      <c r="P429" s="196" t="s">
        <v>1149</v>
      </c>
      <c r="Q429" s="196" t="s">
        <v>886</v>
      </c>
      <c r="R429" s="196" t="s">
        <v>887</v>
      </c>
      <c r="S429" s="196" t="s">
        <v>844</v>
      </c>
      <c r="T429" s="196" t="s">
        <v>888</v>
      </c>
      <c r="U429" s="196" t="s">
        <v>889</v>
      </c>
      <c r="V429" s="196" t="s">
        <v>886</v>
      </c>
      <c r="W429" s="196" t="s">
        <v>890</v>
      </c>
      <c r="X429" s="196" t="s">
        <v>1150</v>
      </c>
      <c r="Y429" s="196" t="s">
        <v>848</v>
      </c>
    </row>
    <row r="430" spans="1:25">
      <c r="A430" s="196" t="s">
        <v>837</v>
      </c>
      <c r="B430" s="196" t="s">
        <v>838</v>
      </c>
      <c r="C430" s="196">
        <v>2013</v>
      </c>
      <c r="D430" s="196">
        <v>55</v>
      </c>
      <c r="E430" s="196" t="s">
        <v>849</v>
      </c>
      <c r="F430" s="196" t="s">
        <v>1151</v>
      </c>
      <c r="G430" s="196">
        <v>2</v>
      </c>
      <c r="H430" s="196">
        <v>2</v>
      </c>
      <c r="I430" s="196">
        <v>2493</v>
      </c>
      <c r="J430" s="196">
        <v>23252</v>
      </c>
      <c r="K430" s="196">
        <v>91.99</v>
      </c>
      <c r="L430" s="196">
        <v>3.87</v>
      </c>
      <c r="M430" s="196">
        <v>18082</v>
      </c>
      <c r="N430" s="196">
        <v>2385535</v>
      </c>
      <c r="O430" s="196">
        <v>2419</v>
      </c>
      <c r="P430" s="196" t="s">
        <v>993</v>
      </c>
      <c r="Q430" s="196" t="s">
        <v>923</v>
      </c>
      <c r="R430" s="196" t="s">
        <v>1047</v>
      </c>
      <c r="S430" s="196" t="s">
        <v>844</v>
      </c>
      <c r="T430" s="196" t="s">
        <v>923</v>
      </c>
      <c r="U430" s="196" t="s">
        <v>1048</v>
      </c>
      <c r="V430" s="196" t="s">
        <v>1049</v>
      </c>
      <c r="W430" s="196" t="s">
        <v>1050</v>
      </c>
      <c r="X430" s="196" t="s">
        <v>1152</v>
      </c>
      <c r="Y430" s="196" t="s">
        <v>848</v>
      </c>
    </row>
    <row r="431" spans="1:25">
      <c r="A431" s="196" t="s">
        <v>837</v>
      </c>
      <c r="B431" s="196" t="s">
        <v>850</v>
      </c>
      <c r="C431" s="196">
        <v>2013</v>
      </c>
      <c r="D431" s="196">
        <v>80</v>
      </c>
      <c r="E431" s="196" t="s">
        <v>917</v>
      </c>
      <c r="F431" s="196" t="s">
        <v>1151</v>
      </c>
      <c r="G431" s="196">
        <v>1</v>
      </c>
      <c r="H431" s="196">
        <v>1</v>
      </c>
      <c r="I431" s="196">
        <v>756</v>
      </c>
      <c r="J431" s="196">
        <v>3573</v>
      </c>
      <c r="K431" s="196">
        <v>91.99</v>
      </c>
      <c r="L431" s="196">
        <v>3.87</v>
      </c>
      <c r="M431" s="196">
        <v>18082</v>
      </c>
      <c r="N431" s="196">
        <v>2385535</v>
      </c>
      <c r="O431" s="196">
        <v>2419</v>
      </c>
      <c r="P431" s="196" t="s">
        <v>993</v>
      </c>
      <c r="Q431" s="196" t="s">
        <v>923</v>
      </c>
      <c r="R431" s="196" t="s">
        <v>1047</v>
      </c>
      <c r="S431" s="196" t="s">
        <v>844</v>
      </c>
      <c r="T431" s="196" t="s">
        <v>923</v>
      </c>
      <c r="U431" s="196" t="s">
        <v>1048</v>
      </c>
      <c r="V431" s="196" t="s">
        <v>1049</v>
      </c>
      <c r="W431" s="196" t="s">
        <v>1050</v>
      </c>
      <c r="X431" s="196" t="s">
        <v>1152</v>
      </c>
      <c r="Y431" s="196" t="s">
        <v>848</v>
      </c>
    </row>
    <row r="432" spans="1:25">
      <c r="A432" s="196" t="s">
        <v>837</v>
      </c>
      <c r="B432" s="196" t="s">
        <v>838</v>
      </c>
      <c r="C432" s="196">
        <v>2013</v>
      </c>
      <c r="D432" s="196">
        <v>30</v>
      </c>
      <c r="E432" s="196" t="s">
        <v>839</v>
      </c>
      <c r="F432" s="196" t="s">
        <v>1153</v>
      </c>
      <c r="G432" s="196">
        <v>5</v>
      </c>
      <c r="H432" s="196">
        <v>5</v>
      </c>
      <c r="I432" s="196">
        <v>6149</v>
      </c>
      <c r="J432" s="196">
        <v>540350</v>
      </c>
      <c r="K432" s="196">
        <v>100</v>
      </c>
      <c r="L432" s="196">
        <v>0.2</v>
      </c>
      <c r="M432" s="196">
        <v>81989</v>
      </c>
      <c r="N432" s="196">
        <v>1696388</v>
      </c>
      <c r="O432" s="196">
        <v>1642</v>
      </c>
      <c r="P432" s="196" t="s">
        <v>1154</v>
      </c>
      <c r="Q432" s="196" t="s">
        <v>1155</v>
      </c>
      <c r="R432" s="196" t="s">
        <v>1156</v>
      </c>
      <c r="S432" s="196" t="s">
        <v>844</v>
      </c>
      <c r="T432" s="196" t="s">
        <v>1155</v>
      </c>
      <c r="U432" s="196" t="s">
        <v>1157</v>
      </c>
      <c r="V432" s="196" t="s">
        <v>1158</v>
      </c>
      <c r="W432" s="196" t="s">
        <v>1159</v>
      </c>
      <c r="X432" s="196" t="s">
        <v>1160</v>
      </c>
      <c r="Y432" s="196" t="s">
        <v>1161</v>
      </c>
    </row>
    <row r="433" spans="1:25">
      <c r="A433" s="196" t="s">
        <v>837</v>
      </c>
      <c r="B433" s="196" t="s">
        <v>838</v>
      </c>
      <c r="C433" s="196">
        <v>2013</v>
      </c>
      <c r="D433" s="196">
        <v>55</v>
      </c>
      <c r="E433" s="196" t="s">
        <v>849</v>
      </c>
      <c r="F433" s="196" t="s">
        <v>1153</v>
      </c>
      <c r="G433" s="196">
        <v>4</v>
      </c>
      <c r="H433" s="196">
        <v>3</v>
      </c>
      <c r="I433" s="196">
        <v>5187</v>
      </c>
      <c r="J433" s="196">
        <v>464963</v>
      </c>
      <c r="K433" s="196">
        <v>100</v>
      </c>
      <c r="L433" s="196">
        <v>0.2</v>
      </c>
      <c r="M433" s="196">
        <v>81989</v>
      </c>
      <c r="N433" s="196">
        <v>1696388</v>
      </c>
      <c r="O433" s="196">
        <v>1642</v>
      </c>
      <c r="P433" s="196" t="s">
        <v>1154</v>
      </c>
      <c r="Q433" s="196" t="s">
        <v>1155</v>
      </c>
      <c r="R433" s="196" t="s">
        <v>1156</v>
      </c>
      <c r="S433" s="196" t="s">
        <v>844</v>
      </c>
      <c r="T433" s="196" t="s">
        <v>1155</v>
      </c>
      <c r="U433" s="196" t="s">
        <v>1157</v>
      </c>
      <c r="V433" s="196" t="s">
        <v>1158</v>
      </c>
      <c r="W433" s="196" t="s">
        <v>1159</v>
      </c>
      <c r="X433" s="196" t="s">
        <v>1160</v>
      </c>
      <c r="Y433" s="196" t="s">
        <v>1161</v>
      </c>
    </row>
    <row r="434" spans="1:25">
      <c r="A434" s="196" t="s">
        <v>837</v>
      </c>
      <c r="B434" s="196" t="s">
        <v>850</v>
      </c>
      <c r="C434" s="196">
        <v>2013</v>
      </c>
      <c r="D434" s="196">
        <v>30</v>
      </c>
      <c r="E434" s="196" t="s">
        <v>851</v>
      </c>
      <c r="F434" s="196" t="s">
        <v>1153</v>
      </c>
      <c r="G434" s="196">
        <v>5</v>
      </c>
      <c r="H434" s="196">
        <v>4</v>
      </c>
      <c r="I434" s="196">
        <v>6057</v>
      </c>
      <c r="J434" s="196">
        <v>420263</v>
      </c>
      <c r="K434" s="196">
        <v>100</v>
      </c>
      <c r="L434" s="196">
        <v>0.2</v>
      </c>
      <c r="M434" s="196">
        <v>81989</v>
      </c>
      <c r="N434" s="196">
        <v>1696388</v>
      </c>
      <c r="O434" s="196">
        <v>1642</v>
      </c>
      <c r="P434" s="196" t="s">
        <v>1154</v>
      </c>
      <c r="Q434" s="196" t="s">
        <v>1155</v>
      </c>
      <c r="R434" s="196" t="s">
        <v>1156</v>
      </c>
      <c r="S434" s="196" t="s">
        <v>844</v>
      </c>
      <c r="T434" s="196" t="s">
        <v>1155</v>
      </c>
      <c r="U434" s="196" t="s">
        <v>1157</v>
      </c>
      <c r="V434" s="196" t="s">
        <v>1158</v>
      </c>
      <c r="W434" s="196" t="s">
        <v>1159</v>
      </c>
      <c r="X434" s="196" t="s">
        <v>1160</v>
      </c>
      <c r="Y434" s="196" t="s">
        <v>1161</v>
      </c>
    </row>
    <row r="435" spans="1:25">
      <c r="A435" s="196" t="s">
        <v>837</v>
      </c>
      <c r="B435" s="196" t="s">
        <v>850</v>
      </c>
      <c r="C435" s="196">
        <v>2013</v>
      </c>
      <c r="D435" s="196">
        <v>55</v>
      </c>
      <c r="E435" s="196" t="s">
        <v>852</v>
      </c>
      <c r="F435" s="196" t="s">
        <v>1153</v>
      </c>
      <c r="G435" s="196">
        <v>2</v>
      </c>
      <c r="H435" s="196">
        <v>2</v>
      </c>
      <c r="I435" s="196">
        <v>4224</v>
      </c>
      <c r="J435" s="196">
        <v>216847</v>
      </c>
      <c r="K435" s="196">
        <v>100</v>
      </c>
      <c r="L435" s="196">
        <v>0.2</v>
      </c>
      <c r="M435" s="196">
        <v>81989</v>
      </c>
      <c r="N435" s="196">
        <v>1696388</v>
      </c>
      <c r="O435" s="196">
        <v>1642</v>
      </c>
      <c r="P435" s="196" t="s">
        <v>1154</v>
      </c>
      <c r="Q435" s="196" t="s">
        <v>1155</v>
      </c>
      <c r="R435" s="196" t="s">
        <v>1156</v>
      </c>
      <c r="S435" s="196" t="s">
        <v>844</v>
      </c>
      <c r="T435" s="196" t="s">
        <v>1155</v>
      </c>
      <c r="U435" s="196" t="s">
        <v>1157</v>
      </c>
      <c r="V435" s="196" t="s">
        <v>1158</v>
      </c>
      <c r="W435" s="196" t="s">
        <v>1159</v>
      </c>
      <c r="X435" s="196" t="s">
        <v>1160</v>
      </c>
      <c r="Y435" s="196" t="s">
        <v>1161</v>
      </c>
    </row>
    <row r="436" spans="1:25">
      <c r="A436" s="196" t="s">
        <v>837</v>
      </c>
      <c r="B436" s="196" t="s">
        <v>850</v>
      </c>
      <c r="C436" s="196">
        <v>2013</v>
      </c>
      <c r="D436" s="196">
        <v>80</v>
      </c>
      <c r="E436" s="196" t="s">
        <v>917</v>
      </c>
      <c r="F436" s="196" t="s">
        <v>1153</v>
      </c>
      <c r="G436" s="196">
        <v>1</v>
      </c>
      <c r="H436" s="196">
        <v>1</v>
      </c>
      <c r="I436" s="196">
        <v>75</v>
      </c>
      <c r="J436" s="196">
        <v>117625</v>
      </c>
      <c r="K436" s="196">
        <v>100</v>
      </c>
      <c r="L436" s="196">
        <v>0.2</v>
      </c>
      <c r="M436" s="196">
        <v>81989</v>
      </c>
      <c r="N436" s="196">
        <v>1696388</v>
      </c>
      <c r="O436" s="196">
        <v>1642</v>
      </c>
      <c r="P436" s="196" t="s">
        <v>1154</v>
      </c>
      <c r="Q436" s="196" t="s">
        <v>1155</v>
      </c>
      <c r="R436" s="196" t="s">
        <v>1156</v>
      </c>
      <c r="S436" s="196" t="s">
        <v>844</v>
      </c>
      <c r="T436" s="196" t="s">
        <v>1155</v>
      </c>
      <c r="U436" s="196" t="s">
        <v>1157</v>
      </c>
      <c r="V436" s="196" t="s">
        <v>1158</v>
      </c>
      <c r="W436" s="196" t="s">
        <v>1159</v>
      </c>
      <c r="X436" s="196" t="s">
        <v>1160</v>
      </c>
      <c r="Y436" s="196" t="s">
        <v>1161</v>
      </c>
    </row>
    <row r="437" spans="1:25">
      <c r="A437" s="196" t="s">
        <v>837</v>
      </c>
      <c r="B437" s="196" t="s">
        <v>181</v>
      </c>
      <c r="C437" s="196">
        <v>2014</v>
      </c>
      <c r="D437" s="196">
        <v>80</v>
      </c>
      <c r="E437" s="196" t="s">
        <v>874</v>
      </c>
      <c r="F437" s="196" t="s">
        <v>1153</v>
      </c>
      <c r="G437" s="196">
        <v>8</v>
      </c>
      <c r="H437" s="196">
        <v>7</v>
      </c>
      <c r="I437" s="196">
        <v>11417</v>
      </c>
      <c r="J437" s="196">
        <v>448722</v>
      </c>
      <c r="K437" s="196">
        <v>100</v>
      </c>
      <c r="L437" s="196">
        <v>0.2</v>
      </c>
      <c r="M437" s="196">
        <v>81989</v>
      </c>
      <c r="N437" s="196">
        <v>1696388</v>
      </c>
      <c r="O437" s="196">
        <v>1642</v>
      </c>
      <c r="P437" s="196" t="s">
        <v>1154</v>
      </c>
      <c r="Q437" s="196" t="s">
        <v>1155</v>
      </c>
      <c r="R437" s="196" t="s">
        <v>1156</v>
      </c>
      <c r="S437" s="196" t="s">
        <v>844</v>
      </c>
      <c r="T437" s="196" t="s">
        <v>1155</v>
      </c>
      <c r="U437" s="196" t="s">
        <v>1157</v>
      </c>
      <c r="V437" s="196" t="s">
        <v>1158</v>
      </c>
      <c r="W437" s="196" t="s">
        <v>1159</v>
      </c>
      <c r="X437" s="196" t="s">
        <v>1160</v>
      </c>
      <c r="Y437" s="196" t="s">
        <v>1161</v>
      </c>
    </row>
    <row r="438" spans="1:25">
      <c r="A438" s="196" t="s">
        <v>837</v>
      </c>
      <c r="B438" s="196" t="s">
        <v>850</v>
      </c>
      <c r="C438" s="196">
        <v>2014</v>
      </c>
      <c r="D438" s="196">
        <v>80</v>
      </c>
      <c r="E438" s="196" t="s">
        <v>918</v>
      </c>
      <c r="F438" s="196" t="s">
        <v>1153</v>
      </c>
      <c r="G438" s="196">
        <v>1</v>
      </c>
      <c r="H438" s="196">
        <v>1</v>
      </c>
      <c r="I438" s="196">
        <v>93</v>
      </c>
      <c r="J438" s="196">
        <v>117625</v>
      </c>
      <c r="K438" s="196">
        <v>100</v>
      </c>
      <c r="L438" s="196">
        <v>0.2</v>
      </c>
      <c r="M438" s="196">
        <v>81989</v>
      </c>
      <c r="N438" s="196">
        <v>1696388</v>
      </c>
      <c r="O438" s="196">
        <v>1642</v>
      </c>
      <c r="P438" s="196" t="s">
        <v>1154</v>
      </c>
      <c r="Q438" s="196" t="s">
        <v>1155</v>
      </c>
      <c r="R438" s="196" t="s">
        <v>1156</v>
      </c>
      <c r="S438" s="196" t="s">
        <v>844</v>
      </c>
      <c r="T438" s="196" t="s">
        <v>1155</v>
      </c>
      <c r="U438" s="196" t="s">
        <v>1157</v>
      </c>
      <c r="V438" s="196" t="s">
        <v>1158</v>
      </c>
      <c r="W438" s="196" t="s">
        <v>1159</v>
      </c>
      <c r="X438" s="196" t="s">
        <v>1160</v>
      </c>
      <c r="Y438" s="196" t="s">
        <v>1161</v>
      </c>
    </row>
    <row r="439" spans="1:25">
      <c r="A439" s="196" t="s">
        <v>837</v>
      </c>
      <c r="B439" s="196" t="s">
        <v>850</v>
      </c>
      <c r="C439" s="196">
        <v>2014</v>
      </c>
      <c r="D439" s="196">
        <v>80</v>
      </c>
      <c r="E439" s="196" t="s">
        <v>875</v>
      </c>
      <c r="F439" s="196" t="s">
        <v>1153</v>
      </c>
      <c r="G439" s="196">
        <v>2</v>
      </c>
      <c r="H439" s="196">
        <v>2</v>
      </c>
      <c r="I439" s="196">
        <v>3780</v>
      </c>
      <c r="J439" s="196">
        <v>151642</v>
      </c>
      <c r="K439" s="196">
        <v>100</v>
      </c>
      <c r="L439" s="196">
        <v>0.2</v>
      </c>
      <c r="M439" s="196">
        <v>81989</v>
      </c>
      <c r="N439" s="196">
        <v>1696388</v>
      </c>
      <c r="O439" s="196">
        <v>1642</v>
      </c>
      <c r="P439" s="196" t="s">
        <v>1154</v>
      </c>
      <c r="Q439" s="196" t="s">
        <v>1155</v>
      </c>
      <c r="R439" s="196" t="s">
        <v>1156</v>
      </c>
      <c r="S439" s="196" t="s">
        <v>844</v>
      </c>
      <c r="T439" s="196" t="s">
        <v>1155</v>
      </c>
      <c r="U439" s="196" t="s">
        <v>1157</v>
      </c>
      <c r="V439" s="196" t="s">
        <v>1158</v>
      </c>
      <c r="W439" s="196" t="s">
        <v>1159</v>
      </c>
      <c r="X439" s="196" t="s">
        <v>1160</v>
      </c>
      <c r="Y439" s="196" t="s">
        <v>1161</v>
      </c>
    </row>
    <row r="440" spans="1:25">
      <c r="A440" s="196" t="s">
        <v>837</v>
      </c>
      <c r="B440" s="196" t="s">
        <v>838</v>
      </c>
      <c r="C440" s="196">
        <v>2013</v>
      </c>
      <c r="D440" s="196">
        <v>80</v>
      </c>
      <c r="E440" s="196" t="s">
        <v>908</v>
      </c>
      <c r="F440" s="196" t="s">
        <v>1153</v>
      </c>
      <c r="G440" s="196">
        <v>3</v>
      </c>
      <c r="H440" s="196">
        <v>3</v>
      </c>
      <c r="I440" s="196">
        <v>2711</v>
      </c>
      <c r="J440" s="196">
        <v>275252</v>
      </c>
      <c r="K440" s="196">
        <v>100</v>
      </c>
      <c r="L440" s="196">
        <v>0.2</v>
      </c>
      <c r="M440" s="196">
        <v>81989</v>
      </c>
      <c r="N440" s="196">
        <v>1696388</v>
      </c>
      <c r="O440" s="196">
        <v>1642</v>
      </c>
      <c r="P440" s="196" t="s">
        <v>1154</v>
      </c>
      <c r="Q440" s="196" t="s">
        <v>1155</v>
      </c>
      <c r="R440" s="196" t="s">
        <v>1156</v>
      </c>
      <c r="S440" s="196" t="s">
        <v>844</v>
      </c>
      <c r="T440" s="196" t="s">
        <v>1155</v>
      </c>
      <c r="U440" s="196" t="s">
        <v>1157</v>
      </c>
      <c r="V440" s="196" t="s">
        <v>1158</v>
      </c>
      <c r="W440" s="196" t="s">
        <v>1159</v>
      </c>
      <c r="X440" s="196" t="s">
        <v>1160</v>
      </c>
      <c r="Y440" s="196" t="s">
        <v>1161</v>
      </c>
    </row>
    <row r="441" spans="1:25">
      <c r="A441" s="196" t="s">
        <v>837</v>
      </c>
      <c r="B441" s="196" t="s">
        <v>838</v>
      </c>
      <c r="C441" s="196">
        <v>2014</v>
      </c>
      <c r="D441" s="196">
        <v>55</v>
      </c>
      <c r="E441" s="196" t="s">
        <v>854</v>
      </c>
      <c r="F441" s="196" t="s">
        <v>1153</v>
      </c>
      <c r="G441" s="196">
        <v>2</v>
      </c>
      <c r="H441" s="196">
        <v>2</v>
      </c>
      <c r="I441" s="196">
        <v>1490</v>
      </c>
      <c r="J441" s="196">
        <v>153049</v>
      </c>
      <c r="K441" s="196">
        <v>100</v>
      </c>
      <c r="L441" s="196">
        <v>0.2</v>
      </c>
      <c r="M441" s="196">
        <v>81989</v>
      </c>
      <c r="N441" s="196">
        <v>1696388</v>
      </c>
      <c r="O441" s="196">
        <v>1642</v>
      </c>
      <c r="P441" s="196" t="s">
        <v>1154</v>
      </c>
      <c r="Q441" s="196" t="s">
        <v>1155</v>
      </c>
      <c r="R441" s="196" t="s">
        <v>1156</v>
      </c>
      <c r="S441" s="196" t="s">
        <v>844</v>
      </c>
      <c r="T441" s="196" t="s">
        <v>1155</v>
      </c>
      <c r="U441" s="196" t="s">
        <v>1157</v>
      </c>
      <c r="V441" s="196" t="s">
        <v>1158</v>
      </c>
      <c r="W441" s="196" t="s">
        <v>1159</v>
      </c>
      <c r="X441" s="196" t="s">
        <v>1160</v>
      </c>
      <c r="Y441" s="196" t="s">
        <v>1161</v>
      </c>
    </row>
    <row r="442" spans="1:25">
      <c r="A442" s="196" t="s">
        <v>837</v>
      </c>
      <c r="B442" s="196" t="s">
        <v>181</v>
      </c>
      <c r="C442" s="196">
        <v>2014</v>
      </c>
      <c r="D442" s="196">
        <v>30</v>
      </c>
      <c r="E442" s="196" t="s">
        <v>856</v>
      </c>
      <c r="F442" s="196" t="s">
        <v>1153</v>
      </c>
      <c r="G442" s="196">
        <v>2</v>
      </c>
      <c r="H442" s="196">
        <v>2</v>
      </c>
      <c r="I442" s="196">
        <v>1119</v>
      </c>
      <c r="J442" s="196">
        <v>37425</v>
      </c>
      <c r="K442" s="196">
        <v>100</v>
      </c>
      <c r="L442" s="196">
        <v>0.2</v>
      </c>
      <c r="M442" s="196">
        <v>81989</v>
      </c>
      <c r="N442" s="196">
        <v>1696388</v>
      </c>
      <c r="O442" s="196">
        <v>1642</v>
      </c>
      <c r="P442" s="196" t="s">
        <v>1154</v>
      </c>
      <c r="Q442" s="196" t="s">
        <v>1155</v>
      </c>
      <c r="R442" s="196" t="s">
        <v>1156</v>
      </c>
      <c r="S442" s="196" t="s">
        <v>844</v>
      </c>
      <c r="T442" s="196" t="s">
        <v>1155</v>
      </c>
      <c r="U442" s="196" t="s">
        <v>1157</v>
      </c>
      <c r="V442" s="196" t="s">
        <v>1158</v>
      </c>
      <c r="W442" s="196" t="s">
        <v>1159</v>
      </c>
      <c r="X442" s="196" t="s">
        <v>1160</v>
      </c>
      <c r="Y442" s="196" t="s">
        <v>1161</v>
      </c>
    </row>
    <row r="443" spans="1:25">
      <c r="A443" s="196" t="s">
        <v>837</v>
      </c>
      <c r="B443" s="196" t="s">
        <v>850</v>
      </c>
      <c r="C443" s="196">
        <v>2014</v>
      </c>
      <c r="D443" s="196">
        <v>30</v>
      </c>
      <c r="E443" s="196" t="s">
        <v>860</v>
      </c>
      <c r="F443" s="196" t="s">
        <v>1153</v>
      </c>
      <c r="G443" s="196">
        <v>1</v>
      </c>
      <c r="H443" s="196">
        <v>1</v>
      </c>
      <c r="I443" s="196">
        <v>774</v>
      </c>
      <c r="J443" s="196">
        <v>192386</v>
      </c>
      <c r="K443" s="196">
        <v>100</v>
      </c>
      <c r="L443" s="196">
        <v>0.2</v>
      </c>
      <c r="M443" s="196">
        <v>81989</v>
      </c>
      <c r="N443" s="196">
        <v>1696388</v>
      </c>
      <c r="O443" s="196">
        <v>1642</v>
      </c>
      <c r="P443" s="196" t="s">
        <v>1154</v>
      </c>
      <c r="Q443" s="196" t="s">
        <v>1155</v>
      </c>
      <c r="R443" s="196" t="s">
        <v>1156</v>
      </c>
      <c r="S443" s="196" t="s">
        <v>844</v>
      </c>
      <c r="T443" s="196" t="s">
        <v>1155</v>
      </c>
      <c r="U443" s="196" t="s">
        <v>1157</v>
      </c>
      <c r="V443" s="196" t="s">
        <v>1158</v>
      </c>
      <c r="W443" s="196" t="s">
        <v>1159</v>
      </c>
      <c r="X443" s="196" t="s">
        <v>1160</v>
      </c>
      <c r="Y443" s="196" t="s">
        <v>1161</v>
      </c>
    </row>
    <row r="444" spans="1:25">
      <c r="A444" s="196" t="s">
        <v>837</v>
      </c>
      <c r="B444" s="196" t="s">
        <v>850</v>
      </c>
      <c r="C444" s="196">
        <v>2014</v>
      </c>
      <c r="D444" s="196">
        <v>55</v>
      </c>
      <c r="E444" s="196" t="s">
        <v>862</v>
      </c>
      <c r="F444" s="196" t="s">
        <v>1153</v>
      </c>
      <c r="G444" s="196">
        <v>1</v>
      </c>
      <c r="H444" s="196">
        <v>1</v>
      </c>
      <c r="I444" s="196">
        <v>1797</v>
      </c>
      <c r="J444" s="196">
        <v>15812</v>
      </c>
      <c r="K444" s="196">
        <v>100</v>
      </c>
      <c r="L444" s="196">
        <v>0.2</v>
      </c>
      <c r="M444" s="196">
        <v>81989</v>
      </c>
      <c r="N444" s="196">
        <v>1696388</v>
      </c>
      <c r="O444" s="196">
        <v>1642</v>
      </c>
      <c r="P444" s="196" t="s">
        <v>1154</v>
      </c>
      <c r="Q444" s="196" t="s">
        <v>1155</v>
      </c>
      <c r="R444" s="196" t="s">
        <v>1156</v>
      </c>
      <c r="S444" s="196" t="s">
        <v>844</v>
      </c>
      <c r="T444" s="196" t="s">
        <v>1155</v>
      </c>
      <c r="U444" s="196" t="s">
        <v>1157</v>
      </c>
      <c r="V444" s="196" t="s">
        <v>1158</v>
      </c>
      <c r="W444" s="196" t="s">
        <v>1159</v>
      </c>
      <c r="X444" s="196" t="s">
        <v>1160</v>
      </c>
      <c r="Y444" s="196" t="s">
        <v>1161</v>
      </c>
    </row>
    <row r="445" spans="1:25">
      <c r="A445" s="196" t="s">
        <v>837</v>
      </c>
      <c r="B445" s="196" t="s">
        <v>838</v>
      </c>
      <c r="C445" s="196">
        <v>2013</v>
      </c>
      <c r="D445" s="196">
        <v>30</v>
      </c>
      <c r="E445" s="196" t="s">
        <v>839</v>
      </c>
      <c r="F445" s="196" t="s">
        <v>1162</v>
      </c>
      <c r="G445" s="196">
        <v>3</v>
      </c>
      <c r="H445" s="196">
        <v>3</v>
      </c>
      <c r="I445" s="196">
        <v>2868</v>
      </c>
      <c r="J445" s="196">
        <v>12543</v>
      </c>
      <c r="K445" s="196">
        <v>67.709999999999994</v>
      </c>
      <c r="L445" s="196">
        <v>1.32</v>
      </c>
      <c r="M445" s="196">
        <v>4568</v>
      </c>
      <c r="N445" s="196">
        <v>1875800</v>
      </c>
      <c r="O445" s="196">
        <v>1841</v>
      </c>
      <c r="P445" s="196" t="s">
        <v>984</v>
      </c>
      <c r="Q445" s="196" t="s">
        <v>985</v>
      </c>
      <c r="R445" s="196" t="s">
        <v>986</v>
      </c>
      <c r="S445" s="196" t="s">
        <v>844</v>
      </c>
      <c r="T445" s="196" t="s">
        <v>985</v>
      </c>
      <c r="U445" s="196" t="s">
        <v>987</v>
      </c>
      <c r="V445" s="196" t="s">
        <v>848</v>
      </c>
      <c r="W445" s="196" t="s">
        <v>848</v>
      </c>
      <c r="X445" s="196" t="s">
        <v>848</v>
      </c>
      <c r="Y445" s="196" t="s">
        <v>848</v>
      </c>
    </row>
    <row r="446" spans="1:25">
      <c r="A446" s="196" t="s">
        <v>837</v>
      </c>
      <c r="B446" s="196" t="s">
        <v>838</v>
      </c>
      <c r="C446" s="196">
        <v>2013</v>
      </c>
      <c r="D446" s="196">
        <v>55</v>
      </c>
      <c r="E446" s="196" t="s">
        <v>849</v>
      </c>
      <c r="F446" s="196" t="s">
        <v>1162</v>
      </c>
      <c r="G446" s="196">
        <v>2</v>
      </c>
      <c r="H446" s="196">
        <v>2</v>
      </c>
      <c r="I446" s="196">
        <v>1434</v>
      </c>
      <c r="J446" s="196">
        <v>8690</v>
      </c>
      <c r="K446" s="196">
        <v>67.709999999999994</v>
      </c>
      <c r="L446" s="196">
        <v>1.32</v>
      </c>
      <c r="M446" s="196">
        <v>4568</v>
      </c>
      <c r="N446" s="196">
        <v>1875800</v>
      </c>
      <c r="O446" s="196">
        <v>1841</v>
      </c>
      <c r="P446" s="196" t="s">
        <v>984</v>
      </c>
      <c r="Q446" s="196" t="s">
        <v>985</v>
      </c>
      <c r="R446" s="196" t="s">
        <v>986</v>
      </c>
      <c r="S446" s="196" t="s">
        <v>844</v>
      </c>
      <c r="T446" s="196" t="s">
        <v>985</v>
      </c>
      <c r="U446" s="196" t="s">
        <v>987</v>
      </c>
      <c r="V446" s="196" t="s">
        <v>848</v>
      </c>
      <c r="W446" s="196" t="s">
        <v>848</v>
      </c>
      <c r="X446" s="196" t="s">
        <v>848</v>
      </c>
      <c r="Y446" s="196" t="s">
        <v>848</v>
      </c>
    </row>
    <row r="447" spans="1:25">
      <c r="A447" s="196" t="s">
        <v>837</v>
      </c>
      <c r="B447" s="196" t="s">
        <v>850</v>
      </c>
      <c r="C447" s="196">
        <v>2013</v>
      </c>
      <c r="D447" s="196">
        <v>30</v>
      </c>
      <c r="E447" s="196" t="s">
        <v>851</v>
      </c>
      <c r="F447" s="196" t="s">
        <v>1162</v>
      </c>
      <c r="G447" s="196">
        <v>1</v>
      </c>
      <c r="H447" s="196">
        <v>1</v>
      </c>
      <c r="I447" s="196">
        <v>1104</v>
      </c>
      <c r="J447" s="196">
        <v>4667</v>
      </c>
      <c r="K447" s="196">
        <v>67.709999999999994</v>
      </c>
      <c r="L447" s="196">
        <v>1.32</v>
      </c>
      <c r="M447" s="196">
        <v>4568</v>
      </c>
      <c r="N447" s="196">
        <v>1875800</v>
      </c>
      <c r="O447" s="196">
        <v>1841</v>
      </c>
      <c r="P447" s="196" t="s">
        <v>984</v>
      </c>
      <c r="Q447" s="196" t="s">
        <v>985</v>
      </c>
      <c r="R447" s="196" t="s">
        <v>986</v>
      </c>
      <c r="S447" s="196" t="s">
        <v>844</v>
      </c>
      <c r="T447" s="196" t="s">
        <v>985</v>
      </c>
      <c r="U447" s="196" t="s">
        <v>987</v>
      </c>
      <c r="V447" s="196" t="s">
        <v>848</v>
      </c>
      <c r="W447" s="196" t="s">
        <v>848</v>
      </c>
      <c r="X447" s="196" t="s">
        <v>848</v>
      </c>
      <c r="Y447" s="196" t="s">
        <v>848</v>
      </c>
    </row>
    <row r="448" spans="1:25">
      <c r="A448" s="196" t="s">
        <v>837</v>
      </c>
      <c r="B448" s="196" t="s">
        <v>850</v>
      </c>
      <c r="C448" s="196">
        <v>2013</v>
      </c>
      <c r="D448" s="196">
        <v>55</v>
      </c>
      <c r="E448" s="196" t="s">
        <v>852</v>
      </c>
      <c r="F448" s="196" t="s">
        <v>1162</v>
      </c>
      <c r="G448" s="196">
        <v>3</v>
      </c>
      <c r="H448" s="196">
        <v>3</v>
      </c>
      <c r="I448" s="196">
        <v>4200</v>
      </c>
      <c r="J448" s="196">
        <v>18247</v>
      </c>
      <c r="K448" s="196">
        <v>67.709999999999994</v>
      </c>
      <c r="L448" s="196">
        <v>1.32</v>
      </c>
      <c r="M448" s="196">
        <v>4568</v>
      </c>
      <c r="N448" s="196">
        <v>1875800</v>
      </c>
      <c r="O448" s="196">
        <v>1841</v>
      </c>
      <c r="P448" s="196" t="s">
        <v>984</v>
      </c>
      <c r="Q448" s="196" t="s">
        <v>985</v>
      </c>
      <c r="R448" s="196" t="s">
        <v>986</v>
      </c>
      <c r="S448" s="196" t="s">
        <v>844</v>
      </c>
      <c r="T448" s="196" t="s">
        <v>985</v>
      </c>
      <c r="U448" s="196" t="s">
        <v>987</v>
      </c>
      <c r="V448" s="196" t="s">
        <v>848</v>
      </c>
      <c r="W448" s="196" t="s">
        <v>848</v>
      </c>
      <c r="X448" s="196" t="s">
        <v>848</v>
      </c>
      <c r="Y448" s="196" t="s">
        <v>848</v>
      </c>
    </row>
    <row r="449" spans="1:25">
      <c r="A449" s="196" t="s">
        <v>837</v>
      </c>
      <c r="B449" s="196" t="s">
        <v>838</v>
      </c>
      <c r="C449" s="196">
        <v>2014</v>
      </c>
      <c r="D449" s="196">
        <v>80</v>
      </c>
      <c r="E449" s="196" t="s">
        <v>853</v>
      </c>
      <c r="F449" s="196" t="s">
        <v>1162</v>
      </c>
      <c r="G449" s="196">
        <v>2</v>
      </c>
      <c r="H449" s="196">
        <v>1</v>
      </c>
      <c r="I449" s="196">
        <v>1815</v>
      </c>
      <c r="J449" s="196">
        <v>6747</v>
      </c>
      <c r="K449" s="196">
        <v>67.709999999999994</v>
      </c>
      <c r="L449" s="196">
        <v>1.32</v>
      </c>
      <c r="M449" s="196">
        <v>4568</v>
      </c>
      <c r="N449" s="196">
        <v>1875800</v>
      </c>
      <c r="O449" s="196">
        <v>1841</v>
      </c>
      <c r="P449" s="196" t="s">
        <v>984</v>
      </c>
      <c r="Q449" s="196" t="s">
        <v>985</v>
      </c>
      <c r="R449" s="196" t="s">
        <v>986</v>
      </c>
      <c r="S449" s="196" t="s">
        <v>844</v>
      </c>
      <c r="T449" s="196" t="s">
        <v>985</v>
      </c>
      <c r="U449" s="196" t="s">
        <v>987</v>
      </c>
      <c r="V449" s="196" t="s">
        <v>848</v>
      </c>
      <c r="W449" s="196" t="s">
        <v>848</v>
      </c>
      <c r="X449" s="196" t="s">
        <v>848</v>
      </c>
      <c r="Y449" s="196" t="s">
        <v>848</v>
      </c>
    </row>
    <row r="450" spans="1:25">
      <c r="A450" s="196" t="s">
        <v>837</v>
      </c>
      <c r="B450" s="196" t="s">
        <v>181</v>
      </c>
      <c r="C450" s="196">
        <v>2014</v>
      </c>
      <c r="D450" s="196">
        <v>80</v>
      </c>
      <c r="E450" s="196" t="s">
        <v>874</v>
      </c>
      <c r="F450" s="196" t="s">
        <v>1162</v>
      </c>
      <c r="G450" s="196">
        <v>1</v>
      </c>
      <c r="H450" s="196">
        <v>1</v>
      </c>
      <c r="I450" s="196">
        <v>1200</v>
      </c>
      <c r="J450" s="196">
        <v>16402</v>
      </c>
      <c r="K450" s="196">
        <v>67.709999999999994</v>
      </c>
      <c r="L450" s="196">
        <v>1.32</v>
      </c>
      <c r="M450" s="196">
        <v>4568</v>
      </c>
      <c r="N450" s="196">
        <v>1875800</v>
      </c>
      <c r="O450" s="196">
        <v>1841</v>
      </c>
      <c r="P450" s="196" t="s">
        <v>984</v>
      </c>
      <c r="Q450" s="196" t="s">
        <v>985</v>
      </c>
      <c r="R450" s="196" t="s">
        <v>986</v>
      </c>
      <c r="S450" s="196" t="s">
        <v>844</v>
      </c>
      <c r="T450" s="196" t="s">
        <v>985</v>
      </c>
      <c r="U450" s="196" t="s">
        <v>987</v>
      </c>
      <c r="V450" s="196" t="s">
        <v>848</v>
      </c>
      <c r="W450" s="196" t="s">
        <v>848</v>
      </c>
      <c r="X450" s="196" t="s">
        <v>848</v>
      </c>
      <c r="Y450" s="196" t="s">
        <v>848</v>
      </c>
    </row>
    <row r="451" spans="1:25">
      <c r="A451" s="196" t="s">
        <v>837</v>
      </c>
      <c r="B451" s="196" t="s">
        <v>850</v>
      </c>
      <c r="C451" s="196">
        <v>2014</v>
      </c>
      <c r="D451" s="196">
        <v>80</v>
      </c>
      <c r="E451" s="196" t="s">
        <v>918</v>
      </c>
      <c r="F451" s="196" t="s">
        <v>1162</v>
      </c>
      <c r="G451" s="196">
        <v>3</v>
      </c>
      <c r="H451" s="196">
        <v>2</v>
      </c>
      <c r="I451" s="196">
        <v>3015</v>
      </c>
      <c r="J451" s="196">
        <v>23149</v>
      </c>
      <c r="K451" s="196">
        <v>67.709999999999994</v>
      </c>
      <c r="L451" s="196">
        <v>1.32</v>
      </c>
      <c r="M451" s="196">
        <v>4568</v>
      </c>
      <c r="N451" s="196">
        <v>1875800</v>
      </c>
      <c r="O451" s="196">
        <v>1841</v>
      </c>
      <c r="P451" s="196" t="s">
        <v>984</v>
      </c>
      <c r="Q451" s="196" t="s">
        <v>985</v>
      </c>
      <c r="R451" s="196" t="s">
        <v>986</v>
      </c>
      <c r="S451" s="196" t="s">
        <v>844</v>
      </c>
      <c r="T451" s="196" t="s">
        <v>985</v>
      </c>
      <c r="U451" s="196" t="s">
        <v>987</v>
      </c>
      <c r="V451" s="196" t="s">
        <v>848</v>
      </c>
      <c r="W451" s="196" t="s">
        <v>848</v>
      </c>
      <c r="X451" s="196" t="s">
        <v>848</v>
      </c>
      <c r="Y451" s="196" t="s">
        <v>848</v>
      </c>
    </row>
    <row r="452" spans="1:25">
      <c r="A452" s="196" t="s">
        <v>837</v>
      </c>
      <c r="B452" s="196" t="s">
        <v>181</v>
      </c>
      <c r="C452" s="196">
        <v>2013</v>
      </c>
      <c r="D452" s="196">
        <v>80</v>
      </c>
      <c r="E452" s="196" t="s">
        <v>876</v>
      </c>
      <c r="F452" s="196" t="s">
        <v>1162</v>
      </c>
      <c r="G452" s="196">
        <v>4</v>
      </c>
      <c r="H452" s="196">
        <v>4</v>
      </c>
      <c r="I452" s="196">
        <v>5199</v>
      </c>
      <c r="J452" s="196">
        <v>36929</v>
      </c>
      <c r="K452" s="196">
        <v>67.709999999999994</v>
      </c>
      <c r="L452" s="196">
        <v>1.32</v>
      </c>
      <c r="M452" s="196">
        <v>4568</v>
      </c>
      <c r="N452" s="196">
        <v>1875800</v>
      </c>
      <c r="O452" s="196">
        <v>1841</v>
      </c>
      <c r="P452" s="196" t="s">
        <v>984</v>
      </c>
      <c r="Q452" s="196" t="s">
        <v>985</v>
      </c>
      <c r="R452" s="196" t="s">
        <v>986</v>
      </c>
      <c r="S452" s="196" t="s">
        <v>844</v>
      </c>
      <c r="T452" s="196" t="s">
        <v>985</v>
      </c>
      <c r="U452" s="196" t="s">
        <v>987</v>
      </c>
      <c r="V452" s="196" t="s">
        <v>848</v>
      </c>
      <c r="W452" s="196" t="s">
        <v>848</v>
      </c>
      <c r="X452" s="196" t="s">
        <v>848</v>
      </c>
      <c r="Y452" s="196" t="s">
        <v>848</v>
      </c>
    </row>
    <row r="453" spans="1:25">
      <c r="A453" s="196" t="s">
        <v>837</v>
      </c>
      <c r="B453" s="196" t="s">
        <v>850</v>
      </c>
      <c r="C453" s="196">
        <v>2014</v>
      </c>
      <c r="D453" s="196">
        <v>30</v>
      </c>
      <c r="E453" s="196" t="s">
        <v>860</v>
      </c>
      <c r="F453" s="196" t="s">
        <v>1162</v>
      </c>
      <c r="G453" s="196">
        <v>1</v>
      </c>
      <c r="H453" s="196">
        <v>1</v>
      </c>
      <c r="I453" s="196">
        <v>978</v>
      </c>
      <c r="J453" s="196">
        <v>5508</v>
      </c>
      <c r="K453" s="196">
        <v>67.709999999999994</v>
      </c>
      <c r="L453" s="196">
        <v>1.32</v>
      </c>
      <c r="M453" s="196">
        <v>4568</v>
      </c>
      <c r="N453" s="196">
        <v>1875800</v>
      </c>
      <c r="O453" s="196">
        <v>1841</v>
      </c>
      <c r="P453" s="196" t="s">
        <v>984</v>
      </c>
      <c r="Q453" s="196" t="s">
        <v>985</v>
      </c>
      <c r="R453" s="196" t="s">
        <v>986</v>
      </c>
      <c r="S453" s="196" t="s">
        <v>844</v>
      </c>
      <c r="T453" s="196" t="s">
        <v>985</v>
      </c>
      <c r="U453" s="196" t="s">
        <v>987</v>
      </c>
      <c r="V453" s="196" t="s">
        <v>848</v>
      </c>
      <c r="W453" s="196" t="s">
        <v>848</v>
      </c>
      <c r="X453" s="196" t="s">
        <v>848</v>
      </c>
      <c r="Y453" s="196" t="s">
        <v>848</v>
      </c>
    </row>
    <row r="454" spans="1:25">
      <c r="A454" s="196" t="s">
        <v>837</v>
      </c>
      <c r="B454" s="196" t="s">
        <v>850</v>
      </c>
      <c r="C454" s="196">
        <v>2014</v>
      </c>
      <c r="D454" s="196">
        <v>55</v>
      </c>
      <c r="E454" s="196" t="s">
        <v>862</v>
      </c>
      <c r="F454" s="196" t="s">
        <v>1162</v>
      </c>
      <c r="G454" s="196">
        <v>9</v>
      </c>
      <c r="H454" s="196">
        <v>9</v>
      </c>
      <c r="I454" s="196">
        <v>10655</v>
      </c>
      <c r="J454" s="196">
        <v>42076</v>
      </c>
      <c r="K454" s="196">
        <v>67.709999999999994</v>
      </c>
      <c r="L454" s="196">
        <v>1.32</v>
      </c>
      <c r="M454" s="196">
        <v>4568</v>
      </c>
      <c r="N454" s="196">
        <v>1875800</v>
      </c>
      <c r="O454" s="196">
        <v>1841</v>
      </c>
      <c r="P454" s="196" t="s">
        <v>984</v>
      </c>
      <c r="Q454" s="196" t="s">
        <v>985</v>
      </c>
      <c r="R454" s="196" t="s">
        <v>986</v>
      </c>
      <c r="S454" s="196" t="s">
        <v>844</v>
      </c>
      <c r="T454" s="196" t="s">
        <v>985</v>
      </c>
      <c r="U454" s="196" t="s">
        <v>987</v>
      </c>
      <c r="V454" s="196" t="s">
        <v>848</v>
      </c>
      <c r="W454" s="196" t="s">
        <v>848</v>
      </c>
      <c r="X454" s="196" t="s">
        <v>848</v>
      </c>
      <c r="Y454" s="196" t="s">
        <v>848</v>
      </c>
    </row>
    <row r="455" spans="1:25">
      <c r="A455" s="196" t="s">
        <v>837</v>
      </c>
      <c r="B455" s="196" t="s">
        <v>838</v>
      </c>
      <c r="C455" s="196">
        <v>2013</v>
      </c>
      <c r="D455" s="196">
        <v>30</v>
      </c>
      <c r="E455" s="196" t="s">
        <v>839</v>
      </c>
      <c r="F455" s="196" t="s">
        <v>1163</v>
      </c>
      <c r="G455" s="196">
        <v>1</v>
      </c>
      <c r="H455" s="196">
        <v>1</v>
      </c>
      <c r="I455" s="196">
        <v>1410</v>
      </c>
      <c r="J455" s="196">
        <v>9862</v>
      </c>
      <c r="K455" s="196">
        <v>79.48</v>
      </c>
      <c r="L455" s="196">
        <v>2.36</v>
      </c>
      <c r="M455" s="196">
        <v>6794</v>
      </c>
      <c r="N455" s="196">
        <v>1371035</v>
      </c>
      <c r="O455" s="196">
        <v>1442</v>
      </c>
      <c r="P455" s="196" t="s">
        <v>993</v>
      </c>
      <c r="Q455" s="196" t="s">
        <v>923</v>
      </c>
      <c r="R455" s="196" t="s">
        <v>1047</v>
      </c>
      <c r="S455" s="196" t="s">
        <v>844</v>
      </c>
      <c r="T455" s="196" t="s">
        <v>923</v>
      </c>
      <c r="U455" s="196" t="s">
        <v>1048</v>
      </c>
      <c r="V455" s="196" t="s">
        <v>1049</v>
      </c>
      <c r="W455" s="196" t="s">
        <v>1050</v>
      </c>
      <c r="X455" s="196" t="s">
        <v>1051</v>
      </c>
      <c r="Y455" s="196" t="s">
        <v>848</v>
      </c>
    </row>
    <row r="456" spans="1:25">
      <c r="A456" s="196" t="s">
        <v>837</v>
      </c>
      <c r="B456" s="196" t="s">
        <v>838</v>
      </c>
      <c r="C456" s="196">
        <v>2013</v>
      </c>
      <c r="D456" s="196">
        <v>55</v>
      </c>
      <c r="E456" s="196" t="s">
        <v>849</v>
      </c>
      <c r="F456" s="196" t="s">
        <v>1163</v>
      </c>
      <c r="G456" s="196">
        <v>1</v>
      </c>
      <c r="H456" s="196">
        <v>1</v>
      </c>
      <c r="I456" s="196">
        <v>1008</v>
      </c>
      <c r="J456" s="196">
        <v>2526</v>
      </c>
      <c r="K456" s="196">
        <v>79.48</v>
      </c>
      <c r="L456" s="196">
        <v>2.36</v>
      </c>
      <c r="M456" s="196">
        <v>6794</v>
      </c>
      <c r="N456" s="196">
        <v>1371035</v>
      </c>
      <c r="O456" s="196">
        <v>1442</v>
      </c>
      <c r="P456" s="196" t="s">
        <v>993</v>
      </c>
      <c r="Q456" s="196" t="s">
        <v>923</v>
      </c>
      <c r="R456" s="196" t="s">
        <v>1047</v>
      </c>
      <c r="S456" s="196" t="s">
        <v>844</v>
      </c>
      <c r="T456" s="196" t="s">
        <v>923</v>
      </c>
      <c r="U456" s="196" t="s">
        <v>1048</v>
      </c>
      <c r="V456" s="196" t="s">
        <v>1049</v>
      </c>
      <c r="W456" s="196" t="s">
        <v>1050</v>
      </c>
      <c r="X456" s="196" t="s">
        <v>1051</v>
      </c>
      <c r="Y456" s="196" t="s">
        <v>848</v>
      </c>
    </row>
    <row r="457" spans="1:25">
      <c r="A457" s="196" t="s">
        <v>837</v>
      </c>
      <c r="B457" s="196" t="s">
        <v>850</v>
      </c>
      <c r="C457" s="196">
        <v>2013</v>
      </c>
      <c r="D457" s="196">
        <v>55</v>
      </c>
      <c r="E457" s="196" t="s">
        <v>852</v>
      </c>
      <c r="F457" s="196" t="s">
        <v>1163</v>
      </c>
      <c r="G457" s="196">
        <v>1</v>
      </c>
      <c r="H457" s="196">
        <v>1</v>
      </c>
      <c r="I457" s="196">
        <v>2316</v>
      </c>
      <c r="J457" s="196">
        <v>6456</v>
      </c>
      <c r="K457" s="196">
        <v>79.48</v>
      </c>
      <c r="L457" s="196">
        <v>2.36</v>
      </c>
      <c r="M457" s="196">
        <v>6794</v>
      </c>
      <c r="N457" s="196">
        <v>1371035</v>
      </c>
      <c r="O457" s="196">
        <v>1442</v>
      </c>
      <c r="P457" s="196" t="s">
        <v>993</v>
      </c>
      <c r="Q457" s="196" t="s">
        <v>923</v>
      </c>
      <c r="R457" s="196" t="s">
        <v>1047</v>
      </c>
      <c r="S457" s="196" t="s">
        <v>844</v>
      </c>
      <c r="T457" s="196" t="s">
        <v>923</v>
      </c>
      <c r="U457" s="196" t="s">
        <v>1048</v>
      </c>
      <c r="V457" s="196" t="s">
        <v>1049</v>
      </c>
      <c r="W457" s="196" t="s">
        <v>1050</v>
      </c>
      <c r="X457" s="196" t="s">
        <v>1051</v>
      </c>
      <c r="Y457" s="196" t="s">
        <v>848</v>
      </c>
    </row>
    <row r="458" spans="1:25">
      <c r="A458" s="196" t="s">
        <v>837</v>
      </c>
      <c r="B458" s="196" t="s">
        <v>181</v>
      </c>
      <c r="C458" s="196">
        <v>2014</v>
      </c>
      <c r="D458" s="196">
        <v>80</v>
      </c>
      <c r="E458" s="196" t="s">
        <v>874</v>
      </c>
      <c r="F458" s="196" t="s">
        <v>1163</v>
      </c>
      <c r="G458" s="196">
        <v>2</v>
      </c>
      <c r="H458" s="196">
        <v>2</v>
      </c>
      <c r="I458" s="196">
        <v>4350</v>
      </c>
      <c r="J458" s="196">
        <v>6715</v>
      </c>
      <c r="K458" s="196">
        <v>79.48</v>
      </c>
      <c r="L458" s="196">
        <v>2.36</v>
      </c>
      <c r="M458" s="196">
        <v>6794</v>
      </c>
      <c r="N458" s="196">
        <v>1371035</v>
      </c>
      <c r="O458" s="196">
        <v>1442</v>
      </c>
      <c r="P458" s="196" t="s">
        <v>993</v>
      </c>
      <c r="Q458" s="196" t="s">
        <v>923</v>
      </c>
      <c r="R458" s="196" t="s">
        <v>1047</v>
      </c>
      <c r="S458" s="196" t="s">
        <v>844</v>
      </c>
      <c r="T458" s="196" t="s">
        <v>923</v>
      </c>
      <c r="U458" s="196" t="s">
        <v>1048</v>
      </c>
      <c r="V458" s="196" t="s">
        <v>1049</v>
      </c>
      <c r="W458" s="196" t="s">
        <v>1050</v>
      </c>
      <c r="X458" s="196" t="s">
        <v>1051</v>
      </c>
      <c r="Y458" s="196" t="s">
        <v>848</v>
      </c>
    </row>
    <row r="459" spans="1:25">
      <c r="A459" s="196" t="s">
        <v>837</v>
      </c>
      <c r="B459" s="196" t="s">
        <v>838</v>
      </c>
      <c r="C459" s="196">
        <v>2014</v>
      </c>
      <c r="D459" s="196">
        <v>55</v>
      </c>
      <c r="E459" s="196" t="s">
        <v>855</v>
      </c>
      <c r="F459" s="196" t="s">
        <v>1163</v>
      </c>
      <c r="G459" s="196">
        <v>1</v>
      </c>
      <c r="H459" s="196">
        <v>1</v>
      </c>
      <c r="I459" s="196">
        <v>1008</v>
      </c>
      <c r="J459" s="196">
        <v>2526</v>
      </c>
      <c r="K459" s="196">
        <v>79.48</v>
      </c>
      <c r="L459" s="196">
        <v>2.36</v>
      </c>
      <c r="M459" s="196">
        <v>6794</v>
      </c>
      <c r="N459" s="196">
        <v>1371035</v>
      </c>
      <c r="O459" s="196">
        <v>1442</v>
      </c>
      <c r="P459" s="196" t="s">
        <v>993</v>
      </c>
      <c r="Q459" s="196" t="s">
        <v>923</v>
      </c>
      <c r="R459" s="196" t="s">
        <v>1047</v>
      </c>
      <c r="S459" s="196" t="s">
        <v>844</v>
      </c>
      <c r="T459" s="196" t="s">
        <v>923</v>
      </c>
      <c r="U459" s="196" t="s">
        <v>1048</v>
      </c>
      <c r="V459" s="196" t="s">
        <v>1049</v>
      </c>
      <c r="W459" s="196" t="s">
        <v>1050</v>
      </c>
      <c r="X459" s="196" t="s">
        <v>1051</v>
      </c>
      <c r="Y459" s="196" t="s">
        <v>848</v>
      </c>
    </row>
    <row r="460" spans="1:25">
      <c r="A460" s="196" t="s">
        <v>837</v>
      </c>
      <c r="B460" s="196" t="s">
        <v>850</v>
      </c>
      <c r="C460" s="196">
        <v>2014</v>
      </c>
      <c r="D460" s="196">
        <v>55</v>
      </c>
      <c r="E460" s="196" t="s">
        <v>862</v>
      </c>
      <c r="F460" s="196" t="s">
        <v>1163</v>
      </c>
      <c r="G460" s="196">
        <v>1</v>
      </c>
      <c r="H460" s="196">
        <v>1</v>
      </c>
      <c r="I460" s="196">
        <v>1008</v>
      </c>
      <c r="J460" s="196">
        <v>2526</v>
      </c>
      <c r="K460" s="196">
        <v>79.48</v>
      </c>
      <c r="L460" s="196">
        <v>2.36</v>
      </c>
      <c r="M460" s="196">
        <v>6794</v>
      </c>
      <c r="N460" s="196">
        <v>1371035</v>
      </c>
      <c r="O460" s="196">
        <v>1442</v>
      </c>
      <c r="P460" s="196" t="s">
        <v>993</v>
      </c>
      <c r="Q460" s="196" t="s">
        <v>923</v>
      </c>
      <c r="R460" s="196" t="s">
        <v>1047</v>
      </c>
      <c r="S460" s="196" t="s">
        <v>844</v>
      </c>
      <c r="T460" s="196" t="s">
        <v>923</v>
      </c>
      <c r="U460" s="196" t="s">
        <v>1048</v>
      </c>
      <c r="V460" s="196" t="s">
        <v>1049</v>
      </c>
      <c r="W460" s="196" t="s">
        <v>1050</v>
      </c>
      <c r="X460" s="196" t="s">
        <v>1051</v>
      </c>
      <c r="Y460" s="196" t="s">
        <v>848</v>
      </c>
    </row>
    <row r="461" spans="1:25">
      <c r="A461" s="196" t="s">
        <v>837</v>
      </c>
      <c r="B461" s="196" t="s">
        <v>838</v>
      </c>
      <c r="C461" s="196">
        <v>2013</v>
      </c>
      <c r="D461" s="196">
        <v>30</v>
      </c>
      <c r="E461" s="196" t="s">
        <v>839</v>
      </c>
      <c r="F461" s="196" t="s">
        <v>1164</v>
      </c>
      <c r="G461" s="196">
        <v>1</v>
      </c>
      <c r="H461" s="196">
        <v>1</v>
      </c>
      <c r="I461" s="196">
        <v>834</v>
      </c>
      <c r="J461" s="196">
        <v>15443</v>
      </c>
      <c r="K461" s="196">
        <v>68.53</v>
      </c>
      <c r="L461" s="196">
        <v>0.83</v>
      </c>
      <c r="M461" s="196">
        <v>7023</v>
      </c>
      <c r="N461" s="196">
        <v>1119998</v>
      </c>
      <c r="O461" s="196">
        <v>1169</v>
      </c>
      <c r="P461" s="196" t="s">
        <v>878</v>
      </c>
      <c r="Q461" s="196" t="s">
        <v>844</v>
      </c>
      <c r="R461" s="196" t="s">
        <v>844</v>
      </c>
      <c r="S461" s="196" t="s">
        <v>844</v>
      </c>
      <c r="T461" s="196" t="s">
        <v>1165</v>
      </c>
      <c r="U461" s="196" t="s">
        <v>1166</v>
      </c>
      <c r="V461" s="196" t="s">
        <v>1167</v>
      </c>
      <c r="W461" s="196" t="s">
        <v>1168</v>
      </c>
      <c r="X461" s="196" t="s">
        <v>848</v>
      </c>
      <c r="Y461" s="196" t="s">
        <v>848</v>
      </c>
    </row>
    <row r="462" spans="1:25">
      <c r="A462" s="196" t="s">
        <v>837</v>
      </c>
      <c r="B462" s="196" t="s">
        <v>850</v>
      </c>
      <c r="C462" s="196">
        <v>2013</v>
      </c>
      <c r="D462" s="196">
        <v>30</v>
      </c>
      <c r="E462" s="196" t="s">
        <v>851</v>
      </c>
      <c r="F462" s="196" t="s">
        <v>1169</v>
      </c>
      <c r="G462" s="196">
        <v>1</v>
      </c>
      <c r="H462" s="196">
        <v>1</v>
      </c>
      <c r="I462" s="196">
        <v>1854</v>
      </c>
      <c r="J462" s="196">
        <v>8988</v>
      </c>
      <c r="K462" s="196">
        <v>79.42</v>
      </c>
      <c r="L462" s="196">
        <v>25.45</v>
      </c>
      <c r="M462" s="196">
        <v>4901</v>
      </c>
      <c r="N462" s="196">
        <v>2054135</v>
      </c>
      <c r="O462" s="196">
        <v>2274</v>
      </c>
      <c r="P462" s="196" t="s">
        <v>878</v>
      </c>
      <c r="Q462" s="196" t="s">
        <v>942</v>
      </c>
      <c r="R462" s="196" t="s">
        <v>943</v>
      </c>
      <c r="S462" s="196" t="s">
        <v>844</v>
      </c>
      <c r="T462" s="196" t="s">
        <v>942</v>
      </c>
      <c r="U462" s="196" t="s">
        <v>1170</v>
      </c>
      <c r="V462" s="196" t="s">
        <v>1171</v>
      </c>
      <c r="W462" s="196" t="s">
        <v>1172</v>
      </c>
      <c r="X462" s="196" t="s">
        <v>1173</v>
      </c>
      <c r="Y462" s="196" t="s">
        <v>1174</v>
      </c>
    </row>
    <row r="463" spans="1:25">
      <c r="A463" s="196" t="s">
        <v>837</v>
      </c>
      <c r="B463" s="196" t="s">
        <v>181</v>
      </c>
      <c r="C463" s="196">
        <v>2014</v>
      </c>
      <c r="D463" s="196">
        <v>80</v>
      </c>
      <c r="E463" s="196" t="s">
        <v>874</v>
      </c>
      <c r="F463" s="196" t="s">
        <v>1169</v>
      </c>
      <c r="G463" s="196">
        <v>2</v>
      </c>
      <c r="H463" s="196">
        <v>2</v>
      </c>
      <c r="I463" s="196">
        <v>2460</v>
      </c>
      <c r="J463" s="196">
        <v>9648</v>
      </c>
      <c r="K463" s="196">
        <v>79.42</v>
      </c>
      <c r="L463" s="196">
        <v>25.45</v>
      </c>
      <c r="M463" s="196">
        <v>4901</v>
      </c>
      <c r="N463" s="196">
        <v>2054135</v>
      </c>
      <c r="O463" s="196">
        <v>2274</v>
      </c>
      <c r="P463" s="196" t="s">
        <v>878</v>
      </c>
      <c r="Q463" s="196" t="s">
        <v>942</v>
      </c>
      <c r="R463" s="196" t="s">
        <v>943</v>
      </c>
      <c r="S463" s="196" t="s">
        <v>844</v>
      </c>
      <c r="T463" s="196" t="s">
        <v>942</v>
      </c>
      <c r="U463" s="196" t="s">
        <v>1170</v>
      </c>
      <c r="V463" s="196" t="s">
        <v>1171</v>
      </c>
      <c r="W463" s="196" t="s">
        <v>1172</v>
      </c>
      <c r="X463" s="196" t="s">
        <v>1173</v>
      </c>
      <c r="Y463" s="196" t="s">
        <v>1174</v>
      </c>
    </row>
    <row r="464" spans="1:25">
      <c r="A464" s="196" t="s">
        <v>837</v>
      </c>
      <c r="B464" s="196" t="s">
        <v>850</v>
      </c>
      <c r="C464" s="196">
        <v>2013</v>
      </c>
      <c r="D464" s="196">
        <v>55</v>
      </c>
      <c r="E464" s="196" t="s">
        <v>852</v>
      </c>
      <c r="F464" s="196" t="s">
        <v>1175</v>
      </c>
      <c r="G464" s="196">
        <v>2</v>
      </c>
      <c r="H464" s="196">
        <v>2</v>
      </c>
      <c r="I464" s="196">
        <v>2337</v>
      </c>
      <c r="J464" s="196">
        <v>8969</v>
      </c>
      <c r="K464" s="196">
        <v>73.27</v>
      </c>
      <c r="L464" s="196">
        <v>1.0900000000000001</v>
      </c>
      <c r="M464" s="196">
        <v>5866</v>
      </c>
      <c r="N464" s="196">
        <v>2164165</v>
      </c>
      <c r="O464" s="196">
        <v>2058</v>
      </c>
      <c r="P464" s="196" t="s">
        <v>878</v>
      </c>
      <c r="Q464" s="196" t="s">
        <v>1176</v>
      </c>
      <c r="R464" s="196" t="s">
        <v>1177</v>
      </c>
      <c r="S464" s="196" t="s">
        <v>844</v>
      </c>
      <c r="T464" s="196" t="s">
        <v>1178</v>
      </c>
      <c r="U464" s="196" t="s">
        <v>1179</v>
      </c>
      <c r="V464" s="196" t="s">
        <v>1180</v>
      </c>
      <c r="W464" s="196" t="s">
        <v>1181</v>
      </c>
      <c r="X464" s="196" t="s">
        <v>1176</v>
      </c>
      <c r="Y464" s="196" t="s">
        <v>848</v>
      </c>
    </row>
    <row r="465" spans="1:25">
      <c r="A465" s="196" t="s">
        <v>837</v>
      </c>
      <c r="B465" s="196" t="s">
        <v>850</v>
      </c>
      <c r="C465" s="196">
        <v>2013</v>
      </c>
      <c r="D465" s="196">
        <v>80</v>
      </c>
      <c r="E465" s="196" t="s">
        <v>917</v>
      </c>
      <c r="F465" s="196" t="s">
        <v>1175</v>
      </c>
      <c r="G465" s="196">
        <v>1</v>
      </c>
      <c r="H465" s="196">
        <v>1</v>
      </c>
      <c r="I465" s="196">
        <v>1194</v>
      </c>
      <c r="J465" s="196">
        <v>5319</v>
      </c>
      <c r="K465" s="196">
        <v>73.27</v>
      </c>
      <c r="L465" s="196">
        <v>1.0900000000000001</v>
      </c>
      <c r="M465" s="196">
        <v>5866</v>
      </c>
      <c r="N465" s="196">
        <v>2164165</v>
      </c>
      <c r="O465" s="196">
        <v>2058</v>
      </c>
      <c r="P465" s="196" t="s">
        <v>878</v>
      </c>
      <c r="Q465" s="196" t="s">
        <v>1176</v>
      </c>
      <c r="R465" s="196" t="s">
        <v>1177</v>
      </c>
      <c r="S465" s="196" t="s">
        <v>844</v>
      </c>
      <c r="T465" s="196" t="s">
        <v>1178</v>
      </c>
      <c r="U465" s="196" t="s">
        <v>1179</v>
      </c>
      <c r="V465" s="196" t="s">
        <v>1180</v>
      </c>
      <c r="W465" s="196" t="s">
        <v>1181</v>
      </c>
      <c r="X465" s="196" t="s">
        <v>1176</v>
      </c>
      <c r="Y465" s="196" t="s">
        <v>848</v>
      </c>
    </row>
    <row r="466" spans="1:25">
      <c r="A466" s="196" t="s">
        <v>837</v>
      </c>
      <c r="B466" s="196" t="s">
        <v>838</v>
      </c>
      <c r="C466" s="196">
        <v>2014</v>
      </c>
      <c r="D466" s="196">
        <v>55</v>
      </c>
      <c r="E466" s="196" t="s">
        <v>854</v>
      </c>
      <c r="F466" s="196" t="s">
        <v>1175</v>
      </c>
      <c r="G466" s="196">
        <v>1</v>
      </c>
      <c r="H466" s="196">
        <v>1</v>
      </c>
      <c r="I466" s="196">
        <v>1143</v>
      </c>
      <c r="J466" s="196">
        <v>3650</v>
      </c>
      <c r="K466" s="196">
        <v>73.27</v>
      </c>
      <c r="L466" s="196">
        <v>1.0900000000000001</v>
      </c>
      <c r="M466" s="196">
        <v>5866</v>
      </c>
      <c r="N466" s="196">
        <v>2164165</v>
      </c>
      <c r="O466" s="196">
        <v>2058</v>
      </c>
      <c r="P466" s="196" t="s">
        <v>878</v>
      </c>
      <c r="Q466" s="196" t="s">
        <v>1176</v>
      </c>
      <c r="R466" s="196" t="s">
        <v>1177</v>
      </c>
      <c r="S466" s="196" t="s">
        <v>844</v>
      </c>
      <c r="T466" s="196" t="s">
        <v>1178</v>
      </c>
      <c r="U466" s="196" t="s">
        <v>1179</v>
      </c>
      <c r="V466" s="196" t="s">
        <v>1180</v>
      </c>
      <c r="W466" s="196" t="s">
        <v>1181</v>
      </c>
      <c r="X466" s="196" t="s">
        <v>1176</v>
      </c>
      <c r="Y466" s="196" t="s">
        <v>848</v>
      </c>
    </row>
    <row r="467" spans="1:25">
      <c r="A467" s="196" t="s">
        <v>837</v>
      </c>
      <c r="B467" s="196" t="s">
        <v>181</v>
      </c>
      <c r="C467" s="196">
        <v>2014</v>
      </c>
      <c r="D467" s="196">
        <v>55</v>
      </c>
      <c r="E467" s="196" t="s">
        <v>858</v>
      </c>
      <c r="F467" s="196" t="s">
        <v>1175</v>
      </c>
      <c r="G467" s="196">
        <v>1</v>
      </c>
      <c r="H467" s="196">
        <v>1</v>
      </c>
      <c r="I467" s="196">
        <v>1143</v>
      </c>
      <c r="J467" s="196">
        <v>3650</v>
      </c>
      <c r="K467" s="196">
        <v>73.27</v>
      </c>
      <c r="L467" s="196">
        <v>1.0900000000000001</v>
      </c>
      <c r="M467" s="196">
        <v>5866</v>
      </c>
      <c r="N467" s="196">
        <v>2164165</v>
      </c>
      <c r="O467" s="196">
        <v>2058</v>
      </c>
      <c r="P467" s="196" t="s">
        <v>878</v>
      </c>
      <c r="Q467" s="196" t="s">
        <v>1176</v>
      </c>
      <c r="R467" s="196" t="s">
        <v>1177</v>
      </c>
      <c r="S467" s="196" t="s">
        <v>844</v>
      </c>
      <c r="T467" s="196" t="s">
        <v>1178</v>
      </c>
      <c r="U467" s="196" t="s">
        <v>1179</v>
      </c>
      <c r="V467" s="196" t="s">
        <v>1180</v>
      </c>
      <c r="W467" s="196" t="s">
        <v>1181</v>
      </c>
      <c r="X467" s="196" t="s">
        <v>1176</v>
      </c>
      <c r="Y467" s="196" t="s">
        <v>848</v>
      </c>
    </row>
    <row r="468" spans="1:25">
      <c r="A468" s="196" t="s">
        <v>837</v>
      </c>
      <c r="B468" s="196" t="s">
        <v>850</v>
      </c>
      <c r="C468" s="196">
        <v>2013</v>
      </c>
      <c r="D468" s="196">
        <v>30</v>
      </c>
      <c r="E468" s="196" t="s">
        <v>851</v>
      </c>
      <c r="F468" s="196" t="s">
        <v>1182</v>
      </c>
      <c r="G468" s="196">
        <v>1</v>
      </c>
      <c r="H468" s="196">
        <v>1</v>
      </c>
      <c r="I468" s="196">
        <v>1020</v>
      </c>
      <c r="J468" s="196">
        <v>5448</v>
      </c>
      <c r="K468" s="196">
        <v>64.59</v>
      </c>
      <c r="L468" s="196">
        <v>1.18</v>
      </c>
      <c r="M468" s="196">
        <v>4996</v>
      </c>
      <c r="N468" s="196">
        <v>1414545</v>
      </c>
      <c r="O468" s="196">
        <v>1540</v>
      </c>
      <c r="P468" s="196" t="s">
        <v>950</v>
      </c>
      <c r="Q468" s="196" t="s">
        <v>1183</v>
      </c>
      <c r="R468" s="196" t="s">
        <v>1184</v>
      </c>
      <c r="S468" s="196" t="s">
        <v>953</v>
      </c>
      <c r="T468" s="196" t="s">
        <v>954</v>
      </c>
      <c r="U468" s="196" t="s">
        <v>1185</v>
      </c>
      <c r="V468" s="196" t="s">
        <v>1186</v>
      </c>
      <c r="W468" s="196" t="s">
        <v>1183</v>
      </c>
      <c r="X468" s="196" t="s">
        <v>1187</v>
      </c>
      <c r="Y468" s="196" t="s">
        <v>1188</v>
      </c>
    </row>
    <row r="469" spans="1:25">
      <c r="A469" s="196" t="s">
        <v>837</v>
      </c>
      <c r="B469" s="196" t="s">
        <v>850</v>
      </c>
      <c r="C469" s="196">
        <v>2013</v>
      </c>
      <c r="D469" s="196">
        <v>55</v>
      </c>
      <c r="E469" s="196" t="s">
        <v>852</v>
      </c>
      <c r="F469" s="196" t="s">
        <v>1182</v>
      </c>
      <c r="G469" s="196">
        <v>6</v>
      </c>
      <c r="H469" s="196">
        <v>6</v>
      </c>
      <c r="I469" s="196">
        <v>5253</v>
      </c>
      <c r="J469" s="196">
        <v>30401</v>
      </c>
      <c r="K469" s="196">
        <v>64.59</v>
      </c>
      <c r="L469" s="196">
        <v>1.18</v>
      </c>
      <c r="M469" s="196">
        <v>4996</v>
      </c>
      <c r="N469" s="196">
        <v>1414545</v>
      </c>
      <c r="O469" s="196">
        <v>1540</v>
      </c>
      <c r="P469" s="196" t="s">
        <v>950</v>
      </c>
      <c r="Q469" s="196" t="s">
        <v>1183</v>
      </c>
      <c r="R469" s="196" t="s">
        <v>1184</v>
      </c>
      <c r="S469" s="196" t="s">
        <v>953</v>
      </c>
      <c r="T469" s="196" t="s">
        <v>954</v>
      </c>
      <c r="U469" s="196" t="s">
        <v>1185</v>
      </c>
      <c r="V469" s="196" t="s">
        <v>1186</v>
      </c>
      <c r="W469" s="196" t="s">
        <v>1183</v>
      </c>
      <c r="X469" s="196" t="s">
        <v>1187</v>
      </c>
      <c r="Y469" s="196" t="s">
        <v>1188</v>
      </c>
    </row>
    <row r="470" spans="1:25">
      <c r="A470" s="196" t="s">
        <v>837</v>
      </c>
      <c r="B470" s="196" t="s">
        <v>850</v>
      </c>
      <c r="C470" s="196">
        <v>2013</v>
      </c>
      <c r="D470" s="196">
        <v>80</v>
      </c>
      <c r="E470" s="196" t="s">
        <v>917</v>
      </c>
      <c r="F470" s="196" t="s">
        <v>1182</v>
      </c>
      <c r="G470" s="196">
        <v>2</v>
      </c>
      <c r="H470" s="196">
        <v>2</v>
      </c>
      <c r="I470" s="196">
        <v>3042</v>
      </c>
      <c r="J470" s="196">
        <v>7048</v>
      </c>
      <c r="K470" s="196">
        <v>64.59</v>
      </c>
      <c r="L470" s="196">
        <v>1.18</v>
      </c>
      <c r="M470" s="196">
        <v>4996</v>
      </c>
      <c r="N470" s="196">
        <v>1414545</v>
      </c>
      <c r="O470" s="196">
        <v>1540</v>
      </c>
      <c r="P470" s="196" t="s">
        <v>950</v>
      </c>
      <c r="Q470" s="196" t="s">
        <v>1183</v>
      </c>
      <c r="R470" s="196" t="s">
        <v>1184</v>
      </c>
      <c r="S470" s="196" t="s">
        <v>953</v>
      </c>
      <c r="T470" s="196" t="s">
        <v>954</v>
      </c>
      <c r="U470" s="196" t="s">
        <v>1185</v>
      </c>
      <c r="V470" s="196" t="s">
        <v>1186</v>
      </c>
      <c r="W470" s="196" t="s">
        <v>1183</v>
      </c>
      <c r="X470" s="196" t="s">
        <v>1187</v>
      </c>
      <c r="Y470" s="196" t="s">
        <v>1188</v>
      </c>
    </row>
    <row r="471" spans="1:25">
      <c r="A471" s="196" t="s">
        <v>837</v>
      </c>
      <c r="B471" s="196" t="s">
        <v>181</v>
      </c>
      <c r="C471" s="196">
        <v>2014</v>
      </c>
      <c r="D471" s="196">
        <v>80</v>
      </c>
      <c r="E471" s="196" t="s">
        <v>874</v>
      </c>
      <c r="F471" s="196" t="s">
        <v>1182</v>
      </c>
      <c r="G471" s="196">
        <v>1</v>
      </c>
      <c r="H471" s="196">
        <v>1</v>
      </c>
      <c r="I471" s="196">
        <v>2580</v>
      </c>
      <c r="J471" s="196">
        <v>3377</v>
      </c>
      <c r="K471" s="196">
        <v>64.59</v>
      </c>
      <c r="L471" s="196">
        <v>1.18</v>
      </c>
      <c r="M471" s="196">
        <v>4996</v>
      </c>
      <c r="N471" s="196">
        <v>1414545</v>
      </c>
      <c r="O471" s="196">
        <v>1540</v>
      </c>
      <c r="P471" s="196" t="s">
        <v>950</v>
      </c>
      <c r="Q471" s="196" t="s">
        <v>1183</v>
      </c>
      <c r="R471" s="196" t="s">
        <v>1184</v>
      </c>
      <c r="S471" s="196" t="s">
        <v>953</v>
      </c>
      <c r="T471" s="196" t="s">
        <v>954</v>
      </c>
      <c r="U471" s="196" t="s">
        <v>1185</v>
      </c>
      <c r="V471" s="196" t="s">
        <v>1186</v>
      </c>
      <c r="W471" s="196" t="s">
        <v>1183</v>
      </c>
      <c r="X471" s="196" t="s">
        <v>1187</v>
      </c>
      <c r="Y471" s="196" t="s">
        <v>1188</v>
      </c>
    </row>
    <row r="472" spans="1:25">
      <c r="A472" s="196" t="s">
        <v>837</v>
      </c>
      <c r="B472" s="196" t="s">
        <v>850</v>
      </c>
      <c r="C472" s="196">
        <v>2014</v>
      </c>
      <c r="D472" s="196">
        <v>80</v>
      </c>
      <c r="E472" s="196" t="s">
        <v>875</v>
      </c>
      <c r="F472" s="196" t="s">
        <v>1182</v>
      </c>
      <c r="G472" s="196">
        <v>1</v>
      </c>
      <c r="H472" s="196">
        <v>1</v>
      </c>
      <c r="I472" s="196">
        <v>1557</v>
      </c>
      <c r="J472" s="196">
        <v>3847</v>
      </c>
      <c r="K472" s="196">
        <v>64.59</v>
      </c>
      <c r="L472" s="196">
        <v>1.18</v>
      </c>
      <c r="M472" s="196">
        <v>4996</v>
      </c>
      <c r="N472" s="196">
        <v>1414545</v>
      </c>
      <c r="O472" s="196">
        <v>1540</v>
      </c>
      <c r="P472" s="196" t="s">
        <v>950</v>
      </c>
      <c r="Q472" s="196" t="s">
        <v>1183</v>
      </c>
      <c r="R472" s="196" t="s">
        <v>1184</v>
      </c>
      <c r="S472" s="196" t="s">
        <v>953</v>
      </c>
      <c r="T472" s="196" t="s">
        <v>954</v>
      </c>
      <c r="U472" s="196" t="s">
        <v>1185</v>
      </c>
      <c r="V472" s="196" t="s">
        <v>1186</v>
      </c>
      <c r="W472" s="196" t="s">
        <v>1183</v>
      </c>
      <c r="X472" s="196" t="s">
        <v>1187</v>
      </c>
      <c r="Y472" s="196" t="s">
        <v>1188</v>
      </c>
    </row>
    <row r="473" spans="1:25">
      <c r="A473" s="196" t="s">
        <v>837</v>
      </c>
      <c r="B473" s="196" t="s">
        <v>838</v>
      </c>
      <c r="C473" s="196">
        <v>2013</v>
      </c>
      <c r="D473" s="196">
        <v>80</v>
      </c>
      <c r="E473" s="196" t="s">
        <v>908</v>
      </c>
      <c r="F473" s="196" t="s">
        <v>1182</v>
      </c>
      <c r="G473" s="196">
        <v>1</v>
      </c>
      <c r="H473" s="196">
        <v>1</v>
      </c>
      <c r="I473" s="196">
        <v>1557</v>
      </c>
      <c r="J473" s="196">
        <v>3847</v>
      </c>
      <c r="K473" s="196">
        <v>64.59</v>
      </c>
      <c r="L473" s="196">
        <v>1.18</v>
      </c>
      <c r="M473" s="196">
        <v>4996</v>
      </c>
      <c r="N473" s="196">
        <v>1414545</v>
      </c>
      <c r="O473" s="196">
        <v>1540</v>
      </c>
      <c r="P473" s="196" t="s">
        <v>950</v>
      </c>
      <c r="Q473" s="196" t="s">
        <v>1183</v>
      </c>
      <c r="R473" s="196" t="s">
        <v>1184</v>
      </c>
      <c r="S473" s="196" t="s">
        <v>953</v>
      </c>
      <c r="T473" s="196" t="s">
        <v>954</v>
      </c>
      <c r="U473" s="196" t="s">
        <v>1185</v>
      </c>
      <c r="V473" s="196" t="s">
        <v>1186</v>
      </c>
      <c r="W473" s="196" t="s">
        <v>1183</v>
      </c>
      <c r="X473" s="196" t="s">
        <v>1187</v>
      </c>
      <c r="Y473" s="196" t="s">
        <v>1188</v>
      </c>
    </row>
    <row r="474" spans="1:25">
      <c r="A474" s="196" t="s">
        <v>837</v>
      </c>
      <c r="B474" s="196" t="s">
        <v>181</v>
      </c>
      <c r="C474" s="196">
        <v>2013</v>
      </c>
      <c r="D474" s="196">
        <v>80</v>
      </c>
      <c r="E474" s="196" t="s">
        <v>876</v>
      </c>
      <c r="F474" s="196" t="s">
        <v>1182</v>
      </c>
      <c r="G474" s="196">
        <v>2</v>
      </c>
      <c r="H474" s="196">
        <v>2</v>
      </c>
      <c r="I474" s="196">
        <v>2156</v>
      </c>
      <c r="J474" s="196">
        <v>11518</v>
      </c>
      <c r="K474" s="196">
        <v>64.59</v>
      </c>
      <c r="L474" s="196">
        <v>1.18</v>
      </c>
      <c r="M474" s="196">
        <v>4996</v>
      </c>
      <c r="N474" s="196">
        <v>1414545</v>
      </c>
      <c r="O474" s="196">
        <v>1540</v>
      </c>
      <c r="P474" s="196" t="s">
        <v>950</v>
      </c>
      <c r="Q474" s="196" t="s">
        <v>1183</v>
      </c>
      <c r="R474" s="196" t="s">
        <v>1184</v>
      </c>
      <c r="S474" s="196" t="s">
        <v>953</v>
      </c>
      <c r="T474" s="196" t="s">
        <v>954</v>
      </c>
      <c r="U474" s="196" t="s">
        <v>1185</v>
      </c>
      <c r="V474" s="196" t="s">
        <v>1186</v>
      </c>
      <c r="W474" s="196" t="s">
        <v>1183</v>
      </c>
      <c r="X474" s="196" t="s">
        <v>1187</v>
      </c>
      <c r="Y474" s="196" t="s">
        <v>1188</v>
      </c>
    </row>
    <row r="475" spans="1:25">
      <c r="A475" s="196" t="s">
        <v>837</v>
      </c>
      <c r="B475" s="196" t="s">
        <v>181</v>
      </c>
      <c r="C475" s="196">
        <v>2014</v>
      </c>
      <c r="D475" s="196">
        <v>30</v>
      </c>
      <c r="E475" s="196" t="s">
        <v>857</v>
      </c>
      <c r="F475" s="196" t="s">
        <v>1182</v>
      </c>
      <c r="G475" s="196">
        <v>1</v>
      </c>
      <c r="H475" s="196">
        <v>1</v>
      </c>
      <c r="I475" s="196">
        <v>1353</v>
      </c>
      <c r="J475" s="196">
        <v>4344</v>
      </c>
      <c r="K475" s="196">
        <v>64.59</v>
      </c>
      <c r="L475" s="196">
        <v>1.18</v>
      </c>
      <c r="M475" s="196">
        <v>4996</v>
      </c>
      <c r="N475" s="196">
        <v>1414545</v>
      </c>
      <c r="O475" s="196">
        <v>1540</v>
      </c>
      <c r="P475" s="196" t="s">
        <v>950</v>
      </c>
      <c r="Q475" s="196" t="s">
        <v>1183</v>
      </c>
      <c r="R475" s="196" t="s">
        <v>1184</v>
      </c>
      <c r="S475" s="196" t="s">
        <v>953</v>
      </c>
      <c r="T475" s="196" t="s">
        <v>954</v>
      </c>
      <c r="U475" s="196" t="s">
        <v>1185</v>
      </c>
      <c r="V475" s="196" t="s">
        <v>1186</v>
      </c>
      <c r="W475" s="196" t="s">
        <v>1183</v>
      </c>
      <c r="X475" s="196" t="s">
        <v>1187</v>
      </c>
      <c r="Y475" s="196" t="s">
        <v>1188</v>
      </c>
    </row>
    <row r="476" spans="1:25">
      <c r="A476" s="196" t="s">
        <v>837</v>
      </c>
      <c r="B476" s="196" t="s">
        <v>850</v>
      </c>
      <c r="C476" s="196">
        <v>2014</v>
      </c>
      <c r="D476" s="196">
        <v>30</v>
      </c>
      <c r="E476" s="196" t="s">
        <v>860</v>
      </c>
      <c r="F476" s="196" t="s">
        <v>1182</v>
      </c>
      <c r="G476" s="196">
        <v>4</v>
      </c>
      <c r="H476" s="196">
        <v>4</v>
      </c>
      <c r="I476" s="196">
        <v>4572</v>
      </c>
      <c r="J476" s="196">
        <v>14184</v>
      </c>
      <c r="K476" s="196">
        <v>64.59</v>
      </c>
      <c r="L476" s="196">
        <v>1.18</v>
      </c>
      <c r="M476" s="196">
        <v>4996</v>
      </c>
      <c r="N476" s="196">
        <v>1414545</v>
      </c>
      <c r="O476" s="196">
        <v>1540</v>
      </c>
      <c r="P476" s="196" t="s">
        <v>950</v>
      </c>
      <c r="Q476" s="196" t="s">
        <v>1183</v>
      </c>
      <c r="R476" s="196" t="s">
        <v>1184</v>
      </c>
      <c r="S476" s="196" t="s">
        <v>953</v>
      </c>
      <c r="T476" s="196" t="s">
        <v>954</v>
      </c>
      <c r="U476" s="196" t="s">
        <v>1185</v>
      </c>
      <c r="V476" s="196" t="s">
        <v>1186</v>
      </c>
      <c r="W476" s="196" t="s">
        <v>1183</v>
      </c>
      <c r="X476" s="196" t="s">
        <v>1187</v>
      </c>
      <c r="Y476" s="196" t="s">
        <v>1188</v>
      </c>
    </row>
    <row r="477" spans="1:25">
      <c r="A477" s="196" t="s">
        <v>837</v>
      </c>
      <c r="B477" s="196" t="s">
        <v>850</v>
      </c>
      <c r="C477" s="196">
        <v>2014</v>
      </c>
      <c r="D477" s="196">
        <v>55</v>
      </c>
      <c r="E477" s="196" t="s">
        <v>862</v>
      </c>
      <c r="F477" s="196" t="s">
        <v>1182</v>
      </c>
      <c r="G477" s="196">
        <v>1</v>
      </c>
      <c r="H477" s="196">
        <v>1</v>
      </c>
      <c r="I477" s="196">
        <v>495</v>
      </c>
      <c r="J477" s="196">
        <v>2583</v>
      </c>
      <c r="K477" s="196">
        <v>64.59</v>
      </c>
      <c r="L477" s="196">
        <v>1.18</v>
      </c>
      <c r="M477" s="196">
        <v>4996</v>
      </c>
      <c r="N477" s="196">
        <v>1414545</v>
      </c>
      <c r="O477" s="196">
        <v>1540</v>
      </c>
      <c r="P477" s="196" t="s">
        <v>950</v>
      </c>
      <c r="Q477" s="196" t="s">
        <v>1183</v>
      </c>
      <c r="R477" s="196" t="s">
        <v>1184</v>
      </c>
      <c r="S477" s="196" t="s">
        <v>953</v>
      </c>
      <c r="T477" s="196" t="s">
        <v>954</v>
      </c>
      <c r="U477" s="196" t="s">
        <v>1185</v>
      </c>
      <c r="V477" s="196" t="s">
        <v>1186</v>
      </c>
      <c r="W477" s="196" t="s">
        <v>1183</v>
      </c>
      <c r="X477" s="196" t="s">
        <v>1187</v>
      </c>
      <c r="Y477" s="196" t="s">
        <v>1188</v>
      </c>
    </row>
    <row r="478" spans="1:25">
      <c r="A478" s="196" t="s">
        <v>837</v>
      </c>
      <c r="B478" s="196" t="s">
        <v>838</v>
      </c>
      <c r="C478" s="196">
        <v>2013</v>
      </c>
      <c r="D478" s="196">
        <v>30</v>
      </c>
      <c r="E478" s="196" t="s">
        <v>839</v>
      </c>
      <c r="F478" s="196" t="s">
        <v>1189</v>
      </c>
      <c r="G478" s="196">
        <v>1</v>
      </c>
      <c r="H478" s="196">
        <v>1</v>
      </c>
      <c r="I478" s="196">
        <v>4530</v>
      </c>
      <c r="J478" s="196">
        <v>7185</v>
      </c>
      <c r="K478" s="196">
        <v>59.26</v>
      </c>
      <c r="L478" s="196">
        <v>7.73</v>
      </c>
      <c r="M478" s="196">
        <v>4027</v>
      </c>
      <c r="N478" s="196">
        <v>3518591</v>
      </c>
      <c r="O478" s="196">
        <v>3812</v>
      </c>
      <c r="P478" s="196" t="s">
        <v>878</v>
      </c>
      <c r="Q478" s="196" t="s">
        <v>935</v>
      </c>
      <c r="R478" s="196" t="s">
        <v>936</v>
      </c>
      <c r="S478" s="196" t="s">
        <v>844</v>
      </c>
      <c r="T478" s="196" t="s">
        <v>937</v>
      </c>
      <c r="U478" s="196" t="s">
        <v>938</v>
      </c>
      <c r="V478" s="196" t="s">
        <v>935</v>
      </c>
      <c r="W478" s="196" t="s">
        <v>939</v>
      </c>
      <c r="X478" s="196" t="s">
        <v>848</v>
      </c>
      <c r="Y478" s="196" t="s">
        <v>848</v>
      </c>
    </row>
    <row r="479" spans="1:25">
      <c r="A479" s="196" t="s">
        <v>837</v>
      </c>
      <c r="B479" s="196" t="s">
        <v>850</v>
      </c>
      <c r="C479" s="196">
        <v>2013</v>
      </c>
      <c r="D479" s="196">
        <v>30</v>
      </c>
      <c r="E479" s="196" t="s">
        <v>851</v>
      </c>
      <c r="F479" s="196" t="s">
        <v>1189</v>
      </c>
      <c r="G479" s="196">
        <v>1</v>
      </c>
      <c r="H479" s="196">
        <v>1</v>
      </c>
      <c r="I479" s="196">
        <v>319</v>
      </c>
      <c r="J479" s="196">
        <v>3569</v>
      </c>
      <c r="K479" s="196">
        <v>59.26</v>
      </c>
      <c r="L479" s="196">
        <v>7.73</v>
      </c>
      <c r="M479" s="196">
        <v>4027</v>
      </c>
      <c r="N479" s="196">
        <v>3518591</v>
      </c>
      <c r="O479" s="196">
        <v>3812</v>
      </c>
      <c r="P479" s="196" t="s">
        <v>878</v>
      </c>
      <c r="Q479" s="196" t="s">
        <v>935</v>
      </c>
      <c r="R479" s="196" t="s">
        <v>936</v>
      </c>
      <c r="S479" s="196" t="s">
        <v>844</v>
      </c>
      <c r="T479" s="196" t="s">
        <v>937</v>
      </c>
      <c r="U479" s="196" t="s">
        <v>938</v>
      </c>
      <c r="V479" s="196" t="s">
        <v>935</v>
      </c>
      <c r="W479" s="196" t="s">
        <v>939</v>
      </c>
      <c r="X479" s="196" t="s">
        <v>848</v>
      </c>
      <c r="Y479" s="196" t="s">
        <v>848</v>
      </c>
    </row>
    <row r="480" spans="1:25">
      <c r="A480" s="196" t="s">
        <v>837</v>
      </c>
      <c r="B480" s="196" t="s">
        <v>838</v>
      </c>
      <c r="C480" s="196">
        <v>2013</v>
      </c>
      <c r="D480" s="196">
        <v>55</v>
      </c>
      <c r="E480" s="196" t="s">
        <v>849</v>
      </c>
      <c r="F480" s="196" t="s">
        <v>1190</v>
      </c>
      <c r="G480" s="196">
        <v>1</v>
      </c>
      <c r="H480" s="196">
        <v>1</v>
      </c>
      <c r="I480" s="196">
        <v>1104</v>
      </c>
      <c r="J480" s="196">
        <v>5216</v>
      </c>
      <c r="K480" s="196">
        <v>53.85</v>
      </c>
      <c r="L480" s="196">
        <v>1.08</v>
      </c>
      <c r="M480" s="196">
        <v>6626</v>
      </c>
      <c r="N480" s="196">
        <v>801523</v>
      </c>
      <c r="O480" s="196">
        <v>953</v>
      </c>
      <c r="P480" s="196" t="s">
        <v>1053</v>
      </c>
      <c r="Q480" s="196" t="s">
        <v>1054</v>
      </c>
      <c r="R480" s="196" t="s">
        <v>1055</v>
      </c>
      <c r="S480" s="196" t="s">
        <v>844</v>
      </c>
      <c r="T480" s="196" t="s">
        <v>900</v>
      </c>
      <c r="U480" s="196" t="s">
        <v>901</v>
      </c>
      <c r="V480" s="196" t="s">
        <v>1056</v>
      </c>
      <c r="W480" s="196" t="s">
        <v>1057</v>
      </c>
      <c r="X480" s="196" t="s">
        <v>1054</v>
      </c>
      <c r="Y480" s="196" t="s">
        <v>848</v>
      </c>
    </row>
    <row r="481" spans="1:25">
      <c r="A481" s="196" t="s">
        <v>837</v>
      </c>
      <c r="B481" s="196" t="s">
        <v>850</v>
      </c>
      <c r="C481" s="196">
        <v>2013</v>
      </c>
      <c r="D481" s="196">
        <v>30</v>
      </c>
      <c r="E481" s="196" t="s">
        <v>851</v>
      </c>
      <c r="F481" s="196" t="s">
        <v>1190</v>
      </c>
      <c r="G481" s="196">
        <v>1</v>
      </c>
      <c r="H481" s="196">
        <v>1</v>
      </c>
      <c r="I481" s="196">
        <v>441</v>
      </c>
      <c r="J481" s="196">
        <v>4843</v>
      </c>
      <c r="K481" s="196">
        <v>53.85</v>
      </c>
      <c r="L481" s="196">
        <v>1.08</v>
      </c>
      <c r="M481" s="196">
        <v>6626</v>
      </c>
      <c r="N481" s="196">
        <v>801523</v>
      </c>
      <c r="O481" s="196">
        <v>953</v>
      </c>
      <c r="P481" s="196" t="s">
        <v>1053</v>
      </c>
      <c r="Q481" s="196" t="s">
        <v>1054</v>
      </c>
      <c r="R481" s="196" t="s">
        <v>1055</v>
      </c>
      <c r="S481" s="196" t="s">
        <v>844</v>
      </c>
      <c r="T481" s="196" t="s">
        <v>900</v>
      </c>
      <c r="U481" s="196" t="s">
        <v>901</v>
      </c>
      <c r="V481" s="196" t="s">
        <v>1056</v>
      </c>
      <c r="W481" s="196" t="s">
        <v>1057</v>
      </c>
      <c r="X481" s="196" t="s">
        <v>1054</v>
      </c>
      <c r="Y481" s="196" t="s">
        <v>848</v>
      </c>
    </row>
    <row r="482" spans="1:25">
      <c r="A482" s="196" t="s">
        <v>837</v>
      </c>
      <c r="B482" s="196" t="s">
        <v>850</v>
      </c>
      <c r="C482" s="196">
        <v>2013</v>
      </c>
      <c r="D482" s="196">
        <v>80</v>
      </c>
      <c r="E482" s="196" t="s">
        <v>917</v>
      </c>
      <c r="F482" s="196" t="s">
        <v>1190</v>
      </c>
      <c r="G482" s="196">
        <v>27</v>
      </c>
      <c r="H482" s="196">
        <v>24</v>
      </c>
      <c r="I482" s="196">
        <v>29873</v>
      </c>
      <c r="J482" s="196">
        <v>155533</v>
      </c>
      <c r="K482" s="196">
        <v>53.85</v>
      </c>
      <c r="L482" s="196">
        <v>1.08</v>
      </c>
      <c r="M482" s="196">
        <v>6626</v>
      </c>
      <c r="N482" s="196">
        <v>801523</v>
      </c>
      <c r="O482" s="196">
        <v>953</v>
      </c>
      <c r="P482" s="196" t="s">
        <v>1053</v>
      </c>
      <c r="Q482" s="196" t="s">
        <v>1054</v>
      </c>
      <c r="R482" s="196" t="s">
        <v>1055</v>
      </c>
      <c r="S482" s="196" t="s">
        <v>844</v>
      </c>
      <c r="T482" s="196" t="s">
        <v>900</v>
      </c>
      <c r="U482" s="196" t="s">
        <v>901</v>
      </c>
      <c r="V482" s="196" t="s">
        <v>1056</v>
      </c>
      <c r="W482" s="196" t="s">
        <v>1057</v>
      </c>
      <c r="X482" s="196" t="s">
        <v>1054</v>
      </c>
      <c r="Y482" s="196" t="s">
        <v>848</v>
      </c>
    </row>
    <row r="483" spans="1:25">
      <c r="A483" s="196" t="s">
        <v>837</v>
      </c>
      <c r="B483" s="196" t="s">
        <v>838</v>
      </c>
      <c r="C483" s="196">
        <v>2014</v>
      </c>
      <c r="D483" s="196">
        <v>80</v>
      </c>
      <c r="E483" s="196" t="s">
        <v>853</v>
      </c>
      <c r="F483" s="196" t="s">
        <v>1190</v>
      </c>
      <c r="G483" s="196">
        <v>532</v>
      </c>
      <c r="H483" s="196">
        <v>129</v>
      </c>
      <c r="I483" s="196">
        <v>502612</v>
      </c>
      <c r="J483" s="196">
        <v>773919</v>
      </c>
      <c r="K483" s="196">
        <v>53.85</v>
      </c>
      <c r="L483" s="196">
        <v>1.08</v>
      </c>
      <c r="M483" s="196">
        <v>6626</v>
      </c>
      <c r="N483" s="196">
        <v>801523</v>
      </c>
      <c r="O483" s="196">
        <v>953</v>
      </c>
      <c r="P483" s="196" t="s">
        <v>1053</v>
      </c>
      <c r="Q483" s="196" t="s">
        <v>1054</v>
      </c>
      <c r="R483" s="196" t="s">
        <v>1055</v>
      </c>
      <c r="S483" s="196" t="s">
        <v>844</v>
      </c>
      <c r="T483" s="196" t="s">
        <v>900</v>
      </c>
      <c r="U483" s="196" t="s">
        <v>901</v>
      </c>
      <c r="V483" s="196" t="s">
        <v>1056</v>
      </c>
      <c r="W483" s="196" t="s">
        <v>1057</v>
      </c>
      <c r="X483" s="196" t="s">
        <v>1054</v>
      </c>
      <c r="Y483" s="196" t="s">
        <v>848</v>
      </c>
    </row>
    <row r="484" spans="1:25">
      <c r="A484" s="196" t="s">
        <v>837</v>
      </c>
      <c r="B484" s="196" t="s">
        <v>181</v>
      </c>
      <c r="C484" s="196">
        <v>2014</v>
      </c>
      <c r="D484" s="196">
        <v>80</v>
      </c>
      <c r="E484" s="196" t="s">
        <v>874</v>
      </c>
      <c r="F484" s="196" t="s">
        <v>1190</v>
      </c>
      <c r="G484" s="196">
        <v>42</v>
      </c>
      <c r="H484" s="196">
        <v>35</v>
      </c>
      <c r="I484" s="196">
        <v>40238</v>
      </c>
      <c r="J484" s="196">
        <v>266218</v>
      </c>
      <c r="K484" s="196">
        <v>53.85</v>
      </c>
      <c r="L484" s="196">
        <v>1.08</v>
      </c>
      <c r="M484" s="196">
        <v>6626</v>
      </c>
      <c r="N484" s="196">
        <v>801523</v>
      </c>
      <c r="O484" s="196">
        <v>953</v>
      </c>
      <c r="P484" s="196" t="s">
        <v>1053</v>
      </c>
      <c r="Q484" s="196" t="s">
        <v>1054</v>
      </c>
      <c r="R484" s="196" t="s">
        <v>1055</v>
      </c>
      <c r="S484" s="196" t="s">
        <v>844</v>
      </c>
      <c r="T484" s="196" t="s">
        <v>900</v>
      </c>
      <c r="U484" s="196" t="s">
        <v>901</v>
      </c>
      <c r="V484" s="196" t="s">
        <v>1056</v>
      </c>
      <c r="W484" s="196" t="s">
        <v>1057</v>
      </c>
      <c r="X484" s="196" t="s">
        <v>1054</v>
      </c>
      <c r="Y484" s="196" t="s">
        <v>848</v>
      </c>
    </row>
    <row r="485" spans="1:25">
      <c r="A485" s="196" t="s">
        <v>837</v>
      </c>
      <c r="B485" s="196" t="s">
        <v>850</v>
      </c>
      <c r="C485" s="196">
        <v>2014</v>
      </c>
      <c r="D485" s="196">
        <v>80</v>
      </c>
      <c r="E485" s="196" t="s">
        <v>918</v>
      </c>
      <c r="F485" s="196" t="s">
        <v>1190</v>
      </c>
      <c r="G485" s="196">
        <v>684</v>
      </c>
      <c r="H485" s="196">
        <v>133</v>
      </c>
      <c r="I485" s="196">
        <v>604164</v>
      </c>
      <c r="J485" s="196">
        <v>793772</v>
      </c>
      <c r="K485" s="196">
        <v>53.85</v>
      </c>
      <c r="L485" s="196">
        <v>1.08</v>
      </c>
      <c r="M485" s="196">
        <v>6626</v>
      </c>
      <c r="N485" s="196">
        <v>801523</v>
      </c>
      <c r="O485" s="196">
        <v>953</v>
      </c>
      <c r="P485" s="196" t="s">
        <v>1053</v>
      </c>
      <c r="Q485" s="196" t="s">
        <v>1054</v>
      </c>
      <c r="R485" s="196" t="s">
        <v>1055</v>
      </c>
      <c r="S485" s="196" t="s">
        <v>844</v>
      </c>
      <c r="T485" s="196" t="s">
        <v>900</v>
      </c>
      <c r="U485" s="196" t="s">
        <v>901</v>
      </c>
      <c r="V485" s="196" t="s">
        <v>1056</v>
      </c>
      <c r="W485" s="196" t="s">
        <v>1057</v>
      </c>
      <c r="X485" s="196" t="s">
        <v>1054</v>
      </c>
      <c r="Y485" s="196" t="s">
        <v>848</v>
      </c>
    </row>
    <row r="486" spans="1:25">
      <c r="A486" s="196" t="s">
        <v>837</v>
      </c>
      <c r="B486" s="196" t="s">
        <v>850</v>
      </c>
      <c r="C486" s="196">
        <v>2014</v>
      </c>
      <c r="D486" s="196">
        <v>80</v>
      </c>
      <c r="E486" s="196" t="s">
        <v>875</v>
      </c>
      <c r="F486" s="196" t="s">
        <v>1190</v>
      </c>
      <c r="G486" s="196">
        <v>391</v>
      </c>
      <c r="H486" s="196">
        <v>124</v>
      </c>
      <c r="I486" s="196">
        <v>385151</v>
      </c>
      <c r="J486" s="196">
        <v>756816</v>
      </c>
      <c r="K486" s="196">
        <v>53.85</v>
      </c>
      <c r="L486" s="196">
        <v>1.08</v>
      </c>
      <c r="M486" s="196">
        <v>6626</v>
      </c>
      <c r="N486" s="196">
        <v>801523</v>
      </c>
      <c r="O486" s="196">
        <v>953</v>
      </c>
      <c r="P486" s="196" t="s">
        <v>1053</v>
      </c>
      <c r="Q486" s="196" t="s">
        <v>1054</v>
      </c>
      <c r="R486" s="196" t="s">
        <v>1055</v>
      </c>
      <c r="S486" s="196" t="s">
        <v>844</v>
      </c>
      <c r="T486" s="196" t="s">
        <v>900</v>
      </c>
      <c r="U486" s="196" t="s">
        <v>901</v>
      </c>
      <c r="V486" s="196" t="s">
        <v>1056</v>
      </c>
      <c r="W486" s="196" t="s">
        <v>1057</v>
      </c>
      <c r="X486" s="196" t="s">
        <v>1054</v>
      </c>
      <c r="Y486" s="196" t="s">
        <v>848</v>
      </c>
    </row>
    <row r="487" spans="1:25">
      <c r="A487" s="196" t="s">
        <v>837</v>
      </c>
      <c r="B487" s="196" t="s">
        <v>838</v>
      </c>
      <c r="C487" s="196">
        <v>2013</v>
      </c>
      <c r="D487" s="196">
        <v>80</v>
      </c>
      <c r="E487" s="196" t="s">
        <v>908</v>
      </c>
      <c r="F487" s="196" t="s">
        <v>1190</v>
      </c>
      <c r="G487" s="196">
        <v>1</v>
      </c>
      <c r="H487" s="196">
        <v>1</v>
      </c>
      <c r="I487" s="196">
        <v>825</v>
      </c>
      <c r="J487" s="196">
        <v>9697</v>
      </c>
      <c r="K487" s="196">
        <v>53.85</v>
      </c>
      <c r="L487" s="196">
        <v>1.08</v>
      </c>
      <c r="M487" s="196">
        <v>6626</v>
      </c>
      <c r="N487" s="196">
        <v>801523</v>
      </c>
      <c r="O487" s="196">
        <v>953</v>
      </c>
      <c r="P487" s="196" t="s">
        <v>1053</v>
      </c>
      <c r="Q487" s="196" t="s">
        <v>1054</v>
      </c>
      <c r="R487" s="196" t="s">
        <v>1055</v>
      </c>
      <c r="S487" s="196" t="s">
        <v>844</v>
      </c>
      <c r="T487" s="196" t="s">
        <v>900</v>
      </c>
      <c r="U487" s="196" t="s">
        <v>901</v>
      </c>
      <c r="V487" s="196" t="s">
        <v>1056</v>
      </c>
      <c r="W487" s="196" t="s">
        <v>1057</v>
      </c>
      <c r="X487" s="196" t="s">
        <v>1054</v>
      </c>
      <c r="Y487" s="196" t="s">
        <v>848</v>
      </c>
    </row>
    <row r="488" spans="1:25">
      <c r="A488" s="196" t="s">
        <v>837</v>
      </c>
      <c r="B488" s="196" t="s">
        <v>181</v>
      </c>
      <c r="C488" s="196">
        <v>2013</v>
      </c>
      <c r="D488" s="196">
        <v>80</v>
      </c>
      <c r="E488" s="196" t="s">
        <v>876</v>
      </c>
      <c r="F488" s="196" t="s">
        <v>1190</v>
      </c>
      <c r="G488" s="196">
        <v>496</v>
      </c>
      <c r="H488" s="196">
        <v>128</v>
      </c>
      <c r="I488" s="196">
        <v>489581</v>
      </c>
      <c r="J488" s="196">
        <v>772003</v>
      </c>
      <c r="K488" s="196">
        <v>53.85</v>
      </c>
      <c r="L488" s="196">
        <v>1.08</v>
      </c>
      <c r="M488" s="196">
        <v>6626</v>
      </c>
      <c r="N488" s="196">
        <v>801523</v>
      </c>
      <c r="O488" s="196">
        <v>953</v>
      </c>
      <c r="P488" s="196" t="s">
        <v>1053</v>
      </c>
      <c r="Q488" s="196" t="s">
        <v>1054</v>
      </c>
      <c r="R488" s="196" t="s">
        <v>1055</v>
      </c>
      <c r="S488" s="196" t="s">
        <v>844</v>
      </c>
      <c r="T488" s="196" t="s">
        <v>900</v>
      </c>
      <c r="U488" s="196" t="s">
        <v>901</v>
      </c>
      <c r="V488" s="196" t="s">
        <v>1056</v>
      </c>
      <c r="W488" s="196" t="s">
        <v>1057</v>
      </c>
      <c r="X488" s="196" t="s">
        <v>1054</v>
      </c>
      <c r="Y488" s="196" t="s">
        <v>848</v>
      </c>
    </row>
    <row r="489" spans="1:25">
      <c r="A489" s="196" t="s">
        <v>837</v>
      </c>
      <c r="B489" s="196" t="s">
        <v>181</v>
      </c>
      <c r="C489" s="196">
        <v>2014</v>
      </c>
      <c r="D489" s="196">
        <v>30</v>
      </c>
      <c r="E489" s="196" t="s">
        <v>856</v>
      </c>
      <c r="F489" s="196" t="s">
        <v>1190</v>
      </c>
      <c r="G489" s="196">
        <v>14</v>
      </c>
      <c r="H489" s="196">
        <v>14</v>
      </c>
      <c r="I489" s="196">
        <v>15105</v>
      </c>
      <c r="J489" s="196">
        <v>110639</v>
      </c>
      <c r="K489" s="196">
        <v>53.85</v>
      </c>
      <c r="L489" s="196">
        <v>1.08</v>
      </c>
      <c r="M489" s="196">
        <v>6626</v>
      </c>
      <c r="N489" s="196">
        <v>801523</v>
      </c>
      <c r="O489" s="196">
        <v>953</v>
      </c>
      <c r="P489" s="196" t="s">
        <v>1053</v>
      </c>
      <c r="Q489" s="196" t="s">
        <v>1054</v>
      </c>
      <c r="R489" s="196" t="s">
        <v>1055</v>
      </c>
      <c r="S489" s="196" t="s">
        <v>844</v>
      </c>
      <c r="T489" s="196" t="s">
        <v>900</v>
      </c>
      <c r="U489" s="196" t="s">
        <v>901</v>
      </c>
      <c r="V489" s="196" t="s">
        <v>1056</v>
      </c>
      <c r="W489" s="196" t="s">
        <v>1057</v>
      </c>
      <c r="X489" s="196" t="s">
        <v>1054</v>
      </c>
      <c r="Y489" s="196" t="s">
        <v>848</v>
      </c>
    </row>
    <row r="490" spans="1:25">
      <c r="A490" s="196" t="s">
        <v>837</v>
      </c>
      <c r="B490" s="196" t="s">
        <v>181</v>
      </c>
      <c r="C490" s="196">
        <v>2014</v>
      </c>
      <c r="D490" s="196">
        <v>30</v>
      </c>
      <c r="E490" s="196" t="s">
        <v>857</v>
      </c>
      <c r="F490" s="196" t="s">
        <v>1190</v>
      </c>
      <c r="G490" s="196">
        <v>2</v>
      </c>
      <c r="H490" s="196">
        <v>2</v>
      </c>
      <c r="I490" s="196">
        <v>1992</v>
      </c>
      <c r="J490" s="196">
        <v>7879</v>
      </c>
      <c r="K490" s="196">
        <v>53.85</v>
      </c>
      <c r="L490" s="196">
        <v>1.08</v>
      </c>
      <c r="M490" s="196">
        <v>6626</v>
      </c>
      <c r="N490" s="196">
        <v>801523</v>
      </c>
      <c r="O490" s="196">
        <v>953</v>
      </c>
      <c r="P490" s="196" t="s">
        <v>1053</v>
      </c>
      <c r="Q490" s="196" t="s">
        <v>1054</v>
      </c>
      <c r="R490" s="196" t="s">
        <v>1055</v>
      </c>
      <c r="S490" s="196" t="s">
        <v>844</v>
      </c>
      <c r="T490" s="196" t="s">
        <v>900</v>
      </c>
      <c r="U490" s="196" t="s">
        <v>901</v>
      </c>
      <c r="V490" s="196" t="s">
        <v>1056</v>
      </c>
      <c r="W490" s="196" t="s">
        <v>1057</v>
      </c>
      <c r="X490" s="196" t="s">
        <v>1054</v>
      </c>
      <c r="Y490" s="196" t="s">
        <v>848</v>
      </c>
    </row>
    <row r="491" spans="1:25">
      <c r="A491" s="196" t="s">
        <v>837</v>
      </c>
      <c r="B491" s="196" t="s">
        <v>850</v>
      </c>
      <c r="C491" s="196">
        <v>2014</v>
      </c>
      <c r="D491" s="196">
        <v>30</v>
      </c>
      <c r="E491" s="196" t="s">
        <v>861</v>
      </c>
      <c r="F491" s="196" t="s">
        <v>1190</v>
      </c>
      <c r="G491" s="196">
        <v>2</v>
      </c>
      <c r="H491" s="196">
        <v>2</v>
      </c>
      <c r="I491" s="196">
        <v>2267</v>
      </c>
      <c r="J491" s="196">
        <v>7597</v>
      </c>
      <c r="K491" s="196">
        <v>53.85</v>
      </c>
      <c r="L491" s="196">
        <v>1.08</v>
      </c>
      <c r="M491" s="196">
        <v>6626</v>
      </c>
      <c r="N491" s="196">
        <v>801523</v>
      </c>
      <c r="O491" s="196">
        <v>953</v>
      </c>
      <c r="P491" s="196" t="s">
        <v>1053</v>
      </c>
      <c r="Q491" s="196" t="s">
        <v>1054</v>
      </c>
      <c r="R491" s="196" t="s">
        <v>1055</v>
      </c>
      <c r="S491" s="196" t="s">
        <v>844</v>
      </c>
      <c r="T491" s="196" t="s">
        <v>900</v>
      </c>
      <c r="U491" s="196" t="s">
        <v>901</v>
      </c>
      <c r="V491" s="196" t="s">
        <v>1056</v>
      </c>
      <c r="W491" s="196" t="s">
        <v>1057</v>
      </c>
      <c r="X491" s="196" t="s">
        <v>1054</v>
      </c>
      <c r="Y491" s="196" t="s">
        <v>848</v>
      </c>
    </row>
    <row r="492" spans="1:25">
      <c r="A492" s="196" t="s">
        <v>837</v>
      </c>
      <c r="B492" s="196" t="s">
        <v>850</v>
      </c>
      <c r="C492" s="196">
        <v>2014</v>
      </c>
      <c r="D492" s="196">
        <v>55</v>
      </c>
      <c r="E492" s="196" t="s">
        <v>862</v>
      </c>
      <c r="F492" s="196" t="s">
        <v>1190</v>
      </c>
      <c r="G492" s="196">
        <v>1</v>
      </c>
      <c r="H492" s="196">
        <v>1</v>
      </c>
      <c r="I492" s="196">
        <v>1332</v>
      </c>
      <c r="J492" s="196">
        <v>5483</v>
      </c>
      <c r="K492" s="196">
        <v>53.85</v>
      </c>
      <c r="L492" s="196">
        <v>1.08</v>
      </c>
      <c r="M492" s="196">
        <v>6626</v>
      </c>
      <c r="N492" s="196">
        <v>801523</v>
      </c>
      <c r="O492" s="196">
        <v>953</v>
      </c>
      <c r="P492" s="196" t="s">
        <v>1053</v>
      </c>
      <c r="Q492" s="196" t="s">
        <v>1054</v>
      </c>
      <c r="R492" s="196" t="s">
        <v>1055</v>
      </c>
      <c r="S492" s="196" t="s">
        <v>844</v>
      </c>
      <c r="T492" s="196" t="s">
        <v>900</v>
      </c>
      <c r="U492" s="196" t="s">
        <v>901</v>
      </c>
      <c r="V492" s="196" t="s">
        <v>1056</v>
      </c>
      <c r="W492" s="196" t="s">
        <v>1057</v>
      </c>
      <c r="X492" s="196" t="s">
        <v>1054</v>
      </c>
      <c r="Y492" s="196" t="s">
        <v>848</v>
      </c>
    </row>
    <row r="493" spans="1:25">
      <c r="A493" s="196" t="s">
        <v>837</v>
      </c>
      <c r="B493" s="196" t="s">
        <v>838</v>
      </c>
      <c r="C493" s="196">
        <v>2013</v>
      </c>
      <c r="D493" s="196">
        <v>30</v>
      </c>
      <c r="E493" s="196" t="s">
        <v>839</v>
      </c>
      <c r="F493" s="196" t="s">
        <v>1191</v>
      </c>
      <c r="G493" s="196">
        <v>1</v>
      </c>
      <c r="H493" s="196">
        <v>1</v>
      </c>
      <c r="I493" s="196">
        <v>609</v>
      </c>
      <c r="J493" s="196">
        <v>3986</v>
      </c>
      <c r="K493" s="196">
        <v>97.36</v>
      </c>
      <c r="L493" s="196">
        <v>0.02</v>
      </c>
      <c r="M493" s="196">
        <v>9164</v>
      </c>
      <c r="N493" s="196">
        <v>2922471</v>
      </c>
      <c r="O493" s="196">
        <v>2328</v>
      </c>
      <c r="P493" s="196" t="s">
        <v>993</v>
      </c>
      <c r="Q493" s="196" t="s">
        <v>923</v>
      </c>
      <c r="R493" s="196" t="s">
        <v>1047</v>
      </c>
      <c r="S493" s="196" t="s">
        <v>844</v>
      </c>
      <c r="T493" s="196" t="s">
        <v>923</v>
      </c>
      <c r="U493" s="196" t="s">
        <v>1048</v>
      </c>
      <c r="V493" s="196" t="s">
        <v>1049</v>
      </c>
      <c r="W493" s="196" t="s">
        <v>1050</v>
      </c>
      <c r="X493" s="196" t="s">
        <v>1192</v>
      </c>
      <c r="Y493" s="196" t="s">
        <v>848</v>
      </c>
    </row>
    <row r="494" spans="1:25">
      <c r="A494" s="196" t="s">
        <v>837</v>
      </c>
      <c r="B494" s="196" t="s">
        <v>838</v>
      </c>
      <c r="C494" s="196">
        <v>2013</v>
      </c>
      <c r="D494" s="196">
        <v>55</v>
      </c>
      <c r="E494" s="196" t="s">
        <v>849</v>
      </c>
      <c r="F494" s="196" t="s">
        <v>1191</v>
      </c>
      <c r="G494" s="196">
        <v>2</v>
      </c>
      <c r="H494" s="196">
        <v>2</v>
      </c>
      <c r="I494" s="196">
        <v>2523</v>
      </c>
      <c r="J494" s="196">
        <v>15343</v>
      </c>
      <c r="K494" s="196">
        <v>97.36</v>
      </c>
      <c r="L494" s="196">
        <v>0.02</v>
      </c>
      <c r="M494" s="196">
        <v>9164</v>
      </c>
      <c r="N494" s="196">
        <v>2922471</v>
      </c>
      <c r="O494" s="196">
        <v>2328</v>
      </c>
      <c r="P494" s="196" t="s">
        <v>993</v>
      </c>
      <c r="Q494" s="196" t="s">
        <v>923</v>
      </c>
      <c r="R494" s="196" t="s">
        <v>1047</v>
      </c>
      <c r="S494" s="196" t="s">
        <v>844</v>
      </c>
      <c r="T494" s="196" t="s">
        <v>923</v>
      </c>
      <c r="U494" s="196" t="s">
        <v>1048</v>
      </c>
      <c r="V494" s="196" t="s">
        <v>1049</v>
      </c>
      <c r="W494" s="196" t="s">
        <v>1050</v>
      </c>
      <c r="X494" s="196" t="s">
        <v>1192</v>
      </c>
      <c r="Y494" s="196" t="s">
        <v>848</v>
      </c>
    </row>
    <row r="495" spans="1:25">
      <c r="A495" s="196" t="s">
        <v>837</v>
      </c>
      <c r="B495" s="196" t="s">
        <v>850</v>
      </c>
      <c r="C495" s="196">
        <v>2013</v>
      </c>
      <c r="D495" s="196">
        <v>55</v>
      </c>
      <c r="E495" s="196" t="s">
        <v>852</v>
      </c>
      <c r="F495" s="196" t="s">
        <v>1191</v>
      </c>
      <c r="G495" s="196">
        <v>2</v>
      </c>
      <c r="H495" s="196">
        <v>2</v>
      </c>
      <c r="I495" s="196">
        <v>2973</v>
      </c>
      <c r="J495" s="196">
        <v>30359</v>
      </c>
      <c r="K495" s="196">
        <v>97.36</v>
      </c>
      <c r="L495" s="196">
        <v>0.02</v>
      </c>
      <c r="M495" s="196">
        <v>9164</v>
      </c>
      <c r="N495" s="196">
        <v>2922471</v>
      </c>
      <c r="O495" s="196">
        <v>2328</v>
      </c>
      <c r="P495" s="196" t="s">
        <v>993</v>
      </c>
      <c r="Q495" s="196" t="s">
        <v>923</v>
      </c>
      <c r="R495" s="196" t="s">
        <v>1047</v>
      </c>
      <c r="S495" s="196" t="s">
        <v>844</v>
      </c>
      <c r="T495" s="196" t="s">
        <v>923</v>
      </c>
      <c r="U495" s="196" t="s">
        <v>1048</v>
      </c>
      <c r="V495" s="196" t="s">
        <v>1049</v>
      </c>
      <c r="W495" s="196" t="s">
        <v>1050</v>
      </c>
      <c r="X495" s="196" t="s">
        <v>1192</v>
      </c>
      <c r="Y495" s="196" t="s">
        <v>848</v>
      </c>
    </row>
    <row r="496" spans="1:25">
      <c r="A496" s="196" t="s">
        <v>837</v>
      </c>
      <c r="B496" s="196" t="s">
        <v>838</v>
      </c>
      <c r="C496" s="196">
        <v>2014</v>
      </c>
      <c r="D496" s="196">
        <v>80</v>
      </c>
      <c r="E496" s="196" t="s">
        <v>853</v>
      </c>
      <c r="F496" s="196" t="s">
        <v>1191</v>
      </c>
      <c r="G496" s="196">
        <v>1</v>
      </c>
      <c r="H496" s="196">
        <v>1</v>
      </c>
      <c r="I496" s="196">
        <v>825</v>
      </c>
      <c r="J496" s="196">
        <v>17225</v>
      </c>
      <c r="K496" s="196">
        <v>97.36</v>
      </c>
      <c r="L496" s="196">
        <v>0.02</v>
      </c>
      <c r="M496" s="196">
        <v>9164</v>
      </c>
      <c r="N496" s="196">
        <v>2922471</v>
      </c>
      <c r="O496" s="196">
        <v>2328</v>
      </c>
      <c r="P496" s="196" t="s">
        <v>993</v>
      </c>
      <c r="Q496" s="196" t="s">
        <v>923</v>
      </c>
      <c r="R496" s="196" t="s">
        <v>1047</v>
      </c>
      <c r="S496" s="196" t="s">
        <v>844</v>
      </c>
      <c r="T496" s="196" t="s">
        <v>923</v>
      </c>
      <c r="U496" s="196" t="s">
        <v>1048</v>
      </c>
      <c r="V496" s="196" t="s">
        <v>1049</v>
      </c>
      <c r="W496" s="196" t="s">
        <v>1050</v>
      </c>
      <c r="X496" s="196" t="s">
        <v>1192</v>
      </c>
      <c r="Y496" s="196" t="s">
        <v>848</v>
      </c>
    </row>
    <row r="497" spans="1:25">
      <c r="A497" s="196" t="s">
        <v>837</v>
      </c>
      <c r="B497" s="196" t="s">
        <v>181</v>
      </c>
      <c r="C497" s="196">
        <v>2014</v>
      </c>
      <c r="D497" s="196">
        <v>80</v>
      </c>
      <c r="E497" s="196" t="s">
        <v>874</v>
      </c>
      <c r="F497" s="196" t="s">
        <v>1191</v>
      </c>
      <c r="G497" s="196">
        <v>1</v>
      </c>
      <c r="H497" s="196">
        <v>1</v>
      </c>
      <c r="I497" s="196">
        <v>1512</v>
      </c>
      <c r="J497" s="196">
        <v>2815</v>
      </c>
      <c r="K497" s="196">
        <v>97.36</v>
      </c>
      <c r="L497" s="196">
        <v>0.02</v>
      </c>
      <c r="M497" s="196">
        <v>9164</v>
      </c>
      <c r="N497" s="196">
        <v>2922471</v>
      </c>
      <c r="O497" s="196">
        <v>2328</v>
      </c>
      <c r="P497" s="196" t="s">
        <v>993</v>
      </c>
      <c r="Q497" s="196" t="s">
        <v>923</v>
      </c>
      <c r="R497" s="196" t="s">
        <v>1047</v>
      </c>
      <c r="S497" s="196" t="s">
        <v>844</v>
      </c>
      <c r="T497" s="196" t="s">
        <v>923</v>
      </c>
      <c r="U497" s="196" t="s">
        <v>1048</v>
      </c>
      <c r="V497" s="196" t="s">
        <v>1049</v>
      </c>
      <c r="W497" s="196" t="s">
        <v>1050</v>
      </c>
      <c r="X497" s="196" t="s">
        <v>1192</v>
      </c>
      <c r="Y497" s="196" t="s">
        <v>848</v>
      </c>
    </row>
    <row r="498" spans="1:25">
      <c r="A498" s="196" t="s">
        <v>837</v>
      </c>
      <c r="B498" s="196" t="s">
        <v>850</v>
      </c>
      <c r="C498" s="196">
        <v>2014</v>
      </c>
      <c r="D498" s="196">
        <v>80</v>
      </c>
      <c r="E498" s="196" t="s">
        <v>875</v>
      </c>
      <c r="F498" s="196" t="s">
        <v>1191</v>
      </c>
      <c r="G498" s="196">
        <v>1</v>
      </c>
      <c r="H498" s="196">
        <v>1</v>
      </c>
      <c r="I498" s="196">
        <v>1335</v>
      </c>
      <c r="J498" s="196">
        <v>3330</v>
      </c>
      <c r="K498" s="196">
        <v>97.36</v>
      </c>
      <c r="L498" s="196">
        <v>0.02</v>
      </c>
      <c r="M498" s="196">
        <v>9164</v>
      </c>
      <c r="N498" s="196">
        <v>2922471</v>
      </c>
      <c r="O498" s="196">
        <v>2328</v>
      </c>
      <c r="P498" s="196" t="s">
        <v>993</v>
      </c>
      <c r="Q498" s="196" t="s">
        <v>923</v>
      </c>
      <c r="R498" s="196" t="s">
        <v>1047</v>
      </c>
      <c r="S498" s="196" t="s">
        <v>844</v>
      </c>
      <c r="T498" s="196" t="s">
        <v>923</v>
      </c>
      <c r="U498" s="196" t="s">
        <v>1048</v>
      </c>
      <c r="V498" s="196" t="s">
        <v>1049</v>
      </c>
      <c r="W498" s="196" t="s">
        <v>1050</v>
      </c>
      <c r="X498" s="196" t="s">
        <v>1192</v>
      </c>
      <c r="Y498" s="196" t="s">
        <v>848</v>
      </c>
    </row>
    <row r="499" spans="1:25">
      <c r="A499" s="196" t="s">
        <v>837</v>
      </c>
      <c r="B499" s="196" t="s">
        <v>838</v>
      </c>
      <c r="C499" s="196">
        <v>2013</v>
      </c>
      <c r="D499" s="196">
        <v>80</v>
      </c>
      <c r="E499" s="196" t="s">
        <v>908</v>
      </c>
      <c r="F499" s="196" t="s">
        <v>1191</v>
      </c>
      <c r="G499" s="196">
        <v>1</v>
      </c>
      <c r="H499" s="196">
        <v>1</v>
      </c>
      <c r="I499" s="196">
        <v>2127</v>
      </c>
      <c r="J499" s="196">
        <v>10067</v>
      </c>
      <c r="K499" s="196">
        <v>97.36</v>
      </c>
      <c r="L499" s="196">
        <v>0.02</v>
      </c>
      <c r="M499" s="196">
        <v>9164</v>
      </c>
      <c r="N499" s="196">
        <v>2922471</v>
      </c>
      <c r="O499" s="196">
        <v>2328</v>
      </c>
      <c r="P499" s="196" t="s">
        <v>993</v>
      </c>
      <c r="Q499" s="196" t="s">
        <v>923</v>
      </c>
      <c r="R499" s="196" t="s">
        <v>1047</v>
      </c>
      <c r="S499" s="196" t="s">
        <v>844</v>
      </c>
      <c r="T499" s="196" t="s">
        <v>923</v>
      </c>
      <c r="U499" s="196" t="s">
        <v>1048</v>
      </c>
      <c r="V499" s="196" t="s">
        <v>1049</v>
      </c>
      <c r="W499" s="196" t="s">
        <v>1050</v>
      </c>
      <c r="X499" s="196" t="s">
        <v>1192</v>
      </c>
      <c r="Y499" s="196" t="s">
        <v>848</v>
      </c>
    </row>
    <row r="500" spans="1:25">
      <c r="A500" s="196" t="s">
        <v>837</v>
      </c>
      <c r="B500" s="196" t="s">
        <v>850</v>
      </c>
      <c r="C500" s="196">
        <v>2013</v>
      </c>
      <c r="D500" s="196">
        <v>55</v>
      </c>
      <c r="E500" s="196" t="s">
        <v>852</v>
      </c>
      <c r="F500" s="196" t="s">
        <v>1193</v>
      </c>
      <c r="G500" s="196">
        <v>1</v>
      </c>
      <c r="H500" s="196">
        <v>1</v>
      </c>
      <c r="I500" s="196">
        <v>1839</v>
      </c>
      <c r="J500" s="196">
        <v>2558</v>
      </c>
      <c r="K500" s="196">
        <v>24.67</v>
      </c>
      <c r="L500" s="196">
        <v>2.57</v>
      </c>
      <c r="M500" s="196">
        <v>3187</v>
      </c>
      <c r="N500" s="196">
        <v>519382</v>
      </c>
      <c r="O500" s="196">
        <v>549</v>
      </c>
      <c r="P500" s="196" t="s">
        <v>901</v>
      </c>
      <c r="Q500" s="196" t="s">
        <v>1194</v>
      </c>
      <c r="R500" s="196" t="s">
        <v>1195</v>
      </c>
      <c r="S500" s="196" t="s">
        <v>844</v>
      </c>
      <c r="T500" s="196" t="s">
        <v>900</v>
      </c>
      <c r="U500" s="196" t="s">
        <v>901</v>
      </c>
      <c r="V500" s="196" t="s">
        <v>902</v>
      </c>
      <c r="W500" s="196" t="s">
        <v>1194</v>
      </c>
      <c r="X500" s="196" t="s">
        <v>1196</v>
      </c>
      <c r="Y500" s="196" t="s">
        <v>1197</v>
      </c>
    </row>
    <row r="501" spans="1:25">
      <c r="A501" s="196" t="s">
        <v>837</v>
      </c>
      <c r="B501" s="196" t="s">
        <v>838</v>
      </c>
      <c r="C501" s="196">
        <v>2014</v>
      </c>
      <c r="D501" s="196">
        <v>80</v>
      </c>
      <c r="E501" s="196" t="s">
        <v>853</v>
      </c>
      <c r="F501" s="196" t="s">
        <v>1193</v>
      </c>
      <c r="G501" s="196">
        <v>1</v>
      </c>
      <c r="H501" s="196">
        <v>1</v>
      </c>
      <c r="I501" s="196">
        <v>1194</v>
      </c>
      <c r="J501" s="196">
        <v>2821</v>
      </c>
      <c r="K501" s="196">
        <v>24.67</v>
      </c>
      <c r="L501" s="196">
        <v>2.57</v>
      </c>
      <c r="M501" s="196">
        <v>3187</v>
      </c>
      <c r="N501" s="196">
        <v>519382</v>
      </c>
      <c r="O501" s="196">
        <v>549</v>
      </c>
      <c r="P501" s="196" t="s">
        <v>901</v>
      </c>
      <c r="Q501" s="196" t="s">
        <v>1194</v>
      </c>
      <c r="R501" s="196" t="s">
        <v>1195</v>
      </c>
      <c r="S501" s="196" t="s">
        <v>844</v>
      </c>
      <c r="T501" s="196" t="s">
        <v>900</v>
      </c>
      <c r="U501" s="196" t="s">
        <v>901</v>
      </c>
      <c r="V501" s="196" t="s">
        <v>902</v>
      </c>
      <c r="W501" s="196" t="s">
        <v>1194</v>
      </c>
      <c r="X501" s="196" t="s">
        <v>1196</v>
      </c>
      <c r="Y501" s="196" t="s">
        <v>1197</v>
      </c>
    </row>
    <row r="502" spans="1:25">
      <c r="A502" s="196" t="s">
        <v>837</v>
      </c>
      <c r="B502" s="196" t="s">
        <v>181</v>
      </c>
      <c r="C502" s="196">
        <v>2013</v>
      </c>
      <c r="D502" s="196">
        <v>80</v>
      </c>
      <c r="E502" s="196" t="s">
        <v>876</v>
      </c>
      <c r="F502" s="196" t="s">
        <v>1193</v>
      </c>
      <c r="G502" s="196">
        <v>1</v>
      </c>
      <c r="H502" s="196">
        <v>1</v>
      </c>
      <c r="I502" s="196">
        <v>1098</v>
      </c>
      <c r="J502" s="196">
        <v>3285</v>
      </c>
      <c r="K502" s="196">
        <v>24.67</v>
      </c>
      <c r="L502" s="196">
        <v>2.57</v>
      </c>
      <c r="M502" s="196">
        <v>3187</v>
      </c>
      <c r="N502" s="196">
        <v>519382</v>
      </c>
      <c r="O502" s="196">
        <v>549</v>
      </c>
      <c r="P502" s="196" t="s">
        <v>901</v>
      </c>
      <c r="Q502" s="196" t="s">
        <v>1194</v>
      </c>
      <c r="R502" s="196" t="s">
        <v>1195</v>
      </c>
      <c r="S502" s="196" t="s">
        <v>844</v>
      </c>
      <c r="T502" s="196" t="s">
        <v>900</v>
      </c>
      <c r="U502" s="196" t="s">
        <v>901</v>
      </c>
      <c r="V502" s="196" t="s">
        <v>902</v>
      </c>
      <c r="W502" s="196" t="s">
        <v>1194</v>
      </c>
      <c r="X502" s="196" t="s">
        <v>1196</v>
      </c>
      <c r="Y502" s="196" t="s">
        <v>1197</v>
      </c>
    </row>
    <row r="503" spans="1:25">
      <c r="A503" s="196" t="s">
        <v>837</v>
      </c>
      <c r="B503" s="196" t="s">
        <v>838</v>
      </c>
      <c r="C503" s="196">
        <v>2013</v>
      </c>
      <c r="D503" s="196">
        <v>30</v>
      </c>
      <c r="E503" s="196" t="s">
        <v>839</v>
      </c>
      <c r="F503" s="196" t="s">
        <v>1198</v>
      </c>
      <c r="G503" s="196">
        <v>7</v>
      </c>
      <c r="H503" s="196">
        <v>7</v>
      </c>
      <c r="I503" s="196">
        <v>13092</v>
      </c>
      <c r="J503" s="196">
        <v>103083</v>
      </c>
      <c r="K503" s="196">
        <v>95.34</v>
      </c>
      <c r="L503" s="196">
        <v>0.52</v>
      </c>
      <c r="M503" s="196">
        <v>18808</v>
      </c>
      <c r="N503" s="196">
        <v>1531767</v>
      </c>
      <c r="O503" s="196">
        <v>1625</v>
      </c>
      <c r="P503" s="196" t="s">
        <v>878</v>
      </c>
      <c r="Q503" s="196" t="s">
        <v>1199</v>
      </c>
      <c r="R503" s="196" t="s">
        <v>1200</v>
      </c>
      <c r="S503" s="196" t="s">
        <v>844</v>
      </c>
      <c r="T503" s="196" t="s">
        <v>1199</v>
      </c>
      <c r="U503" s="196" t="s">
        <v>1201</v>
      </c>
      <c r="V503" s="196" t="s">
        <v>1202</v>
      </c>
      <c r="W503" s="196" t="s">
        <v>1203</v>
      </c>
      <c r="X503" s="196" t="s">
        <v>848</v>
      </c>
      <c r="Y503" s="196" t="s">
        <v>848</v>
      </c>
    </row>
    <row r="504" spans="1:25">
      <c r="A504" s="196" t="s">
        <v>837</v>
      </c>
      <c r="B504" s="196" t="s">
        <v>838</v>
      </c>
      <c r="C504" s="196">
        <v>2013</v>
      </c>
      <c r="D504" s="196">
        <v>55</v>
      </c>
      <c r="E504" s="196" t="s">
        <v>849</v>
      </c>
      <c r="F504" s="196" t="s">
        <v>1198</v>
      </c>
      <c r="G504" s="196">
        <v>8</v>
      </c>
      <c r="H504" s="196">
        <v>7</v>
      </c>
      <c r="I504" s="196">
        <v>15132</v>
      </c>
      <c r="J504" s="196">
        <v>175671</v>
      </c>
      <c r="K504" s="196">
        <v>95.34</v>
      </c>
      <c r="L504" s="196">
        <v>0.52</v>
      </c>
      <c r="M504" s="196">
        <v>18808</v>
      </c>
      <c r="N504" s="196">
        <v>1531767</v>
      </c>
      <c r="O504" s="196">
        <v>1625</v>
      </c>
      <c r="P504" s="196" t="s">
        <v>878</v>
      </c>
      <c r="Q504" s="196" t="s">
        <v>1199</v>
      </c>
      <c r="R504" s="196" t="s">
        <v>1200</v>
      </c>
      <c r="S504" s="196" t="s">
        <v>844</v>
      </c>
      <c r="T504" s="196" t="s">
        <v>1199</v>
      </c>
      <c r="U504" s="196" t="s">
        <v>1201</v>
      </c>
      <c r="V504" s="196" t="s">
        <v>1202</v>
      </c>
      <c r="W504" s="196" t="s">
        <v>1203</v>
      </c>
      <c r="X504" s="196" t="s">
        <v>848</v>
      </c>
      <c r="Y504" s="196" t="s">
        <v>848</v>
      </c>
    </row>
    <row r="505" spans="1:25">
      <c r="A505" s="196" t="s">
        <v>837</v>
      </c>
      <c r="B505" s="196" t="s">
        <v>850</v>
      </c>
      <c r="C505" s="196">
        <v>2013</v>
      </c>
      <c r="D505" s="196">
        <v>30</v>
      </c>
      <c r="E505" s="196" t="s">
        <v>851</v>
      </c>
      <c r="F505" s="196" t="s">
        <v>1198</v>
      </c>
      <c r="G505" s="196">
        <v>14</v>
      </c>
      <c r="H505" s="196">
        <v>13</v>
      </c>
      <c r="I505" s="196">
        <v>21745</v>
      </c>
      <c r="J505" s="196">
        <v>194303</v>
      </c>
      <c r="K505" s="196">
        <v>95.34</v>
      </c>
      <c r="L505" s="196">
        <v>0.52</v>
      </c>
      <c r="M505" s="196">
        <v>18808</v>
      </c>
      <c r="N505" s="196">
        <v>1531767</v>
      </c>
      <c r="O505" s="196">
        <v>1625</v>
      </c>
      <c r="P505" s="196" t="s">
        <v>878</v>
      </c>
      <c r="Q505" s="196" t="s">
        <v>1199</v>
      </c>
      <c r="R505" s="196" t="s">
        <v>1200</v>
      </c>
      <c r="S505" s="196" t="s">
        <v>844</v>
      </c>
      <c r="T505" s="196" t="s">
        <v>1199</v>
      </c>
      <c r="U505" s="196" t="s">
        <v>1201</v>
      </c>
      <c r="V505" s="196" t="s">
        <v>1202</v>
      </c>
      <c r="W505" s="196" t="s">
        <v>1203</v>
      </c>
      <c r="X505" s="196" t="s">
        <v>848</v>
      </c>
      <c r="Y505" s="196" t="s">
        <v>848</v>
      </c>
    </row>
    <row r="506" spans="1:25">
      <c r="A506" s="196" t="s">
        <v>837</v>
      </c>
      <c r="B506" s="196" t="s">
        <v>850</v>
      </c>
      <c r="C506" s="196">
        <v>2013</v>
      </c>
      <c r="D506" s="196">
        <v>55</v>
      </c>
      <c r="E506" s="196" t="s">
        <v>852</v>
      </c>
      <c r="F506" s="196" t="s">
        <v>1198</v>
      </c>
      <c r="G506" s="196">
        <v>4</v>
      </c>
      <c r="H506" s="196">
        <v>4</v>
      </c>
      <c r="I506" s="196">
        <v>6591</v>
      </c>
      <c r="J506" s="196">
        <v>112543</v>
      </c>
      <c r="K506" s="196">
        <v>95.34</v>
      </c>
      <c r="L506" s="196">
        <v>0.52</v>
      </c>
      <c r="M506" s="196">
        <v>18808</v>
      </c>
      <c r="N506" s="196">
        <v>1531767</v>
      </c>
      <c r="O506" s="196">
        <v>1625</v>
      </c>
      <c r="P506" s="196" t="s">
        <v>878</v>
      </c>
      <c r="Q506" s="196" t="s">
        <v>1199</v>
      </c>
      <c r="R506" s="196" t="s">
        <v>1200</v>
      </c>
      <c r="S506" s="196" t="s">
        <v>844</v>
      </c>
      <c r="T506" s="196" t="s">
        <v>1199</v>
      </c>
      <c r="U506" s="196" t="s">
        <v>1201</v>
      </c>
      <c r="V506" s="196" t="s">
        <v>1202</v>
      </c>
      <c r="W506" s="196" t="s">
        <v>1203</v>
      </c>
      <c r="X506" s="196" t="s">
        <v>848</v>
      </c>
      <c r="Y506" s="196" t="s">
        <v>848</v>
      </c>
    </row>
    <row r="507" spans="1:25">
      <c r="A507" s="196" t="s">
        <v>837</v>
      </c>
      <c r="B507" s="196" t="s">
        <v>850</v>
      </c>
      <c r="C507" s="196">
        <v>2014</v>
      </c>
      <c r="D507" s="196">
        <v>80</v>
      </c>
      <c r="E507" s="196" t="s">
        <v>918</v>
      </c>
      <c r="F507" s="196" t="s">
        <v>1198</v>
      </c>
      <c r="G507" s="196">
        <v>1</v>
      </c>
      <c r="H507" s="196">
        <v>1</v>
      </c>
      <c r="I507" s="196">
        <v>3237</v>
      </c>
      <c r="J507" s="196">
        <v>30381</v>
      </c>
      <c r="K507" s="196">
        <v>95.34</v>
      </c>
      <c r="L507" s="196">
        <v>0.52</v>
      </c>
      <c r="M507" s="196">
        <v>18808</v>
      </c>
      <c r="N507" s="196">
        <v>1531767</v>
      </c>
      <c r="O507" s="196">
        <v>1625</v>
      </c>
      <c r="P507" s="196" t="s">
        <v>878</v>
      </c>
      <c r="Q507" s="196" t="s">
        <v>1199</v>
      </c>
      <c r="R507" s="196" t="s">
        <v>1200</v>
      </c>
      <c r="S507" s="196" t="s">
        <v>844</v>
      </c>
      <c r="T507" s="196" t="s">
        <v>1199</v>
      </c>
      <c r="U507" s="196" t="s">
        <v>1201</v>
      </c>
      <c r="V507" s="196" t="s">
        <v>1202</v>
      </c>
      <c r="W507" s="196" t="s">
        <v>1203</v>
      </c>
      <c r="X507" s="196" t="s">
        <v>848</v>
      </c>
      <c r="Y507" s="196" t="s">
        <v>848</v>
      </c>
    </row>
    <row r="508" spans="1:25">
      <c r="A508" s="196" t="s">
        <v>837</v>
      </c>
      <c r="B508" s="196" t="s">
        <v>838</v>
      </c>
      <c r="C508" s="196">
        <v>2014</v>
      </c>
      <c r="D508" s="196">
        <v>55</v>
      </c>
      <c r="E508" s="196" t="s">
        <v>854</v>
      </c>
      <c r="F508" s="196" t="s">
        <v>1198</v>
      </c>
      <c r="G508" s="196">
        <v>2</v>
      </c>
      <c r="H508" s="196">
        <v>2</v>
      </c>
      <c r="I508" s="196">
        <v>3795</v>
      </c>
      <c r="J508" s="196">
        <v>18114</v>
      </c>
      <c r="K508" s="196">
        <v>95.34</v>
      </c>
      <c r="L508" s="196">
        <v>0.52</v>
      </c>
      <c r="M508" s="196">
        <v>18808</v>
      </c>
      <c r="N508" s="196">
        <v>1531767</v>
      </c>
      <c r="O508" s="196">
        <v>1625</v>
      </c>
      <c r="P508" s="196" t="s">
        <v>878</v>
      </c>
      <c r="Q508" s="196" t="s">
        <v>1199</v>
      </c>
      <c r="R508" s="196" t="s">
        <v>1200</v>
      </c>
      <c r="S508" s="196" t="s">
        <v>844</v>
      </c>
      <c r="T508" s="196" t="s">
        <v>1199</v>
      </c>
      <c r="U508" s="196" t="s">
        <v>1201</v>
      </c>
      <c r="V508" s="196" t="s">
        <v>1202</v>
      </c>
      <c r="W508" s="196" t="s">
        <v>1203</v>
      </c>
      <c r="X508" s="196" t="s">
        <v>848</v>
      </c>
      <c r="Y508" s="196" t="s">
        <v>848</v>
      </c>
    </row>
    <row r="509" spans="1:25">
      <c r="A509" s="196" t="s">
        <v>837</v>
      </c>
      <c r="B509" s="196" t="s">
        <v>838</v>
      </c>
      <c r="C509" s="196">
        <v>2014</v>
      </c>
      <c r="D509" s="196">
        <v>55</v>
      </c>
      <c r="E509" s="196" t="s">
        <v>855</v>
      </c>
      <c r="F509" s="196" t="s">
        <v>1198</v>
      </c>
      <c r="G509" s="196">
        <v>2</v>
      </c>
      <c r="H509" s="196">
        <v>2</v>
      </c>
      <c r="I509" s="196">
        <v>2640</v>
      </c>
      <c r="J509" s="196">
        <v>64047</v>
      </c>
      <c r="K509" s="196">
        <v>95.34</v>
      </c>
      <c r="L509" s="196">
        <v>0.52</v>
      </c>
      <c r="M509" s="196">
        <v>18808</v>
      </c>
      <c r="N509" s="196">
        <v>1531767</v>
      </c>
      <c r="O509" s="196">
        <v>1625</v>
      </c>
      <c r="P509" s="196" t="s">
        <v>878</v>
      </c>
      <c r="Q509" s="196" t="s">
        <v>1199</v>
      </c>
      <c r="R509" s="196" t="s">
        <v>1200</v>
      </c>
      <c r="S509" s="196" t="s">
        <v>844</v>
      </c>
      <c r="T509" s="196" t="s">
        <v>1199</v>
      </c>
      <c r="U509" s="196" t="s">
        <v>1201</v>
      </c>
      <c r="V509" s="196" t="s">
        <v>1202</v>
      </c>
      <c r="W509" s="196" t="s">
        <v>1203</v>
      </c>
      <c r="X509" s="196" t="s">
        <v>848</v>
      </c>
      <c r="Y509" s="196" t="s">
        <v>848</v>
      </c>
    </row>
    <row r="510" spans="1:25">
      <c r="A510" s="196" t="s">
        <v>837</v>
      </c>
      <c r="B510" s="196" t="s">
        <v>181</v>
      </c>
      <c r="C510" s="196">
        <v>2014</v>
      </c>
      <c r="D510" s="196">
        <v>30</v>
      </c>
      <c r="E510" s="196" t="s">
        <v>856</v>
      </c>
      <c r="F510" s="196" t="s">
        <v>1198</v>
      </c>
      <c r="G510" s="196">
        <v>2</v>
      </c>
      <c r="H510" s="196">
        <v>2</v>
      </c>
      <c r="I510" s="196">
        <v>6024</v>
      </c>
      <c r="J510" s="196">
        <v>43988</v>
      </c>
      <c r="K510" s="196">
        <v>95.34</v>
      </c>
      <c r="L510" s="196">
        <v>0.52</v>
      </c>
      <c r="M510" s="196">
        <v>18808</v>
      </c>
      <c r="N510" s="196">
        <v>1531767</v>
      </c>
      <c r="O510" s="196">
        <v>1625</v>
      </c>
      <c r="P510" s="196" t="s">
        <v>878</v>
      </c>
      <c r="Q510" s="196" t="s">
        <v>1199</v>
      </c>
      <c r="R510" s="196" t="s">
        <v>1200</v>
      </c>
      <c r="S510" s="196" t="s">
        <v>844</v>
      </c>
      <c r="T510" s="196" t="s">
        <v>1199</v>
      </c>
      <c r="U510" s="196" t="s">
        <v>1201</v>
      </c>
      <c r="V510" s="196" t="s">
        <v>1202</v>
      </c>
      <c r="W510" s="196" t="s">
        <v>1203</v>
      </c>
      <c r="X510" s="196" t="s">
        <v>848</v>
      </c>
      <c r="Y510" s="196" t="s">
        <v>848</v>
      </c>
    </row>
    <row r="511" spans="1:25">
      <c r="A511" s="196" t="s">
        <v>837</v>
      </c>
      <c r="B511" s="196" t="s">
        <v>181</v>
      </c>
      <c r="C511" s="196">
        <v>2014</v>
      </c>
      <c r="D511" s="196">
        <v>55</v>
      </c>
      <c r="E511" s="196" t="s">
        <v>858</v>
      </c>
      <c r="F511" s="196" t="s">
        <v>1198</v>
      </c>
      <c r="G511" s="196">
        <v>3</v>
      </c>
      <c r="H511" s="196">
        <v>3</v>
      </c>
      <c r="I511" s="196">
        <v>3084</v>
      </c>
      <c r="J511" s="196">
        <v>19655</v>
      </c>
      <c r="K511" s="196">
        <v>95.34</v>
      </c>
      <c r="L511" s="196">
        <v>0.52</v>
      </c>
      <c r="M511" s="196">
        <v>18808</v>
      </c>
      <c r="N511" s="196">
        <v>1531767</v>
      </c>
      <c r="O511" s="196">
        <v>1625</v>
      </c>
      <c r="P511" s="196" t="s">
        <v>878</v>
      </c>
      <c r="Q511" s="196" t="s">
        <v>1199</v>
      </c>
      <c r="R511" s="196" t="s">
        <v>1200</v>
      </c>
      <c r="S511" s="196" t="s">
        <v>844</v>
      </c>
      <c r="T511" s="196" t="s">
        <v>1199</v>
      </c>
      <c r="U511" s="196" t="s">
        <v>1201</v>
      </c>
      <c r="V511" s="196" t="s">
        <v>1202</v>
      </c>
      <c r="W511" s="196" t="s">
        <v>1203</v>
      </c>
      <c r="X511" s="196" t="s">
        <v>848</v>
      </c>
      <c r="Y511" s="196" t="s">
        <v>848</v>
      </c>
    </row>
    <row r="512" spans="1:25">
      <c r="A512" s="196" t="s">
        <v>837</v>
      </c>
      <c r="B512" s="196" t="s">
        <v>181</v>
      </c>
      <c r="C512" s="196">
        <v>2014</v>
      </c>
      <c r="D512" s="196">
        <v>55</v>
      </c>
      <c r="E512" s="196" t="s">
        <v>859</v>
      </c>
      <c r="F512" s="196" t="s">
        <v>1198</v>
      </c>
      <c r="G512" s="196">
        <v>1</v>
      </c>
      <c r="H512" s="196">
        <v>1</v>
      </c>
      <c r="I512" s="196">
        <v>1689</v>
      </c>
      <c r="J512" s="196">
        <v>42324</v>
      </c>
      <c r="K512" s="196">
        <v>95.34</v>
      </c>
      <c r="L512" s="196">
        <v>0.52</v>
      </c>
      <c r="M512" s="196">
        <v>18808</v>
      </c>
      <c r="N512" s="196">
        <v>1531767</v>
      </c>
      <c r="O512" s="196">
        <v>1625</v>
      </c>
      <c r="P512" s="196" t="s">
        <v>878</v>
      </c>
      <c r="Q512" s="196" t="s">
        <v>1199</v>
      </c>
      <c r="R512" s="196" t="s">
        <v>1200</v>
      </c>
      <c r="S512" s="196" t="s">
        <v>844</v>
      </c>
      <c r="T512" s="196" t="s">
        <v>1199</v>
      </c>
      <c r="U512" s="196" t="s">
        <v>1201</v>
      </c>
      <c r="V512" s="196" t="s">
        <v>1202</v>
      </c>
      <c r="W512" s="196" t="s">
        <v>1203</v>
      </c>
      <c r="X512" s="196" t="s">
        <v>848</v>
      </c>
      <c r="Y512" s="196" t="s">
        <v>848</v>
      </c>
    </row>
    <row r="513" spans="1:25">
      <c r="A513" s="196" t="s">
        <v>837</v>
      </c>
      <c r="B513" s="196" t="s">
        <v>850</v>
      </c>
      <c r="C513" s="196">
        <v>2014</v>
      </c>
      <c r="D513" s="196">
        <v>30</v>
      </c>
      <c r="E513" s="196" t="s">
        <v>860</v>
      </c>
      <c r="F513" s="196" t="s">
        <v>1198</v>
      </c>
      <c r="G513" s="196">
        <v>2</v>
      </c>
      <c r="H513" s="196">
        <v>2</v>
      </c>
      <c r="I513" s="196">
        <v>5343</v>
      </c>
      <c r="J513" s="196">
        <v>35704</v>
      </c>
      <c r="K513" s="196">
        <v>95.34</v>
      </c>
      <c r="L513" s="196">
        <v>0.52</v>
      </c>
      <c r="M513" s="196">
        <v>18808</v>
      </c>
      <c r="N513" s="196">
        <v>1531767</v>
      </c>
      <c r="O513" s="196">
        <v>1625</v>
      </c>
      <c r="P513" s="196" t="s">
        <v>878</v>
      </c>
      <c r="Q513" s="196" t="s">
        <v>1199</v>
      </c>
      <c r="R513" s="196" t="s">
        <v>1200</v>
      </c>
      <c r="S513" s="196" t="s">
        <v>844</v>
      </c>
      <c r="T513" s="196" t="s">
        <v>1199</v>
      </c>
      <c r="U513" s="196" t="s">
        <v>1201</v>
      </c>
      <c r="V513" s="196" t="s">
        <v>1202</v>
      </c>
      <c r="W513" s="196" t="s">
        <v>1203</v>
      </c>
      <c r="X513" s="196" t="s">
        <v>848</v>
      </c>
      <c r="Y513" s="196" t="s">
        <v>848</v>
      </c>
    </row>
    <row r="514" spans="1:25">
      <c r="A514" s="196" t="s">
        <v>837</v>
      </c>
      <c r="B514" s="196" t="s">
        <v>850</v>
      </c>
      <c r="C514" s="196">
        <v>2014</v>
      </c>
      <c r="D514" s="196">
        <v>30</v>
      </c>
      <c r="E514" s="196" t="s">
        <v>861</v>
      </c>
      <c r="F514" s="196" t="s">
        <v>1198</v>
      </c>
      <c r="G514" s="196">
        <v>5</v>
      </c>
      <c r="H514" s="196">
        <v>5</v>
      </c>
      <c r="I514" s="196">
        <v>7293</v>
      </c>
      <c r="J514" s="196">
        <v>98329</v>
      </c>
      <c r="K514" s="196">
        <v>95.34</v>
      </c>
      <c r="L514" s="196">
        <v>0.52</v>
      </c>
      <c r="M514" s="196">
        <v>18808</v>
      </c>
      <c r="N514" s="196">
        <v>1531767</v>
      </c>
      <c r="O514" s="196">
        <v>1625</v>
      </c>
      <c r="P514" s="196" t="s">
        <v>878</v>
      </c>
      <c r="Q514" s="196" t="s">
        <v>1199</v>
      </c>
      <c r="R514" s="196" t="s">
        <v>1200</v>
      </c>
      <c r="S514" s="196" t="s">
        <v>844</v>
      </c>
      <c r="T514" s="196" t="s">
        <v>1199</v>
      </c>
      <c r="U514" s="196" t="s">
        <v>1201</v>
      </c>
      <c r="V514" s="196" t="s">
        <v>1202</v>
      </c>
      <c r="W514" s="196" t="s">
        <v>1203</v>
      </c>
      <c r="X514" s="196" t="s">
        <v>848</v>
      </c>
      <c r="Y514" s="196" t="s">
        <v>848</v>
      </c>
    </row>
    <row r="515" spans="1:25">
      <c r="A515" s="196" t="s">
        <v>837</v>
      </c>
      <c r="B515" s="196" t="s">
        <v>850</v>
      </c>
      <c r="C515" s="196">
        <v>2014</v>
      </c>
      <c r="D515" s="196">
        <v>55</v>
      </c>
      <c r="E515" s="196" t="s">
        <v>862</v>
      </c>
      <c r="F515" s="196" t="s">
        <v>1198</v>
      </c>
      <c r="G515" s="196">
        <v>11</v>
      </c>
      <c r="H515" s="196">
        <v>10</v>
      </c>
      <c r="I515" s="196">
        <v>18804</v>
      </c>
      <c r="J515" s="196">
        <v>242383</v>
      </c>
      <c r="K515" s="196">
        <v>95.34</v>
      </c>
      <c r="L515" s="196">
        <v>0.52</v>
      </c>
      <c r="M515" s="196">
        <v>18808</v>
      </c>
      <c r="N515" s="196">
        <v>1531767</v>
      </c>
      <c r="O515" s="196">
        <v>1625</v>
      </c>
      <c r="P515" s="196" t="s">
        <v>878</v>
      </c>
      <c r="Q515" s="196" t="s">
        <v>1199</v>
      </c>
      <c r="R515" s="196" t="s">
        <v>1200</v>
      </c>
      <c r="S515" s="196" t="s">
        <v>844</v>
      </c>
      <c r="T515" s="196" t="s">
        <v>1199</v>
      </c>
      <c r="U515" s="196" t="s">
        <v>1201</v>
      </c>
      <c r="V515" s="196" t="s">
        <v>1202</v>
      </c>
      <c r="W515" s="196" t="s">
        <v>1203</v>
      </c>
      <c r="X515" s="196" t="s">
        <v>848</v>
      </c>
      <c r="Y515" s="196" t="s">
        <v>848</v>
      </c>
    </row>
    <row r="516" spans="1:25">
      <c r="A516" s="196" t="s">
        <v>837</v>
      </c>
      <c r="B516" s="196" t="s">
        <v>850</v>
      </c>
      <c r="C516" s="196">
        <v>2013</v>
      </c>
      <c r="D516" s="196">
        <v>80</v>
      </c>
      <c r="E516" s="196" t="s">
        <v>917</v>
      </c>
      <c r="F516" s="196" t="s">
        <v>1204</v>
      </c>
      <c r="G516" s="196">
        <v>1</v>
      </c>
      <c r="H516" s="196">
        <v>1</v>
      </c>
      <c r="I516" s="196">
        <v>1140</v>
      </c>
      <c r="J516" s="196">
        <v>8658</v>
      </c>
      <c r="K516" s="196">
        <v>78.459999999999994</v>
      </c>
      <c r="L516" s="196">
        <v>1.0900000000000001</v>
      </c>
      <c r="M516" s="196">
        <v>5175</v>
      </c>
      <c r="N516" s="196">
        <v>850018</v>
      </c>
      <c r="O516" s="196">
        <v>1043</v>
      </c>
      <c r="P516" s="196" t="s">
        <v>878</v>
      </c>
      <c r="Q516" s="196" t="s">
        <v>841</v>
      </c>
      <c r="R516" s="196" t="s">
        <v>1007</v>
      </c>
      <c r="S516" s="196" t="s">
        <v>844</v>
      </c>
      <c r="T516" s="196" t="s">
        <v>845</v>
      </c>
      <c r="U516" s="196" t="s">
        <v>846</v>
      </c>
      <c r="V516" s="196" t="s">
        <v>841</v>
      </c>
      <c r="W516" s="196" t="s">
        <v>848</v>
      </c>
      <c r="X516" s="196" t="s">
        <v>848</v>
      </c>
      <c r="Y516" s="196" t="s">
        <v>848</v>
      </c>
    </row>
    <row r="517" spans="1:25">
      <c r="A517" s="196" t="s">
        <v>837</v>
      </c>
      <c r="B517" s="196" t="s">
        <v>838</v>
      </c>
      <c r="C517" s="196">
        <v>2014</v>
      </c>
      <c r="D517" s="196">
        <v>80</v>
      </c>
      <c r="E517" s="196" t="s">
        <v>853</v>
      </c>
      <c r="F517" s="196" t="s">
        <v>1204</v>
      </c>
      <c r="G517" s="196">
        <v>2</v>
      </c>
      <c r="H517" s="196">
        <v>1</v>
      </c>
      <c r="I517" s="196">
        <v>2139</v>
      </c>
      <c r="J517" s="196">
        <v>6867</v>
      </c>
      <c r="K517" s="196">
        <v>78.459999999999994</v>
      </c>
      <c r="L517" s="196">
        <v>1.0900000000000001</v>
      </c>
      <c r="M517" s="196">
        <v>5175</v>
      </c>
      <c r="N517" s="196">
        <v>850018</v>
      </c>
      <c r="O517" s="196">
        <v>1043</v>
      </c>
      <c r="P517" s="196" t="s">
        <v>878</v>
      </c>
      <c r="Q517" s="196" t="s">
        <v>841</v>
      </c>
      <c r="R517" s="196" t="s">
        <v>1007</v>
      </c>
      <c r="S517" s="196" t="s">
        <v>844</v>
      </c>
      <c r="T517" s="196" t="s">
        <v>845</v>
      </c>
      <c r="U517" s="196" t="s">
        <v>846</v>
      </c>
      <c r="V517" s="196" t="s">
        <v>841</v>
      </c>
      <c r="W517" s="196" t="s">
        <v>848</v>
      </c>
      <c r="X517" s="196" t="s">
        <v>848</v>
      </c>
      <c r="Y517" s="196" t="s">
        <v>848</v>
      </c>
    </row>
    <row r="518" spans="1:25">
      <c r="A518" s="196" t="s">
        <v>837</v>
      </c>
      <c r="B518" s="196" t="s">
        <v>850</v>
      </c>
      <c r="C518" s="196">
        <v>2014</v>
      </c>
      <c r="D518" s="196">
        <v>80</v>
      </c>
      <c r="E518" s="196" t="s">
        <v>875</v>
      </c>
      <c r="F518" s="196" t="s">
        <v>1204</v>
      </c>
      <c r="G518" s="196">
        <v>1</v>
      </c>
      <c r="H518" s="196">
        <v>1</v>
      </c>
      <c r="I518" s="196">
        <v>855</v>
      </c>
      <c r="J518" s="196">
        <v>2584</v>
      </c>
      <c r="K518" s="196">
        <v>78.459999999999994</v>
      </c>
      <c r="L518" s="196">
        <v>1.0900000000000001</v>
      </c>
      <c r="M518" s="196">
        <v>5175</v>
      </c>
      <c r="N518" s="196">
        <v>850018</v>
      </c>
      <c r="O518" s="196">
        <v>1043</v>
      </c>
      <c r="P518" s="196" t="s">
        <v>878</v>
      </c>
      <c r="Q518" s="196" t="s">
        <v>841</v>
      </c>
      <c r="R518" s="196" t="s">
        <v>1007</v>
      </c>
      <c r="S518" s="196" t="s">
        <v>844</v>
      </c>
      <c r="T518" s="196" t="s">
        <v>845</v>
      </c>
      <c r="U518" s="196" t="s">
        <v>846</v>
      </c>
      <c r="V518" s="196" t="s">
        <v>841</v>
      </c>
      <c r="W518" s="196" t="s">
        <v>848</v>
      </c>
      <c r="X518" s="196" t="s">
        <v>848</v>
      </c>
      <c r="Y518" s="196" t="s">
        <v>848</v>
      </c>
    </row>
    <row r="519" spans="1:25">
      <c r="A519" s="196" t="s">
        <v>837</v>
      </c>
      <c r="B519" s="196" t="s">
        <v>181</v>
      </c>
      <c r="C519" s="196">
        <v>2013</v>
      </c>
      <c r="D519" s="196">
        <v>80</v>
      </c>
      <c r="E519" s="196" t="s">
        <v>876</v>
      </c>
      <c r="F519" s="196" t="s">
        <v>1204</v>
      </c>
      <c r="G519" s="196">
        <v>1</v>
      </c>
      <c r="H519" s="196">
        <v>1</v>
      </c>
      <c r="I519" s="196">
        <v>411</v>
      </c>
      <c r="J519" s="196">
        <v>3755</v>
      </c>
      <c r="K519" s="196">
        <v>78.459999999999994</v>
      </c>
      <c r="L519" s="196">
        <v>1.0900000000000001</v>
      </c>
      <c r="M519" s="196">
        <v>5175</v>
      </c>
      <c r="N519" s="196">
        <v>850018</v>
      </c>
      <c r="O519" s="196">
        <v>1043</v>
      </c>
      <c r="P519" s="196" t="s">
        <v>878</v>
      </c>
      <c r="Q519" s="196" t="s">
        <v>841</v>
      </c>
      <c r="R519" s="196" t="s">
        <v>1007</v>
      </c>
      <c r="S519" s="196" t="s">
        <v>844</v>
      </c>
      <c r="T519" s="196" t="s">
        <v>845</v>
      </c>
      <c r="U519" s="196" t="s">
        <v>846</v>
      </c>
      <c r="V519" s="196" t="s">
        <v>841</v>
      </c>
      <c r="W519" s="196" t="s">
        <v>848</v>
      </c>
      <c r="X519" s="196" t="s">
        <v>848</v>
      </c>
      <c r="Y519" s="196" t="s">
        <v>848</v>
      </c>
    </row>
    <row r="520" spans="1:25">
      <c r="A520" s="196" t="s">
        <v>837</v>
      </c>
      <c r="B520" s="196" t="s">
        <v>181</v>
      </c>
      <c r="C520" s="196">
        <v>2014</v>
      </c>
      <c r="D520" s="196">
        <v>30</v>
      </c>
      <c r="E520" s="196" t="s">
        <v>856</v>
      </c>
      <c r="F520" s="196" t="s">
        <v>1204</v>
      </c>
      <c r="G520" s="196">
        <v>1</v>
      </c>
      <c r="H520" s="196">
        <v>1</v>
      </c>
      <c r="I520" s="196">
        <v>1623</v>
      </c>
      <c r="J520" s="196">
        <v>2762</v>
      </c>
      <c r="K520" s="196">
        <v>78.459999999999994</v>
      </c>
      <c r="L520" s="196">
        <v>1.0900000000000001</v>
      </c>
      <c r="M520" s="196">
        <v>5175</v>
      </c>
      <c r="N520" s="196">
        <v>850018</v>
      </c>
      <c r="O520" s="196">
        <v>1043</v>
      </c>
      <c r="P520" s="196" t="s">
        <v>878</v>
      </c>
      <c r="Q520" s="196" t="s">
        <v>841</v>
      </c>
      <c r="R520" s="196" t="s">
        <v>1007</v>
      </c>
      <c r="S520" s="196" t="s">
        <v>844</v>
      </c>
      <c r="T520" s="196" t="s">
        <v>845</v>
      </c>
      <c r="U520" s="196" t="s">
        <v>846</v>
      </c>
      <c r="V520" s="196" t="s">
        <v>841</v>
      </c>
      <c r="W520" s="196" t="s">
        <v>848</v>
      </c>
      <c r="X520" s="196" t="s">
        <v>848</v>
      </c>
      <c r="Y520" s="196" t="s">
        <v>848</v>
      </c>
    </row>
    <row r="521" spans="1:25">
      <c r="A521" s="196" t="s">
        <v>837</v>
      </c>
      <c r="B521" s="196" t="s">
        <v>181</v>
      </c>
      <c r="C521" s="196">
        <v>2014</v>
      </c>
      <c r="D521" s="196">
        <v>55</v>
      </c>
      <c r="E521" s="196" t="s">
        <v>858</v>
      </c>
      <c r="F521" s="196" t="s">
        <v>1204</v>
      </c>
      <c r="G521" s="196">
        <v>1</v>
      </c>
      <c r="H521" s="196">
        <v>1</v>
      </c>
      <c r="I521" s="196">
        <v>1002</v>
      </c>
      <c r="J521" s="196">
        <v>3210</v>
      </c>
      <c r="K521" s="196">
        <v>78.459999999999994</v>
      </c>
      <c r="L521" s="196">
        <v>1.0900000000000001</v>
      </c>
      <c r="M521" s="196">
        <v>5175</v>
      </c>
      <c r="N521" s="196">
        <v>850018</v>
      </c>
      <c r="O521" s="196">
        <v>1043</v>
      </c>
      <c r="P521" s="196" t="s">
        <v>878</v>
      </c>
      <c r="Q521" s="196" t="s">
        <v>841</v>
      </c>
      <c r="R521" s="196" t="s">
        <v>1007</v>
      </c>
      <c r="S521" s="196" t="s">
        <v>844</v>
      </c>
      <c r="T521" s="196" t="s">
        <v>845</v>
      </c>
      <c r="U521" s="196" t="s">
        <v>846</v>
      </c>
      <c r="V521" s="196" t="s">
        <v>841</v>
      </c>
      <c r="W521" s="196" t="s">
        <v>848</v>
      </c>
      <c r="X521" s="196" t="s">
        <v>848</v>
      </c>
      <c r="Y521" s="196" t="s">
        <v>848</v>
      </c>
    </row>
    <row r="522" spans="1:25">
      <c r="A522" s="196" t="s">
        <v>837</v>
      </c>
      <c r="B522" s="196" t="s">
        <v>838</v>
      </c>
      <c r="C522" s="196">
        <v>2013</v>
      </c>
      <c r="D522" s="196">
        <v>30</v>
      </c>
      <c r="E522" s="196" t="s">
        <v>839</v>
      </c>
      <c r="F522" s="196" t="s">
        <v>1205</v>
      </c>
      <c r="G522" s="196">
        <v>1</v>
      </c>
      <c r="H522" s="196">
        <v>1</v>
      </c>
      <c r="I522" s="196">
        <v>969</v>
      </c>
      <c r="J522" s="196">
        <v>15220</v>
      </c>
      <c r="K522" s="196">
        <v>93.77</v>
      </c>
      <c r="L522" s="196">
        <v>6.42</v>
      </c>
      <c r="M522" s="196">
        <v>7323</v>
      </c>
      <c r="N522" s="196">
        <v>3821363</v>
      </c>
      <c r="O522" s="196">
        <v>3904</v>
      </c>
      <c r="P522" s="196" t="s">
        <v>1106</v>
      </c>
      <c r="Q522" s="196" t="s">
        <v>1110</v>
      </c>
      <c r="R522" s="196" t="s">
        <v>1136</v>
      </c>
      <c r="S522" s="196" t="s">
        <v>844</v>
      </c>
      <c r="T522" s="196" t="s">
        <v>1109</v>
      </c>
      <c r="U522" s="196" t="s">
        <v>1110</v>
      </c>
      <c r="V522" s="196" t="s">
        <v>1137</v>
      </c>
      <c r="W522" s="196" t="s">
        <v>1138</v>
      </c>
      <c r="X522" s="196" t="s">
        <v>1139</v>
      </c>
      <c r="Y522" s="196" t="s">
        <v>848</v>
      </c>
    </row>
    <row r="523" spans="1:25">
      <c r="A523" s="196" t="s">
        <v>837</v>
      </c>
      <c r="B523" s="196" t="s">
        <v>838</v>
      </c>
      <c r="C523" s="196">
        <v>2013</v>
      </c>
      <c r="D523" s="196">
        <v>55</v>
      </c>
      <c r="E523" s="196" t="s">
        <v>849</v>
      </c>
      <c r="F523" s="196" t="s">
        <v>1205</v>
      </c>
      <c r="G523" s="196">
        <v>1</v>
      </c>
      <c r="H523" s="196">
        <v>1</v>
      </c>
      <c r="I523" s="196">
        <v>1659</v>
      </c>
      <c r="J523" s="196">
        <v>4889</v>
      </c>
      <c r="K523" s="196">
        <v>93.77</v>
      </c>
      <c r="L523" s="196">
        <v>6.42</v>
      </c>
      <c r="M523" s="196">
        <v>7323</v>
      </c>
      <c r="N523" s="196">
        <v>3821363</v>
      </c>
      <c r="O523" s="196">
        <v>3904</v>
      </c>
      <c r="P523" s="196" t="s">
        <v>1106</v>
      </c>
      <c r="Q523" s="196" t="s">
        <v>1110</v>
      </c>
      <c r="R523" s="196" t="s">
        <v>1136</v>
      </c>
      <c r="S523" s="196" t="s">
        <v>844</v>
      </c>
      <c r="T523" s="196" t="s">
        <v>1109</v>
      </c>
      <c r="U523" s="196" t="s">
        <v>1110</v>
      </c>
      <c r="V523" s="196" t="s">
        <v>1137</v>
      </c>
      <c r="W523" s="196" t="s">
        <v>1138</v>
      </c>
      <c r="X523" s="196" t="s">
        <v>1139</v>
      </c>
      <c r="Y523" s="196" t="s">
        <v>848</v>
      </c>
    </row>
    <row r="524" spans="1:25">
      <c r="A524" s="196" t="s">
        <v>837</v>
      </c>
      <c r="B524" s="196" t="s">
        <v>850</v>
      </c>
      <c r="C524" s="196">
        <v>2013</v>
      </c>
      <c r="D524" s="196">
        <v>30</v>
      </c>
      <c r="E524" s="196" t="s">
        <v>851</v>
      </c>
      <c r="F524" s="196" t="s">
        <v>1205</v>
      </c>
      <c r="G524" s="196">
        <v>1</v>
      </c>
      <c r="H524" s="196">
        <v>1</v>
      </c>
      <c r="I524" s="196">
        <v>348</v>
      </c>
      <c r="J524" s="196">
        <v>3852</v>
      </c>
      <c r="K524" s="196">
        <v>93.77</v>
      </c>
      <c r="L524" s="196">
        <v>6.42</v>
      </c>
      <c r="M524" s="196">
        <v>7323</v>
      </c>
      <c r="N524" s="196">
        <v>3821363</v>
      </c>
      <c r="O524" s="196">
        <v>3904</v>
      </c>
      <c r="P524" s="196" t="s">
        <v>1106</v>
      </c>
      <c r="Q524" s="196" t="s">
        <v>1110</v>
      </c>
      <c r="R524" s="196" t="s">
        <v>1136</v>
      </c>
      <c r="S524" s="196" t="s">
        <v>844</v>
      </c>
      <c r="T524" s="196" t="s">
        <v>1109</v>
      </c>
      <c r="U524" s="196" t="s">
        <v>1110</v>
      </c>
      <c r="V524" s="196" t="s">
        <v>1137</v>
      </c>
      <c r="W524" s="196" t="s">
        <v>1138</v>
      </c>
      <c r="X524" s="196" t="s">
        <v>1139</v>
      </c>
      <c r="Y524" s="196" t="s">
        <v>848</v>
      </c>
    </row>
    <row r="525" spans="1:25">
      <c r="A525" s="196" t="s">
        <v>837</v>
      </c>
      <c r="B525" s="196" t="s">
        <v>850</v>
      </c>
      <c r="C525" s="196">
        <v>2013</v>
      </c>
      <c r="D525" s="196">
        <v>55</v>
      </c>
      <c r="E525" s="196" t="s">
        <v>852</v>
      </c>
      <c r="F525" s="196" t="s">
        <v>1205</v>
      </c>
      <c r="G525" s="196">
        <v>1</v>
      </c>
      <c r="H525" s="196">
        <v>1</v>
      </c>
      <c r="I525" s="196">
        <v>1002</v>
      </c>
      <c r="J525" s="196">
        <v>12629</v>
      </c>
      <c r="K525" s="196">
        <v>93.77</v>
      </c>
      <c r="L525" s="196">
        <v>6.42</v>
      </c>
      <c r="M525" s="196">
        <v>7323</v>
      </c>
      <c r="N525" s="196">
        <v>3821363</v>
      </c>
      <c r="O525" s="196">
        <v>3904</v>
      </c>
      <c r="P525" s="196" t="s">
        <v>1106</v>
      </c>
      <c r="Q525" s="196" t="s">
        <v>1110</v>
      </c>
      <c r="R525" s="196" t="s">
        <v>1136</v>
      </c>
      <c r="S525" s="196" t="s">
        <v>844</v>
      </c>
      <c r="T525" s="196" t="s">
        <v>1109</v>
      </c>
      <c r="U525" s="196" t="s">
        <v>1110</v>
      </c>
      <c r="V525" s="196" t="s">
        <v>1137</v>
      </c>
      <c r="W525" s="196" t="s">
        <v>1138</v>
      </c>
      <c r="X525" s="196" t="s">
        <v>1139</v>
      </c>
      <c r="Y525" s="196" t="s">
        <v>848</v>
      </c>
    </row>
    <row r="526" spans="1:25">
      <c r="A526" s="196" t="s">
        <v>837</v>
      </c>
      <c r="B526" s="196" t="s">
        <v>850</v>
      </c>
      <c r="C526" s="196">
        <v>2013</v>
      </c>
      <c r="D526" s="196">
        <v>80</v>
      </c>
      <c r="E526" s="196" t="s">
        <v>917</v>
      </c>
      <c r="F526" s="196" t="s">
        <v>1205</v>
      </c>
      <c r="G526" s="196">
        <v>2</v>
      </c>
      <c r="H526" s="196">
        <v>2</v>
      </c>
      <c r="I526" s="196">
        <v>3288</v>
      </c>
      <c r="J526" s="196">
        <v>15941</v>
      </c>
      <c r="K526" s="196">
        <v>93.77</v>
      </c>
      <c r="L526" s="196">
        <v>6.42</v>
      </c>
      <c r="M526" s="196">
        <v>7323</v>
      </c>
      <c r="N526" s="196">
        <v>3821363</v>
      </c>
      <c r="O526" s="196">
        <v>3904</v>
      </c>
      <c r="P526" s="196" t="s">
        <v>1106</v>
      </c>
      <c r="Q526" s="196" t="s">
        <v>1110</v>
      </c>
      <c r="R526" s="196" t="s">
        <v>1136</v>
      </c>
      <c r="S526" s="196" t="s">
        <v>844</v>
      </c>
      <c r="T526" s="196" t="s">
        <v>1109</v>
      </c>
      <c r="U526" s="196" t="s">
        <v>1110</v>
      </c>
      <c r="V526" s="196" t="s">
        <v>1137</v>
      </c>
      <c r="W526" s="196" t="s">
        <v>1138</v>
      </c>
      <c r="X526" s="196" t="s">
        <v>1139</v>
      </c>
      <c r="Y526" s="196" t="s">
        <v>848</v>
      </c>
    </row>
    <row r="527" spans="1:25">
      <c r="A527" s="196" t="s">
        <v>837</v>
      </c>
      <c r="B527" s="196" t="s">
        <v>181</v>
      </c>
      <c r="C527" s="196">
        <v>2014</v>
      </c>
      <c r="D527" s="196">
        <v>80</v>
      </c>
      <c r="E527" s="196" t="s">
        <v>874</v>
      </c>
      <c r="F527" s="196" t="s">
        <v>1205</v>
      </c>
      <c r="G527" s="196">
        <v>3</v>
      </c>
      <c r="H527" s="196">
        <v>3</v>
      </c>
      <c r="I527" s="196">
        <v>1653</v>
      </c>
      <c r="J527" s="196">
        <v>17145</v>
      </c>
      <c r="K527" s="196">
        <v>93.77</v>
      </c>
      <c r="L527" s="196">
        <v>6.42</v>
      </c>
      <c r="M527" s="196">
        <v>7323</v>
      </c>
      <c r="N527" s="196">
        <v>3821363</v>
      </c>
      <c r="O527" s="196">
        <v>3904</v>
      </c>
      <c r="P527" s="196" t="s">
        <v>1106</v>
      </c>
      <c r="Q527" s="196" t="s">
        <v>1110</v>
      </c>
      <c r="R527" s="196" t="s">
        <v>1136</v>
      </c>
      <c r="S527" s="196" t="s">
        <v>844</v>
      </c>
      <c r="T527" s="196" t="s">
        <v>1109</v>
      </c>
      <c r="U527" s="196" t="s">
        <v>1110</v>
      </c>
      <c r="V527" s="196" t="s">
        <v>1137</v>
      </c>
      <c r="W527" s="196" t="s">
        <v>1138</v>
      </c>
      <c r="X527" s="196" t="s">
        <v>1139</v>
      </c>
      <c r="Y527" s="196" t="s">
        <v>848</v>
      </c>
    </row>
    <row r="528" spans="1:25">
      <c r="A528" s="196" t="s">
        <v>837</v>
      </c>
      <c r="B528" s="196" t="s">
        <v>850</v>
      </c>
      <c r="C528" s="196">
        <v>2014</v>
      </c>
      <c r="D528" s="196">
        <v>80</v>
      </c>
      <c r="E528" s="196" t="s">
        <v>875</v>
      </c>
      <c r="F528" s="196" t="s">
        <v>1205</v>
      </c>
      <c r="G528" s="196">
        <v>2</v>
      </c>
      <c r="H528" s="196">
        <v>1</v>
      </c>
      <c r="I528" s="196">
        <v>1470</v>
      </c>
      <c r="J528" s="196">
        <v>3852</v>
      </c>
      <c r="K528" s="196">
        <v>93.77</v>
      </c>
      <c r="L528" s="196">
        <v>6.42</v>
      </c>
      <c r="M528" s="196">
        <v>7323</v>
      </c>
      <c r="N528" s="196">
        <v>3821363</v>
      </c>
      <c r="O528" s="196">
        <v>3904</v>
      </c>
      <c r="P528" s="196" t="s">
        <v>1106</v>
      </c>
      <c r="Q528" s="196" t="s">
        <v>1110</v>
      </c>
      <c r="R528" s="196" t="s">
        <v>1136</v>
      </c>
      <c r="S528" s="196" t="s">
        <v>844</v>
      </c>
      <c r="T528" s="196" t="s">
        <v>1109</v>
      </c>
      <c r="U528" s="196" t="s">
        <v>1110</v>
      </c>
      <c r="V528" s="196" t="s">
        <v>1137</v>
      </c>
      <c r="W528" s="196" t="s">
        <v>1138</v>
      </c>
      <c r="X528" s="196" t="s">
        <v>1139</v>
      </c>
      <c r="Y528" s="196" t="s">
        <v>848</v>
      </c>
    </row>
    <row r="529" spans="1:25">
      <c r="A529" s="196" t="s">
        <v>837</v>
      </c>
      <c r="B529" s="196" t="s">
        <v>181</v>
      </c>
      <c r="C529" s="196">
        <v>2013</v>
      </c>
      <c r="D529" s="196">
        <v>80</v>
      </c>
      <c r="E529" s="196" t="s">
        <v>876</v>
      </c>
      <c r="F529" s="196" t="s">
        <v>1205</v>
      </c>
      <c r="G529" s="196">
        <v>3</v>
      </c>
      <c r="H529" s="196">
        <v>3</v>
      </c>
      <c r="I529" s="196">
        <v>2349</v>
      </c>
      <c r="J529" s="196">
        <v>15307</v>
      </c>
      <c r="K529" s="196">
        <v>93.77</v>
      </c>
      <c r="L529" s="196">
        <v>6.42</v>
      </c>
      <c r="M529" s="196">
        <v>7323</v>
      </c>
      <c r="N529" s="196">
        <v>3821363</v>
      </c>
      <c r="O529" s="196">
        <v>3904</v>
      </c>
      <c r="P529" s="196" t="s">
        <v>1106</v>
      </c>
      <c r="Q529" s="196" t="s">
        <v>1110</v>
      </c>
      <c r="R529" s="196" t="s">
        <v>1136</v>
      </c>
      <c r="S529" s="196" t="s">
        <v>844</v>
      </c>
      <c r="T529" s="196" t="s">
        <v>1109</v>
      </c>
      <c r="U529" s="196" t="s">
        <v>1110</v>
      </c>
      <c r="V529" s="196" t="s">
        <v>1137</v>
      </c>
      <c r="W529" s="196" t="s">
        <v>1138</v>
      </c>
      <c r="X529" s="196" t="s">
        <v>1139</v>
      </c>
      <c r="Y529" s="196" t="s">
        <v>848</v>
      </c>
    </row>
    <row r="530" spans="1:25">
      <c r="A530" s="196" t="s">
        <v>837</v>
      </c>
      <c r="B530" s="196" t="s">
        <v>838</v>
      </c>
      <c r="C530" s="196">
        <v>2013</v>
      </c>
      <c r="D530" s="196">
        <v>55</v>
      </c>
      <c r="E530" s="196" t="s">
        <v>849</v>
      </c>
      <c r="F530" s="196" t="s">
        <v>1206</v>
      </c>
      <c r="G530" s="196">
        <v>1</v>
      </c>
      <c r="H530" s="196">
        <v>1</v>
      </c>
      <c r="I530" s="196">
        <v>1728</v>
      </c>
      <c r="J530" s="196">
        <v>3864</v>
      </c>
      <c r="K530" s="196">
        <v>75.459999999999994</v>
      </c>
      <c r="L530" s="196">
        <v>0.69</v>
      </c>
      <c r="M530" s="196">
        <v>5901</v>
      </c>
      <c r="N530" s="196">
        <v>2385553</v>
      </c>
      <c r="O530" s="196">
        <v>2620</v>
      </c>
      <c r="P530" s="196" t="s">
        <v>841</v>
      </c>
      <c r="Q530" s="196" t="s">
        <v>1207</v>
      </c>
      <c r="R530" s="196" t="s">
        <v>1208</v>
      </c>
      <c r="S530" s="196" t="s">
        <v>844</v>
      </c>
      <c r="T530" s="196" t="s">
        <v>845</v>
      </c>
      <c r="U530" s="196" t="s">
        <v>846</v>
      </c>
      <c r="V530" s="196" t="s">
        <v>841</v>
      </c>
      <c r="W530" s="196" t="s">
        <v>989</v>
      </c>
      <c r="X530" s="196" t="s">
        <v>1207</v>
      </c>
      <c r="Y530" s="196" t="s">
        <v>1209</v>
      </c>
    </row>
    <row r="531" spans="1:25">
      <c r="A531" s="196" t="s">
        <v>837</v>
      </c>
      <c r="B531" s="196" t="s">
        <v>850</v>
      </c>
      <c r="C531" s="196">
        <v>2013</v>
      </c>
      <c r="D531" s="196">
        <v>30</v>
      </c>
      <c r="E531" s="196" t="s">
        <v>851</v>
      </c>
      <c r="F531" s="196" t="s">
        <v>1206</v>
      </c>
      <c r="G531" s="196">
        <v>3</v>
      </c>
      <c r="H531" s="196">
        <v>2</v>
      </c>
      <c r="I531" s="196">
        <v>5218</v>
      </c>
      <c r="J531" s="196">
        <v>24426</v>
      </c>
      <c r="K531" s="196">
        <v>75.459999999999994</v>
      </c>
      <c r="L531" s="196">
        <v>0.69</v>
      </c>
      <c r="M531" s="196">
        <v>5901</v>
      </c>
      <c r="N531" s="196">
        <v>2385553</v>
      </c>
      <c r="O531" s="196">
        <v>2620</v>
      </c>
      <c r="P531" s="196" t="s">
        <v>841</v>
      </c>
      <c r="Q531" s="196" t="s">
        <v>1207</v>
      </c>
      <c r="R531" s="196" t="s">
        <v>1208</v>
      </c>
      <c r="S531" s="196" t="s">
        <v>844</v>
      </c>
      <c r="T531" s="196" t="s">
        <v>845</v>
      </c>
      <c r="U531" s="196" t="s">
        <v>846</v>
      </c>
      <c r="V531" s="196" t="s">
        <v>841</v>
      </c>
      <c r="W531" s="196" t="s">
        <v>989</v>
      </c>
      <c r="X531" s="196" t="s">
        <v>1207</v>
      </c>
      <c r="Y531" s="196" t="s">
        <v>1209</v>
      </c>
    </row>
    <row r="532" spans="1:25">
      <c r="A532" s="196" t="s">
        <v>837</v>
      </c>
      <c r="B532" s="196" t="s">
        <v>850</v>
      </c>
      <c r="C532" s="196">
        <v>2013</v>
      </c>
      <c r="D532" s="196">
        <v>55</v>
      </c>
      <c r="E532" s="196" t="s">
        <v>852</v>
      </c>
      <c r="F532" s="196" t="s">
        <v>1206</v>
      </c>
      <c r="G532" s="196">
        <v>1</v>
      </c>
      <c r="H532" s="196">
        <v>1</v>
      </c>
      <c r="I532" s="196">
        <v>627</v>
      </c>
      <c r="J532" s="196">
        <v>3370</v>
      </c>
      <c r="K532" s="196">
        <v>75.459999999999994</v>
      </c>
      <c r="L532" s="196">
        <v>0.69</v>
      </c>
      <c r="M532" s="196">
        <v>5901</v>
      </c>
      <c r="N532" s="196">
        <v>2385553</v>
      </c>
      <c r="O532" s="196">
        <v>2620</v>
      </c>
      <c r="P532" s="196" t="s">
        <v>841</v>
      </c>
      <c r="Q532" s="196" t="s">
        <v>1207</v>
      </c>
      <c r="R532" s="196" t="s">
        <v>1208</v>
      </c>
      <c r="S532" s="196" t="s">
        <v>844</v>
      </c>
      <c r="T532" s="196" t="s">
        <v>845</v>
      </c>
      <c r="U532" s="196" t="s">
        <v>846</v>
      </c>
      <c r="V532" s="196" t="s">
        <v>841</v>
      </c>
      <c r="W532" s="196" t="s">
        <v>989</v>
      </c>
      <c r="X532" s="196" t="s">
        <v>1207</v>
      </c>
      <c r="Y532" s="196" t="s">
        <v>1209</v>
      </c>
    </row>
    <row r="533" spans="1:25">
      <c r="A533" s="196" t="s">
        <v>837</v>
      </c>
      <c r="B533" s="196" t="s">
        <v>181</v>
      </c>
      <c r="C533" s="196">
        <v>2014</v>
      </c>
      <c r="D533" s="196">
        <v>80</v>
      </c>
      <c r="E533" s="196" t="s">
        <v>874</v>
      </c>
      <c r="F533" s="196" t="s">
        <v>1206</v>
      </c>
      <c r="G533" s="196">
        <v>2</v>
      </c>
      <c r="H533" s="196">
        <v>2</v>
      </c>
      <c r="I533" s="196">
        <v>2862</v>
      </c>
      <c r="J533" s="196">
        <v>16851</v>
      </c>
      <c r="K533" s="196">
        <v>75.459999999999994</v>
      </c>
      <c r="L533" s="196">
        <v>0.69</v>
      </c>
      <c r="M533" s="196">
        <v>5901</v>
      </c>
      <c r="N533" s="196">
        <v>2385553</v>
      </c>
      <c r="O533" s="196">
        <v>2620</v>
      </c>
      <c r="P533" s="196" t="s">
        <v>841</v>
      </c>
      <c r="Q533" s="196" t="s">
        <v>1207</v>
      </c>
      <c r="R533" s="196" t="s">
        <v>1208</v>
      </c>
      <c r="S533" s="196" t="s">
        <v>844</v>
      </c>
      <c r="T533" s="196" t="s">
        <v>845</v>
      </c>
      <c r="U533" s="196" t="s">
        <v>846</v>
      </c>
      <c r="V533" s="196" t="s">
        <v>841</v>
      </c>
      <c r="W533" s="196" t="s">
        <v>989</v>
      </c>
      <c r="X533" s="196" t="s">
        <v>1207</v>
      </c>
      <c r="Y533" s="196" t="s">
        <v>1209</v>
      </c>
    </row>
    <row r="534" spans="1:25">
      <c r="A534" s="196" t="s">
        <v>837</v>
      </c>
      <c r="B534" s="196" t="s">
        <v>181</v>
      </c>
      <c r="C534" s="196">
        <v>2013</v>
      </c>
      <c r="D534" s="196">
        <v>80</v>
      </c>
      <c r="E534" s="196" t="s">
        <v>876</v>
      </c>
      <c r="F534" s="196" t="s">
        <v>1206</v>
      </c>
      <c r="G534" s="196">
        <v>4</v>
      </c>
      <c r="H534" s="196">
        <v>3</v>
      </c>
      <c r="I534" s="196">
        <v>6127</v>
      </c>
      <c r="J534" s="196">
        <v>23182</v>
      </c>
      <c r="K534" s="196">
        <v>75.459999999999994</v>
      </c>
      <c r="L534" s="196">
        <v>0.69</v>
      </c>
      <c r="M534" s="196">
        <v>5901</v>
      </c>
      <c r="N534" s="196">
        <v>2385553</v>
      </c>
      <c r="O534" s="196">
        <v>2620</v>
      </c>
      <c r="P534" s="196" t="s">
        <v>841</v>
      </c>
      <c r="Q534" s="196" t="s">
        <v>1207</v>
      </c>
      <c r="R534" s="196" t="s">
        <v>1208</v>
      </c>
      <c r="S534" s="196" t="s">
        <v>844</v>
      </c>
      <c r="T534" s="196" t="s">
        <v>845</v>
      </c>
      <c r="U534" s="196" t="s">
        <v>846</v>
      </c>
      <c r="V534" s="196" t="s">
        <v>841</v>
      </c>
      <c r="W534" s="196" t="s">
        <v>989</v>
      </c>
      <c r="X534" s="196" t="s">
        <v>1207</v>
      </c>
      <c r="Y534" s="196" t="s">
        <v>1209</v>
      </c>
    </row>
    <row r="535" spans="1:25">
      <c r="A535" s="196" t="s">
        <v>837</v>
      </c>
      <c r="B535" s="196" t="s">
        <v>838</v>
      </c>
      <c r="C535" s="196">
        <v>2014</v>
      </c>
      <c r="D535" s="196">
        <v>55</v>
      </c>
      <c r="E535" s="196" t="s">
        <v>854</v>
      </c>
      <c r="F535" s="196" t="s">
        <v>1206</v>
      </c>
      <c r="G535" s="196">
        <v>1</v>
      </c>
      <c r="H535" s="196">
        <v>1</v>
      </c>
      <c r="I535" s="196">
        <v>1515</v>
      </c>
      <c r="J535" s="196">
        <v>14232</v>
      </c>
      <c r="K535" s="196">
        <v>75.459999999999994</v>
      </c>
      <c r="L535" s="196">
        <v>0.69</v>
      </c>
      <c r="M535" s="196">
        <v>5901</v>
      </c>
      <c r="N535" s="196">
        <v>2385553</v>
      </c>
      <c r="O535" s="196">
        <v>2620</v>
      </c>
      <c r="P535" s="196" t="s">
        <v>841</v>
      </c>
      <c r="Q535" s="196" t="s">
        <v>1207</v>
      </c>
      <c r="R535" s="196" t="s">
        <v>1208</v>
      </c>
      <c r="S535" s="196" t="s">
        <v>844</v>
      </c>
      <c r="T535" s="196" t="s">
        <v>845</v>
      </c>
      <c r="U535" s="196" t="s">
        <v>846</v>
      </c>
      <c r="V535" s="196" t="s">
        <v>841</v>
      </c>
      <c r="W535" s="196" t="s">
        <v>989</v>
      </c>
      <c r="X535" s="196" t="s">
        <v>1207</v>
      </c>
      <c r="Y535" s="196" t="s">
        <v>1209</v>
      </c>
    </row>
    <row r="536" spans="1:25">
      <c r="A536" s="196" t="s">
        <v>837</v>
      </c>
      <c r="B536" s="196" t="s">
        <v>181</v>
      </c>
      <c r="C536" s="196">
        <v>2014</v>
      </c>
      <c r="D536" s="196">
        <v>30</v>
      </c>
      <c r="E536" s="196" t="s">
        <v>856</v>
      </c>
      <c r="F536" s="196" t="s">
        <v>1206</v>
      </c>
      <c r="G536" s="196">
        <v>1</v>
      </c>
      <c r="H536" s="196">
        <v>1</v>
      </c>
      <c r="I536" s="196">
        <v>1566</v>
      </c>
      <c r="J536" s="196">
        <v>11656</v>
      </c>
      <c r="K536" s="196">
        <v>75.459999999999994</v>
      </c>
      <c r="L536" s="196">
        <v>0.69</v>
      </c>
      <c r="M536" s="196">
        <v>5901</v>
      </c>
      <c r="N536" s="196">
        <v>2385553</v>
      </c>
      <c r="O536" s="196">
        <v>2620</v>
      </c>
      <c r="P536" s="196" t="s">
        <v>841</v>
      </c>
      <c r="Q536" s="196" t="s">
        <v>1207</v>
      </c>
      <c r="R536" s="196" t="s">
        <v>1208</v>
      </c>
      <c r="S536" s="196" t="s">
        <v>844</v>
      </c>
      <c r="T536" s="196" t="s">
        <v>845</v>
      </c>
      <c r="U536" s="196" t="s">
        <v>846</v>
      </c>
      <c r="V536" s="196" t="s">
        <v>841</v>
      </c>
      <c r="W536" s="196" t="s">
        <v>989</v>
      </c>
      <c r="X536" s="196" t="s">
        <v>1207</v>
      </c>
      <c r="Y536" s="196" t="s">
        <v>1209</v>
      </c>
    </row>
    <row r="537" spans="1:25">
      <c r="A537" s="196" t="s">
        <v>837</v>
      </c>
      <c r="B537" s="196" t="s">
        <v>850</v>
      </c>
      <c r="C537" s="196">
        <v>2014</v>
      </c>
      <c r="D537" s="196">
        <v>55</v>
      </c>
      <c r="E537" s="196" t="s">
        <v>862</v>
      </c>
      <c r="F537" s="196" t="s">
        <v>1206</v>
      </c>
      <c r="G537" s="196">
        <v>1</v>
      </c>
      <c r="H537" s="196">
        <v>1</v>
      </c>
      <c r="I537" s="196">
        <v>759</v>
      </c>
      <c r="J537" s="196">
        <v>26681</v>
      </c>
      <c r="K537" s="196">
        <v>75.459999999999994</v>
      </c>
      <c r="L537" s="196">
        <v>0.69</v>
      </c>
      <c r="M537" s="196">
        <v>5901</v>
      </c>
      <c r="N537" s="196">
        <v>2385553</v>
      </c>
      <c r="O537" s="196">
        <v>2620</v>
      </c>
      <c r="P537" s="196" t="s">
        <v>841</v>
      </c>
      <c r="Q537" s="196" t="s">
        <v>1207</v>
      </c>
      <c r="R537" s="196" t="s">
        <v>1208</v>
      </c>
      <c r="S537" s="196" t="s">
        <v>844</v>
      </c>
      <c r="T537" s="196" t="s">
        <v>845</v>
      </c>
      <c r="U537" s="196" t="s">
        <v>846</v>
      </c>
      <c r="V537" s="196" t="s">
        <v>841</v>
      </c>
      <c r="W537" s="196" t="s">
        <v>989</v>
      </c>
      <c r="X537" s="196" t="s">
        <v>1207</v>
      </c>
      <c r="Y537" s="196" t="s">
        <v>1209</v>
      </c>
    </row>
    <row r="538" spans="1:25">
      <c r="A538" s="196" t="s">
        <v>837</v>
      </c>
      <c r="B538" s="196" t="s">
        <v>850</v>
      </c>
      <c r="C538" s="196">
        <v>2013</v>
      </c>
      <c r="D538" s="196">
        <v>30</v>
      </c>
      <c r="E538" s="196" t="s">
        <v>851</v>
      </c>
      <c r="F538" s="196" t="s">
        <v>1210</v>
      </c>
      <c r="G538" s="196">
        <v>1</v>
      </c>
      <c r="H538" s="196">
        <v>1</v>
      </c>
      <c r="I538" s="196">
        <v>2921</v>
      </c>
      <c r="J538" s="196">
        <v>16136</v>
      </c>
      <c r="K538" s="196">
        <v>78.819999999999993</v>
      </c>
      <c r="L538" s="196">
        <v>5.1100000000000003</v>
      </c>
      <c r="M538" s="196">
        <v>6082</v>
      </c>
      <c r="N538" s="196">
        <v>1395461</v>
      </c>
      <c r="O538" s="196">
        <v>1596</v>
      </c>
      <c r="P538" s="196" t="s">
        <v>1211</v>
      </c>
      <c r="Q538" s="196" t="s">
        <v>1212</v>
      </c>
      <c r="R538" s="196" t="s">
        <v>1213</v>
      </c>
      <c r="S538" s="196" t="s">
        <v>844</v>
      </c>
      <c r="T538" s="196" t="s">
        <v>888</v>
      </c>
      <c r="U538" s="196" t="s">
        <v>1214</v>
      </c>
      <c r="V538" s="196" t="s">
        <v>1215</v>
      </c>
      <c r="W538" s="196" t="s">
        <v>1211</v>
      </c>
      <c r="X538" s="196" t="s">
        <v>1212</v>
      </c>
      <c r="Y538" s="196" t="s">
        <v>848</v>
      </c>
    </row>
    <row r="539" spans="1:25">
      <c r="A539" s="196" t="s">
        <v>837</v>
      </c>
      <c r="B539" s="196" t="s">
        <v>850</v>
      </c>
      <c r="C539" s="196">
        <v>2014</v>
      </c>
      <c r="D539" s="196">
        <v>80</v>
      </c>
      <c r="E539" s="196" t="s">
        <v>918</v>
      </c>
      <c r="F539" s="196" t="s">
        <v>1210</v>
      </c>
      <c r="G539" s="196">
        <v>1</v>
      </c>
      <c r="H539" s="196">
        <v>1</v>
      </c>
      <c r="I539" s="196">
        <v>1185</v>
      </c>
      <c r="J539" s="196">
        <v>2698</v>
      </c>
      <c r="K539" s="196">
        <v>78.819999999999993</v>
      </c>
      <c r="L539" s="196">
        <v>5.1100000000000003</v>
      </c>
      <c r="M539" s="196">
        <v>6082</v>
      </c>
      <c r="N539" s="196">
        <v>1395461</v>
      </c>
      <c r="O539" s="196">
        <v>1596</v>
      </c>
      <c r="P539" s="196" t="s">
        <v>1211</v>
      </c>
      <c r="Q539" s="196" t="s">
        <v>1212</v>
      </c>
      <c r="R539" s="196" t="s">
        <v>1213</v>
      </c>
      <c r="S539" s="196" t="s">
        <v>844</v>
      </c>
      <c r="T539" s="196" t="s">
        <v>888</v>
      </c>
      <c r="U539" s="196" t="s">
        <v>1214</v>
      </c>
      <c r="V539" s="196" t="s">
        <v>1215</v>
      </c>
      <c r="W539" s="196" t="s">
        <v>1211</v>
      </c>
      <c r="X539" s="196" t="s">
        <v>1212</v>
      </c>
      <c r="Y539" s="196" t="s">
        <v>848</v>
      </c>
    </row>
    <row r="540" spans="1:25">
      <c r="A540" s="196" t="s">
        <v>837</v>
      </c>
      <c r="B540" s="196" t="s">
        <v>838</v>
      </c>
      <c r="C540" s="196">
        <v>2014</v>
      </c>
      <c r="D540" s="196">
        <v>55</v>
      </c>
      <c r="E540" s="196" t="s">
        <v>854</v>
      </c>
      <c r="F540" s="196" t="s">
        <v>1210</v>
      </c>
      <c r="G540" s="196">
        <v>1</v>
      </c>
      <c r="H540" s="196">
        <v>1</v>
      </c>
      <c r="I540" s="196">
        <v>1782</v>
      </c>
      <c r="J540" s="196">
        <v>3204</v>
      </c>
      <c r="K540" s="196">
        <v>78.819999999999993</v>
      </c>
      <c r="L540" s="196">
        <v>5.1100000000000003</v>
      </c>
      <c r="M540" s="196">
        <v>6082</v>
      </c>
      <c r="N540" s="196">
        <v>1395461</v>
      </c>
      <c r="O540" s="196">
        <v>1596</v>
      </c>
      <c r="P540" s="196" t="s">
        <v>1211</v>
      </c>
      <c r="Q540" s="196" t="s">
        <v>1212</v>
      </c>
      <c r="R540" s="196" t="s">
        <v>1213</v>
      </c>
      <c r="S540" s="196" t="s">
        <v>844</v>
      </c>
      <c r="T540" s="196" t="s">
        <v>888</v>
      </c>
      <c r="U540" s="196" t="s">
        <v>1214</v>
      </c>
      <c r="V540" s="196" t="s">
        <v>1215</v>
      </c>
      <c r="W540" s="196" t="s">
        <v>1211</v>
      </c>
      <c r="X540" s="196" t="s">
        <v>1212</v>
      </c>
      <c r="Y540" s="196" t="s">
        <v>848</v>
      </c>
    </row>
    <row r="541" spans="1:25">
      <c r="A541" s="196" t="s">
        <v>837</v>
      </c>
      <c r="B541" s="196" t="s">
        <v>181</v>
      </c>
      <c r="C541" s="196">
        <v>2014</v>
      </c>
      <c r="D541" s="196">
        <v>55</v>
      </c>
      <c r="E541" s="196" t="s">
        <v>858</v>
      </c>
      <c r="F541" s="196" t="s">
        <v>1210</v>
      </c>
      <c r="G541" s="196">
        <v>1</v>
      </c>
      <c r="H541" s="196">
        <v>1</v>
      </c>
      <c r="I541" s="196">
        <v>1377</v>
      </c>
      <c r="J541" s="196">
        <v>18906</v>
      </c>
      <c r="K541" s="196">
        <v>78.819999999999993</v>
      </c>
      <c r="L541" s="196">
        <v>5.1100000000000003</v>
      </c>
      <c r="M541" s="196">
        <v>6082</v>
      </c>
      <c r="N541" s="196">
        <v>1395461</v>
      </c>
      <c r="O541" s="196">
        <v>1596</v>
      </c>
      <c r="P541" s="196" t="s">
        <v>1211</v>
      </c>
      <c r="Q541" s="196" t="s">
        <v>1212</v>
      </c>
      <c r="R541" s="196" t="s">
        <v>1213</v>
      </c>
      <c r="S541" s="196" t="s">
        <v>844</v>
      </c>
      <c r="T541" s="196" t="s">
        <v>888</v>
      </c>
      <c r="U541" s="196" t="s">
        <v>1214</v>
      </c>
      <c r="V541" s="196" t="s">
        <v>1215</v>
      </c>
      <c r="W541" s="196" t="s">
        <v>1211</v>
      </c>
      <c r="X541" s="196" t="s">
        <v>1212</v>
      </c>
      <c r="Y541" s="196" t="s">
        <v>848</v>
      </c>
    </row>
    <row r="542" spans="1:25">
      <c r="A542" s="196" t="s">
        <v>837</v>
      </c>
      <c r="B542" s="196" t="s">
        <v>850</v>
      </c>
      <c r="C542" s="196">
        <v>2013</v>
      </c>
      <c r="D542" s="196">
        <v>30</v>
      </c>
      <c r="E542" s="196" t="s">
        <v>851</v>
      </c>
      <c r="F542" s="196" t="s">
        <v>1216</v>
      </c>
      <c r="G542" s="196">
        <v>6</v>
      </c>
      <c r="H542" s="196">
        <v>6</v>
      </c>
      <c r="I542" s="196">
        <v>7281</v>
      </c>
      <c r="J542" s="196">
        <v>115158</v>
      </c>
      <c r="K542" s="196">
        <v>97.14</v>
      </c>
      <c r="L542" s="196">
        <v>1.66</v>
      </c>
      <c r="M542" s="196">
        <v>15921</v>
      </c>
      <c r="N542" s="196">
        <v>2627935</v>
      </c>
      <c r="O542" s="196">
        <v>2333</v>
      </c>
      <c r="P542" s="196" t="s">
        <v>1211</v>
      </c>
      <c r="Q542" s="196" t="s">
        <v>1211</v>
      </c>
      <c r="R542" s="196" t="s">
        <v>1217</v>
      </c>
      <c r="S542" s="196" t="s">
        <v>844</v>
      </c>
      <c r="T542" s="196" t="s">
        <v>888</v>
      </c>
      <c r="U542" s="196" t="s">
        <v>1214</v>
      </c>
      <c r="V542" s="196" t="s">
        <v>1215</v>
      </c>
      <c r="W542" s="196" t="s">
        <v>1211</v>
      </c>
      <c r="X542" s="196" t="s">
        <v>848</v>
      </c>
      <c r="Y542" s="196" t="s">
        <v>848</v>
      </c>
    </row>
    <row r="543" spans="1:25">
      <c r="A543" s="196" t="s">
        <v>837</v>
      </c>
      <c r="B543" s="196" t="s">
        <v>850</v>
      </c>
      <c r="C543" s="196">
        <v>2013</v>
      </c>
      <c r="D543" s="196">
        <v>55</v>
      </c>
      <c r="E543" s="196" t="s">
        <v>852</v>
      </c>
      <c r="F543" s="196" t="s">
        <v>1216</v>
      </c>
      <c r="G543" s="196">
        <v>4</v>
      </c>
      <c r="H543" s="196">
        <v>3</v>
      </c>
      <c r="I543" s="196">
        <v>6303</v>
      </c>
      <c r="J543" s="196">
        <v>24036</v>
      </c>
      <c r="K543" s="196">
        <v>97.14</v>
      </c>
      <c r="L543" s="196">
        <v>1.66</v>
      </c>
      <c r="M543" s="196">
        <v>15921</v>
      </c>
      <c r="N543" s="196">
        <v>2627935</v>
      </c>
      <c r="O543" s="196">
        <v>2333</v>
      </c>
      <c r="P543" s="196" t="s">
        <v>1211</v>
      </c>
      <c r="Q543" s="196" t="s">
        <v>1211</v>
      </c>
      <c r="R543" s="196" t="s">
        <v>1217</v>
      </c>
      <c r="S543" s="196" t="s">
        <v>844</v>
      </c>
      <c r="T543" s="196" t="s">
        <v>888</v>
      </c>
      <c r="U543" s="196" t="s">
        <v>1214</v>
      </c>
      <c r="V543" s="196" t="s">
        <v>1215</v>
      </c>
      <c r="W543" s="196" t="s">
        <v>1211</v>
      </c>
      <c r="X543" s="196" t="s">
        <v>848</v>
      </c>
      <c r="Y543" s="196" t="s">
        <v>848</v>
      </c>
    </row>
    <row r="544" spans="1:25">
      <c r="A544" s="196" t="s">
        <v>837</v>
      </c>
      <c r="B544" s="196" t="s">
        <v>850</v>
      </c>
      <c r="C544" s="196">
        <v>2014</v>
      </c>
      <c r="D544" s="196">
        <v>80</v>
      </c>
      <c r="E544" s="196" t="s">
        <v>875</v>
      </c>
      <c r="F544" s="196" t="s">
        <v>1216</v>
      </c>
      <c r="G544" s="196">
        <v>1</v>
      </c>
      <c r="H544" s="196">
        <v>1</v>
      </c>
      <c r="I544" s="196">
        <v>1149</v>
      </c>
      <c r="J544" s="196">
        <v>32934</v>
      </c>
      <c r="K544" s="196">
        <v>97.14</v>
      </c>
      <c r="L544" s="196">
        <v>1.66</v>
      </c>
      <c r="M544" s="196">
        <v>15921</v>
      </c>
      <c r="N544" s="196">
        <v>2627935</v>
      </c>
      <c r="O544" s="196">
        <v>2333</v>
      </c>
      <c r="P544" s="196" t="s">
        <v>1211</v>
      </c>
      <c r="Q544" s="196" t="s">
        <v>1211</v>
      </c>
      <c r="R544" s="196" t="s">
        <v>1217</v>
      </c>
      <c r="S544" s="196" t="s">
        <v>844</v>
      </c>
      <c r="T544" s="196" t="s">
        <v>888</v>
      </c>
      <c r="U544" s="196" t="s">
        <v>1214</v>
      </c>
      <c r="V544" s="196" t="s">
        <v>1215</v>
      </c>
      <c r="W544" s="196" t="s">
        <v>1211</v>
      </c>
      <c r="X544" s="196" t="s">
        <v>848</v>
      </c>
      <c r="Y544" s="196" t="s">
        <v>848</v>
      </c>
    </row>
    <row r="545" spans="1:25">
      <c r="A545" s="196" t="s">
        <v>837</v>
      </c>
      <c r="B545" s="196" t="s">
        <v>838</v>
      </c>
      <c r="C545" s="196">
        <v>2014</v>
      </c>
      <c r="D545" s="196">
        <v>55</v>
      </c>
      <c r="E545" s="196" t="s">
        <v>854</v>
      </c>
      <c r="F545" s="196" t="s">
        <v>1216</v>
      </c>
      <c r="G545" s="196">
        <v>1</v>
      </c>
      <c r="H545" s="196">
        <v>1</v>
      </c>
      <c r="I545" s="196">
        <v>72</v>
      </c>
      <c r="J545" s="196">
        <v>12270</v>
      </c>
      <c r="K545" s="196">
        <v>97.14</v>
      </c>
      <c r="L545" s="196">
        <v>1.66</v>
      </c>
      <c r="M545" s="196">
        <v>15921</v>
      </c>
      <c r="N545" s="196">
        <v>2627935</v>
      </c>
      <c r="O545" s="196">
        <v>2333</v>
      </c>
      <c r="P545" s="196" t="s">
        <v>1211</v>
      </c>
      <c r="Q545" s="196" t="s">
        <v>1211</v>
      </c>
      <c r="R545" s="196" t="s">
        <v>1217</v>
      </c>
      <c r="S545" s="196" t="s">
        <v>844</v>
      </c>
      <c r="T545" s="196" t="s">
        <v>888</v>
      </c>
      <c r="U545" s="196" t="s">
        <v>1214</v>
      </c>
      <c r="V545" s="196" t="s">
        <v>1215</v>
      </c>
      <c r="W545" s="196" t="s">
        <v>1211</v>
      </c>
      <c r="X545" s="196" t="s">
        <v>848</v>
      </c>
      <c r="Y545" s="196" t="s">
        <v>848</v>
      </c>
    </row>
    <row r="546" spans="1:25">
      <c r="A546" s="196" t="s">
        <v>837</v>
      </c>
      <c r="B546" s="196" t="s">
        <v>838</v>
      </c>
      <c r="C546" s="196">
        <v>2014</v>
      </c>
      <c r="D546" s="196">
        <v>55</v>
      </c>
      <c r="E546" s="196" t="s">
        <v>855</v>
      </c>
      <c r="F546" s="196" t="s">
        <v>1216</v>
      </c>
      <c r="G546" s="196">
        <v>1</v>
      </c>
      <c r="H546" s="196">
        <v>1</v>
      </c>
      <c r="I546" s="196">
        <v>2616</v>
      </c>
      <c r="J546" s="196">
        <v>16941</v>
      </c>
      <c r="K546" s="196">
        <v>97.14</v>
      </c>
      <c r="L546" s="196">
        <v>1.66</v>
      </c>
      <c r="M546" s="196">
        <v>15921</v>
      </c>
      <c r="N546" s="196">
        <v>2627935</v>
      </c>
      <c r="O546" s="196">
        <v>2333</v>
      </c>
      <c r="P546" s="196" t="s">
        <v>1211</v>
      </c>
      <c r="Q546" s="196" t="s">
        <v>1211</v>
      </c>
      <c r="R546" s="196" t="s">
        <v>1217</v>
      </c>
      <c r="S546" s="196" t="s">
        <v>844</v>
      </c>
      <c r="T546" s="196" t="s">
        <v>888</v>
      </c>
      <c r="U546" s="196" t="s">
        <v>1214</v>
      </c>
      <c r="V546" s="196" t="s">
        <v>1215</v>
      </c>
      <c r="W546" s="196" t="s">
        <v>1211</v>
      </c>
      <c r="X546" s="196" t="s">
        <v>848</v>
      </c>
      <c r="Y546" s="196" t="s">
        <v>848</v>
      </c>
    </row>
    <row r="547" spans="1:25">
      <c r="A547" s="196" t="s">
        <v>837</v>
      </c>
      <c r="B547" s="196" t="s">
        <v>181</v>
      </c>
      <c r="C547" s="196">
        <v>2014</v>
      </c>
      <c r="D547" s="196">
        <v>55</v>
      </c>
      <c r="E547" s="196" t="s">
        <v>858</v>
      </c>
      <c r="F547" s="196" t="s">
        <v>1216</v>
      </c>
      <c r="G547" s="196">
        <v>1</v>
      </c>
      <c r="H547" s="196">
        <v>1</v>
      </c>
      <c r="I547" s="196">
        <v>2616</v>
      </c>
      <c r="J547" s="196">
        <v>16941</v>
      </c>
      <c r="K547" s="196">
        <v>97.14</v>
      </c>
      <c r="L547" s="196">
        <v>1.66</v>
      </c>
      <c r="M547" s="196">
        <v>15921</v>
      </c>
      <c r="N547" s="196">
        <v>2627935</v>
      </c>
      <c r="O547" s="196">
        <v>2333</v>
      </c>
      <c r="P547" s="196" t="s">
        <v>1211</v>
      </c>
      <c r="Q547" s="196" t="s">
        <v>1211</v>
      </c>
      <c r="R547" s="196" t="s">
        <v>1217</v>
      </c>
      <c r="S547" s="196" t="s">
        <v>844</v>
      </c>
      <c r="T547" s="196" t="s">
        <v>888</v>
      </c>
      <c r="U547" s="196" t="s">
        <v>1214</v>
      </c>
      <c r="V547" s="196" t="s">
        <v>1215</v>
      </c>
      <c r="W547" s="196" t="s">
        <v>1211</v>
      </c>
      <c r="X547" s="196" t="s">
        <v>848</v>
      </c>
      <c r="Y547" s="196" t="s">
        <v>848</v>
      </c>
    </row>
    <row r="548" spans="1:25">
      <c r="A548" s="196" t="s">
        <v>837</v>
      </c>
      <c r="B548" s="196" t="s">
        <v>850</v>
      </c>
      <c r="C548" s="196">
        <v>2014</v>
      </c>
      <c r="D548" s="196">
        <v>30</v>
      </c>
      <c r="E548" s="196" t="s">
        <v>860</v>
      </c>
      <c r="F548" s="196" t="s">
        <v>1216</v>
      </c>
      <c r="G548" s="196">
        <v>1</v>
      </c>
      <c r="H548" s="196">
        <v>1</v>
      </c>
      <c r="I548" s="196">
        <v>72</v>
      </c>
      <c r="J548" s="196">
        <v>12270</v>
      </c>
      <c r="K548" s="196">
        <v>97.14</v>
      </c>
      <c r="L548" s="196">
        <v>1.66</v>
      </c>
      <c r="M548" s="196">
        <v>15921</v>
      </c>
      <c r="N548" s="196">
        <v>2627935</v>
      </c>
      <c r="O548" s="196">
        <v>2333</v>
      </c>
      <c r="P548" s="196" t="s">
        <v>1211</v>
      </c>
      <c r="Q548" s="196" t="s">
        <v>1211</v>
      </c>
      <c r="R548" s="196" t="s">
        <v>1217</v>
      </c>
      <c r="S548" s="196" t="s">
        <v>844</v>
      </c>
      <c r="T548" s="196" t="s">
        <v>888</v>
      </c>
      <c r="U548" s="196" t="s">
        <v>1214</v>
      </c>
      <c r="V548" s="196" t="s">
        <v>1215</v>
      </c>
      <c r="W548" s="196" t="s">
        <v>1211</v>
      </c>
      <c r="X548" s="196" t="s">
        <v>848</v>
      </c>
      <c r="Y548" s="196" t="s">
        <v>848</v>
      </c>
    </row>
    <row r="549" spans="1:25">
      <c r="A549" s="196" t="s">
        <v>837</v>
      </c>
      <c r="B549" s="196" t="s">
        <v>850</v>
      </c>
      <c r="C549" s="196">
        <v>2014</v>
      </c>
      <c r="D549" s="196">
        <v>55</v>
      </c>
      <c r="E549" s="196" t="s">
        <v>862</v>
      </c>
      <c r="F549" s="196" t="s">
        <v>1216</v>
      </c>
      <c r="G549" s="196">
        <v>2</v>
      </c>
      <c r="H549" s="196">
        <v>2</v>
      </c>
      <c r="I549" s="196">
        <v>3267</v>
      </c>
      <c r="J549" s="196">
        <v>37463</v>
      </c>
      <c r="K549" s="196">
        <v>97.14</v>
      </c>
      <c r="L549" s="196">
        <v>1.66</v>
      </c>
      <c r="M549" s="196">
        <v>15921</v>
      </c>
      <c r="N549" s="196">
        <v>2627935</v>
      </c>
      <c r="O549" s="196">
        <v>2333</v>
      </c>
      <c r="P549" s="196" t="s">
        <v>1211</v>
      </c>
      <c r="Q549" s="196" t="s">
        <v>1211</v>
      </c>
      <c r="R549" s="196" t="s">
        <v>1217</v>
      </c>
      <c r="S549" s="196" t="s">
        <v>844</v>
      </c>
      <c r="T549" s="196" t="s">
        <v>888</v>
      </c>
      <c r="U549" s="196" t="s">
        <v>1214</v>
      </c>
      <c r="V549" s="196" t="s">
        <v>1215</v>
      </c>
      <c r="W549" s="196" t="s">
        <v>1211</v>
      </c>
      <c r="X549" s="196" t="s">
        <v>848</v>
      </c>
      <c r="Y549" s="196" t="s">
        <v>848</v>
      </c>
    </row>
    <row r="550" spans="1:25">
      <c r="A550" s="196" t="s">
        <v>837</v>
      </c>
      <c r="B550" s="196" t="s">
        <v>838</v>
      </c>
      <c r="C550" s="196">
        <v>2013</v>
      </c>
      <c r="D550" s="196">
        <v>55</v>
      </c>
      <c r="E550" s="196" t="s">
        <v>849</v>
      </c>
      <c r="F550" s="196" t="s">
        <v>1218</v>
      </c>
      <c r="G550" s="196">
        <v>1</v>
      </c>
      <c r="H550" s="196">
        <v>1</v>
      </c>
      <c r="I550" s="196">
        <v>1284</v>
      </c>
      <c r="J550" s="196">
        <v>2619</v>
      </c>
      <c r="K550" s="196">
        <v>45.59</v>
      </c>
      <c r="L550" s="196">
        <v>0.27</v>
      </c>
      <c r="M550" s="196">
        <v>7792</v>
      </c>
      <c r="N550" s="196">
        <v>1387059</v>
      </c>
      <c r="O550" s="196">
        <v>1291</v>
      </c>
      <c r="P550" s="196" t="s">
        <v>910</v>
      </c>
      <c r="Q550" s="196" t="s">
        <v>911</v>
      </c>
      <c r="R550" s="196" t="s">
        <v>912</v>
      </c>
      <c r="S550" s="196" t="s">
        <v>844</v>
      </c>
      <c r="T550" s="196" t="s">
        <v>913</v>
      </c>
      <c r="U550" s="196" t="s">
        <v>914</v>
      </c>
      <c r="V550" s="196" t="s">
        <v>911</v>
      </c>
      <c r="W550" s="196" t="s">
        <v>915</v>
      </c>
      <c r="X550" s="196" t="s">
        <v>916</v>
      </c>
      <c r="Y550" s="196" t="s">
        <v>848</v>
      </c>
    </row>
    <row r="551" spans="1:25">
      <c r="A551" s="196" t="s">
        <v>837</v>
      </c>
      <c r="B551" s="196" t="s">
        <v>850</v>
      </c>
      <c r="C551" s="196">
        <v>2013</v>
      </c>
      <c r="D551" s="196">
        <v>30</v>
      </c>
      <c r="E551" s="196" t="s">
        <v>851</v>
      </c>
      <c r="F551" s="196" t="s">
        <v>1218</v>
      </c>
      <c r="G551" s="196">
        <v>1</v>
      </c>
      <c r="H551" s="196">
        <v>1</v>
      </c>
      <c r="I551" s="196">
        <v>1941</v>
      </c>
      <c r="J551" s="196">
        <v>10894</v>
      </c>
      <c r="K551" s="196">
        <v>45.59</v>
      </c>
      <c r="L551" s="196">
        <v>0.27</v>
      </c>
      <c r="M551" s="196">
        <v>7792</v>
      </c>
      <c r="N551" s="196">
        <v>1387059</v>
      </c>
      <c r="O551" s="196">
        <v>1291</v>
      </c>
      <c r="P551" s="196" t="s">
        <v>910</v>
      </c>
      <c r="Q551" s="196" t="s">
        <v>911</v>
      </c>
      <c r="R551" s="196" t="s">
        <v>912</v>
      </c>
      <c r="S551" s="196" t="s">
        <v>844</v>
      </c>
      <c r="T551" s="196" t="s">
        <v>913</v>
      </c>
      <c r="U551" s="196" t="s">
        <v>914</v>
      </c>
      <c r="V551" s="196" t="s">
        <v>911</v>
      </c>
      <c r="W551" s="196" t="s">
        <v>915</v>
      </c>
      <c r="X551" s="196" t="s">
        <v>916</v>
      </c>
      <c r="Y551" s="196" t="s">
        <v>848</v>
      </c>
    </row>
    <row r="552" spans="1:25">
      <c r="A552" s="196" t="s">
        <v>837</v>
      </c>
      <c r="B552" s="196" t="s">
        <v>850</v>
      </c>
      <c r="C552" s="196">
        <v>2013</v>
      </c>
      <c r="D552" s="196">
        <v>55</v>
      </c>
      <c r="E552" s="196" t="s">
        <v>852</v>
      </c>
      <c r="F552" s="196" t="s">
        <v>1218</v>
      </c>
      <c r="G552" s="196">
        <v>2</v>
      </c>
      <c r="H552" s="196">
        <v>2</v>
      </c>
      <c r="I552" s="196">
        <v>6652</v>
      </c>
      <c r="J552" s="196">
        <v>15178</v>
      </c>
      <c r="K552" s="196">
        <v>45.59</v>
      </c>
      <c r="L552" s="196">
        <v>0.27</v>
      </c>
      <c r="M552" s="196">
        <v>7792</v>
      </c>
      <c r="N552" s="196">
        <v>1387059</v>
      </c>
      <c r="O552" s="196">
        <v>1291</v>
      </c>
      <c r="P552" s="196" t="s">
        <v>910</v>
      </c>
      <c r="Q552" s="196" t="s">
        <v>911</v>
      </c>
      <c r="R552" s="196" t="s">
        <v>912</v>
      </c>
      <c r="S552" s="196" t="s">
        <v>844</v>
      </c>
      <c r="T552" s="196" t="s">
        <v>913</v>
      </c>
      <c r="U552" s="196" t="s">
        <v>914</v>
      </c>
      <c r="V552" s="196" t="s">
        <v>911</v>
      </c>
      <c r="W552" s="196" t="s">
        <v>915</v>
      </c>
      <c r="X552" s="196" t="s">
        <v>916</v>
      </c>
      <c r="Y552" s="196" t="s">
        <v>848</v>
      </c>
    </row>
    <row r="553" spans="1:25">
      <c r="A553" s="196" t="s">
        <v>837</v>
      </c>
      <c r="B553" s="196" t="s">
        <v>838</v>
      </c>
      <c r="C553" s="196">
        <v>2013</v>
      </c>
      <c r="D553" s="196">
        <v>30</v>
      </c>
      <c r="E553" s="196" t="s">
        <v>839</v>
      </c>
      <c r="F553" s="196" t="s">
        <v>1219</v>
      </c>
      <c r="G553" s="196">
        <v>1</v>
      </c>
      <c r="H553" s="196">
        <v>1</v>
      </c>
      <c r="I553" s="196">
        <v>1170</v>
      </c>
      <c r="J553" s="196">
        <v>16960</v>
      </c>
      <c r="K553" s="196">
        <v>89.36</v>
      </c>
      <c r="L553" s="196">
        <v>0.89</v>
      </c>
      <c r="M553" s="196">
        <v>17188</v>
      </c>
      <c r="N553" s="196">
        <v>2402975</v>
      </c>
      <c r="O553" s="196">
        <v>2462</v>
      </c>
      <c r="P553" s="196" t="s">
        <v>841</v>
      </c>
      <c r="Q553" s="196" t="s">
        <v>989</v>
      </c>
      <c r="R553" s="196" t="s">
        <v>990</v>
      </c>
      <c r="S553" s="196" t="s">
        <v>844</v>
      </c>
      <c r="T553" s="196" t="s">
        <v>845</v>
      </c>
      <c r="U553" s="196" t="s">
        <v>846</v>
      </c>
      <c r="V553" s="196" t="s">
        <v>841</v>
      </c>
      <c r="W553" s="196" t="s">
        <v>989</v>
      </c>
      <c r="X553" s="196" t="s">
        <v>1220</v>
      </c>
      <c r="Y553" s="196" t="s">
        <v>848</v>
      </c>
    </row>
    <row r="554" spans="1:25">
      <c r="A554" s="196" t="s">
        <v>837</v>
      </c>
      <c r="B554" s="196" t="s">
        <v>850</v>
      </c>
      <c r="C554" s="196">
        <v>2013</v>
      </c>
      <c r="D554" s="196">
        <v>55</v>
      </c>
      <c r="E554" s="196" t="s">
        <v>852</v>
      </c>
      <c r="F554" s="196" t="s">
        <v>1219</v>
      </c>
      <c r="G554" s="196">
        <v>1</v>
      </c>
      <c r="H554" s="196">
        <v>1</v>
      </c>
      <c r="I554" s="196">
        <v>174</v>
      </c>
      <c r="J554" s="196">
        <v>11631</v>
      </c>
      <c r="K554" s="196">
        <v>89.36</v>
      </c>
      <c r="L554" s="196">
        <v>0.89</v>
      </c>
      <c r="M554" s="196">
        <v>17188</v>
      </c>
      <c r="N554" s="196">
        <v>2402975</v>
      </c>
      <c r="O554" s="196">
        <v>2462</v>
      </c>
      <c r="P554" s="196" t="s">
        <v>841</v>
      </c>
      <c r="Q554" s="196" t="s">
        <v>989</v>
      </c>
      <c r="R554" s="196" t="s">
        <v>990</v>
      </c>
      <c r="S554" s="196" t="s">
        <v>844</v>
      </c>
      <c r="T554" s="196" t="s">
        <v>845</v>
      </c>
      <c r="U554" s="196" t="s">
        <v>846</v>
      </c>
      <c r="V554" s="196" t="s">
        <v>841</v>
      </c>
      <c r="W554" s="196" t="s">
        <v>989</v>
      </c>
      <c r="X554" s="196" t="s">
        <v>1220</v>
      </c>
      <c r="Y554" s="196" t="s">
        <v>848</v>
      </c>
    </row>
    <row r="555" spans="1:25">
      <c r="A555" s="196" t="s">
        <v>837</v>
      </c>
      <c r="B555" s="196" t="s">
        <v>181</v>
      </c>
      <c r="C555" s="196">
        <v>2014</v>
      </c>
      <c r="D555" s="196">
        <v>80</v>
      </c>
      <c r="E555" s="196" t="s">
        <v>874</v>
      </c>
      <c r="F555" s="196" t="s">
        <v>1219</v>
      </c>
      <c r="G555" s="196">
        <v>1</v>
      </c>
      <c r="H555" s="196">
        <v>1</v>
      </c>
      <c r="I555" s="196">
        <v>1401</v>
      </c>
      <c r="J555" s="196">
        <v>19855</v>
      </c>
      <c r="K555" s="196">
        <v>89.36</v>
      </c>
      <c r="L555" s="196">
        <v>0.89</v>
      </c>
      <c r="M555" s="196">
        <v>17188</v>
      </c>
      <c r="N555" s="196">
        <v>2402975</v>
      </c>
      <c r="O555" s="196">
        <v>2462</v>
      </c>
      <c r="P555" s="196" t="s">
        <v>841</v>
      </c>
      <c r="Q555" s="196" t="s">
        <v>989</v>
      </c>
      <c r="R555" s="196" t="s">
        <v>990</v>
      </c>
      <c r="S555" s="196" t="s">
        <v>844</v>
      </c>
      <c r="T555" s="196" t="s">
        <v>845</v>
      </c>
      <c r="U555" s="196" t="s">
        <v>846</v>
      </c>
      <c r="V555" s="196" t="s">
        <v>841</v>
      </c>
      <c r="W555" s="196" t="s">
        <v>989</v>
      </c>
      <c r="X555" s="196" t="s">
        <v>1220</v>
      </c>
      <c r="Y555" s="196" t="s">
        <v>848</v>
      </c>
    </row>
    <row r="556" spans="1:25">
      <c r="A556" s="196" t="s">
        <v>837</v>
      </c>
      <c r="B556" s="196" t="s">
        <v>838</v>
      </c>
      <c r="C556" s="196">
        <v>2013</v>
      </c>
      <c r="D556" s="196">
        <v>30</v>
      </c>
      <c r="E556" s="196" t="s">
        <v>839</v>
      </c>
      <c r="F556" s="196" t="s">
        <v>1221</v>
      </c>
      <c r="G556" s="196">
        <v>3</v>
      </c>
      <c r="H556" s="196">
        <v>3</v>
      </c>
      <c r="I556" s="196">
        <v>3672</v>
      </c>
      <c r="J556" s="196">
        <v>51217</v>
      </c>
      <c r="K556" s="196">
        <v>97.93</v>
      </c>
      <c r="L556" s="196">
        <v>0.3</v>
      </c>
      <c r="M556" s="196">
        <v>16986</v>
      </c>
      <c r="N556" s="196">
        <v>2181064</v>
      </c>
      <c r="O556" s="196">
        <v>2277</v>
      </c>
      <c r="P556" s="196" t="s">
        <v>1222</v>
      </c>
      <c r="Q556" s="196" t="s">
        <v>1223</v>
      </c>
      <c r="R556" s="196" t="s">
        <v>1224</v>
      </c>
      <c r="S556" s="196" t="s">
        <v>953</v>
      </c>
      <c r="T556" s="196" t="s">
        <v>1225</v>
      </c>
      <c r="U556" s="196" t="s">
        <v>1226</v>
      </c>
      <c r="V556" s="196" t="s">
        <v>1227</v>
      </c>
      <c r="W556" s="196" t="s">
        <v>1222</v>
      </c>
      <c r="X556" s="196" t="s">
        <v>1223</v>
      </c>
      <c r="Y556" s="196" t="s">
        <v>848</v>
      </c>
    </row>
    <row r="557" spans="1:25">
      <c r="A557" s="196" t="s">
        <v>837</v>
      </c>
      <c r="B557" s="196" t="s">
        <v>838</v>
      </c>
      <c r="C557" s="196">
        <v>2013</v>
      </c>
      <c r="D557" s="196">
        <v>55</v>
      </c>
      <c r="E557" s="196" t="s">
        <v>849</v>
      </c>
      <c r="F557" s="196" t="s">
        <v>1221</v>
      </c>
      <c r="G557" s="196">
        <v>1</v>
      </c>
      <c r="H557" s="196">
        <v>1</v>
      </c>
      <c r="I557" s="196">
        <v>2604</v>
      </c>
      <c r="J557" s="196">
        <v>8206</v>
      </c>
      <c r="K557" s="196">
        <v>97.93</v>
      </c>
      <c r="L557" s="196">
        <v>0.3</v>
      </c>
      <c r="M557" s="196">
        <v>16986</v>
      </c>
      <c r="N557" s="196">
        <v>2181064</v>
      </c>
      <c r="O557" s="196">
        <v>2277</v>
      </c>
      <c r="P557" s="196" t="s">
        <v>1222</v>
      </c>
      <c r="Q557" s="196" t="s">
        <v>1223</v>
      </c>
      <c r="R557" s="196" t="s">
        <v>1224</v>
      </c>
      <c r="S557" s="196" t="s">
        <v>953</v>
      </c>
      <c r="T557" s="196" t="s">
        <v>1225</v>
      </c>
      <c r="U557" s="196" t="s">
        <v>1226</v>
      </c>
      <c r="V557" s="196" t="s">
        <v>1227</v>
      </c>
      <c r="W557" s="196" t="s">
        <v>1222</v>
      </c>
      <c r="X557" s="196" t="s">
        <v>1223</v>
      </c>
      <c r="Y557" s="196" t="s">
        <v>848</v>
      </c>
    </row>
    <row r="558" spans="1:25">
      <c r="A558" s="196" t="s">
        <v>837</v>
      </c>
      <c r="B558" s="196" t="s">
        <v>850</v>
      </c>
      <c r="C558" s="196">
        <v>2013</v>
      </c>
      <c r="D558" s="196">
        <v>30</v>
      </c>
      <c r="E558" s="196" t="s">
        <v>851</v>
      </c>
      <c r="F558" s="196" t="s">
        <v>1221</v>
      </c>
      <c r="G558" s="196">
        <v>2</v>
      </c>
      <c r="H558" s="196">
        <v>2</v>
      </c>
      <c r="I558" s="196">
        <v>3582</v>
      </c>
      <c r="J558" s="196">
        <v>50249</v>
      </c>
      <c r="K558" s="196">
        <v>97.93</v>
      </c>
      <c r="L558" s="196">
        <v>0.3</v>
      </c>
      <c r="M558" s="196">
        <v>16986</v>
      </c>
      <c r="N558" s="196">
        <v>2181064</v>
      </c>
      <c r="O558" s="196">
        <v>2277</v>
      </c>
      <c r="P558" s="196" t="s">
        <v>1222</v>
      </c>
      <c r="Q558" s="196" t="s">
        <v>1223</v>
      </c>
      <c r="R558" s="196" t="s">
        <v>1224</v>
      </c>
      <c r="S558" s="196" t="s">
        <v>953</v>
      </c>
      <c r="T558" s="196" t="s">
        <v>1225</v>
      </c>
      <c r="U558" s="196" t="s">
        <v>1226</v>
      </c>
      <c r="V558" s="196" t="s">
        <v>1227</v>
      </c>
      <c r="W558" s="196" t="s">
        <v>1222</v>
      </c>
      <c r="X558" s="196" t="s">
        <v>1223</v>
      </c>
      <c r="Y558" s="196" t="s">
        <v>848</v>
      </c>
    </row>
    <row r="559" spans="1:25">
      <c r="A559" s="196" t="s">
        <v>837</v>
      </c>
      <c r="B559" s="196" t="s">
        <v>850</v>
      </c>
      <c r="C559" s="196">
        <v>2013</v>
      </c>
      <c r="D559" s="196">
        <v>55</v>
      </c>
      <c r="E559" s="196" t="s">
        <v>852</v>
      </c>
      <c r="F559" s="196" t="s">
        <v>1221</v>
      </c>
      <c r="G559" s="196">
        <v>2</v>
      </c>
      <c r="H559" s="196">
        <v>2</v>
      </c>
      <c r="I559" s="196">
        <v>4008</v>
      </c>
      <c r="J559" s="196">
        <v>86742</v>
      </c>
      <c r="K559" s="196">
        <v>97.93</v>
      </c>
      <c r="L559" s="196">
        <v>0.3</v>
      </c>
      <c r="M559" s="196">
        <v>16986</v>
      </c>
      <c r="N559" s="196">
        <v>2181064</v>
      </c>
      <c r="O559" s="196">
        <v>2277</v>
      </c>
      <c r="P559" s="196" t="s">
        <v>1222</v>
      </c>
      <c r="Q559" s="196" t="s">
        <v>1223</v>
      </c>
      <c r="R559" s="196" t="s">
        <v>1224</v>
      </c>
      <c r="S559" s="196" t="s">
        <v>953</v>
      </c>
      <c r="T559" s="196" t="s">
        <v>1225</v>
      </c>
      <c r="U559" s="196" t="s">
        <v>1226</v>
      </c>
      <c r="V559" s="196" t="s">
        <v>1227</v>
      </c>
      <c r="W559" s="196" t="s">
        <v>1222</v>
      </c>
      <c r="X559" s="196" t="s">
        <v>1223</v>
      </c>
      <c r="Y559" s="196" t="s">
        <v>848</v>
      </c>
    </row>
    <row r="560" spans="1:25">
      <c r="A560" s="196" t="s">
        <v>837</v>
      </c>
      <c r="B560" s="196" t="s">
        <v>838</v>
      </c>
      <c r="C560" s="196">
        <v>2014</v>
      </c>
      <c r="D560" s="196">
        <v>80</v>
      </c>
      <c r="E560" s="196" t="s">
        <v>853</v>
      </c>
      <c r="F560" s="196" t="s">
        <v>1221</v>
      </c>
      <c r="G560" s="196">
        <v>2</v>
      </c>
      <c r="H560" s="196">
        <v>2</v>
      </c>
      <c r="I560" s="196">
        <v>714</v>
      </c>
      <c r="J560" s="196">
        <v>37539</v>
      </c>
      <c r="K560" s="196">
        <v>97.93</v>
      </c>
      <c r="L560" s="196">
        <v>0.3</v>
      </c>
      <c r="M560" s="196">
        <v>16986</v>
      </c>
      <c r="N560" s="196">
        <v>2181064</v>
      </c>
      <c r="O560" s="196">
        <v>2277</v>
      </c>
      <c r="P560" s="196" t="s">
        <v>1222</v>
      </c>
      <c r="Q560" s="196" t="s">
        <v>1223</v>
      </c>
      <c r="R560" s="196" t="s">
        <v>1224</v>
      </c>
      <c r="S560" s="196" t="s">
        <v>953</v>
      </c>
      <c r="T560" s="196" t="s">
        <v>1225</v>
      </c>
      <c r="U560" s="196" t="s">
        <v>1226</v>
      </c>
      <c r="V560" s="196" t="s">
        <v>1227</v>
      </c>
      <c r="W560" s="196" t="s">
        <v>1222</v>
      </c>
      <c r="X560" s="196" t="s">
        <v>1223</v>
      </c>
      <c r="Y560" s="196" t="s">
        <v>848</v>
      </c>
    </row>
    <row r="561" spans="1:25">
      <c r="A561" s="196" t="s">
        <v>837</v>
      </c>
      <c r="B561" s="196" t="s">
        <v>850</v>
      </c>
      <c r="C561" s="196">
        <v>2014</v>
      </c>
      <c r="D561" s="196">
        <v>80</v>
      </c>
      <c r="E561" s="196" t="s">
        <v>918</v>
      </c>
      <c r="F561" s="196" t="s">
        <v>1221</v>
      </c>
      <c r="G561" s="196">
        <v>1</v>
      </c>
      <c r="H561" s="196">
        <v>1</v>
      </c>
      <c r="I561" s="196">
        <v>408</v>
      </c>
      <c r="J561" s="196">
        <v>4671</v>
      </c>
      <c r="K561" s="196">
        <v>97.93</v>
      </c>
      <c r="L561" s="196">
        <v>0.3</v>
      </c>
      <c r="M561" s="196">
        <v>16986</v>
      </c>
      <c r="N561" s="196">
        <v>2181064</v>
      </c>
      <c r="O561" s="196">
        <v>2277</v>
      </c>
      <c r="P561" s="196" t="s">
        <v>1222</v>
      </c>
      <c r="Q561" s="196" t="s">
        <v>1223</v>
      </c>
      <c r="R561" s="196" t="s">
        <v>1224</v>
      </c>
      <c r="S561" s="196" t="s">
        <v>953</v>
      </c>
      <c r="T561" s="196" t="s">
        <v>1225</v>
      </c>
      <c r="U561" s="196" t="s">
        <v>1226</v>
      </c>
      <c r="V561" s="196" t="s">
        <v>1227</v>
      </c>
      <c r="W561" s="196" t="s">
        <v>1222</v>
      </c>
      <c r="X561" s="196" t="s">
        <v>1223</v>
      </c>
      <c r="Y561" s="196" t="s">
        <v>848</v>
      </c>
    </row>
    <row r="562" spans="1:25">
      <c r="A562" s="196" t="s">
        <v>837</v>
      </c>
      <c r="B562" s="196" t="s">
        <v>181</v>
      </c>
      <c r="C562" s="196">
        <v>2013</v>
      </c>
      <c r="D562" s="196">
        <v>80</v>
      </c>
      <c r="E562" s="196" t="s">
        <v>876</v>
      </c>
      <c r="F562" s="196" t="s">
        <v>1221</v>
      </c>
      <c r="G562" s="196">
        <v>1</v>
      </c>
      <c r="H562" s="196">
        <v>1</v>
      </c>
      <c r="I562" s="196">
        <v>178</v>
      </c>
      <c r="J562" s="196">
        <v>3419</v>
      </c>
      <c r="K562" s="196">
        <v>97.93</v>
      </c>
      <c r="L562" s="196">
        <v>0.3</v>
      </c>
      <c r="M562" s="196">
        <v>16986</v>
      </c>
      <c r="N562" s="196">
        <v>2181064</v>
      </c>
      <c r="O562" s="196">
        <v>2277</v>
      </c>
      <c r="P562" s="196" t="s">
        <v>1222</v>
      </c>
      <c r="Q562" s="196" t="s">
        <v>1223</v>
      </c>
      <c r="R562" s="196" t="s">
        <v>1224</v>
      </c>
      <c r="S562" s="196" t="s">
        <v>953</v>
      </c>
      <c r="T562" s="196" t="s">
        <v>1225</v>
      </c>
      <c r="U562" s="196" t="s">
        <v>1226</v>
      </c>
      <c r="V562" s="196" t="s">
        <v>1227</v>
      </c>
      <c r="W562" s="196" t="s">
        <v>1222</v>
      </c>
      <c r="X562" s="196" t="s">
        <v>1223</v>
      </c>
      <c r="Y562" s="196" t="s">
        <v>848</v>
      </c>
    </row>
    <row r="563" spans="1:25">
      <c r="A563" s="196" t="s">
        <v>837</v>
      </c>
      <c r="B563" s="196" t="s">
        <v>838</v>
      </c>
      <c r="C563" s="196">
        <v>2014</v>
      </c>
      <c r="D563" s="196">
        <v>55</v>
      </c>
      <c r="E563" s="196" t="s">
        <v>854</v>
      </c>
      <c r="F563" s="196" t="s">
        <v>1221</v>
      </c>
      <c r="G563" s="196">
        <v>1</v>
      </c>
      <c r="H563" s="196">
        <v>1</v>
      </c>
      <c r="I563" s="196">
        <v>1404</v>
      </c>
      <c r="J563" s="196">
        <v>78536</v>
      </c>
      <c r="K563" s="196">
        <v>97.93</v>
      </c>
      <c r="L563" s="196">
        <v>0.3</v>
      </c>
      <c r="M563" s="196">
        <v>16986</v>
      </c>
      <c r="N563" s="196">
        <v>2181064</v>
      </c>
      <c r="O563" s="196">
        <v>2277</v>
      </c>
      <c r="P563" s="196" t="s">
        <v>1222</v>
      </c>
      <c r="Q563" s="196" t="s">
        <v>1223</v>
      </c>
      <c r="R563" s="196" t="s">
        <v>1224</v>
      </c>
      <c r="S563" s="196" t="s">
        <v>953</v>
      </c>
      <c r="T563" s="196" t="s">
        <v>1225</v>
      </c>
      <c r="U563" s="196" t="s">
        <v>1226</v>
      </c>
      <c r="V563" s="196" t="s">
        <v>1227</v>
      </c>
      <c r="W563" s="196" t="s">
        <v>1222</v>
      </c>
      <c r="X563" s="196" t="s">
        <v>1223</v>
      </c>
      <c r="Y563" s="196" t="s">
        <v>848</v>
      </c>
    </row>
    <row r="564" spans="1:25">
      <c r="A564" s="196" t="s">
        <v>837</v>
      </c>
      <c r="B564" s="196" t="s">
        <v>850</v>
      </c>
      <c r="C564" s="196">
        <v>2014</v>
      </c>
      <c r="D564" s="196">
        <v>30</v>
      </c>
      <c r="E564" s="196" t="s">
        <v>860</v>
      </c>
      <c r="F564" s="196" t="s">
        <v>1221</v>
      </c>
      <c r="G564" s="196">
        <v>1</v>
      </c>
      <c r="H564" s="196">
        <v>1</v>
      </c>
      <c r="I564" s="196">
        <v>540</v>
      </c>
      <c r="J564" s="196">
        <v>13623</v>
      </c>
      <c r="K564" s="196">
        <v>97.93</v>
      </c>
      <c r="L564" s="196">
        <v>0.3</v>
      </c>
      <c r="M564" s="196">
        <v>16986</v>
      </c>
      <c r="N564" s="196">
        <v>2181064</v>
      </c>
      <c r="O564" s="196">
        <v>2277</v>
      </c>
      <c r="P564" s="196" t="s">
        <v>1222</v>
      </c>
      <c r="Q564" s="196" t="s">
        <v>1223</v>
      </c>
      <c r="R564" s="196" t="s">
        <v>1224</v>
      </c>
      <c r="S564" s="196" t="s">
        <v>953</v>
      </c>
      <c r="T564" s="196" t="s">
        <v>1225</v>
      </c>
      <c r="U564" s="196" t="s">
        <v>1226</v>
      </c>
      <c r="V564" s="196" t="s">
        <v>1227</v>
      </c>
      <c r="W564" s="196" t="s">
        <v>1222</v>
      </c>
      <c r="X564" s="196" t="s">
        <v>1223</v>
      </c>
      <c r="Y564" s="196" t="s">
        <v>848</v>
      </c>
    </row>
    <row r="565" spans="1:25">
      <c r="A565" s="196" t="s">
        <v>837</v>
      </c>
      <c r="B565" s="196" t="s">
        <v>850</v>
      </c>
      <c r="C565" s="196">
        <v>2014</v>
      </c>
      <c r="D565" s="196">
        <v>55</v>
      </c>
      <c r="E565" s="196" t="s">
        <v>862</v>
      </c>
      <c r="F565" s="196" t="s">
        <v>1221</v>
      </c>
      <c r="G565" s="196">
        <v>1</v>
      </c>
      <c r="H565" s="196">
        <v>1</v>
      </c>
      <c r="I565" s="196">
        <v>1359</v>
      </c>
      <c r="J565" s="196">
        <v>20218</v>
      </c>
      <c r="K565" s="196">
        <v>97.93</v>
      </c>
      <c r="L565" s="196">
        <v>0.3</v>
      </c>
      <c r="M565" s="196">
        <v>16986</v>
      </c>
      <c r="N565" s="196">
        <v>2181064</v>
      </c>
      <c r="O565" s="196">
        <v>2277</v>
      </c>
      <c r="P565" s="196" t="s">
        <v>1222</v>
      </c>
      <c r="Q565" s="196" t="s">
        <v>1223</v>
      </c>
      <c r="R565" s="196" t="s">
        <v>1224</v>
      </c>
      <c r="S565" s="196" t="s">
        <v>953</v>
      </c>
      <c r="T565" s="196" t="s">
        <v>1225</v>
      </c>
      <c r="U565" s="196" t="s">
        <v>1226</v>
      </c>
      <c r="V565" s="196" t="s">
        <v>1227</v>
      </c>
      <c r="W565" s="196" t="s">
        <v>1222</v>
      </c>
      <c r="X565" s="196" t="s">
        <v>1223</v>
      </c>
      <c r="Y565" s="196" t="s">
        <v>848</v>
      </c>
    </row>
    <row r="566" spans="1:25">
      <c r="A566" s="196" t="s">
        <v>837</v>
      </c>
      <c r="B566" s="196" t="s">
        <v>838</v>
      </c>
      <c r="C566" s="196">
        <v>2013</v>
      </c>
      <c r="D566" s="196">
        <v>55</v>
      </c>
      <c r="E566" s="196" t="s">
        <v>849</v>
      </c>
      <c r="F566" s="196" t="s">
        <v>1228</v>
      </c>
      <c r="G566" s="196">
        <v>1</v>
      </c>
      <c r="H566" s="196">
        <v>1</v>
      </c>
      <c r="I566" s="196">
        <v>3045</v>
      </c>
      <c r="J566" s="196">
        <v>10020</v>
      </c>
      <c r="K566" s="196">
        <v>79.37</v>
      </c>
      <c r="L566" s="196">
        <v>3.37</v>
      </c>
      <c r="M566" s="196">
        <v>6448</v>
      </c>
      <c r="N566" s="196">
        <v>2076042</v>
      </c>
      <c r="O566" s="196">
        <v>2322</v>
      </c>
      <c r="P566" s="196" t="s">
        <v>976</v>
      </c>
      <c r="Q566" s="196" t="s">
        <v>982</v>
      </c>
      <c r="R566" s="196" t="s">
        <v>1229</v>
      </c>
      <c r="S566" s="196" t="s">
        <v>953</v>
      </c>
      <c r="T566" s="196" t="s">
        <v>979</v>
      </c>
      <c r="U566" s="196" t="s">
        <v>980</v>
      </c>
      <c r="V566" s="196" t="s">
        <v>981</v>
      </c>
      <c r="W566" s="196" t="s">
        <v>982</v>
      </c>
      <c r="X566" s="196" t="s">
        <v>848</v>
      </c>
      <c r="Y566" s="196" t="s">
        <v>848</v>
      </c>
    </row>
    <row r="567" spans="1:25">
      <c r="A567" s="196" t="s">
        <v>837</v>
      </c>
      <c r="B567" s="196" t="s">
        <v>850</v>
      </c>
      <c r="C567" s="196">
        <v>2013</v>
      </c>
      <c r="D567" s="196">
        <v>55</v>
      </c>
      <c r="E567" s="196" t="s">
        <v>852</v>
      </c>
      <c r="F567" s="196" t="s">
        <v>1228</v>
      </c>
      <c r="G567" s="196">
        <v>2</v>
      </c>
      <c r="H567" s="196">
        <v>2</v>
      </c>
      <c r="I567" s="196">
        <v>1128</v>
      </c>
      <c r="J567" s="196">
        <v>17655</v>
      </c>
      <c r="K567" s="196">
        <v>79.37</v>
      </c>
      <c r="L567" s="196">
        <v>3.37</v>
      </c>
      <c r="M567" s="196">
        <v>6448</v>
      </c>
      <c r="N567" s="196">
        <v>2076042</v>
      </c>
      <c r="O567" s="196">
        <v>2322</v>
      </c>
      <c r="P567" s="196" t="s">
        <v>976</v>
      </c>
      <c r="Q567" s="196" t="s">
        <v>982</v>
      </c>
      <c r="R567" s="196" t="s">
        <v>1229</v>
      </c>
      <c r="S567" s="196" t="s">
        <v>953</v>
      </c>
      <c r="T567" s="196" t="s">
        <v>979</v>
      </c>
      <c r="U567" s="196" t="s">
        <v>980</v>
      </c>
      <c r="V567" s="196" t="s">
        <v>981</v>
      </c>
      <c r="W567" s="196" t="s">
        <v>982</v>
      </c>
      <c r="X567" s="196" t="s">
        <v>848</v>
      </c>
      <c r="Y567" s="196" t="s">
        <v>848</v>
      </c>
    </row>
    <row r="568" spans="1:25">
      <c r="A568" s="196" t="s">
        <v>837</v>
      </c>
      <c r="B568" s="196" t="s">
        <v>850</v>
      </c>
      <c r="C568" s="196">
        <v>2014</v>
      </c>
      <c r="D568" s="196">
        <v>80</v>
      </c>
      <c r="E568" s="196" t="s">
        <v>875</v>
      </c>
      <c r="F568" s="196" t="s">
        <v>1228</v>
      </c>
      <c r="G568" s="196">
        <v>1</v>
      </c>
      <c r="H568" s="196">
        <v>1</v>
      </c>
      <c r="I568" s="196">
        <v>324</v>
      </c>
      <c r="J568" s="196">
        <v>11737</v>
      </c>
      <c r="K568" s="196">
        <v>79.37</v>
      </c>
      <c r="L568" s="196">
        <v>3.37</v>
      </c>
      <c r="M568" s="196">
        <v>6448</v>
      </c>
      <c r="N568" s="196">
        <v>2076042</v>
      </c>
      <c r="O568" s="196">
        <v>2322</v>
      </c>
      <c r="P568" s="196" t="s">
        <v>976</v>
      </c>
      <c r="Q568" s="196" t="s">
        <v>982</v>
      </c>
      <c r="R568" s="196" t="s">
        <v>1229</v>
      </c>
      <c r="S568" s="196" t="s">
        <v>953</v>
      </c>
      <c r="T568" s="196" t="s">
        <v>979</v>
      </c>
      <c r="U568" s="196" t="s">
        <v>980</v>
      </c>
      <c r="V568" s="196" t="s">
        <v>981</v>
      </c>
      <c r="W568" s="196" t="s">
        <v>982</v>
      </c>
      <c r="X568" s="196" t="s">
        <v>848</v>
      </c>
      <c r="Y568" s="196" t="s">
        <v>848</v>
      </c>
    </row>
    <row r="569" spans="1:25">
      <c r="A569" s="196" t="s">
        <v>837</v>
      </c>
      <c r="B569" s="196" t="s">
        <v>850</v>
      </c>
      <c r="C569" s="196">
        <v>2014</v>
      </c>
      <c r="D569" s="196">
        <v>55</v>
      </c>
      <c r="E569" s="196" t="s">
        <v>862</v>
      </c>
      <c r="F569" s="196" t="s">
        <v>1228</v>
      </c>
      <c r="G569" s="196">
        <v>1</v>
      </c>
      <c r="H569" s="196">
        <v>1</v>
      </c>
      <c r="I569" s="196">
        <v>3045</v>
      </c>
      <c r="J569" s="196">
        <v>10020</v>
      </c>
      <c r="K569" s="196">
        <v>79.37</v>
      </c>
      <c r="L569" s="196">
        <v>3.37</v>
      </c>
      <c r="M569" s="196">
        <v>6448</v>
      </c>
      <c r="N569" s="196">
        <v>2076042</v>
      </c>
      <c r="O569" s="196">
        <v>2322</v>
      </c>
      <c r="P569" s="196" t="s">
        <v>976</v>
      </c>
      <c r="Q569" s="196" t="s">
        <v>982</v>
      </c>
      <c r="R569" s="196" t="s">
        <v>1229</v>
      </c>
      <c r="S569" s="196" t="s">
        <v>953</v>
      </c>
      <c r="T569" s="196" t="s">
        <v>979</v>
      </c>
      <c r="U569" s="196" t="s">
        <v>980</v>
      </c>
      <c r="V569" s="196" t="s">
        <v>981</v>
      </c>
      <c r="W569" s="196" t="s">
        <v>982</v>
      </c>
      <c r="X569" s="196" t="s">
        <v>848</v>
      </c>
      <c r="Y569" s="196" t="s">
        <v>848</v>
      </c>
    </row>
    <row r="570" spans="1:25">
      <c r="A570" s="196" t="s">
        <v>837</v>
      </c>
      <c r="B570" s="196" t="s">
        <v>838</v>
      </c>
      <c r="C570" s="196">
        <v>2013</v>
      </c>
      <c r="D570" s="196">
        <v>30</v>
      </c>
      <c r="E570" s="196" t="s">
        <v>839</v>
      </c>
      <c r="F570" s="196" t="s">
        <v>1230</v>
      </c>
      <c r="G570" s="196">
        <v>1</v>
      </c>
      <c r="H570" s="196">
        <v>1</v>
      </c>
      <c r="I570" s="196">
        <v>1269</v>
      </c>
      <c r="J570" s="196">
        <v>38037</v>
      </c>
      <c r="K570" s="196">
        <v>80.8</v>
      </c>
      <c r="L570" s="196">
        <v>3.33</v>
      </c>
      <c r="M570" s="196">
        <v>7228</v>
      </c>
      <c r="N570" s="196">
        <v>1470898</v>
      </c>
      <c r="O570" s="196">
        <v>1680</v>
      </c>
      <c r="P570" s="196" t="s">
        <v>910</v>
      </c>
      <c r="Q570" s="196" t="s">
        <v>911</v>
      </c>
      <c r="R570" s="196" t="s">
        <v>912</v>
      </c>
      <c r="S570" s="196" t="s">
        <v>844</v>
      </c>
      <c r="T570" s="196" t="s">
        <v>913</v>
      </c>
      <c r="U570" s="196" t="s">
        <v>914</v>
      </c>
      <c r="V570" s="196" t="s">
        <v>911</v>
      </c>
      <c r="W570" s="196" t="s">
        <v>1231</v>
      </c>
      <c r="X570" s="196" t="s">
        <v>1232</v>
      </c>
      <c r="Y570" s="196" t="s">
        <v>848</v>
      </c>
    </row>
    <row r="571" spans="1:25">
      <c r="A571" s="196" t="s">
        <v>837</v>
      </c>
      <c r="B571" s="196" t="s">
        <v>838</v>
      </c>
      <c r="C571" s="196">
        <v>2013</v>
      </c>
      <c r="D571" s="196">
        <v>55</v>
      </c>
      <c r="E571" s="196" t="s">
        <v>849</v>
      </c>
      <c r="F571" s="196" t="s">
        <v>1230</v>
      </c>
      <c r="G571" s="196">
        <v>2</v>
      </c>
      <c r="H571" s="196">
        <v>2</v>
      </c>
      <c r="I571" s="196">
        <v>4284</v>
      </c>
      <c r="J571" s="196">
        <v>13111</v>
      </c>
      <c r="K571" s="196">
        <v>80.8</v>
      </c>
      <c r="L571" s="196">
        <v>3.33</v>
      </c>
      <c r="M571" s="196">
        <v>7228</v>
      </c>
      <c r="N571" s="196">
        <v>1470898</v>
      </c>
      <c r="O571" s="196">
        <v>1680</v>
      </c>
      <c r="P571" s="196" t="s">
        <v>910</v>
      </c>
      <c r="Q571" s="196" t="s">
        <v>911</v>
      </c>
      <c r="R571" s="196" t="s">
        <v>912</v>
      </c>
      <c r="S571" s="196" t="s">
        <v>844</v>
      </c>
      <c r="T571" s="196" t="s">
        <v>913</v>
      </c>
      <c r="U571" s="196" t="s">
        <v>914</v>
      </c>
      <c r="V571" s="196" t="s">
        <v>911</v>
      </c>
      <c r="W571" s="196" t="s">
        <v>1231</v>
      </c>
      <c r="X571" s="196" t="s">
        <v>1232</v>
      </c>
      <c r="Y571" s="196" t="s">
        <v>848</v>
      </c>
    </row>
    <row r="572" spans="1:25">
      <c r="A572" s="196" t="s">
        <v>837</v>
      </c>
      <c r="B572" s="196" t="s">
        <v>850</v>
      </c>
      <c r="C572" s="196">
        <v>2013</v>
      </c>
      <c r="D572" s="196">
        <v>30</v>
      </c>
      <c r="E572" s="196" t="s">
        <v>851</v>
      </c>
      <c r="F572" s="196" t="s">
        <v>1230</v>
      </c>
      <c r="G572" s="196">
        <v>1</v>
      </c>
      <c r="H572" s="196">
        <v>1</v>
      </c>
      <c r="I572" s="196">
        <v>630</v>
      </c>
      <c r="J572" s="196">
        <v>10283</v>
      </c>
      <c r="K572" s="196">
        <v>80.8</v>
      </c>
      <c r="L572" s="196">
        <v>3.33</v>
      </c>
      <c r="M572" s="196">
        <v>7228</v>
      </c>
      <c r="N572" s="196">
        <v>1470898</v>
      </c>
      <c r="O572" s="196">
        <v>1680</v>
      </c>
      <c r="P572" s="196" t="s">
        <v>910</v>
      </c>
      <c r="Q572" s="196" t="s">
        <v>911</v>
      </c>
      <c r="R572" s="196" t="s">
        <v>912</v>
      </c>
      <c r="S572" s="196" t="s">
        <v>844</v>
      </c>
      <c r="T572" s="196" t="s">
        <v>913</v>
      </c>
      <c r="U572" s="196" t="s">
        <v>914</v>
      </c>
      <c r="V572" s="196" t="s">
        <v>911</v>
      </c>
      <c r="W572" s="196" t="s">
        <v>1231</v>
      </c>
      <c r="X572" s="196" t="s">
        <v>1232</v>
      </c>
      <c r="Y572" s="196" t="s">
        <v>848</v>
      </c>
    </row>
    <row r="573" spans="1:25">
      <c r="A573" s="196" t="s">
        <v>837</v>
      </c>
      <c r="B573" s="196" t="s">
        <v>838</v>
      </c>
      <c r="C573" s="196">
        <v>2014</v>
      </c>
      <c r="D573" s="196">
        <v>80</v>
      </c>
      <c r="E573" s="196" t="s">
        <v>853</v>
      </c>
      <c r="F573" s="196" t="s">
        <v>1230</v>
      </c>
      <c r="G573" s="196">
        <v>1</v>
      </c>
      <c r="H573" s="196">
        <v>1</v>
      </c>
      <c r="I573" s="196">
        <v>867</v>
      </c>
      <c r="J573" s="196">
        <v>7530</v>
      </c>
      <c r="K573" s="196">
        <v>80.8</v>
      </c>
      <c r="L573" s="196">
        <v>3.33</v>
      </c>
      <c r="M573" s="196">
        <v>7228</v>
      </c>
      <c r="N573" s="196">
        <v>1470898</v>
      </c>
      <c r="O573" s="196">
        <v>1680</v>
      </c>
      <c r="P573" s="196" t="s">
        <v>910</v>
      </c>
      <c r="Q573" s="196" t="s">
        <v>911</v>
      </c>
      <c r="R573" s="196" t="s">
        <v>912</v>
      </c>
      <c r="S573" s="196" t="s">
        <v>844</v>
      </c>
      <c r="T573" s="196" t="s">
        <v>913</v>
      </c>
      <c r="U573" s="196" t="s">
        <v>914</v>
      </c>
      <c r="V573" s="196" t="s">
        <v>911</v>
      </c>
      <c r="W573" s="196" t="s">
        <v>1231</v>
      </c>
      <c r="X573" s="196" t="s">
        <v>1232</v>
      </c>
      <c r="Y573" s="196" t="s">
        <v>848</v>
      </c>
    </row>
    <row r="574" spans="1:25">
      <c r="A574" s="196" t="s">
        <v>837</v>
      </c>
      <c r="B574" s="196" t="s">
        <v>850</v>
      </c>
      <c r="C574" s="196">
        <v>2014</v>
      </c>
      <c r="D574" s="196">
        <v>80</v>
      </c>
      <c r="E574" s="196" t="s">
        <v>918</v>
      </c>
      <c r="F574" s="196" t="s">
        <v>1230</v>
      </c>
      <c r="G574" s="196">
        <v>2</v>
      </c>
      <c r="H574" s="196">
        <v>2</v>
      </c>
      <c r="I574" s="196">
        <v>1839</v>
      </c>
      <c r="J574" s="196">
        <v>10185</v>
      </c>
      <c r="K574" s="196">
        <v>80.8</v>
      </c>
      <c r="L574" s="196">
        <v>3.33</v>
      </c>
      <c r="M574" s="196">
        <v>7228</v>
      </c>
      <c r="N574" s="196">
        <v>1470898</v>
      </c>
      <c r="O574" s="196">
        <v>1680</v>
      </c>
      <c r="P574" s="196" t="s">
        <v>910</v>
      </c>
      <c r="Q574" s="196" t="s">
        <v>911</v>
      </c>
      <c r="R574" s="196" t="s">
        <v>912</v>
      </c>
      <c r="S574" s="196" t="s">
        <v>844</v>
      </c>
      <c r="T574" s="196" t="s">
        <v>913</v>
      </c>
      <c r="U574" s="196" t="s">
        <v>914</v>
      </c>
      <c r="V574" s="196" t="s">
        <v>911</v>
      </c>
      <c r="W574" s="196" t="s">
        <v>1231</v>
      </c>
      <c r="X574" s="196" t="s">
        <v>1232</v>
      </c>
      <c r="Y574" s="196" t="s">
        <v>848</v>
      </c>
    </row>
    <row r="575" spans="1:25">
      <c r="A575" s="196" t="s">
        <v>837</v>
      </c>
      <c r="B575" s="196" t="s">
        <v>838</v>
      </c>
      <c r="C575" s="196">
        <v>2014</v>
      </c>
      <c r="D575" s="196">
        <v>55</v>
      </c>
      <c r="E575" s="196" t="s">
        <v>855</v>
      </c>
      <c r="F575" s="196" t="s">
        <v>1230</v>
      </c>
      <c r="G575" s="196">
        <v>1</v>
      </c>
      <c r="H575" s="196">
        <v>1</v>
      </c>
      <c r="I575" s="196">
        <v>1692</v>
      </c>
      <c r="J575" s="196">
        <v>7228</v>
      </c>
      <c r="K575" s="196">
        <v>80.8</v>
      </c>
      <c r="L575" s="196">
        <v>3.33</v>
      </c>
      <c r="M575" s="196">
        <v>7228</v>
      </c>
      <c r="N575" s="196">
        <v>1470898</v>
      </c>
      <c r="O575" s="196">
        <v>1680</v>
      </c>
      <c r="P575" s="196" t="s">
        <v>910</v>
      </c>
      <c r="Q575" s="196" t="s">
        <v>911</v>
      </c>
      <c r="R575" s="196" t="s">
        <v>912</v>
      </c>
      <c r="S575" s="196" t="s">
        <v>844</v>
      </c>
      <c r="T575" s="196" t="s">
        <v>913</v>
      </c>
      <c r="U575" s="196" t="s">
        <v>914</v>
      </c>
      <c r="V575" s="196" t="s">
        <v>911</v>
      </c>
      <c r="W575" s="196" t="s">
        <v>1231</v>
      </c>
      <c r="X575" s="196" t="s">
        <v>1232</v>
      </c>
      <c r="Y575" s="196" t="s">
        <v>848</v>
      </c>
    </row>
    <row r="576" spans="1:25">
      <c r="A576" s="196" t="s">
        <v>837</v>
      </c>
      <c r="B576" s="196" t="s">
        <v>181</v>
      </c>
      <c r="C576" s="196">
        <v>2014</v>
      </c>
      <c r="D576" s="196">
        <v>30</v>
      </c>
      <c r="E576" s="196" t="s">
        <v>856</v>
      </c>
      <c r="F576" s="196" t="s">
        <v>1230</v>
      </c>
      <c r="G576" s="196">
        <v>1</v>
      </c>
      <c r="H576" s="196">
        <v>1</v>
      </c>
      <c r="I576" s="196">
        <v>2436</v>
      </c>
      <c r="J576" s="196">
        <v>38037</v>
      </c>
      <c r="K576" s="196">
        <v>80.8</v>
      </c>
      <c r="L576" s="196">
        <v>3.33</v>
      </c>
      <c r="M576" s="196">
        <v>7228</v>
      </c>
      <c r="N576" s="196">
        <v>1470898</v>
      </c>
      <c r="O576" s="196">
        <v>1680</v>
      </c>
      <c r="P576" s="196" t="s">
        <v>910</v>
      </c>
      <c r="Q576" s="196" t="s">
        <v>911</v>
      </c>
      <c r="R576" s="196" t="s">
        <v>912</v>
      </c>
      <c r="S576" s="196" t="s">
        <v>844</v>
      </c>
      <c r="T576" s="196" t="s">
        <v>913</v>
      </c>
      <c r="U576" s="196" t="s">
        <v>914</v>
      </c>
      <c r="V576" s="196" t="s">
        <v>911</v>
      </c>
      <c r="W576" s="196" t="s">
        <v>1231</v>
      </c>
      <c r="X576" s="196" t="s">
        <v>1232</v>
      </c>
      <c r="Y576" s="196" t="s">
        <v>848</v>
      </c>
    </row>
    <row r="577" spans="1:25">
      <c r="A577" s="196" t="s">
        <v>837</v>
      </c>
      <c r="B577" s="196" t="s">
        <v>850</v>
      </c>
      <c r="C577" s="196">
        <v>2014</v>
      </c>
      <c r="D577" s="196">
        <v>55</v>
      </c>
      <c r="E577" s="196" t="s">
        <v>862</v>
      </c>
      <c r="F577" s="196" t="s">
        <v>1230</v>
      </c>
      <c r="G577" s="196">
        <v>2</v>
      </c>
      <c r="H577" s="196">
        <v>2</v>
      </c>
      <c r="I577" s="196">
        <v>4128</v>
      </c>
      <c r="J577" s="196">
        <v>45265</v>
      </c>
      <c r="K577" s="196">
        <v>80.8</v>
      </c>
      <c r="L577" s="196">
        <v>3.33</v>
      </c>
      <c r="M577" s="196">
        <v>7228</v>
      </c>
      <c r="N577" s="196">
        <v>1470898</v>
      </c>
      <c r="O577" s="196">
        <v>1680</v>
      </c>
      <c r="P577" s="196" t="s">
        <v>910</v>
      </c>
      <c r="Q577" s="196" t="s">
        <v>911</v>
      </c>
      <c r="R577" s="196" t="s">
        <v>912</v>
      </c>
      <c r="S577" s="196" t="s">
        <v>844</v>
      </c>
      <c r="T577" s="196" t="s">
        <v>913</v>
      </c>
      <c r="U577" s="196" t="s">
        <v>914</v>
      </c>
      <c r="V577" s="196" t="s">
        <v>911</v>
      </c>
      <c r="W577" s="196" t="s">
        <v>1231</v>
      </c>
      <c r="X577" s="196" t="s">
        <v>1232</v>
      </c>
      <c r="Y577" s="196" t="s">
        <v>848</v>
      </c>
    </row>
    <row r="578" spans="1:25">
      <c r="A578" s="196" t="s">
        <v>837</v>
      </c>
      <c r="B578" s="196" t="s">
        <v>850</v>
      </c>
      <c r="C578" s="196">
        <v>2014</v>
      </c>
      <c r="D578" s="196">
        <v>55</v>
      </c>
      <c r="E578" s="196" t="s">
        <v>863</v>
      </c>
      <c r="F578" s="196" t="s">
        <v>1230</v>
      </c>
      <c r="G578" s="196">
        <v>1</v>
      </c>
      <c r="H578" s="196">
        <v>1</v>
      </c>
      <c r="I578" s="196">
        <v>2436</v>
      </c>
      <c r="J578" s="196">
        <v>38037</v>
      </c>
      <c r="K578" s="196">
        <v>80.8</v>
      </c>
      <c r="L578" s="196">
        <v>3.33</v>
      </c>
      <c r="M578" s="196">
        <v>7228</v>
      </c>
      <c r="N578" s="196">
        <v>1470898</v>
      </c>
      <c r="O578" s="196">
        <v>1680</v>
      </c>
      <c r="P578" s="196" t="s">
        <v>910</v>
      </c>
      <c r="Q578" s="196" t="s">
        <v>911</v>
      </c>
      <c r="R578" s="196" t="s">
        <v>912</v>
      </c>
      <c r="S578" s="196" t="s">
        <v>844</v>
      </c>
      <c r="T578" s="196" t="s">
        <v>913</v>
      </c>
      <c r="U578" s="196" t="s">
        <v>914</v>
      </c>
      <c r="V578" s="196" t="s">
        <v>911</v>
      </c>
      <c r="W578" s="196" t="s">
        <v>1231</v>
      </c>
      <c r="X578" s="196" t="s">
        <v>1232</v>
      </c>
      <c r="Y578" s="196" t="s">
        <v>848</v>
      </c>
    </row>
    <row r="579" spans="1:25">
      <c r="A579" s="196" t="s">
        <v>837</v>
      </c>
      <c r="B579" s="196" t="s">
        <v>838</v>
      </c>
      <c r="C579" s="196">
        <v>2013</v>
      </c>
      <c r="D579" s="196">
        <v>30</v>
      </c>
      <c r="E579" s="196" t="s">
        <v>839</v>
      </c>
      <c r="F579" s="196" t="s">
        <v>1233</v>
      </c>
      <c r="G579" s="196">
        <v>5</v>
      </c>
      <c r="H579" s="196">
        <v>5</v>
      </c>
      <c r="I579" s="196">
        <v>4357</v>
      </c>
      <c r="J579" s="196">
        <v>27064</v>
      </c>
      <c r="K579" s="196">
        <v>72.209999999999994</v>
      </c>
      <c r="L579" s="196">
        <v>1.84</v>
      </c>
      <c r="M579" s="196">
        <v>6669</v>
      </c>
      <c r="N579" s="196">
        <v>1549082</v>
      </c>
      <c r="O579" s="196">
        <v>1707</v>
      </c>
      <c r="P579" s="196" t="s">
        <v>873</v>
      </c>
      <c r="Q579" s="196" t="s">
        <v>1234</v>
      </c>
      <c r="R579" s="196" t="s">
        <v>1235</v>
      </c>
      <c r="S579" s="196" t="s">
        <v>844</v>
      </c>
      <c r="T579" s="196" t="s">
        <v>845</v>
      </c>
      <c r="U579" s="196" t="s">
        <v>846</v>
      </c>
      <c r="V579" s="196" t="s">
        <v>1236</v>
      </c>
      <c r="W579" s="196" t="s">
        <v>1234</v>
      </c>
      <c r="X579" s="196" t="s">
        <v>848</v>
      </c>
      <c r="Y579" s="196" t="s">
        <v>848</v>
      </c>
    </row>
    <row r="580" spans="1:25">
      <c r="A580" s="196" t="s">
        <v>837</v>
      </c>
      <c r="B580" s="196" t="s">
        <v>850</v>
      </c>
      <c r="C580" s="196">
        <v>2013</v>
      </c>
      <c r="D580" s="196">
        <v>30</v>
      </c>
      <c r="E580" s="196" t="s">
        <v>851</v>
      </c>
      <c r="F580" s="196" t="s">
        <v>1233</v>
      </c>
      <c r="G580" s="196">
        <v>5</v>
      </c>
      <c r="H580" s="196">
        <v>5</v>
      </c>
      <c r="I580" s="196">
        <v>5487</v>
      </c>
      <c r="J580" s="196">
        <v>51165</v>
      </c>
      <c r="K580" s="196">
        <v>72.209999999999994</v>
      </c>
      <c r="L580" s="196">
        <v>1.84</v>
      </c>
      <c r="M580" s="196">
        <v>6669</v>
      </c>
      <c r="N580" s="196">
        <v>1549082</v>
      </c>
      <c r="O580" s="196">
        <v>1707</v>
      </c>
      <c r="P580" s="196" t="s">
        <v>873</v>
      </c>
      <c r="Q580" s="196" t="s">
        <v>1234</v>
      </c>
      <c r="R580" s="196" t="s">
        <v>1235</v>
      </c>
      <c r="S580" s="196" t="s">
        <v>844</v>
      </c>
      <c r="T580" s="196" t="s">
        <v>845</v>
      </c>
      <c r="U580" s="196" t="s">
        <v>846</v>
      </c>
      <c r="V580" s="196" t="s">
        <v>1236</v>
      </c>
      <c r="W580" s="196" t="s">
        <v>1234</v>
      </c>
      <c r="X580" s="196" t="s">
        <v>848</v>
      </c>
      <c r="Y580" s="196" t="s">
        <v>848</v>
      </c>
    </row>
    <row r="581" spans="1:25">
      <c r="A581" s="196" t="s">
        <v>837</v>
      </c>
      <c r="B581" s="196" t="s">
        <v>838</v>
      </c>
      <c r="C581" s="196">
        <v>2014</v>
      </c>
      <c r="D581" s="196">
        <v>55</v>
      </c>
      <c r="E581" s="196" t="s">
        <v>854</v>
      </c>
      <c r="F581" s="196" t="s">
        <v>1233</v>
      </c>
      <c r="G581" s="196">
        <v>3</v>
      </c>
      <c r="H581" s="196">
        <v>3</v>
      </c>
      <c r="I581" s="196">
        <v>3162</v>
      </c>
      <c r="J581" s="196">
        <v>32062</v>
      </c>
      <c r="K581" s="196">
        <v>72.209999999999994</v>
      </c>
      <c r="L581" s="196">
        <v>1.84</v>
      </c>
      <c r="M581" s="196">
        <v>6669</v>
      </c>
      <c r="N581" s="196">
        <v>1549082</v>
      </c>
      <c r="O581" s="196">
        <v>1707</v>
      </c>
      <c r="P581" s="196" t="s">
        <v>873</v>
      </c>
      <c r="Q581" s="196" t="s">
        <v>1234</v>
      </c>
      <c r="R581" s="196" t="s">
        <v>1235</v>
      </c>
      <c r="S581" s="196" t="s">
        <v>844</v>
      </c>
      <c r="T581" s="196" t="s">
        <v>845</v>
      </c>
      <c r="U581" s="196" t="s">
        <v>846</v>
      </c>
      <c r="V581" s="196" t="s">
        <v>1236</v>
      </c>
      <c r="W581" s="196" t="s">
        <v>1234</v>
      </c>
      <c r="X581" s="196" t="s">
        <v>848</v>
      </c>
      <c r="Y581" s="196" t="s">
        <v>848</v>
      </c>
    </row>
    <row r="582" spans="1:25">
      <c r="A582" s="196" t="s">
        <v>837</v>
      </c>
      <c r="B582" s="196" t="s">
        <v>181</v>
      </c>
      <c r="C582" s="196">
        <v>2014</v>
      </c>
      <c r="D582" s="196">
        <v>30</v>
      </c>
      <c r="E582" s="196" t="s">
        <v>856</v>
      </c>
      <c r="F582" s="196" t="s">
        <v>1233</v>
      </c>
      <c r="G582" s="196">
        <v>1</v>
      </c>
      <c r="H582" s="196">
        <v>1</v>
      </c>
      <c r="I582" s="196">
        <v>1269</v>
      </c>
      <c r="J582" s="196">
        <v>13917</v>
      </c>
      <c r="K582" s="196">
        <v>72.209999999999994</v>
      </c>
      <c r="L582" s="196">
        <v>1.84</v>
      </c>
      <c r="M582" s="196">
        <v>6669</v>
      </c>
      <c r="N582" s="196">
        <v>1549082</v>
      </c>
      <c r="O582" s="196">
        <v>1707</v>
      </c>
      <c r="P582" s="196" t="s">
        <v>873</v>
      </c>
      <c r="Q582" s="196" t="s">
        <v>1234</v>
      </c>
      <c r="R582" s="196" t="s">
        <v>1235</v>
      </c>
      <c r="S582" s="196" t="s">
        <v>844</v>
      </c>
      <c r="T582" s="196" t="s">
        <v>845</v>
      </c>
      <c r="U582" s="196" t="s">
        <v>846</v>
      </c>
      <c r="V582" s="196" t="s">
        <v>1236</v>
      </c>
      <c r="W582" s="196" t="s">
        <v>1234</v>
      </c>
      <c r="X582" s="196" t="s">
        <v>848</v>
      </c>
      <c r="Y582" s="196" t="s">
        <v>848</v>
      </c>
    </row>
    <row r="583" spans="1:25">
      <c r="A583" s="196" t="s">
        <v>837</v>
      </c>
      <c r="B583" s="196" t="s">
        <v>181</v>
      </c>
      <c r="C583" s="196">
        <v>2014</v>
      </c>
      <c r="D583" s="196">
        <v>55</v>
      </c>
      <c r="E583" s="196" t="s">
        <v>858</v>
      </c>
      <c r="F583" s="196" t="s">
        <v>1233</v>
      </c>
      <c r="G583" s="196">
        <v>2</v>
      </c>
      <c r="H583" s="196">
        <v>2</v>
      </c>
      <c r="I583" s="196">
        <v>1110</v>
      </c>
      <c r="J583" s="196">
        <v>13193</v>
      </c>
      <c r="K583" s="196">
        <v>72.209999999999994</v>
      </c>
      <c r="L583" s="196">
        <v>1.84</v>
      </c>
      <c r="M583" s="196">
        <v>6669</v>
      </c>
      <c r="N583" s="196">
        <v>1549082</v>
      </c>
      <c r="O583" s="196">
        <v>1707</v>
      </c>
      <c r="P583" s="196" t="s">
        <v>873</v>
      </c>
      <c r="Q583" s="196" t="s">
        <v>1234</v>
      </c>
      <c r="R583" s="196" t="s">
        <v>1235</v>
      </c>
      <c r="S583" s="196" t="s">
        <v>844</v>
      </c>
      <c r="T583" s="196" t="s">
        <v>845</v>
      </c>
      <c r="U583" s="196" t="s">
        <v>846</v>
      </c>
      <c r="V583" s="196" t="s">
        <v>1236</v>
      </c>
      <c r="W583" s="196" t="s">
        <v>1234</v>
      </c>
      <c r="X583" s="196" t="s">
        <v>848</v>
      </c>
      <c r="Y583" s="196" t="s">
        <v>848</v>
      </c>
    </row>
    <row r="584" spans="1:25">
      <c r="A584" s="196" t="s">
        <v>837</v>
      </c>
      <c r="B584" s="196" t="s">
        <v>181</v>
      </c>
      <c r="C584" s="196">
        <v>2014</v>
      </c>
      <c r="D584" s="196">
        <v>55</v>
      </c>
      <c r="E584" s="196" t="s">
        <v>859</v>
      </c>
      <c r="F584" s="196" t="s">
        <v>1233</v>
      </c>
      <c r="G584" s="196">
        <v>1</v>
      </c>
      <c r="H584" s="196">
        <v>1</v>
      </c>
      <c r="I584" s="196">
        <v>720</v>
      </c>
      <c r="J584" s="196">
        <v>10252</v>
      </c>
      <c r="K584" s="196">
        <v>72.209999999999994</v>
      </c>
      <c r="L584" s="196">
        <v>1.84</v>
      </c>
      <c r="M584" s="196">
        <v>6669</v>
      </c>
      <c r="N584" s="196">
        <v>1549082</v>
      </c>
      <c r="O584" s="196">
        <v>1707</v>
      </c>
      <c r="P584" s="196" t="s">
        <v>873</v>
      </c>
      <c r="Q584" s="196" t="s">
        <v>1234</v>
      </c>
      <c r="R584" s="196" t="s">
        <v>1235</v>
      </c>
      <c r="S584" s="196" t="s">
        <v>844</v>
      </c>
      <c r="T584" s="196" t="s">
        <v>845</v>
      </c>
      <c r="U584" s="196" t="s">
        <v>846</v>
      </c>
      <c r="V584" s="196" t="s">
        <v>1236</v>
      </c>
      <c r="W584" s="196" t="s">
        <v>1234</v>
      </c>
      <c r="X584" s="196" t="s">
        <v>848</v>
      </c>
      <c r="Y584" s="196" t="s">
        <v>848</v>
      </c>
    </row>
    <row r="585" spans="1:25">
      <c r="A585" s="196" t="s">
        <v>837</v>
      </c>
      <c r="B585" s="196" t="s">
        <v>850</v>
      </c>
      <c r="C585" s="196">
        <v>2014</v>
      </c>
      <c r="D585" s="196">
        <v>30</v>
      </c>
      <c r="E585" s="196" t="s">
        <v>860</v>
      </c>
      <c r="F585" s="196" t="s">
        <v>1233</v>
      </c>
      <c r="G585" s="196">
        <v>6</v>
      </c>
      <c r="H585" s="196">
        <v>6</v>
      </c>
      <c r="I585" s="196">
        <v>8652</v>
      </c>
      <c r="J585" s="196">
        <v>67087</v>
      </c>
      <c r="K585" s="196">
        <v>72.209999999999994</v>
      </c>
      <c r="L585" s="196">
        <v>1.84</v>
      </c>
      <c r="M585" s="196">
        <v>6669</v>
      </c>
      <c r="N585" s="196">
        <v>1549082</v>
      </c>
      <c r="O585" s="196">
        <v>1707</v>
      </c>
      <c r="P585" s="196" t="s">
        <v>873</v>
      </c>
      <c r="Q585" s="196" t="s">
        <v>1234</v>
      </c>
      <c r="R585" s="196" t="s">
        <v>1235</v>
      </c>
      <c r="S585" s="196" t="s">
        <v>844</v>
      </c>
      <c r="T585" s="196" t="s">
        <v>845</v>
      </c>
      <c r="U585" s="196" t="s">
        <v>846</v>
      </c>
      <c r="V585" s="196" t="s">
        <v>1236</v>
      </c>
      <c r="W585" s="196" t="s">
        <v>1234</v>
      </c>
      <c r="X585" s="196" t="s">
        <v>848</v>
      </c>
      <c r="Y585" s="196" t="s">
        <v>848</v>
      </c>
    </row>
    <row r="586" spans="1:25">
      <c r="A586" s="196" t="s">
        <v>837</v>
      </c>
      <c r="B586" s="196" t="s">
        <v>850</v>
      </c>
      <c r="C586" s="196">
        <v>2014</v>
      </c>
      <c r="D586" s="196">
        <v>55</v>
      </c>
      <c r="E586" s="196" t="s">
        <v>862</v>
      </c>
      <c r="F586" s="196" t="s">
        <v>1233</v>
      </c>
      <c r="G586" s="196">
        <v>3</v>
      </c>
      <c r="H586" s="196">
        <v>3</v>
      </c>
      <c r="I586" s="196">
        <v>2670</v>
      </c>
      <c r="J586" s="196">
        <v>29496</v>
      </c>
      <c r="K586" s="196">
        <v>72.209999999999994</v>
      </c>
      <c r="L586" s="196">
        <v>1.84</v>
      </c>
      <c r="M586" s="196">
        <v>6669</v>
      </c>
      <c r="N586" s="196">
        <v>1549082</v>
      </c>
      <c r="O586" s="196">
        <v>1707</v>
      </c>
      <c r="P586" s="196" t="s">
        <v>873</v>
      </c>
      <c r="Q586" s="196" t="s">
        <v>1234</v>
      </c>
      <c r="R586" s="196" t="s">
        <v>1235</v>
      </c>
      <c r="S586" s="196" t="s">
        <v>844</v>
      </c>
      <c r="T586" s="196" t="s">
        <v>845</v>
      </c>
      <c r="U586" s="196" t="s">
        <v>846</v>
      </c>
      <c r="V586" s="196" t="s">
        <v>1236</v>
      </c>
      <c r="W586" s="196" t="s">
        <v>1234</v>
      </c>
      <c r="X586" s="196" t="s">
        <v>848</v>
      </c>
      <c r="Y586" s="196" t="s">
        <v>848</v>
      </c>
    </row>
    <row r="587" spans="1:25">
      <c r="A587" s="196" t="s">
        <v>837</v>
      </c>
      <c r="B587" s="196" t="s">
        <v>838</v>
      </c>
      <c r="C587" s="196">
        <v>2013</v>
      </c>
      <c r="D587" s="196">
        <v>30</v>
      </c>
      <c r="E587" s="196" t="s">
        <v>839</v>
      </c>
      <c r="F587" s="196" t="s">
        <v>1237</v>
      </c>
      <c r="G587" s="196">
        <v>10</v>
      </c>
      <c r="H587" s="196">
        <v>9</v>
      </c>
      <c r="I587" s="196">
        <v>15303</v>
      </c>
      <c r="J587" s="196">
        <v>960194</v>
      </c>
      <c r="K587" s="196">
        <v>99.8</v>
      </c>
      <c r="L587" s="196">
        <v>0.34</v>
      </c>
      <c r="M587" s="196">
        <v>96352</v>
      </c>
      <c r="N587" s="196">
        <v>3537101</v>
      </c>
      <c r="O587" s="196">
        <v>3198</v>
      </c>
      <c r="P587" s="196" t="s">
        <v>1238</v>
      </c>
      <c r="Q587" s="196" t="s">
        <v>1239</v>
      </c>
      <c r="R587" s="196" t="s">
        <v>1240</v>
      </c>
      <c r="S587" s="196" t="s">
        <v>844</v>
      </c>
      <c r="T587" s="196" t="s">
        <v>942</v>
      </c>
      <c r="U587" s="196" t="s">
        <v>1241</v>
      </c>
      <c r="V587" s="196" t="s">
        <v>1242</v>
      </c>
      <c r="W587" s="196" t="s">
        <v>1239</v>
      </c>
      <c r="X587" s="196" t="s">
        <v>1243</v>
      </c>
      <c r="Y587" s="196" t="s">
        <v>848</v>
      </c>
    </row>
    <row r="588" spans="1:25">
      <c r="A588" s="196" t="s">
        <v>837</v>
      </c>
      <c r="B588" s="196" t="s">
        <v>838</v>
      </c>
      <c r="C588" s="196">
        <v>2013</v>
      </c>
      <c r="D588" s="196">
        <v>55</v>
      </c>
      <c r="E588" s="196" t="s">
        <v>849</v>
      </c>
      <c r="F588" s="196" t="s">
        <v>1237</v>
      </c>
      <c r="G588" s="196">
        <v>14</v>
      </c>
      <c r="H588" s="196">
        <v>9</v>
      </c>
      <c r="I588" s="196">
        <v>24351</v>
      </c>
      <c r="J588" s="196">
        <v>1047832</v>
      </c>
      <c r="K588" s="196">
        <v>99.8</v>
      </c>
      <c r="L588" s="196">
        <v>0.34</v>
      </c>
      <c r="M588" s="196">
        <v>96352</v>
      </c>
      <c r="N588" s="196">
        <v>3537101</v>
      </c>
      <c r="O588" s="196">
        <v>3198</v>
      </c>
      <c r="P588" s="196" t="s">
        <v>1238</v>
      </c>
      <c r="Q588" s="196" t="s">
        <v>1239</v>
      </c>
      <c r="R588" s="196" t="s">
        <v>1240</v>
      </c>
      <c r="S588" s="196" t="s">
        <v>844</v>
      </c>
      <c r="T588" s="196" t="s">
        <v>942</v>
      </c>
      <c r="U588" s="196" t="s">
        <v>1241</v>
      </c>
      <c r="V588" s="196" t="s">
        <v>1242</v>
      </c>
      <c r="W588" s="196" t="s">
        <v>1239</v>
      </c>
      <c r="X588" s="196" t="s">
        <v>1243</v>
      </c>
      <c r="Y588" s="196" t="s">
        <v>848</v>
      </c>
    </row>
    <row r="589" spans="1:25">
      <c r="A589" s="196" t="s">
        <v>837</v>
      </c>
      <c r="B589" s="196" t="s">
        <v>850</v>
      </c>
      <c r="C589" s="196">
        <v>2013</v>
      </c>
      <c r="D589" s="196">
        <v>30</v>
      </c>
      <c r="E589" s="196" t="s">
        <v>851</v>
      </c>
      <c r="F589" s="196" t="s">
        <v>1237</v>
      </c>
      <c r="G589" s="196">
        <v>13</v>
      </c>
      <c r="H589" s="196">
        <v>11</v>
      </c>
      <c r="I589" s="196">
        <v>21846</v>
      </c>
      <c r="J589" s="196">
        <v>1066005</v>
      </c>
      <c r="K589" s="196">
        <v>99.8</v>
      </c>
      <c r="L589" s="196">
        <v>0.34</v>
      </c>
      <c r="M589" s="196">
        <v>96352</v>
      </c>
      <c r="N589" s="196">
        <v>3537101</v>
      </c>
      <c r="O589" s="196">
        <v>3198</v>
      </c>
      <c r="P589" s="196" t="s">
        <v>1238</v>
      </c>
      <c r="Q589" s="196" t="s">
        <v>1239</v>
      </c>
      <c r="R589" s="196" t="s">
        <v>1240</v>
      </c>
      <c r="S589" s="196" t="s">
        <v>844</v>
      </c>
      <c r="T589" s="196" t="s">
        <v>942</v>
      </c>
      <c r="U589" s="196" t="s">
        <v>1241</v>
      </c>
      <c r="V589" s="196" t="s">
        <v>1242</v>
      </c>
      <c r="W589" s="196" t="s">
        <v>1239</v>
      </c>
      <c r="X589" s="196" t="s">
        <v>1243</v>
      </c>
      <c r="Y589" s="196" t="s">
        <v>848</v>
      </c>
    </row>
    <row r="590" spans="1:25">
      <c r="A590" s="196" t="s">
        <v>837</v>
      </c>
      <c r="B590" s="196" t="s">
        <v>850</v>
      </c>
      <c r="C590" s="196">
        <v>2013</v>
      </c>
      <c r="D590" s="196">
        <v>55</v>
      </c>
      <c r="E590" s="196" t="s">
        <v>852</v>
      </c>
      <c r="F590" s="196" t="s">
        <v>1237</v>
      </c>
      <c r="G590" s="196">
        <v>15</v>
      </c>
      <c r="H590" s="196">
        <v>9</v>
      </c>
      <c r="I590" s="196">
        <v>30909</v>
      </c>
      <c r="J590" s="196">
        <v>1060639</v>
      </c>
      <c r="K590" s="196">
        <v>99.8</v>
      </c>
      <c r="L590" s="196">
        <v>0.34</v>
      </c>
      <c r="M590" s="196">
        <v>96352</v>
      </c>
      <c r="N590" s="196">
        <v>3537101</v>
      </c>
      <c r="O590" s="196">
        <v>3198</v>
      </c>
      <c r="P590" s="196" t="s">
        <v>1238</v>
      </c>
      <c r="Q590" s="196" t="s">
        <v>1239</v>
      </c>
      <c r="R590" s="196" t="s">
        <v>1240</v>
      </c>
      <c r="S590" s="196" t="s">
        <v>844</v>
      </c>
      <c r="T590" s="196" t="s">
        <v>942</v>
      </c>
      <c r="U590" s="196" t="s">
        <v>1241</v>
      </c>
      <c r="V590" s="196" t="s">
        <v>1242</v>
      </c>
      <c r="W590" s="196" t="s">
        <v>1239</v>
      </c>
      <c r="X590" s="196" t="s">
        <v>1243</v>
      </c>
      <c r="Y590" s="196" t="s">
        <v>848</v>
      </c>
    </row>
    <row r="591" spans="1:25">
      <c r="A591" s="196" t="s">
        <v>837</v>
      </c>
      <c r="B591" s="196" t="s">
        <v>850</v>
      </c>
      <c r="C591" s="196">
        <v>2013</v>
      </c>
      <c r="D591" s="196">
        <v>80</v>
      </c>
      <c r="E591" s="196" t="s">
        <v>917</v>
      </c>
      <c r="F591" s="196" t="s">
        <v>1237</v>
      </c>
      <c r="G591" s="196">
        <v>7</v>
      </c>
      <c r="H591" s="196">
        <v>5</v>
      </c>
      <c r="I591" s="196">
        <v>12057</v>
      </c>
      <c r="J591" s="196">
        <v>646604</v>
      </c>
      <c r="K591" s="196">
        <v>99.8</v>
      </c>
      <c r="L591" s="196">
        <v>0.34</v>
      </c>
      <c r="M591" s="196">
        <v>96352</v>
      </c>
      <c r="N591" s="196">
        <v>3537101</v>
      </c>
      <c r="O591" s="196">
        <v>3198</v>
      </c>
      <c r="P591" s="196" t="s">
        <v>1238</v>
      </c>
      <c r="Q591" s="196" t="s">
        <v>1239</v>
      </c>
      <c r="R591" s="196" t="s">
        <v>1240</v>
      </c>
      <c r="S591" s="196" t="s">
        <v>844</v>
      </c>
      <c r="T591" s="196" t="s">
        <v>942</v>
      </c>
      <c r="U591" s="196" t="s">
        <v>1241</v>
      </c>
      <c r="V591" s="196" t="s">
        <v>1242</v>
      </c>
      <c r="W591" s="196" t="s">
        <v>1239</v>
      </c>
      <c r="X591" s="196" t="s">
        <v>1243</v>
      </c>
      <c r="Y591" s="196" t="s">
        <v>848</v>
      </c>
    </row>
    <row r="592" spans="1:25">
      <c r="A592" s="196" t="s">
        <v>837</v>
      </c>
      <c r="B592" s="196" t="s">
        <v>181</v>
      </c>
      <c r="C592" s="196">
        <v>2014</v>
      </c>
      <c r="D592" s="196">
        <v>80</v>
      </c>
      <c r="E592" s="196" t="s">
        <v>874</v>
      </c>
      <c r="F592" s="196" t="s">
        <v>1237</v>
      </c>
      <c r="G592" s="196">
        <v>22</v>
      </c>
      <c r="H592" s="196">
        <v>13</v>
      </c>
      <c r="I592" s="196">
        <v>43967</v>
      </c>
      <c r="J592" s="196">
        <v>1471893</v>
      </c>
      <c r="K592" s="196">
        <v>99.8</v>
      </c>
      <c r="L592" s="196">
        <v>0.34</v>
      </c>
      <c r="M592" s="196">
        <v>96352</v>
      </c>
      <c r="N592" s="196">
        <v>3537101</v>
      </c>
      <c r="O592" s="196">
        <v>3198</v>
      </c>
      <c r="P592" s="196" t="s">
        <v>1238</v>
      </c>
      <c r="Q592" s="196" t="s">
        <v>1239</v>
      </c>
      <c r="R592" s="196" t="s">
        <v>1240</v>
      </c>
      <c r="S592" s="196" t="s">
        <v>844</v>
      </c>
      <c r="T592" s="196" t="s">
        <v>942</v>
      </c>
      <c r="U592" s="196" t="s">
        <v>1241</v>
      </c>
      <c r="V592" s="196" t="s">
        <v>1242</v>
      </c>
      <c r="W592" s="196" t="s">
        <v>1239</v>
      </c>
      <c r="X592" s="196" t="s">
        <v>1243</v>
      </c>
      <c r="Y592" s="196" t="s">
        <v>848</v>
      </c>
    </row>
    <row r="593" spans="1:25">
      <c r="A593" s="196" t="s">
        <v>837</v>
      </c>
      <c r="B593" s="196" t="s">
        <v>850</v>
      </c>
      <c r="C593" s="196">
        <v>2014</v>
      </c>
      <c r="D593" s="196">
        <v>80</v>
      </c>
      <c r="E593" s="196" t="s">
        <v>875</v>
      </c>
      <c r="F593" s="196" t="s">
        <v>1237</v>
      </c>
      <c r="G593" s="196">
        <v>9</v>
      </c>
      <c r="H593" s="196">
        <v>9</v>
      </c>
      <c r="I593" s="196">
        <v>20025</v>
      </c>
      <c r="J593" s="196">
        <v>1045030</v>
      </c>
      <c r="K593" s="196">
        <v>99.8</v>
      </c>
      <c r="L593" s="196">
        <v>0.34</v>
      </c>
      <c r="M593" s="196">
        <v>96352</v>
      </c>
      <c r="N593" s="196">
        <v>3537101</v>
      </c>
      <c r="O593" s="196">
        <v>3198</v>
      </c>
      <c r="P593" s="196" t="s">
        <v>1238</v>
      </c>
      <c r="Q593" s="196" t="s">
        <v>1239</v>
      </c>
      <c r="R593" s="196" t="s">
        <v>1240</v>
      </c>
      <c r="S593" s="196" t="s">
        <v>844</v>
      </c>
      <c r="T593" s="196" t="s">
        <v>942</v>
      </c>
      <c r="U593" s="196" t="s">
        <v>1241</v>
      </c>
      <c r="V593" s="196" t="s">
        <v>1242</v>
      </c>
      <c r="W593" s="196" t="s">
        <v>1239</v>
      </c>
      <c r="X593" s="196" t="s">
        <v>1243</v>
      </c>
      <c r="Y593" s="196" t="s">
        <v>848</v>
      </c>
    </row>
    <row r="594" spans="1:25">
      <c r="A594" s="196" t="s">
        <v>837</v>
      </c>
      <c r="B594" s="196" t="s">
        <v>838</v>
      </c>
      <c r="C594" s="196">
        <v>2013</v>
      </c>
      <c r="D594" s="196">
        <v>80</v>
      </c>
      <c r="E594" s="196" t="s">
        <v>908</v>
      </c>
      <c r="F594" s="196" t="s">
        <v>1237</v>
      </c>
      <c r="G594" s="196">
        <v>8</v>
      </c>
      <c r="H594" s="196">
        <v>6</v>
      </c>
      <c r="I594" s="196">
        <v>12255</v>
      </c>
      <c r="J594" s="196">
        <v>716169</v>
      </c>
      <c r="K594" s="196">
        <v>99.8</v>
      </c>
      <c r="L594" s="196">
        <v>0.34</v>
      </c>
      <c r="M594" s="196">
        <v>96352</v>
      </c>
      <c r="N594" s="196">
        <v>3537101</v>
      </c>
      <c r="O594" s="196">
        <v>3198</v>
      </c>
      <c r="P594" s="196" t="s">
        <v>1238</v>
      </c>
      <c r="Q594" s="196" t="s">
        <v>1239</v>
      </c>
      <c r="R594" s="196" t="s">
        <v>1240</v>
      </c>
      <c r="S594" s="196" t="s">
        <v>844</v>
      </c>
      <c r="T594" s="196" t="s">
        <v>942</v>
      </c>
      <c r="U594" s="196" t="s">
        <v>1241</v>
      </c>
      <c r="V594" s="196" t="s">
        <v>1242</v>
      </c>
      <c r="W594" s="196" t="s">
        <v>1239</v>
      </c>
      <c r="X594" s="196" t="s">
        <v>1243</v>
      </c>
      <c r="Y594" s="196" t="s">
        <v>848</v>
      </c>
    </row>
    <row r="595" spans="1:25">
      <c r="A595" s="196" t="s">
        <v>837</v>
      </c>
      <c r="B595" s="196" t="s">
        <v>181</v>
      </c>
      <c r="C595" s="196">
        <v>2013</v>
      </c>
      <c r="D595" s="196">
        <v>80</v>
      </c>
      <c r="E595" s="196" t="s">
        <v>876</v>
      </c>
      <c r="F595" s="196" t="s">
        <v>1237</v>
      </c>
      <c r="G595" s="196">
        <v>14</v>
      </c>
      <c r="H595" s="196">
        <v>9</v>
      </c>
      <c r="I595" s="196">
        <v>26724</v>
      </c>
      <c r="J595" s="196">
        <v>932804</v>
      </c>
      <c r="K595" s="196">
        <v>99.8</v>
      </c>
      <c r="L595" s="196">
        <v>0.34</v>
      </c>
      <c r="M595" s="196">
        <v>96352</v>
      </c>
      <c r="N595" s="196">
        <v>3537101</v>
      </c>
      <c r="O595" s="196">
        <v>3198</v>
      </c>
      <c r="P595" s="196" t="s">
        <v>1238</v>
      </c>
      <c r="Q595" s="196" t="s">
        <v>1239</v>
      </c>
      <c r="R595" s="196" t="s">
        <v>1240</v>
      </c>
      <c r="S595" s="196" t="s">
        <v>844</v>
      </c>
      <c r="T595" s="196" t="s">
        <v>942</v>
      </c>
      <c r="U595" s="196" t="s">
        <v>1241</v>
      </c>
      <c r="V595" s="196" t="s">
        <v>1242</v>
      </c>
      <c r="W595" s="196" t="s">
        <v>1239</v>
      </c>
      <c r="X595" s="196" t="s">
        <v>1243</v>
      </c>
      <c r="Y595" s="196" t="s">
        <v>848</v>
      </c>
    </row>
    <row r="596" spans="1:25">
      <c r="A596" s="196" t="s">
        <v>837</v>
      </c>
      <c r="B596" s="196" t="s">
        <v>838</v>
      </c>
      <c r="C596" s="196">
        <v>2014</v>
      </c>
      <c r="D596" s="196">
        <v>55</v>
      </c>
      <c r="E596" s="196" t="s">
        <v>854</v>
      </c>
      <c r="F596" s="196" t="s">
        <v>1237</v>
      </c>
      <c r="G596" s="196">
        <v>1</v>
      </c>
      <c r="H596" s="196">
        <v>1</v>
      </c>
      <c r="I596" s="196">
        <v>1335</v>
      </c>
      <c r="J596" s="196">
        <v>65402</v>
      </c>
      <c r="K596" s="196">
        <v>99.8</v>
      </c>
      <c r="L596" s="196">
        <v>0.34</v>
      </c>
      <c r="M596" s="196">
        <v>96352</v>
      </c>
      <c r="N596" s="196">
        <v>3537101</v>
      </c>
      <c r="O596" s="196">
        <v>3198</v>
      </c>
      <c r="P596" s="196" t="s">
        <v>1238</v>
      </c>
      <c r="Q596" s="196" t="s">
        <v>1239</v>
      </c>
      <c r="R596" s="196" t="s">
        <v>1240</v>
      </c>
      <c r="S596" s="196" t="s">
        <v>844</v>
      </c>
      <c r="T596" s="196" t="s">
        <v>942</v>
      </c>
      <c r="U596" s="196" t="s">
        <v>1241</v>
      </c>
      <c r="V596" s="196" t="s">
        <v>1242</v>
      </c>
      <c r="W596" s="196" t="s">
        <v>1239</v>
      </c>
      <c r="X596" s="196" t="s">
        <v>1243</v>
      </c>
      <c r="Y596" s="196" t="s">
        <v>848</v>
      </c>
    </row>
    <row r="597" spans="1:25">
      <c r="A597" s="196" t="s">
        <v>837</v>
      </c>
      <c r="B597" s="196" t="s">
        <v>838</v>
      </c>
      <c r="C597" s="196">
        <v>2014</v>
      </c>
      <c r="D597" s="196">
        <v>55</v>
      </c>
      <c r="E597" s="196" t="s">
        <v>855</v>
      </c>
      <c r="F597" s="196" t="s">
        <v>1237</v>
      </c>
      <c r="G597" s="196">
        <v>2</v>
      </c>
      <c r="H597" s="196">
        <v>2</v>
      </c>
      <c r="I597" s="196">
        <v>3042</v>
      </c>
      <c r="J597" s="196">
        <v>126811</v>
      </c>
      <c r="K597" s="196">
        <v>99.8</v>
      </c>
      <c r="L597" s="196">
        <v>0.34</v>
      </c>
      <c r="M597" s="196">
        <v>96352</v>
      </c>
      <c r="N597" s="196">
        <v>3537101</v>
      </c>
      <c r="O597" s="196">
        <v>3198</v>
      </c>
      <c r="P597" s="196" t="s">
        <v>1238</v>
      </c>
      <c r="Q597" s="196" t="s">
        <v>1239</v>
      </c>
      <c r="R597" s="196" t="s">
        <v>1240</v>
      </c>
      <c r="S597" s="196" t="s">
        <v>844</v>
      </c>
      <c r="T597" s="196" t="s">
        <v>942</v>
      </c>
      <c r="U597" s="196" t="s">
        <v>1241</v>
      </c>
      <c r="V597" s="196" t="s">
        <v>1242</v>
      </c>
      <c r="W597" s="196" t="s">
        <v>1239</v>
      </c>
      <c r="X597" s="196" t="s">
        <v>1243</v>
      </c>
      <c r="Y597" s="196" t="s">
        <v>848</v>
      </c>
    </row>
    <row r="598" spans="1:25">
      <c r="A598" s="196" t="s">
        <v>837</v>
      </c>
      <c r="B598" s="196" t="s">
        <v>181</v>
      </c>
      <c r="C598" s="196">
        <v>2014</v>
      </c>
      <c r="D598" s="196">
        <v>30</v>
      </c>
      <c r="E598" s="196" t="s">
        <v>856</v>
      </c>
      <c r="F598" s="196" t="s">
        <v>1237</v>
      </c>
      <c r="G598" s="196">
        <v>1</v>
      </c>
      <c r="H598" s="196">
        <v>1</v>
      </c>
      <c r="I598" s="196">
        <v>2715</v>
      </c>
      <c r="J598" s="196">
        <v>27803</v>
      </c>
      <c r="K598" s="196">
        <v>99.8</v>
      </c>
      <c r="L598" s="196">
        <v>0.34</v>
      </c>
      <c r="M598" s="196">
        <v>96352</v>
      </c>
      <c r="N598" s="196">
        <v>3537101</v>
      </c>
      <c r="O598" s="196">
        <v>3198</v>
      </c>
      <c r="P598" s="196" t="s">
        <v>1238</v>
      </c>
      <c r="Q598" s="196" t="s">
        <v>1239</v>
      </c>
      <c r="R598" s="196" t="s">
        <v>1240</v>
      </c>
      <c r="S598" s="196" t="s">
        <v>844</v>
      </c>
      <c r="T598" s="196" t="s">
        <v>942</v>
      </c>
      <c r="U598" s="196" t="s">
        <v>1241</v>
      </c>
      <c r="V598" s="196" t="s">
        <v>1242</v>
      </c>
      <c r="W598" s="196" t="s">
        <v>1239</v>
      </c>
      <c r="X598" s="196" t="s">
        <v>1243</v>
      </c>
      <c r="Y598" s="196" t="s">
        <v>848</v>
      </c>
    </row>
    <row r="599" spans="1:25">
      <c r="A599" s="196" t="s">
        <v>837</v>
      </c>
      <c r="B599" s="196" t="s">
        <v>181</v>
      </c>
      <c r="C599" s="196">
        <v>2014</v>
      </c>
      <c r="D599" s="196">
        <v>55</v>
      </c>
      <c r="E599" s="196" t="s">
        <v>858</v>
      </c>
      <c r="F599" s="196" t="s">
        <v>1237</v>
      </c>
      <c r="G599" s="196">
        <v>1</v>
      </c>
      <c r="H599" s="196">
        <v>1</v>
      </c>
      <c r="I599" s="196">
        <v>2373</v>
      </c>
      <c r="J599" s="196">
        <v>72343</v>
      </c>
      <c r="K599" s="196">
        <v>99.8</v>
      </c>
      <c r="L599" s="196">
        <v>0.34</v>
      </c>
      <c r="M599" s="196">
        <v>96352</v>
      </c>
      <c r="N599" s="196">
        <v>3537101</v>
      </c>
      <c r="O599" s="196">
        <v>3198</v>
      </c>
      <c r="P599" s="196" t="s">
        <v>1238</v>
      </c>
      <c r="Q599" s="196" t="s">
        <v>1239</v>
      </c>
      <c r="R599" s="196" t="s">
        <v>1240</v>
      </c>
      <c r="S599" s="196" t="s">
        <v>844</v>
      </c>
      <c r="T599" s="196" t="s">
        <v>942</v>
      </c>
      <c r="U599" s="196" t="s">
        <v>1241</v>
      </c>
      <c r="V599" s="196" t="s">
        <v>1242</v>
      </c>
      <c r="W599" s="196" t="s">
        <v>1239</v>
      </c>
      <c r="X599" s="196" t="s">
        <v>1243</v>
      </c>
      <c r="Y599" s="196" t="s">
        <v>848</v>
      </c>
    </row>
    <row r="600" spans="1:25">
      <c r="A600" s="196" t="s">
        <v>837</v>
      </c>
      <c r="B600" s="196" t="s">
        <v>850</v>
      </c>
      <c r="C600" s="196">
        <v>2014</v>
      </c>
      <c r="D600" s="196">
        <v>30</v>
      </c>
      <c r="E600" s="196" t="s">
        <v>860</v>
      </c>
      <c r="F600" s="196" t="s">
        <v>1237</v>
      </c>
      <c r="G600" s="196">
        <v>1</v>
      </c>
      <c r="H600" s="196">
        <v>1</v>
      </c>
      <c r="I600" s="196">
        <v>2823</v>
      </c>
      <c r="J600" s="196">
        <v>95122</v>
      </c>
      <c r="K600" s="196">
        <v>99.8</v>
      </c>
      <c r="L600" s="196">
        <v>0.34</v>
      </c>
      <c r="M600" s="196">
        <v>96352</v>
      </c>
      <c r="N600" s="196">
        <v>3537101</v>
      </c>
      <c r="O600" s="196">
        <v>3198</v>
      </c>
      <c r="P600" s="196" t="s">
        <v>1238</v>
      </c>
      <c r="Q600" s="196" t="s">
        <v>1239</v>
      </c>
      <c r="R600" s="196" t="s">
        <v>1240</v>
      </c>
      <c r="S600" s="196" t="s">
        <v>844</v>
      </c>
      <c r="T600" s="196" t="s">
        <v>942</v>
      </c>
      <c r="U600" s="196" t="s">
        <v>1241</v>
      </c>
      <c r="V600" s="196" t="s">
        <v>1242</v>
      </c>
      <c r="W600" s="196" t="s">
        <v>1239</v>
      </c>
      <c r="X600" s="196" t="s">
        <v>1243</v>
      </c>
      <c r="Y600" s="196" t="s">
        <v>848</v>
      </c>
    </row>
    <row r="601" spans="1:25">
      <c r="A601" s="196" t="s">
        <v>837</v>
      </c>
      <c r="B601" s="196" t="s">
        <v>850</v>
      </c>
      <c r="C601" s="196">
        <v>2014</v>
      </c>
      <c r="D601" s="196">
        <v>30</v>
      </c>
      <c r="E601" s="196" t="s">
        <v>861</v>
      </c>
      <c r="F601" s="196" t="s">
        <v>1237</v>
      </c>
      <c r="G601" s="196">
        <v>1</v>
      </c>
      <c r="H601" s="196">
        <v>1</v>
      </c>
      <c r="I601" s="196">
        <v>1161</v>
      </c>
      <c r="J601" s="196">
        <v>242408</v>
      </c>
      <c r="K601" s="196">
        <v>99.8</v>
      </c>
      <c r="L601" s="196">
        <v>0.34</v>
      </c>
      <c r="M601" s="196">
        <v>96352</v>
      </c>
      <c r="N601" s="196">
        <v>3537101</v>
      </c>
      <c r="O601" s="196">
        <v>3198</v>
      </c>
      <c r="P601" s="196" t="s">
        <v>1238</v>
      </c>
      <c r="Q601" s="196" t="s">
        <v>1239</v>
      </c>
      <c r="R601" s="196" t="s">
        <v>1240</v>
      </c>
      <c r="S601" s="196" t="s">
        <v>844</v>
      </c>
      <c r="T601" s="196" t="s">
        <v>942</v>
      </c>
      <c r="U601" s="196" t="s">
        <v>1241</v>
      </c>
      <c r="V601" s="196" t="s">
        <v>1242</v>
      </c>
      <c r="W601" s="196" t="s">
        <v>1239</v>
      </c>
      <c r="X601" s="196" t="s">
        <v>1243</v>
      </c>
      <c r="Y601" s="196" t="s">
        <v>848</v>
      </c>
    </row>
    <row r="602" spans="1:25">
      <c r="A602" s="196" t="s">
        <v>837</v>
      </c>
      <c r="B602" s="196" t="s">
        <v>838</v>
      </c>
      <c r="C602" s="196">
        <v>2013</v>
      </c>
      <c r="D602" s="196">
        <v>30</v>
      </c>
      <c r="E602" s="196" t="s">
        <v>839</v>
      </c>
      <c r="F602" s="196" t="s">
        <v>1244</v>
      </c>
      <c r="G602" s="196">
        <v>1</v>
      </c>
      <c r="H602" s="196">
        <v>1</v>
      </c>
      <c r="I602" s="196">
        <v>1527</v>
      </c>
      <c r="J602" s="196">
        <v>2647</v>
      </c>
      <c r="K602" s="196">
        <v>86.14</v>
      </c>
      <c r="L602" s="196">
        <v>1.3</v>
      </c>
      <c r="M602" s="196">
        <v>6699</v>
      </c>
      <c r="N602" s="196">
        <v>2564631</v>
      </c>
      <c r="O602" s="196">
        <v>2406</v>
      </c>
      <c r="P602" s="196" t="s">
        <v>950</v>
      </c>
      <c r="Q602" s="196" t="s">
        <v>1245</v>
      </c>
      <c r="R602" s="196" t="s">
        <v>1246</v>
      </c>
      <c r="S602" s="196" t="s">
        <v>953</v>
      </c>
      <c r="T602" s="196" t="s">
        <v>954</v>
      </c>
      <c r="U602" s="196" t="s">
        <v>1185</v>
      </c>
      <c r="V602" s="196" t="s">
        <v>1186</v>
      </c>
      <c r="W602" s="196" t="s">
        <v>1183</v>
      </c>
      <c r="X602" s="196" t="s">
        <v>1245</v>
      </c>
      <c r="Y602" s="196" t="s">
        <v>1247</v>
      </c>
    </row>
    <row r="603" spans="1:25">
      <c r="A603" s="196" t="s">
        <v>837</v>
      </c>
      <c r="B603" s="196" t="s">
        <v>181</v>
      </c>
      <c r="C603" s="196">
        <v>2014</v>
      </c>
      <c r="D603" s="196">
        <v>80</v>
      </c>
      <c r="E603" s="196" t="s">
        <v>874</v>
      </c>
      <c r="F603" s="196" t="s">
        <v>1244</v>
      </c>
      <c r="G603" s="196">
        <v>2</v>
      </c>
      <c r="H603" s="196">
        <v>2</v>
      </c>
      <c r="I603" s="196">
        <v>1632</v>
      </c>
      <c r="J603" s="196">
        <v>11573</v>
      </c>
      <c r="K603" s="196">
        <v>86.14</v>
      </c>
      <c r="L603" s="196">
        <v>1.3</v>
      </c>
      <c r="M603" s="196">
        <v>6699</v>
      </c>
      <c r="N603" s="196">
        <v>2564631</v>
      </c>
      <c r="O603" s="196">
        <v>2406</v>
      </c>
      <c r="P603" s="196" t="s">
        <v>950</v>
      </c>
      <c r="Q603" s="196" t="s">
        <v>1245</v>
      </c>
      <c r="R603" s="196" t="s">
        <v>1246</v>
      </c>
      <c r="S603" s="196" t="s">
        <v>953</v>
      </c>
      <c r="T603" s="196" t="s">
        <v>954</v>
      </c>
      <c r="U603" s="196" t="s">
        <v>1185</v>
      </c>
      <c r="V603" s="196" t="s">
        <v>1186</v>
      </c>
      <c r="W603" s="196" t="s">
        <v>1183</v>
      </c>
      <c r="X603" s="196" t="s">
        <v>1245</v>
      </c>
      <c r="Y603" s="196" t="s">
        <v>1247</v>
      </c>
    </row>
    <row r="604" spans="1:25">
      <c r="A604" s="196" t="s">
        <v>837</v>
      </c>
      <c r="B604" s="196" t="s">
        <v>838</v>
      </c>
      <c r="C604" s="196">
        <v>2013</v>
      </c>
      <c r="D604" s="196">
        <v>80</v>
      </c>
      <c r="E604" s="196" t="s">
        <v>908</v>
      </c>
      <c r="F604" s="196" t="s">
        <v>1244</v>
      </c>
      <c r="G604" s="196">
        <v>1</v>
      </c>
      <c r="H604" s="196">
        <v>1</v>
      </c>
      <c r="I604" s="196">
        <v>204</v>
      </c>
      <c r="J604" s="196">
        <v>2626</v>
      </c>
      <c r="K604" s="196">
        <v>86.14</v>
      </c>
      <c r="L604" s="196">
        <v>1.3</v>
      </c>
      <c r="M604" s="196">
        <v>6699</v>
      </c>
      <c r="N604" s="196">
        <v>2564631</v>
      </c>
      <c r="O604" s="196">
        <v>2406</v>
      </c>
      <c r="P604" s="196" t="s">
        <v>950</v>
      </c>
      <c r="Q604" s="196" t="s">
        <v>1245</v>
      </c>
      <c r="R604" s="196" t="s">
        <v>1246</v>
      </c>
      <c r="S604" s="196" t="s">
        <v>953</v>
      </c>
      <c r="T604" s="196" t="s">
        <v>954</v>
      </c>
      <c r="U604" s="196" t="s">
        <v>1185</v>
      </c>
      <c r="V604" s="196" t="s">
        <v>1186</v>
      </c>
      <c r="W604" s="196" t="s">
        <v>1183</v>
      </c>
      <c r="X604" s="196" t="s">
        <v>1245</v>
      </c>
      <c r="Y604" s="196" t="s">
        <v>1247</v>
      </c>
    </row>
    <row r="605" spans="1:25">
      <c r="A605" s="196" t="s">
        <v>837</v>
      </c>
      <c r="B605" s="196" t="s">
        <v>181</v>
      </c>
      <c r="C605" s="196">
        <v>2013</v>
      </c>
      <c r="D605" s="196">
        <v>80</v>
      </c>
      <c r="E605" s="196" t="s">
        <v>876</v>
      </c>
      <c r="F605" s="196" t="s">
        <v>1244</v>
      </c>
      <c r="G605" s="196">
        <v>1</v>
      </c>
      <c r="H605" s="196">
        <v>1</v>
      </c>
      <c r="I605" s="196">
        <v>1020</v>
      </c>
      <c r="J605" s="196">
        <v>7915</v>
      </c>
      <c r="K605" s="196">
        <v>86.14</v>
      </c>
      <c r="L605" s="196">
        <v>1.3</v>
      </c>
      <c r="M605" s="196">
        <v>6699</v>
      </c>
      <c r="N605" s="196">
        <v>2564631</v>
      </c>
      <c r="O605" s="196">
        <v>2406</v>
      </c>
      <c r="P605" s="196" t="s">
        <v>950</v>
      </c>
      <c r="Q605" s="196" t="s">
        <v>1245</v>
      </c>
      <c r="R605" s="196" t="s">
        <v>1246</v>
      </c>
      <c r="S605" s="196" t="s">
        <v>953</v>
      </c>
      <c r="T605" s="196" t="s">
        <v>954</v>
      </c>
      <c r="U605" s="196" t="s">
        <v>1185</v>
      </c>
      <c r="V605" s="196" t="s">
        <v>1186</v>
      </c>
      <c r="W605" s="196" t="s">
        <v>1183</v>
      </c>
      <c r="X605" s="196" t="s">
        <v>1245</v>
      </c>
      <c r="Y605" s="196" t="s">
        <v>1247</v>
      </c>
    </row>
    <row r="606" spans="1:25">
      <c r="A606" s="196" t="s">
        <v>837</v>
      </c>
      <c r="B606" s="196" t="s">
        <v>838</v>
      </c>
      <c r="C606" s="196">
        <v>2014</v>
      </c>
      <c r="D606" s="196">
        <v>55</v>
      </c>
      <c r="E606" s="196" t="s">
        <v>855</v>
      </c>
      <c r="F606" s="196" t="s">
        <v>1244</v>
      </c>
      <c r="G606" s="196">
        <v>1</v>
      </c>
      <c r="H606" s="196">
        <v>1</v>
      </c>
      <c r="I606" s="196">
        <v>1641</v>
      </c>
      <c r="J606" s="196">
        <v>5572</v>
      </c>
      <c r="K606" s="196">
        <v>86.14</v>
      </c>
      <c r="L606" s="196">
        <v>1.3</v>
      </c>
      <c r="M606" s="196">
        <v>6699</v>
      </c>
      <c r="N606" s="196">
        <v>2564631</v>
      </c>
      <c r="O606" s="196">
        <v>2406</v>
      </c>
      <c r="P606" s="196" t="s">
        <v>950</v>
      </c>
      <c r="Q606" s="196" t="s">
        <v>1245</v>
      </c>
      <c r="R606" s="196" t="s">
        <v>1246</v>
      </c>
      <c r="S606" s="196" t="s">
        <v>953</v>
      </c>
      <c r="T606" s="196" t="s">
        <v>954</v>
      </c>
      <c r="U606" s="196" t="s">
        <v>1185</v>
      </c>
      <c r="V606" s="196" t="s">
        <v>1186</v>
      </c>
      <c r="W606" s="196" t="s">
        <v>1183</v>
      </c>
      <c r="X606" s="196" t="s">
        <v>1245</v>
      </c>
      <c r="Y606" s="196" t="s">
        <v>1247</v>
      </c>
    </row>
    <row r="607" spans="1:25">
      <c r="A607" s="196" t="s">
        <v>837</v>
      </c>
      <c r="B607" s="196" t="s">
        <v>181</v>
      </c>
      <c r="C607" s="196">
        <v>2014</v>
      </c>
      <c r="D607" s="196">
        <v>55</v>
      </c>
      <c r="E607" s="196" t="s">
        <v>858</v>
      </c>
      <c r="F607" s="196" t="s">
        <v>1244</v>
      </c>
      <c r="G607" s="196">
        <v>1</v>
      </c>
      <c r="H607" s="196">
        <v>1</v>
      </c>
      <c r="I607" s="196">
        <v>3297</v>
      </c>
      <c r="J607" s="196">
        <v>12132</v>
      </c>
      <c r="K607" s="196">
        <v>86.14</v>
      </c>
      <c r="L607" s="196">
        <v>1.3</v>
      </c>
      <c r="M607" s="196">
        <v>6699</v>
      </c>
      <c r="N607" s="196">
        <v>2564631</v>
      </c>
      <c r="O607" s="196">
        <v>2406</v>
      </c>
      <c r="P607" s="196" t="s">
        <v>950</v>
      </c>
      <c r="Q607" s="196" t="s">
        <v>1245</v>
      </c>
      <c r="R607" s="196" t="s">
        <v>1246</v>
      </c>
      <c r="S607" s="196" t="s">
        <v>953</v>
      </c>
      <c r="T607" s="196" t="s">
        <v>954</v>
      </c>
      <c r="U607" s="196" t="s">
        <v>1185</v>
      </c>
      <c r="V607" s="196" t="s">
        <v>1186</v>
      </c>
      <c r="W607" s="196" t="s">
        <v>1183</v>
      </c>
      <c r="X607" s="196" t="s">
        <v>1245</v>
      </c>
      <c r="Y607" s="196" t="s">
        <v>1247</v>
      </c>
    </row>
    <row r="608" spans="1:25">
      <c r="A608" s="196" t="s">
        <v>837</v>
      </c>
      <c r="B608" s="196" t="s">
        <v>850</v>
      </c>
      <c r="C608" s="196">
        <v>2013</v>
      </c>
      <c r="D608" s="196">
        <v>30</v>
      </c>
      <c r="E608" s="196" t="s">
        <v>851</v>
      </c>
      <c r="F608" s="196" t="s">
        <v>1248</v>
      </c>
      <c r="G608" s="196">
        <v>1</v>
      </c>
      <c r="H608" s="196">
        <v>1</v>
      </c>
      <c r="I608" s="196">
        <v>1698</v>
      </c>
      <c r="J608" s="196">
        <v>2535</v>
      </c>
      <c r="K608" s="196">
        <v>45.08</v>
      </c>
      <c r="L608" s="196">
        <v>0.31</v>
      </c>
      <c r="M608" s="196">
        <v>3603</v>
      </c>
      <c r="N608" s="196">
        <v>825760</v>
      </c>
      <c r="O608" s="196">
        <v>945</v>
      </c>
      <c r="P608" s="196" t="s">
        <v>1074</v>
      </c>
      <c r="Q608" s="196" t="s">
        <v>1249</v>
      </c>
      <c r="R608" s="196" t="s">
        <v>1250</v>
      </c>
      <c r="S608" s="196" t="s">
        <v>953</v>
      </c>
      <c r="T608" s="196" t="s">
        <v>1132</v>
      </c>
      <c r="U608" s="196" t="s">
        <v>1133</v>
      </c>
      <c r="V608" s="196" t="s">
        <v>1251</v>
      </c>
      <c r="W608" s="196" t="s">
        <v>1249</v>
      </c>
      <c r="X608" s="196" t="s">
        <v>1252</v>
      </c>
      <c r="Y608" s="196" t="s">
        <v>848</v>
      </c>
    </row>
    <row r="609" spans="1:25">
      <c r="A609" s="196" t="s">
        <v>837</v>
      </c>
      <c r="B609" s="196" t="s">
        <v>838</v>
      </c>
      <c r="C609" s="196">
        <v>2014</v>
      </c>
      <c r="D609" s="196">
        <v>80</v>
      </c>
      <c r="E609" s="196" t="s">
        <v>853</v>
      </c>
      <c r="F609" s="196" t="s">
        <v>1248</v>
      </c>
      <c r="G609" s="196">
        <v>1</v>
      </c>
      <c r="H609" s="196">
        <v>1</v>
      </c>
      <c r="I609" s="196">
        <v>1203</v>
      </c>
      <c r="J609" s="196">
        <v>5888</v>
      </c>
      <c r="K609" s="196">
        <v>45.08</v>
      </c>
      <c r="L609" s="196">
        <v>0.31</v>
      </c>
      <c r="M609" s="196">
        <v>3603</v>
      </c>
      <c r="N609" s="196">
        <v>825760</v>
      </c>
      <c r="O609" s="196">
        <v>945</v>
      </c>
      <c r="P609" s="196" t="s">
        <v>1074</v>
      </c>
      <c r="Q609" s="196" t="s">
        <v>1249</v>
      </c>
      <c r="R609" s="196" t="s">
        <v>1250</v>
      </c>
      <c r="S609" s="196" t="s">
        <v>953</v>
      </c>
      <c r="T609" s="196" t="s">
        <v>1132</v>
      </c>
      <c r="U609" s="196" t="s">
        <v>1133</v>
      </c>
      <c r="V609" s="196" t="s">
        <v>1251</v>
      </c>
      <c r="W609" s="196" t="s">
        <v>1249</v>
      </c>
      <c r="X609" s="196" t="s">
        <v>1252</v>
      </c>
      <c r="Y609" s="196" t="s">
        <v>848</v>
      </c>
    </row>
    <row r="610" spans="1:25">
      <c r="A610" s="196" t="s">
        <v>837</v>
      </c>
      <c r="B610" s="196" t="s">
        <v>850</v>
      </c>
      <c r="C610" s="196">
        <v>2013</v>
      </c>
      <c r="D610" s="196">
        <v>30</v>
      </c>
      <c r="E610" s="196" t="s">
        <v>851</v>
      </c>
      <c r="F610" s="196" t="s">
        <v>1253</v>
      </c>
      <c r="G610" s="196">
        <v>1</v>
      </c>
      <c r="H610" s="196">
        <v>1</v>
      </c>
      <c r="I610" s="196">
        <v>2025</v>
      </c>
      <c r="J610" s="196">
        <v>7177</v>
      </c>
      <c r="K610" s="196">
        <v>37.4</v>
      </c>
      <c r="L610" s="196">
        <v>2.36</v>
      </c>
      <c r="M610" s="196">
        <v>3739</v>
      </c>
      <c r="N610" s="196">
        <v>1042031</v>
      </c>
      <c r="O610" s="196">
        <v>1237</v>
      </c>
      <c r="P610" s="196" t="s">
        <v>1074</v>
      </c>
      <c r="Q610" s="196" t="s">
        <v>1075</v>
      </c>
      <c r="R610" s="196" t="s">
        <v>1076</v>
      </c>
      <c r="S610" s="196" t="s">
        <v>953</v>
      </c>
      <c r="T610" s="196" t="s">
        <v>1077</v>
      </c>
      <c r="U610" s="196" t="s">
        <v>1075</v>
      </c>
      <c r="V610" s="196" t="s">
        <v>1078</v>
      </c>
      <c r="W610" s="196" t="s">
        <v>848</v>
      </c>
      <c r="X610" s="196" t="s">
        <v>848</v>
      </c>
      <c r="Y610" s="196" t="s">
        <v>848</v>
      </c>
    </row>
    <row r="611" spans="1:25">
      <c r="A611" s="196" t="s">
        <v>837</v>
      </c>
      <c r="B611" s="196" t="s">
        <v>850</v>
      </c>
      <c r="C611" s="196">
        <v>2013</v>
      </c>
      <c r="D611" s="196">
        <v>55</v>
      </c>
      <c r="E611" s="196" t="s">
        <v>852</v>
      </c>
      <c r="F611" s="196" t="s">
        <v>1253</v>
      </c>
      <c r="G611" s="196">
        <v>1</v>
      </c>
      <c r="H611" s="196">
        <v>1</v>
      </c>
      <c r="I611" s="196">
        <v>1938</v>
      </c>
      <c r="J611" s="196">
        <v>2730</v>
      </c>
      <c r="K611" s="196">
        <v>37.4</v>
      </c>
      <c r="L611" s="196">
        <v>2.36</v>
      </c>
      <c r="M611" s="196">
        <v>3739</v>
      </c>
      <c r="N611" s="196">
        <v>1042031</v>
      </c>
      <c r="O611" s="196">
        <v>1237</v>
      </c>
      <c r="P611" s="196" t="s">
        <v>1074</v>
      </c>
      <c r="Q611" s="196" t="s">
        <v>1075</v>
      </c>
      <c r="R611" s="196" t="s">
        <v>1076</v>
      </c>
      <c r="S611" s="196" t="s">
        <v>953</v>
      </c>
      <c r="T611" s="196" t="s">
        <v>1077</v>
      </c>
      <c r="U611" s="196" t="s">
        <v>1075</v>
      </c>
      <c r="V611" s="196" t="s">
        <v>1078</v>
      </c>
      <c r="W611" s="196" t="s">
        <v>848</v>
      </c>
      <c r="X611" s="196" t="s">
        <v>848</v>
      </c>
      <c r="Y611" s="196" t="s">
        <v>848</v>
      </c>
    </row>
    <row r="612" spans="1:25">
      <c r="A612" s="196" t="s">
        <v>837</v>
      </c>
      <c r="B612" s="196" t="s">
        <v>850</v>
      </c>
      <c r="C612" s="196">
        <v>2014</v>
      </c>
      <c r="D612" s="196">
        <v>80</v>
      </c>
      <c r="E612" s="196" t="s">
        <v>875</v>
      </c>
      <c r="F612" s="196" t="s">
        <v>1253</v>
      </c>
      <c r="G612" s="196">
        <v>1</v>
      </c>
      <c r="H612" s="196">
        <v>1</v>
      </c>
      <c r="I612" s="196">
        <v>783</v>
      </c>
      <c r="J612" s="196">
        <v>3050</v>
      </c>
      <c r="K612" s="196">
        <v>37.4</v>
      </c>
      <c r="L612" s="196">
        <v>2.36</v>
      </c>
      <c r="M612" s="196">
        <v>3739</v>
      </c>
      <c r="N612" s="196">
        <v>1042031</v>
      </c>
      <c r="O612" s="196">
        <v>1237</v>
      </c>
      <c r="P612" s="196" t="s">
        <v>1074</v>
      </c>
      <c r="Q612" s="196" t="s">
        <v>1075</v>
      </c>
      <c r="R612" s="196" t="s">
        <v>1076</v>
      </c>
      <c r="S612" s="196" t="s">
        <v>953</v>
      </c>
      <c r="T612" s="196" t="s">
        <v>1077</v>
      </c>
      <c r="U612" s="196" t="s">
        <v>1075</v>
      </c>
      <c r="V612" s="196" t="s">
        <v>1078</v>
      </c>
      <c r="W612" s="196" t="s">
        <v>848</v>
      </c>
      <c r="X612" s="196" t="s">
        <v>848</v>
      </c>
      <c r="Y612" s="196" t="s">
        <v>848</v>
      </c>
    </row>
    <row r="613" spans="1:25">
      <c r="A613" s="196" t="s">
        <v>837</v>
      </c>
      <c r="B613" s="196" t="s">
        <v>181</v>
      </c>
      <c r="C613" s="196">
        <v>2013</v>
      </c>
      <c r="D613" s="196">
        <v>80</v>
      </c>
      <c r="E613" s="196" t="s">
        <v>876</v>
      </c>
      <c r="F613" s="196" t="s">
        <v>1253</v>
      </c>
      <c r="G613" s="196">
        <v>2</v>
      </c>
      <c r="H613" s="196">
        <v>2</v>
      </c>
      <c r="I613" s="196">
        <v>1137</v>
      </c>
      <c r="J613" s="196">
        <v>10962</v>
      </c>
      <c r="K613" s="196">
        <v>37.4</v>
      </c>
      <c r="L613" s="196">
        <v>2.36</v>
      </c>
      <c r="M613" s="196">
        <v>3739</v>
      </c>
      <c r="N613" s="196">
        <v>1042031</v>
      </c>
      <c r="O613" s="196">
        <v>1237</v>
      </c>
      <c r="P613" s="196" t="s">
        <v>1074</v>
      </c>
      <c r="Q613" s="196" t="s">
        <v>1075</v>
      </c>
      <c r="R613" s="196" t="s">
        <v>1076</v>
      </c>
      <c r="S613" s="196" t="s">
        <v>953</v>
      </c>
      <c r="T613" s="196" t="s">
        <v>1077</v>
      </c>
      <c r="U613" s="196" t="s">
        <v>1075</v>
      </c>
      <c r="V613" s="196" t="s">
        <v>1078</v>
      </c>
      <c r="W613" s="196" t="s">
        <v>848</v>
      </c>
      <c r="X613" s="196" t="s">
        <v>848</v>
      </c>
      <c r="Y613" s="196" t="s">
        <v>848</v>
      </c>
    </row>
    <row r="614" spans="1:25">
      <c r="A614" s="196" t="s">
        <v>837</v>
      </c>
      <c r="B614" s="196" t="s">
        <v>838</v>
      </c>
      <c r="C614" s="196">
        <v>2014</v>
      </c>
      <c r="D614" s="196">
        <v>55</v>
      </c>
      <c r="E614" s="196" t="s">
        <v>854</v>
      </c>
      <c r="F614" s="196" t="s">
        <v>1253</v>
      </c>
      <c r="G614" s="196">
        <v>1</v>
      </c>
      <c r="H614" s="196">
        <v>1</v>
      </c>
      <c r="I614" s="196">
        <v>639</v>
      </c>
      <c r="J614" s="196">
        <v>3587</v>
      </c>
      <c r="K614" s="196">
        <v>37.4</v>
      </c>
      <c r="L614" s="196">
        <v>2.36</v>
      </c>
      <c r="M614" s="196">
        <v>3739</v>
      </c>
      <c r="N614" s="196">
        <v>1042031</v>
      </c>
      <c r="O614" s="196">
        <v>1237</v>
      </c>
      <c r="P614" s="196" t="s">
        <v>1074</v>
      </c>
      <c r="Q614" s="196" t="s">
        <v>1075</v>
      </c>
      <c r="R614" s="196" t="s">
        <v>1076</v>
      </c>
      <c r="S614" s="196" t="s">
        <v>953</v>
      </c>
      <c r="T614" s="196" t="s">
        <v>1077</v>
      </c>
      <c r="U614" s="196" t="s">
        <v>1075</v>
      </c>
      <c r="V614" s="196" t="s">
        <v>1078</v>
      </c>
      <c r="W614" s="196" t="s">
        <v>848</v>
      </c>
      <c r="X614" s="196" t="s">
        <v>848</v>
      </c>
      <c r="Y614" s="196" t="s">
        <v>848</v>
      </c>
    </row>
    <row r="615" spans="1:25">
      <c r="A615" s="196" t="s">
        <v>837</v>
      </c>
      <c r="B615" s="196" t="s">
        <v>181</v>
      </c>
      <c r="C615" s="196">
        <v>2014</v>
      </c>
      <c r="D615" s="196">
        <v>55</v>
      </c>
      <c r="E615" s="196" t="s">
        <v>858</v>
      </c>
      <c r="F615" s="196" t="s">
        <v>1253</v>
      </c>
      <c r="G615" s="196">
        <v>1</v>
      </c>
      <c r="H615" s="196">
        <v>1</v>
      </c>
      <c r="I615" s="196">
        <v>2157</v>
      </c>
      <c r="J615" s="196">
        <v>4317</v>
      </c>
      <c r="K615" s="196">
        <v>37.4</v>
      </c>
      <c r="L615" s="196">
        <v>2.36</v>
      </c>
      <c r="M615" s="196">
        <v>3739</v>
      </c>
      <c r="N615" s="196">
        <v>1042031</v>
      </c>
      <c r="O615" s="196">
        <v>1237</v>
      </c>
      <c r="P615" s="196" t="s">
        <v>1074</v>
      </c>
      <c r="Q615" s="196" t="s">
        <v>1075</v>
      </c>
      <c r="R615" s="196" t="s">
        <v>1076</v>
      </c>
      <c r="S615" s="196" t="s">
        <v>953</v>
      </c>
      <c r="T615" s="196" t="s">
        <v>1077</v>
      </c>
      <c r="U615" s="196" t="s">
        <v>1075</v>
      </c>
      <c r="V615" s="196" t="s">
        <v>1078</v>
      </c>
      <c r="W615" s="196" t="s">
        <v>848</v>
      </c>
      <c r="X615" s="196" t="s">
        <v>848</v>
      </c>
      <c r="Y615" s="196" t="s">
        <v>848</v>
      </c>
    </row>
    <row r="616" spans="1:25">
      <c r="A616" s="196" t="s">
        <v>837</v>
      </c>
      <c r="B616" s="196" t="s">
        <v>838</v>
      </c>
      <c r="C616" s="196">
        <v>2014</v>
      </c>
      <c r="D616" s="196">
        <v>55</v>
      </c>
      <c r="E616" s="196" t="s">
        <v>855</v>
      </c>
      <c r="F616" s="196" t="s">
        <v>1254</v>
      </c>
      <c r="G616" s="196">
        <v>1</v>
      </c>
      <c r="H616" s="196">
        <v>1</v>
      </c>
      <c r="I616" s="196">
        <v>270</v>
      </c>
      <c r="J616" s="196">
        <v>2820</v>
      </c>
      <c r="K616" s="196">
        <v>88.46</v>
      </c>
      <c r="L616" s="196">
        <v>6.24</v>
      </c>
      <c r="M616" s="196">
        <v>7177</v>
      </c>
      <c r="N616" s="196">
        <v>1048625</v>
      </c>
      <c r="O616" s="196">
        <v>1105</v>
      </c>
      <c r="P616" s="196" t="s">
        <v>878</v>
      </c>
      <c r="Q616" s="196" t="s">
        <v>844</v>
      </c>
      <c r="R616" s="196" t="s">
        <v>844</v>
      </c>
      <c r="S616" s="196" t="s">
        <v>844</v>
      </c>
      <c r="T616" s="196" t="s">
        <v>1255</v>
      </c>
      <c r="U616" s="196" t="s">
        <v>1256</v>
      </c>
      <c r="V616" s="196" t="s">
        <v>848</v>
      </c>
      <c r="W616" s="196" t="s">
        <v>848</v>
      </c>
      <c r="X616" s="196" t="s">
        <v>848</v>
      </c>
      <c r="Y616" s="196" t="s">
        <v>848</v>
      </c>
    </row>
    <row r="617" spans="1:25">
      <c r="A617" s="196" t="s">
        <v>837</v>
      </c>
      <c r="B617" s="196" t="s">
        <v>850</v>
      </c>
      <c r="C617" s="196">
        <v>2014</v>
      </c>
      <c r="D617" s="196">
        <v>55</v>
      </c>
      <c r="E617" s="196" t="s">
        <v>862</v>
      </c>
      <c r="F617" s="196" t="s">
        <v>1254</v>
      </c>
      <c r="G617" s="196">
        <v>2</v>
      </c>
      <c r="H617" s="196">
        <v>2</v>
      </c>
      <c r="I617" s="196">
        <v>3939</v>
      </c>
      <c r="J617" s="196">
        <v>6544</v>
      </c>
      <c r="K617" s="196">
        <v>88.46</v>
      </c>
      <c r="L617" s="196">
        <v>6.24</v>
      </c>
      <c r="M617" s="196">
        <v>7177</v>
      </c>
      <c r="N617" s="196">
        <v>1048625</v>
      </c>
      <c r="O617" s="196">
        <v>1105</v>
      </c>
      <c r="P617" s="196" t="s">
        <v>878</v>
      </c>
      <c r="Q617" s="196" t="s">
        <v>844</v>
      </c>
      <c r="R617" s="196" t="s">
        <v>844</v>
      </c>
      <c r="S617" s="196" t="s">
        <v>844</v>
      </c>
      <c r="T617" s="196" t="s">
        <v>1255</v>
      </c>
      <c r="U617" s="196" t="s">
        <v>1256</v>
      </c>
      <c r="V617" s="196" t="s">
        <v>848</v>
      </c>
      <c r="W617" s="196" t="s">
        <v>848</v>
      </c>
      <c r="X617" s="196" t="s">
        <v>848</v>
      </c>
      <c r="Y617" s="196" t="s">
        <v>848</v>
      </c>
    </row>
    <row r="618" spans="1:25">
      <c r="A618" s="196" t="s">
        <v>837</v>
      </c>
      <c r="B618" s="196" t="s">
        <v>838</v>
      </c>
      <c r="C618" s="196">
        <v>2013</v>
      </c>
      <c r="D618" s="196">
        <v>30</v>
      </c>
      <c r="E618" s="196" t="s">
        <v>839</v>
      </c>
      <c r="F618" s="196" t="s">
        <v>1257</v>
      </c>
      <c r="G618" s="196">
        <v>2</v>
      </c>
      <c r="H618" s="196">
        <v>2</v>
      </c>
      <c r="I618" s="196">
        <v>3615</v>
      </c>
      <c r="J618" s="196">
        <v>10960</v>
      </c>
      <c r="K618" s="196">
        <v>93.55</v>
      </c>
      <c r="L618" s="196">
        <v>3.86</v>
      </c>
      <c r="M618" s="196">
        <v>13160</v>
      </c>
      <c r="N618" s="196">
        <v>2330949</v>
      </c>
      <c r="O618" s="196">
        <v>2416</v>
      </c>
      <c r="P618" s="196" t="s">
        <v>878</v>
      </c>
      <c r="Q618" s="196" t="s">
        <v>844</v>
      </c>
      <c r="R618" s="196" t="s">
        <v>844</v>
      </c>
      <c r="S618" s="196" t="s">
        <v>844</v>
      </c>
      <c r="T618" s="196" t="s">
        <v>1258</v>
      </c>
      <c r="U618" s="196" t="s">
        <v>1259</v>
      </c>
      <c r="V618" s="196" t="s">
        <v>1260</v>
      </c>
      <c r="W618" s="196" t="s">
        <v>848</v>
      </c>
      <c r="X618" s="196" t="s">
        <v>848</v>
      </c>
      <c r="Y618" s="196" t="s">
        <v>848</v>
      </c>
    </row>
    <row r="619" spans="1:25">
      <c r="A619" s="196" t="s">
        <v>837</v>
      </c>
      <c r="B619" s="196" t="s">
        <v>838</v>
      </c>
      <c r="C619" s="196">
        <v>2013</v>
      </c>
      <c r="D619" s="196">
        <v>55</v>
      </c>
      <c r="E619" s="196" t="s">
        <v>849</v>
      </c>
      <c r="F619" s="196" t="s">
        <v>1257</v>
      </c>
      <c r="G619" s="196">
        <v>1</v>
      </c>
      <c r="H619" s="196">
        <v>1</v>
      </c>
      <c r="I619" s="196">
        <v>3354</v>
      </c>
      <c r="J619" s="196">
        <v>9612</v>
      </c>
      <c r="K619" s="196">
        <v>93.55</v>
      </c>
      <c r="L619" s="196">
        <v>3.86</v>
      </c>
      <c r="M619" s="196">
        <v>13160</v>
      </c>
      <c r="N619" s="196">
        <v>2330949</v>
      </c>
      <c r="O619" s="196">
        <v>2416</v>
      </c>
      <c r="P619" s="196" t="s">
        <v>878</v>
      </c>
      <c r="Q619" s="196" t="s">
        <v>844</v>
      </c>
      <c r="R619" s="196" t="s">
        <v>844</v>
      </c>
      <c r="S619" s="196" t="s">
        <v>844</v>
      </c>
      <c r="T619" s="196" t="s">
        <v>1258</v>
      </c>
      <c r="U619" s="196" t="s">
        <v>1259</v>
      </c>
      <c r="V619" s="196" t="s">
        <v>1260</v>
      </c>
      <c r="W619" s="196" t="s">
        <v>848</v>
      </c>
      <c r="X619" s="196" t="s">
        <v>848</v>
      </c>
      <c r="Y619" s="196" t="s">
        <v>848</v>
      </c>
    </row>
    <row r="620" spans="1:25">
      <c r="A620" s="196" t="s">
        <v>837</v>
      </c>
      <c r="B620" s="196" t="s">
        <v>850</v>
      </c>
      <c r="C620" s="196">
        <v>2013</v>
      </c>
      <c r="D620" s="196">
        <v>30</v>
      </c>
      <c r="E620" s="196" t="s">
        <v>851</v>
      </c>
      <c r="F620" s="196" t="s">
        <v>1257</v>
      </c>
      <c r="G620" s="196">
        <v>6</v>
      </c>
      <c r="H620" s="196">
        <v>6</v>
      </c>
      <c r="I620" s="196">
        <v>14139</v>
      </c>
      <c r="J620" s="196">
        <v>109760</v>
      </c>
      <c r="K620" s="196">
        <v>93.55</v>
      </c>
      <c r="L620" s="196">
        <v>3.86</v>
      </c>
      <c r="M620" s="196">
        <v>13160</v>
      </c>
      <c r="N620" s="196">
        <v>2330949</v>
      </c>
      <c r="O620" s="196">
        <v>2416</v>
      </c>
      <c r="P620" s="196" t="s">
        <v>878</v>
      </c>
      <c r="Q620" s="196" t="s">
        <v>844</v>
      </c>
      <c r="R620" s="196" t="s">
        <v>844</v>
      </c>
      <c r="S620" s="196" t="s">
        <v>844</v>
      </c>
      <c r="T620" s="196" t="s">
        <v>1258</v>
      </c>
      <c r="U620" s="196" t="s">
        <v>1259</v>
      </c>
      <c r="V620" s="196" t="s">
        <v>1260</v>
      </c>
      <c r="W620" s="196" t="s">
        <v>848</v>
      </c>
      <c r="X620" s="196" t="s">
        <v>848</v>
      </c>
      <c r="Y620" s="196" t="s">
        <v>848</v>
      </c>
    </row>
    <row r="621" spans="1:25">
      <c r="A621" s="196" t="s">
        <v>837</v>
      </c>
      <c r="B621" s="196" t="s">
        <v>850</v>
      </c>
      <c r="C621" s="196">
        <v>2013</v>
      </c>
      <c r="D621" s="196">
        <v>55</v>
      </c>
      <c r="E621" s="196" t="s">
        <v>852</v>
      </c>
      <c r="F621" s="196" t="s">
        <v>1257</v>
      </c>
      <c r="G621" s="196">
        <v>2</v>
      </c>
      <c r="H621" s="196">
        <v>2</v>
      </c>
      <c r="I621" s="196">
        <v>5994</v>
      </c>
      <c r="J621" s="196">
        <v>17504</v>
      </c>
      <c r="K621" s="196">
        <v>93.55</v>
      </c>
      <c r="L621" s="196">
        <v>3.86</v>
      </c>
      <c r="M621" s="196">
        <v>13160</v>
      </c>
      <c r="N621" s="196">
        <v>2330949</v>
      </c>
      <c r="O621" s="196">
        <v>2416</v>
      </c>
      <c r="P621" s="196" t="s">
        <v>878</v>
      </c>
      <c r="Q621" s="196" t="s">
        <v>844</v>
      </c>
      <c r="R621" s="196" t="s">
        <v>844</v>
      </c>
      <c r="S621" s="196" t="s">
        <v>844</v>
      </c>
      <c r="T621" s="196" t="s">
        <v>1258</v>
      </c>
      <c r="U621" s="196" t="s">
        <v>1259</v>
      </c>
      <c r="V621" s="196" t="s">
        <v>1260</v>
      </c>
      <c r="W621" s="196" t="s">
        <v>848</v>
      </c>
      <c r="X621" s="196" t="s">
        <v>848</v>
      </c>
      <c r="Y621" s="196" t="s">
        <v>848</v>
      </c>
    </row>
    <row r="622" spans="1:25">
      <c r="A622" s="196" t="s">
        <v>837</v>
      </c>
      <c r="B622" s="196" t="s">
        <v>850</v>
      </c>
      <c r="C622" s="196">
        <v>2013</v>
      </c>
      <c r="D622" s="196">
        <v>80</v>
      </c>
      <c r="E622" s="196" t="s">
        <v>917</v>
      </c>
      <c r="F622" s="196" t="s">
        <v>1257</v>
      </c>
      <c r="G622" s="196">
        <v>1</v>
      </c>
      <c r="H622" s="196">
        <v>1</v>
      </c>
      <c r="I622" s="196">
        <v>3354</v>
      </c>
      <c r="J622" s="196">
        <v>9612</v>
      </c>
      <c r="K622" s="196">
        <v>93.55</v>
      </c>
      <c r="L622" s="196">
        <v>3.86</v>
      </c>
      <c r="M622" s="196">
        <v>13160</v>
      </c>
      <c r="N622" s="196">
        <v>2330949</v>
      </c>
      <c r="O622" s="196">
        <v>2416</v>
      </c>
      <c r="P622" s="196" t="s">
        <v>878</v>
      </c>
      <c r="Q622" s="196" t="s">
        <v>844</v>
      </c>
      <c r="R622" s="196" t="s">
        <v>844</v>
      </c>
      <c r="S622" s="196" t="s">
        <v>844</v>
      </c>
      <c r="T622" s="196" t="s">
        <v>1258</v>
      </c>
      <c r="U622" s="196" t="s">
        <v>1259</v>
      </c>
      <c r="V622" s="196" t="s">
        <v>1260</v>
      </c>
      <c r="W622" s="196" t="s">
        <v>848</v>
      </c>
      <c r="X622" s="196" t="s">
        <v>848</v>
      </c>
      <c r="Y622" s="196" t="s">
        <v>848</v>
      </c>
    </row>
    <row r="623" spans="1:25">
      <c r="A623" s="196" t="s">
        <v>837</v>
      </c>
      <c r="B623" s="196" t="s">
        <v>181</v>
      </c>
      <c r="C623" s="196">
        <v>2014</v>
      </c>
      <c r="D623" s="196">
        <v>80</v>
      </c>
      <c r="E623" s="196" t="s">
        <v>874</v>
      </c>
      <c r="F623" s="196" t="s">
        <v>1257</v>
      </c>
      <c r="G623" s="196">
        <v>5</v>
      </c>
      <c r="H623" s="196">
        <v>5</v>
      </c>
      <c r="I623" s="196">
        <v>8760</v>
      </c>
      <c r="J623" s="196">
        <v>47988</v>
      </c>
      <c r="K623" s="196">
        <v>93.55</v>
      </c>
      <c r="L623" s="196">
        <v>3.86</v>
      </c>
      <c r="M623" s="196">
        <v>13160</v>
      </c>
      <c r="N623" s="196">
        <v>2330949</v>
      </c>
      <c r="O623" s="196">
        <v>2416</v>
      </c>
      <c r="P623" s="196" t="s">
        <v>878</v>
      </c>
      <c r="Q623" s="196" t="s">
        <v>844</v>
      </c>
      <c r="R623" s="196" t="s">
        <v>844</v>
      </c>
      <c r="S623" s="196" t="s">
        <v>844</v>
      </c>
      <c r="T623" s="196" t="s">
        <v>1258</v>
      </c>
      <c r="U623" s="196" t="s">
        <v>1259</v>
      </c>
      <c r="V623" s="196" t="s">
        <v>1260</v>
      </c>
      <c r="W623" s="196" t="s">
        <v>848</v>
      </c>
      <c r="X623" s="196" t="s">
        <v>848</v>
      </c>
      <c r="Y623" s="196" t="s">
        <v>848</v>
      </c>
    </row>
    <row r="624" spans="1:25">
      <c r="A624" s="196" t="s">
        <v>837</v>
      </c>
      <c r="B624" s="196" t="s">
        <v>850</v>
      </c>
      <c r="C624" s="196">
        <v>2014</v>
      </c>
      <c r="D624" s="196">
        <v>80</v>
      </c>
      <c r="E624" s="196" t="s">
        <v>918</v>
      </c>
      <c r="F624" s="196" t="s">
        <v>1257</v>
      </c>
      <c r="G624" s="196">
        <v>1</v>
      </c>
      <c r="H624" s="196">
        <v>1</v>
      </c>
      <c r="I624" s="196">
        <v>2085</v>
      </c>
      <c r="J624" s="196">
        <v>18323</v>
      </c>
      <c r="K624" s="196">
        <v>93.55</v>
      </c>
      <c r="L624" s="196">
        <v>3.86</v>
      </c>
      <c r="M624" s="196">
        <v>13160</v>
      </c>
      <c r="N624" s="196">
        <v>2330949</v>
      </c>
      <c r="O624" s="196">
        <v>2416</v>
      </c>
      <c r="P624" s="196" t="s">
        <v>878</v>
      </c>
      <c r="Q624" s="196" t="s">
        <v>844</v>
      </c>
      <c r="R624" s="196" t="s">
        <v>844</v>
      </c>
      <c r="S624" s="196" t="s">
        <v>844</v>
      </c>
      <c r="T624" s="196" t="s">
        <v>1258</v>
      </c>
      <c r="U624" s="196" t="s">
        <v>1259</v>
      </c>
      <c r="V624" s="196" t="s">
        <v>1260</v>
      </c>
      <c r="W624" s="196" t="s">
        <v>848</v>
      </c>
      <c r="X624" s="196" t="s">
        <v>848</v>
      </c>
      <c r="Y624" s="196" t="s">
        <v>848</v>
      </c>
    </row>
    <row r="625" spans="1:25">
      <c r="A625" s="196" t="s">
        <v>837</v>
      </c>
      <c r="B625" s="196" t="s">
        <v>850</v>
      </c>
      <c r="C625" s="196">
        <v>2014</v>
      </c>
      <c r="D625" s="196">
        <v>80</v>
      </c>
      <c r="E625" s="196" t="s">
        <v>875</v>
      </c>
      <c r="F625" s="196" t="s">
        <v>1257</v>
      </c>
      <c r="G625" s="196">
        <v>4</v>
      </c>
      <c r="H625" s="196">
        <v>4</v>
      </c>
      <c r="I625" s="196">
        <v>6966</v>
      </c>
      <c r="J625" s="196">
        <v>35169</v>
      </c>
      <c r="K625" s="196">
        <v>93.55</v>
      </c>
      <c r="L625" s="196">
        <v>3.86</v>
      </c>
      <c r="M625" s="196">
        <v>13160</v>
      </c>
      <c r="N625" s="196">
        <v>2330949</v>
      </c>
      <c r="O625" s="196">
        <v>2416</v>
      </c>
      <c r="P625" s="196" t="s">
        <v>878</v>
      </c>
      <c r="Q625" s="196" t="s">
        <v>844</v>
      </c>
      <c r="R625" s="196" t="s">
        <v>844</v>
      </c>
      <c r="S625" s="196" t="s">
        <v>844</v>
      </c>
      <c r="T625" s="196" t="s">
        <v>1258</v>
      </c>
      <c r="U625" s="196" t="s">
        <v>1259</v>
      </c>
      <c r="V625" s="196" t="s">
        <v>1260</v>
      </c>
      <c r="W625" s="196" t="s">
        <v>848</v>
      </c>
      <c r="X625" s="196" t="s">
        <v>848</v>
      </c>
      <c r="Y625" s="196" t="s">
        <v>848</v>
      </c>
    </row>
    <row r="626" spans="1:25">
      <c r="A626" s="196" t="s">
        <v>837</v>
      </c>
      <c r="B626" s="196" t="s">
        <v>181</v>
      </c>
      <c r="C626" s="196">
        <v>2013</v>
      </c>
      <c r="D626" s="196">
        <v>80</v>
      </c>
      <c r="E626" s="196" t="s">
        <v>876</v>
      </c>
      <c r="F626" s="196" t="s">
        <v>1257</v>
      </c>
      <c r="G626" s="196">
        <v>3</v>
      </c>
      <c r="H626" s="196">
        <v>3</v>
      </c>
      <c r="I626" s="196">
        <v>3558</v>
      </c>
      <c r="J626" s="196">
        <v>89298</v>
      </c>
      <c r="K626" s="196">
        <v>93.55</v>
      </c>
      <c r="L626" s="196">
        <v>3.86</v>
      </c>
      <c r="M626" s="196">
        <v>13160</v>
      </c>
      <c r="N626" s="196">
        <v>2330949</v>
      </c>
      <c r="O626" s="196">
        <v>2416</v>
      </c>
      <c r="P626" s="196" t="s">
        <v>878</v>
      </c>
      <c r="Q626" s="196" t="s">
        <v>844</v>
      </c>
      <c r="R626" s="196" t="s">
        <v>844</v>
      </c>
      <c r="S626" s="196" t="s">
        <v>844</v>
      </c>
      <c r="T626" s="196" t="s">
        <v>1258</v>
      </c>
      <c r="U626" s="196" t="s">
        <v>1259</v>
      </c>
      <c r="V626" s="196" t="s">
        <v>1260</v>
      </c>
      <c r="W626" s="196" t="s">
        <v>848</v>
      </c>
      <c r="X626" s="196" t="s">
        <v>848</v>
      </c>
      <c r="Y626" s="196" t="s">
        <v>848</v>
      </c>
    </row>
    <row r="627" spans="1:25">
      <c r="A627" s="196" t="s">
        <v>837</v>
      </c>
      <c r="B627" s="196" t="s">
        <v>838</v>
      </c>
      <c r="C627" s="196">
        <v>2014</v>
      </c>
      <c r="D627" s="196">
        <v>55</v>
      </c>
      <c r="E627" s="196" t="s">
        <v>854</v>
      </c>
      <c r="F627" s="196" t="s">
        <v>1257</v>
      </c>
      <c r="G627" s="196">
        <v>1</v>
      </c>
      <c r="H627" s="196">
        <v>1</v>
      </c>
      <c r="I627" s="196">
        <v>3354</v>
      </c>
      <c r="J627" s="196">
        <v>9612</v>
      </c>
      <c r="K627" s="196">
        <v>93.55</v>
      </c>
      <c r="L627" s="196">
        <v>3.86</v>
      </c>
      <c r="M627" s="196">
        <v>13160</v>
      </c>
      <c r="N627" s="196">
        <v>2330949</v>
      </c>
      <c r="O627" s="196">
        <v>2416</v>
      </c>
      <c r="P627" s="196" t="s">
        <v>878</v>
      </c>
      <c r="Q627" s="196" t="s">
        <v>844</v>
      </c>
      <c r="R627" s="196" t="s">
        <v>844</v>
      </c>
      <c r="S627" s="196" t="s">
        <v>844</v>
      </c>
      <c r="T627" s="196" t="s">
        <v>1258</v>
      </c>
      <c r="U627" s="196" t="s">
        <v>1259</v>
      </c>
      <c r="V627" s="196" t="s">
        <v>1260</v>
      </c>
      <c r="W627" s="196" t="s">
        <v>848</v>
      </c>
      <c r="X627" s="196" t="s">
        <v>848</v>
      </c>
      <c r="Y627" s="196" t="s">
        <v>848</v>
      </c>
    </row>
    <row r="628" spans="1:25">
      <c r="A628" s="196" t="s">
        <v>837</v>
      </c>
      <c r="B628" s="196" t="s">
        <v>181</v>
      </c>
      <c r="C628" s="196">
        <v>2014</v>
      </c>
      <c r="D628" s="196">
        <v>30</v>
      </c>
      <c r="E628" s="196" t="s">
        <v>857</v>
      </c>
      <c r="F628" s="196" t="s">
        <v>1257</v>
      </c>
      <c r="G628" s="196">
        <v>1</v>
      </c>
      <c r="H628" s="196">
        <v>1</v>
      </c>
      <c r="I628" s="196">
        <v>1803</v>
      </c>
      <c r="J628" s="196">
        <v>10615</v>
      </c>
      <c r="K628" s="196">
        <v>93.55</v>
      </c>
      <c r="L628" s="196">
        <v>3.86</v>
      </c>
      <c r="M628" s="196">
        <v>13160</v>
      </c>
      <c r="N628" s="196">
        <v>2330949</v>
      </c>
      <c r="O628" s="196">
        <v>2416</v>
      </c>
      <c r="P628" s="196" t="s">
        <v>878</v>
      </c>
      <c r="Q628" s="196" t="s">
        <v>844</v>
      </c>
      <c r="R628" s="196" t="s">
        <v>844</v>
      </c>
      <c r="S628" s="196" t="s">
        <v>844</v>
      </c>
      <c r="T628" s="196" t="s">
        <v>1258</v>
      </c>
      <c r="U628" s="196" t="s">
        <v>1259</v>
      </c>
      <c r="V628" s="196" t="s">
        <v>1260</v>
      </c>
      <c r="W628" s="196" t="s">
        <v>848</v>
      </c>
      <c r="X628" s="196" t="s">
        <v>848</v>
      </c>
      <c r="Y628" s="196" t="s">
        <v>848</v>
      </c>
    </row>
    <row r="629" spans="1:25">
      <c r="A629" s="196" t="s">
        <v>837</v>
      </c>
      <c r="B629" s="196" t="s">
        <v>850</v>
      </c>
      <c r="C629" s="196">
        <v>2014</v>
      </c>
      <c r="D629" s="196">
        <v>55</v>
      </c>
      <c r="E629" s="196" t="s">
        <v>863</v>
      </c>
      <c r="F629" s="196" t="s">
        <v>1257</v>
      </c>
      <c r="G629" s="196">
        <v>1</v>
      </c>
      <c r="H629" s="196">
        <v>1</v>
      </c>
      <c r="I629" s="196">
        <v>1245</v>
      </c>
      <c r="J629" s="196">
        <v>26906</v>
      </c>
      <c r="K629" s="196">
        <v>93.55</v>
      </c>
      <c r="L629" s="196">
        <v>3.86</v>
      </c>
      <c r="M629" s="196">
        <v>13160</v>
      </c>
      <c r="N629" s="196">
        <v>2330949</v>
      </c>
      <c r="O629" s="196">
        <v>2416</v>
      </c>
      <c r="P629" s="196" t="s">
        <v>878</v>
      </c>
      <c r="Q629" s="196" t="s">
        <v>844</v>
      </c>
      <c r="R629" s="196" t="s">
        <v>844</v>
      </c>
      <c r="S629" s="196" t="s">
        <v>844</v>
      </c>
      <c r="T629" s="196" t="s">
        <v>1258</v>
      </c>
      <c r="U629" s="196" t="s">
        <v>1259</v>
      </c>
      <c r="V629" s="196" t="s">
        <v>1260</v>
      </c>
      <c r="W629" s="196" t="s">
        <v>848</v>
      </c>
      <c r="X629" s="196" t="s">
        <v>848</v>
      </c>
      <c r="Y629" s="196" t="s">
        <v>848</v>
      </c>
    </row>
    <row r="630" spans="1:25">
      <c r="A630" s="196" t="s">
        <v>837</v>
      </c>
      <c r="B630" s="196" t="s">
        <v>838</v>
      </c>
      <c r="C630" s="196">
        <v>2013</v>
      </c>
      <c r="D630" s="196">
        <v>30</v>
      </c>
      <c r="E630" s="196" t="s">
        <v>839</v>
      </c>
      <c r="F630" s="196" t="s">
        <v>1261</v>
      </c>
      <c r="G630" s="196">
        <v>1</v>
      </c>
      <c r="H630" s="196">
        <v>1</v>
      </c>
      <c r="I630" s="196">
        <v>1893</v>
      </c>
      <c r="J630" s="196">
        <v>9887</v>
      </c>
      <c r="K630" s="196">
        <v>74.39</v>
      </c>
      <c r="L630" s="196">
        <v>5.6</v>
      </c>
      <c r="M630" s="196">
        <v>5927</v>
      </c>
      <c r="N630" s="196">
        <v>1804966</v>
      </c>
      <c r="O630" s="196">
        <v>1999</v>
      </c>
      <c r="P630" s="196" t="s">
        <v>865</v>
      </c>
      <c r="Q630" s="196" t="s">
        <v>869</v>
      </c>
      <c r="R630" s="196" t="s">
        <v>1262</v>
      </c>
      <c r="S630" s="196" t="s">
        <v>844</v>
      </c>
      <c r="T630" s="196" t="s">
        <v>868</v>
      </c>
      <c r="U630" s="196" t="s">
        <v>869</v>
      </c>
      <c r="V630" s="196" t="s">
        <v>1263</v>
      </c>
      <c r="W630" s="196" t="s">
        <v>1264</v>
      </c>
      <c r="X630" s="196" t="s">
        <v>1265</v>
      </c>
      <c r="Y630" s="196" t="s">
        <v>848</v>
      </c>
    </row>
    <row r="631" spans="1:25">
      <c r="A631" s="196" t="s">
        <v>837</v>
      </c>
      <c r="B631" s="196" t="s">
        <v>850</v>
      </c>
      <c r="C631" s="196">
        <v>2013</v>
      </c>
      <c r="D631" s="196">
        <v>30</v>
      </c>
      <c r="E631" s="196" t="s">
        <v>851</v>
      </c>
      <c r="F631" s="196" t="s">
        <v>1261</v>
      </c>
      <c r="G631" s="196">
        <v>3</v>
      </c>
      <c r="H631" s="196">
        <v>2</v>
      </c>
      <c r="I631" s="196">
        <v>4436</v>
      </c>
      <c r="J631" s="196">
        <v>11452</v>
      </c>
      <c r="K631" s="196">
        <v>74.39</v>
      </c>
      <c r="L631" s="196">
        <v>5.6</v>
      </c>
      <c r="M631" s="196">
        <v>5927</v>
      </c>
      <c r="N631" s="196">
        <v>1804966</v>
      </c>
      <c r="O631" s="196">
        <v>1999</v>
      </c>
      <c r="P631" s="196" t="s">
        <v>865</v>
      </c>
      <c r="Q631" s="196" t="s">
        <v>869</v>
      </c>
      <c r="R631" s="196" t="s">
        <v>1262</v>
      </c>
      <c r="S631" s="196" t="s">
        <v>844</v>
      </c>
      <c r="T631" s="196" t="s">
        <v>868</v>
      </c>
      <c r="U631" s="196" t="s">
        <v>869</v>
      </c>
      <c r="V631" s="196" t="s">
        <v>1263</v>
      </c>
      <c r="W631" s="196" t="s">
        <v>1264</v>
      </c>
      <c r="X631" s="196" t="s">
        <v>1265</v>
      </c>
      <c r="Y631" s="196" t="s">
        <v>848</v>
      </c>
    </row>
    <row r="632" spans="1:25">
      <c r="A632" s="196" t="s">
        <v>837</v>
      </c>
      <c r="B632" s="196" t="s">
        <v>181</v>
      </c>
      <c r="C632" s="196">
        <v>2014</v>
      </c>
      <c r="D632" s="196">
        <v>80</v>
      </c>
      <c r="E632" s="196" t="s">
        <v>874</v>
      </c>
      <c r="F632" s="196" t="s">
        <v>1261</v>
      </c>
      <c r="G632" s="196">
        <v>2</v>
      </c>
      <c r="H632" s="196">
        <v>2</v>
      </c>
      <c r="I632" s="196">
        <v>1164</v>
      </c>
      <c r="J632" s="196">
        <v>13157</v>
      </c>
      <c r="K632" s="196">
        <v>74.39</v>
      </c>
      <c r="L632" s="196">
        <v>5.6</v>
      </c>
      <c r="M632" s="196">
        <v>5927</v>
      </c>
      <c r="N632" s="196">
        <v>1804966</v>
      </c>
      <c r="O632" s="196">
        <v>1999</v>
      </c>
      <c r="P632" s="196" t="s">
        <v>865</v>
      </c>
      <c r="Q632" s="196" t="s">
        <v>869</v>
      </c>
      <c r="R632" s="196" t="s">
        <v>1262</v>
      </c>
      <c r="S632" s="196" t="s">
        <v>844</v>
      </c>
      <c r="T632" s="196" t="s">
        <v>868</v>
      </c>
      <c r="U632" s="196" t="s">
        <v>869</v>
      </c>
      <c r="V632" s="196" t="s">
        <v>1263</v>
      </c>
      <c r="W632" s="196" t="s">
        <v>1264</v>
      </c>
      <c r="X632" s="196" t="s">
        <v>1265</v>
      </c>
      <c r="Y632" s="196" t="s">
        <v>848</v>
      </c>
    </row>
    <row r="633" spans="1:25">
      <c r="A633" s="196" t="s">
        <v>837</v>
      </c>
      <c r="B633" s="196" t="s">
        <v>850</v>
      </c>
      <c r="C633" s="196">
        <v>2014</v>
      </c>
      <c r="D633" s="196">
        <v>80</v>
      </c>
      <c r="E633" s="196" t="s">
        <v>918</v>
      </c>
      <c r="F633" s="196" t="s">
        <v>1261</v>
      </c>
      <c r="G633" s="196">
        <v>1</v>
      </c>
      <c r="H633" s="196">
        <v>1</v>
      </c>
      <c r="I633" s="196">
        <v>978</v>
      </c>
      <c r="J633" s="196">
        <v>5778</v>
      </c>
      <c r="K633" s="196">
        <v>74.39</v>
      </c>
      <c r="L633" s="196">
        <v>5.6</v>
      </c>
      <c r="M633" s="196">
        <v>5927</v>
      </c>
      <c r="N633" s="196">
        <v>1804966</v>
      </c>
      <c r="O633" s="196">
        <v>1999</v>
      </c>
      <c r="P633" s="196" t="s">
        <v>865</v>
      </c>
      <c r="Q633" s="196" t="s">
        <v>869</v>
      </c>
      <c r="R633" s="196" t="s">
        <v>1262</v>
      </c>
      <c r="S633" s="196" t="s">
        <v>844</v>
      </c>
      <c r="T633" s="196" t="s">
        <v>868</v>
      </c>
      <c r="U633" s="196" t="s">
        <v>869</v>
      </c>
      <c r="V633" s="196" t="s">
        <v>1263</v>
      </c>
      <c r="W633" s="196" t="s">
        <v>1264</v>
      </c>
      <c r="X633" s="196" t="s">
        <v>1265</v>
      </c>
      <c r="Y633" s="196" t="s">
        <v>848</v>
      </c>
    </row>
    <row r="634" spans="1:25">
      <c r="A634" s="196" t="s">
        <v>837</v>
      </c>
      <c r="B634" s="196" t="s">
        <v>181</v>
      </c>
      <c r="C634" s="196">
        <v>2013</v>
      </c>
      <c r="D634" s="196">
        <v>80</v>
      </c>
      <c r="E634" s="196" t="s">
        <v>876</v>
      </c>
      <c r="F634" s="196" t="s">
        <v>1261</v>
      </c>
      <c r="G634" s="196">
        <v>1</v>
      </c>
      <c r="H634" s="196">
        <v>1</v>
      </c>
      <c r="I634" s="196">
        <v>1567</v>
      </c>
      <c r="J634" s="196">
        <v>3072</v>
      </c>
      <c r="K634" s="196">
        <v>74.39</v>
      </c>
      <c r="L634" s="196">
        <v>5.6</v>
      </c>
      <c r="M634" s="196">
        <v>5927</v>
      </c>
      <c r="N634" s="196">
        <v>1804966</v>
      </c>
      <c r="O634" s="196">
        <v>1999</v>
      </c>
      <c r="P634" s="196" t="s">
        <v>865</v>
      </c>
      <c r="Q634" s="196" t="s">
        <v>869</v>
      </c>
      <c r="R634" s="196" t="s">
        <v>1262</v>
      </c>
      <c r="S634" s="196" t="s">
        <v>844</v>
      </c>
      <c r="T634" s="196" t="s">
        <v>868</v>
      </c>
      <c r="U634" s="196" t="s">
        <v>869</v>
      </c>
      <c r="V634" s="196" t="s">
        <v>1263</v>
      </c>
      <c r="W634" s="196" t="s">
        <v>1264</v>
      </c>
      <c r="X634" s="196" t="s">
        <v>1265</v>
      </c>
      <c r="Y634" s="196" t="s">
        <v>848</v>
      </c>
    </row>
    <row r="635" spans="1:25">
      <c r="A635" s="196" t="s">
        <v>837</v>
      </c>
      <c r="B635" s="196" t="s">
        <v>838</v>
      </c>
      <c r="C635" s="196">
        <v>2014</v>
      </c>
      <c r="D635" s="196">
        <v>55</v>
      </c>
      <c r="E635" s="196" t="s">
        <v>854</v>
      </c>
      <c r="F635" s="196" t="s">
        <v>1261</v>
      </c>
      <c r="G635" s="196">
        <v>1</v>
      </c>
      <c r="H635" s="196">
        <v>1</v>
      </c>
      <c r="I635" s="196">
        <v>1567</v>
      </c>
      <c r="J635" s="196">
        <v>3072</v>
      </c>
      <c r="K635" s="196">
        <v>74.39</v>
      </c>
      <c r="L635" s="196">
        <v>5.6</v>
      </c>
      <c r="M635" s="196">
        <v>5927</v>
      </c>
      <c r="N635" s="196">
        <v>1804966</v>
      </c>
      <c r="O635" s="196">
        <v>1999</v>
      </c>
      <c r="P635" s="196" t="s">
        <v>865</v>
      </c>
      <c r="Q635" s="196" t="s">
        <v>869</v>
      </c>
      <c r="R635" s="196" t="s">
        <v>1262</v>
      </c>
      <c r="S635" s="196" t="s">
        <v>844</v>
      </c>
      <c r="T635" s="196" t="s">
        <v>868</v>
      </c>
      <c r="U635" s="196" t="s">
        <v>869</v>
      </c>
      <c r="V635" s="196" t="s">
        <v>1263</v>
      </c>
      <c r="W635" s="196" t="s">
        <v>1264</v>
      </c>
      <c r="X635" s="196" t="s">
        <v>1265</v>
      </c>
      <c r="Y635" s="196" t="s">
        <v>848</v>
      </c>
    </row>
    <row r="636" spans="1:25">
      <c r="A636" s="196" t="s">
        <v>837</v>
      </c>
      <c r="B636" s="196" t="s">
        <v>850</v>
      </c>
      <c r="C636" s="196">
        <v>2014</v>
      </c>
      <c r="D636" s="196">
        <v>30</v>
      </c>
      <c r="E636" s="196" t="s">
        <v>860</v>
      </c>
      <c r="F636" s="196" t="s">
        <v>1261</v>
      </c>
      <c r="G636" s="196">
        <v>10</v>
      </c>
      <c r="H636" s="196">
        <v>9</v>
      </c>
      <c r="I636" s="196">
        <v>12822</v>
      </c>
      <c r="J636" s="196">
        <v>52015</v>
      </c>
      <c r="K636" s="196">
        <v>74.39</v>
      </c>
      <c r="L636" s="196">
        <v>5.6</v>
      </c>
      <c r="M636" s="196">
        <v>5927</v>
      </c>
      <c r="N636" s="196">
        <v>1804966</v>
      </c>
      <c r="O636" s="196">
        <v>1999</v>
      </c>
      <c r="P636" s="196" t="s">
        <v>865</v>
      </c>
      <c r="Q636" s="196" t="s">
        <v>869</v>
      </c>
      <c r="R636" s="196" t="s">
        <v>1262</v>
      </c>
      <c r="S636" s="196" t="s">
        <v>844</v>
      </c>
      <c r="T636" s="196" t="s">
        <v>868</v>
      </c>
      <c r="U636" s="196" t="s">
        <v>869</v>
      </c>
      <c r="V636" s="196" t="s">
        <v>1263</v>
      </c>
      <c r="W636" s="196" t="s">
        <v>1264</v>
      </c>
      <c r="X636" s="196" t="s">
        <v>1265</v>
      </c>
      <c r="Y636" s="196" t="s">
        <v>848</v>
      </c>
    </row>
    <row r="637" spans="1:25">
      <c r="A637" s="196" t="s">
        <v>837</v>
      </c>
      <c r="B637" s="196" t="s">
        <v>850</v>
      </c>
      <c r="C637" s="196">
        <v>2014</v>
      </c>
      <c r="D637" s="196">
        <v>30</v>
      </c>
      <c r="E637" s="196" t="s">
        <v>861</v>
      </c>
      <c r="F637" s="196" t="s">
        <v>1261</v>
      </c>
      <c r="G637" s="196">
        <v>4</v>
      </c>
      <c r="H637" s="196">
        <v>4</v>
      </c>
      <c r="I637" s="196">
        <v>5991</v>
      </c>
      <c r="J637" s="196">
        <v>26185</v>
      </c>
      <c r="K637" s="196">
        <v>74.39</v>
      </c>
      <c r="L637" s="196">
        <v>5.6</v>
      </c>
      <c r="M637" s="196">
        <v>5927</v>
      </c>
      <c r="N637" s="196">
        <v>1804966</v>
      </c>
      <c r="O637" s="196">
        <v>1999</v>
      </c>
      <c r="P637" s="196" t="s">
        <v>865</v>
      </c>
      <c r="Q637" s="196" t="s">
        <v>869</v>
      </c>
      <c r="R637" s="196" t="s">
        <v>1262</v>
      </c>
      <c r="S637" s="196" t="s">
        <v>844</v>
      </c>
      <c r="T637" s="196" t="s">
        <v>868</v>
      </c>
      <c r="U637" s="196" t="s">
        <v>869</v>
      </c>
      <c r="V637" s="196" t="s">
        <v>1263</v>
      </c>
      <c r="W637" s="196" t="s">
        <v>1264</v>
      </c>
      <c r="X637" s="196" t="s">
        <v>1265</v>
      </c>
      <c r="Y637" s="196" t="s">
        <v>848</v>
      </c>
    </row>
    <row r="638" spans="1:25">
      <c r="A638" s="196" t="s">
        <v>837</v>
      </c>
      <c r="B638" s="196" t="s">
        <v>850</v>
      </c>
      <c r="C638" s="196">
        <v>2014</v>
      </c>
      <c r="D638" s="196">
        <v>55</v>
      </c>
      <c r="E638" s="196" t="s">
        <v>862</v>
      </c>
      <c r="F638" s="196" t="s">
        <v>1261</v>
      </c>
      <c r="G638" s="196">
        <v>21</v>
      </c>
      <c r="H638" s="196">
        <v>18</v>
      </c>
      <c r="I638" s="196">
        <v>28548</v>
      </c>
      <c r="J638" s="196">
        <v>179113</v>
      </c>
      <c r="K638" s="196">
        <v>74.39</v>
      </c>
      <c r="L638" s="196">
        <v>5.6</v>
      </c>
      <c r="M638" s="196">
        <v>5927</v>
      </c>
      <c r="N638" s="196">
        <v>1804966</v>
      </c>
      <c r="O638" s="196">
        <v>1999</v>
      </c>
      <c r="P638" s="196" t="s">
        <v>865</v>
      </c>
      <c r="Q638" s="196" t="s">
        <v>869</v>
      </c>
      <c r="R638" s="196" t="s">
        <v>1262</v>
      </c>
      <c r="S638" s="196" t="s">
        <v>844</v>
      </c>
      <c r="T638" s="196" t="s">
        <v>868</v>
      </c>
      <c r="U638" s="196" t="s">
        <v>869</v>
      </c>
      <c r="V638" s="196" t="s">
        <v>1263</v>
      </c>
      <c r="W638" s="196" t="s">
        <v>1264</v>
      </c>
      <c r="X638" s="196" t="s">
        <v>1265</v>
      </c>
      <c r="Y638" s="196" t="s">
        <v>848</v>
      </c>
    </row>
    <row r="639" spans="1:25">
      <c r="A639" s="196" t="s">
        <v>837</v>
      </c>
      <c r="B639" s="196" t="s">
        <v>838</v>
      </c>
      <c r="C639" s="196">
        <v>2013</v>
      </c>
      <c r="D639" s="196">
        <v>80</v>
      </c>
      <c r="E639" s="196" t="s">
        <v>908</v>
      </c>
      <c r="F639" s="196" t="s">
        <v>1266</v>
      </c>
      <c r="G639" s="196">
        <v>1</v>
      </c>
      <c r="H639" s="196">
        <v>1</v>
      </c>
      <c r="I639" s="196">
        <v>1425</v>
      </c>
      <c r="J639" s="196">
        <v>2708</v>
      </c>
      <c r="K639" s="196">
        <v>85.05</v>
      </c>
      <c r="L639" s="196">
        <v>2.06</v>
      </c>
      <c r="M639" s="196">
        <v>7776</v>
      </c>
      <c r="N639" s="196">
        <v>1971614</v>
      </c>
      <c r="O639" s="196">
        <v>1887</v>
      </c>
      <c r="P639" s="196" t="s">
        <v>1074</v>
      </c>
      <c r="Q639" s="196" t="s">
        <v>1267</v>
      </c>
      <c r="R639" s="196" t="s">
        <v>1268</v>
      </c>
      <c r="S639" s="196" t="s">
        <v>953</v>
      </c>
      <c r="T639" s="196" t="s">
        <v>1269</v>
      </c>
      <c r="U639" s="196" t="s">
        <v>1270</v>
      </c>
      <c r="V639" s="196" t="s">
        <v>1267</v>
      </c>
      <c r="W639" s="196" t="s">
        <v>848</v>
      </c>
      <c r="X639" s="196" t="s">
        <v>848</v>
      </c>
      <c r="Y639" s="196" t="s">
        <v>848</v>
      </c>
    </row>
    <row r="640" spans="1:25">
      <c r="A640" s="196" t="s">
        <v>837</v>
      </c>
      <c r="B640" s="196" t="s">
        <v>181</v>
      </c>
      <c r="C640" s="196">
        <v>2013</v>
      </c>
      <c r="D640" s="196">
        <v>80</v>
      </c>
      <c r="E640" s="196" t="s">
        <v>876</v>
      </c>
      <c r="F640" s="196" t="s">
        <v>1266</v>
      </c>
      <c r="G640" s="196">
        <v>1</v>
      </c>
      <c r="H640" s="196">
        <v>1</v>
      </c>
      <c r="I640" s="196">
        <v>1272</v>
      </c>
      <c r="J640" s="196">
        <v>11851</v>
      </c>
      <c r="K640" s="196">
        <v>85.05</v>
      </c>
      <c r="L640" s="196">
        <v>2.06</v>
      </c>
      <c r="M640" s="196">
        <v>7776</v>
      </c>
      <c r="N640" s="196">
        <v>1971614</v>
      </c>
      <c r="O640" s="196">
        <v>1887</v>
      </c>
      <c r="P640" s="196" t="s">
        <v>1074</v>
      </c>
      <c r="Q640" s="196" t="s">
        <v>1267</v>
      </c>
      <c r="R640" s="196" t="s">
        <v>1268</v>
      </c>
      <c r="S640" s="196" t="s">
        <v>953</v>
      </c>
      <c r="T640" s="196" t="s">
        <v>1269</v>
      </c>
      <c r="U640" s="196" t="s">
        <v>1270</v>
      </c>
      <c r="V640" s="196" t="s">
        <v>1267</v>
      </c>
      <c r="W640" s="196" t="s">
        <v>848</v>
      </c>
      <c r="X640" s="196" t="s">
        <v>848</v>
      </c>
      <c r="Y640" s="196" t="s">
        <v>848</v>
      </c>
    </row>
    <row r="641" spans="1:25">
      <c r="A641" s="196" t="s">
        <v>837</v>
      </c>
      <c r="B641" s="196" t="s">
        <v>181</v>
      </c>
      <c r="C641" s="196">
        <v>2014</v>
      </c>
      <c r="D641" s="196">
        <v>55</v>
      </c>
      <c r="E641" s="196" t="s">
        <v>858</v>
      </c>
      <c r="F641" s="196" t="s">
        <v>1266</v>
      </c>
      <c r="G641" s="196">
        <v>1</v>
      </c>
      <c r="H641" s="196">
        <v>1</v>
      </c>
      <c r="I641" s="196">
        <v>408</v>
      </c>
      <c r="J641" s="196">
        <v>4875</v>
      </c>
      <c r="K641" s="196">
        <v>85.05</v>
      </c>
      <c r="L641" s="196">
        <v>2.06</v>
      </c>
      <c r="M641" s="196">
        <v>7776</v>
      </c>
      <c r="N641" s="196">
        <v>1971614</v>
      </c>
      <c r="O641" s="196">
        <v>1887</v>
      </c>
      <c r="P641" s="196" t="s">
        <v>1074</v>
      </c>
      <c r="Q641" s="196" t="s">
        <v>1267</v>
      </c>
      <c r="R641" s="196" t="s">
        <v>1268</v>
      </c>
      <c r="S641" s="196" t="s">
        <v>953</v>
      </c>
      <c r="T641" s="196" t="s">
        <v>1269</v>
      </c>
      <c r="U641" s="196" t="s">
        <v>1270</v>
      </c>
      <c r="V641" s="196" t="s">
        <v>1267</v>
      </c>
      <c r="W641" s="196" t="s">
        <v>848</v>
      </c>
      <c r="X641" s="196" t="s">
        <v>848</v>
      </c>
      <c r="Y641" s="196" t="s">
        <v>848</v>
      </c>
    </row>
    <row r="642" spans="1:25">
      <c r="A642" s="196" t="s">
        <v>837</v>
      </c>
      <c r="B642" s="196" t="s">
        <v>838</v>
      </c>
      <c r="C642" s="196">
        <v>2013</v>
      </c>
      <c r="D642" s="196">
        <v>55</v>
      </c>
      <c r="E642" s="196" t="s">
        <v>849</v>
      </c>
      <c r="F642" s="196" t="s">
        <v>1271</v>
      </c>
      <c r="G642" s="196">
        <v>1</v>
      </c>
      <c r="H642" s="196">
        <v>1</v>
      </c>
      <c r="I642" s="196">
        <v>1437</v>
      </c>
      <c r="J642" s="196">
        <v>3440</v>
      </c>
      <c r="K642" s="196">
        <v>58.85</v>
      </c>
      <c r="L642" s="196">
        <v>4.28</v>
      </c>
      <c r="M642" s="196">
        <v>3788</v>
      </c>
      <c r="N642" s="196">
        <v>2364496</v>
      </c>
      <c r="O642" s="196">
        <v>2314</v>
      </c>
      <c r="P642" s="196" t="s">
        <v>901</v>
      </c>
      <c r="Q642" s="196" t="s">
        <v>1194</v>
      </c>
      <c r="R642" s="196" t="s">
        <v>1195</v>
      </c>
      <c r="S642" s="196" t="s">
        <v>844</v>
      </c>
      <c r="T642" s="196" t="s">
        <v>900</v>
      </c>
      <c r="U642" s="196" t="s">
        <v>901</v>
      </c>
      <c r="V642" s="196" t="s">
        <v>902</v>
      </c>
      <c r="W642" s="196" t="s">
        <v>1194</v>
      </c>
      <c r="X642" s="196" t="s">
        <v>1196</v>
      </c>
      <c r="Y642" s="196" t="s">
        <v>1272</v>
      </c>
    </row>
    <row r="643" spans="1:25">
      <c r="A643" s="196" t="s">
        <v>837</v>
      </c>
      <c r="B643" s="196" t="s">
        <v>850</v>
      </c>
      <c r="C643" s="196">
        <v>2013</v>
      </c>
      <c r="D643" s="196">
        <v>55</v>
      </c>
      <c r="E643" s="196" t="s">
        <v>852</v>
      </c>
      <c r="F643" s="196" t="s">
        <v>1271</v>
      </c>
      <c r="G643" s="196">
        <v>1</v>
      </c>
      <c r="H643" s="196">
        <v>1</v>
      </c>
      <c r="I643" s="196">
        <v>1002</v>
      </c>
      <c r="J643" s="196">
        <v>5574</v>
      </c>
      <c r="K643" s="196">
        <v>58.85</v>
      </c>
      <c r="L643" s="196">
        <v>4.28</v>
      </c>
      <c r="M643" s="196">
        <v>3788</v>
      </c>
      <c r="N643" s="196">
        <v>2364496</v>
      </c>
      <c r="O643" s="196">
        <v>2314</v>
      </c>
      <c r="P643" s="196" t="s">
        <v>901</v>
      </c>
      <c r="Q643" s="196" t="s">
        <v>1194</v>
      </c>
      <c r="R643" s="196" t="s">
        <v>1195</v>
      </c>
      <c r="S643" s="196" t="s">
        <v>844</v>
      </c>
      <c r="T643" s="196" t="s">
        <v>900</v>
      </c>
      <c r="U643" s="196" t="s">
        <v>901</v>
      </c>
      <c r="V643" s="196" t="s">
        <v>902</v>
      </c>
      <c r="W643" s="196" t="s">
        <v>1194</v>
      </c>
      <c r="X643" s="196" t="s">
        <v>1196</v>
      </c>
      <c r="Y643" s="196" t="s">
        <v>1272</v>
      </c>
    </row>
    <row r="644" spans="1:25">
      <c r="A644" s="196" t="s">
        <v>837</v>
      </c>
      <c r="B644" s="196" t="s">
        <v>181</v>
      </c>
      <c r="C644" s="196">
        <v>2013</v>
      </c>
      <c r="D644" s="196">
        <v>80</v>
      </c>
      <c r="E644" s="196" t="s">
        <v>876</v>
      </c>
      <c r="F644" s="196" t="s">
        <v>1271</v>
      </c>
      <c r="G644" s="196">
        <v>1</v>
      </c>
      <c r="H644" s="196">
        <v>1</v>
      </c>
      <c r="I644" s="196">
        <v>1002</v>
      </c>
      <c r="J644" s="196">
        <v>5574</v>
      </c>
      <c r="K644" s="196">
        <v>58.85</v>
      </c>
      <c r="L644" s="196">
        <v>4.28</v>
      </c>
      <c r="M644" s="196">
        <v>3788</v>
      </c>
      <c r="N644" s="196">
        <v>2364496</v>
      </c>
      <c r="O644" s="196">
        <v>2314</v>
      </c>
      <c r="P644" s="196" t="s">
        <v>901</v>
      </c>
      <c r="Q644" s="196" t="s">
        <v>1194</v>
      </c>
      <c r="R644" s="196" t="s">
        <v>1195</v>
      </c>
      <c r="S644" s="196" t="s">
        <v>844</v>
      </c>
      <c r="T644" s="196" t="s">
        <v>900</v>
      </c>
      <c r="U644" s="196" t="s">
        <v>901</v>
      </c>
      <c r="V644" s="196" t="s">
        <v>902</v>
      </c>
      <c r="W644" s="196" t="s">
        <v>1194</v>
      </c>
      <c r="X644" s="196" t="s">
        <v>1196</v>
      </c>
      <c r="Y644" s="196" t="s">
        <v>1272</v>
      </c>
    </row>
    <row r="645" spans="1:25">
      <c r="A645" s="196" t="s">
        <v>837</v>
      </c>
      <c r="B645" s="196" t="s">
        <v>181</v>
      </c>
      <c r="C645" s="196">
        <v>2014</v>
      </c>
      <c r="D645" s="196">
        <v>30</v>
      </c>
      <c r="E645" s="196" t="s">
        <v>856</v>
      </c>
      <c r="F645" s="196" t="s">
        <v>1273</v>
      </c>
      <c r="G645" s="196">
        <v>1</v>
      </c>
      <c r="H645" s="196">
        <v>1</v>
      </c>
      <c r="I645" s="196">
        <v>3198</v>
      </c>
      <c r="J645" s="196">
        <v>3668</v>
      </c>
      <c r="K645" s="196">
        <v>58.08</v>
      </c>
      <c r="L645" s="196">
        <v>1.08</v>
      </c>
      <c r="M645" s="196">
        <v>4671</v>
      </c>
      <c r="N645" s="196">
        <v>1298150</v>
      </c>
      <c r="O645" s="196">
        <v>1320</v>
      </c>
      <c r="P645" s="196" t="s">
        <v>1074</v>
      </c>
      <c r="Q645" s="196" t="s">
        <v>1133</v>
      </c>
      <c r="R645" s="196" t="s">
        <v>1274</v>
      </c>
      <c r="S645" s="196" t="s">
        <v>953</v>
      </c>
      <c r="T645" s="196" t="s">
        <v>1132</v>
      </c>
      <c r="U645" s="196" t="s">
        <v>1133</v>
      </c>
      <c r="V645" s="196" t="s">
        <v>848</v>
      </c>
      <c r="W645" s="196" t="s">
        <v>848</v>
      </c>
      <c r="X645" s="196" t="s">
        <v>848</v>
      </c>
      <c r="Y645" s="196" t="s">
        <v>848</v>
      </c>
    </row>
    <row r="646" spans="1:25">
      <c r="A646" s="196" t="s">
        <v>837</v>
      </c>
      <c r="B646" s="196" t="s">
        <v>181</v>
      </c>
      <c r="C646" s="196">
        <v>2014</v>
      </c>
      <c r="D646" s="196">
        <v>30</v>
      </c>
      <c r="E646" s="196" t="s">
        <v>857</v>
      </c>
      <c r="F646" s="196" t="s">
        <v>1273</v>
      </c>
      <c r="G646" s="196">
        <v>1</v>
      </c>
      <c r="H646" s="196">
        <v>1</v>
      </c>
      <c r="I646" s="196">
        <v>3198</v>
      </c>
      <c r="J646" s="196">
        <v>3668</v>
      </c>
      <c r="K646" s="196">
        <v>58.08</v>
      </c>
      <c r="L646" s="196">
        <v>1.08</v>
      </c>
      <c r="M646" s="196">
        <v>4671</v>
      </c>
      <c r="N646" s="196">
        <v>1298150</v>
      </c>
      <c r="O646" s="196">
        <v>1320</v>
      </c>
      <c r="P646" s="196" t="s">
        <v>1074</v>
      </c>
      <c r="Q646" s="196" t="s">
        <v>1133</v>
      </c>
      <c r="R646" s="196" t="s">
        <v>1274</v>
      </c>
      <c r="S646" s="196" t="s">
        <v>953</v>
      </c>
      <c r="T646" s="196" t="s">
        <v>1132</v>
      </c>
      <c r="U646" s="196" t="s">
        <v>1133</v>
      </c>
      <c r="V646" s="196" t="s">
        <v>848</v>
      </c>
      <c r="W646" s="196" t="s">
        <v>848</v>
      </c>
      <c r="X646" s="196" t="s">
        <v>848</v>
      </c>
      <c r="Y646" s="196" t="s">
        <v>848</v>
      </c>
    </row>
    <row r="647" spans="1:25">
      <c r="A647" s="196" t="s">
        <v>837</v>
      </c>
      <c r="B647" s="196" t="s">
        <v>838</v>
      </c>
      <c r="C647" s="196">
        <v>2013</v>
      </c>
      <c r="D647" s="196">
        <v>55</v>
      </c>
      <c r="E647" s="196" t="s">
        <v>849</v>
      </c>
      <c r="F647" s="196" t="s">
        <v>1275</v>
      </c>
      <c r="G647" s="196">
        <v>2</v>
      </c>
      <c r="H647" s="196">
        <v>2</v>
      </c>
      <c r="I647" s="196">
        <v>2358</v>
      </c>
      <c r="J647" s="196">
        <v>10978</v>
      </c>
      <c r="K647" s="196">
        <v>74.900000000000006</v>
      </c>
      <c r="L647" s="196">
        <v>0.87</v>
      </c>
      <c r="M647" s="196">
        <v>4638</v>
      </c>
      <c r="N647" s="196">
        <v>898027</v>
      </c>
      <c r="O647" s="196">
        <v>1105</v>
      </c>
      <c r="P647" s="196" t="s">
        <v>841</v>
      </c>
      <c r="Q647" s="196" t="s">
        <v>1207</v>
      </c>
      <c r="R647" s="196" t="s">
        <v>1208</v>
      </c>
      <c r="S647" s="196" t="s">
        <v>844</v>
      </c>
      <c r="T647" s="196" t="s">
        <v>845</v>
      </c>
      <c r="U647" s="196" t="s">
        <v>846</v>
      </c>
      <c r="V647" s="196" t="s">
        <v>841</v>
      </c>
      <c r="W647" s="196" t="s">
        <v>989</v>
      </c>
      <c r="X647" s="196" t="s">
        <v>1207</v>
      </c>
      <c r="Y647" s="196" t="s">
        <v>848</v>
      </c>
    </row>
    <row r="648" spans="1:25">
      <c r="A648" s="196" t="s">
        <v>837</v>
      </c>
      <c r="B648" s="196" t="s">
        <v>850</v>
      </c>
      <c r="C648" s="196">
        <v>2013</v>
      </c>
      <c r="D648" s="196">
        <v>80</v>
      </c>
      <c r="E648" s="196" t="s">
        <v>917</v>
      </c>
      <c r="F648" s="196" t="s">
        <v>1275</v>
      </c>
      <c r="G648" s="196">
        <v>1</v>
      </c>
      <c r="H648" s="196">
        <v>1</v>
      </c>
      <c r="I648" s="196">
        <v>729</v>
      </c>
      <c r="J648" s="196">
        <v>3313</v>
      </c>
      <c r="K648" s="196">
        <v>74.900000000000006</v>
      </c>
      <c r="L648" s="196">
        <v>0.87</v>
      </c>
      <c r="M648" s="196">
        <v>4638</v>
      </c>
      <c r="N648" s="196">
        <v>898027</v>
      </c>
      <c r="O648" s="196">
        <v>1105</v>
      </c>
      <c r="P648" s="196" t="s">
        <v>841</v>
      </c>
      <c r="Q648" s="196" t="s">
        <v>1207</v>
      </c>
      <c r="R648" s="196" t="s">
        <v>1208</v>
      </c>
      <c r="S648" s="196" t="s">
        <v>844</v>
      </c>
      <c r="T648" s="196" t="s">
        <v>845</v>
      </c>
      <c r="U648" s="196" t="s">
        <v>846</v>
      </c>
      <c r="V648" s="196" t="s">
        <v>841</v>
      </c>
      <c r="W648" s="196" t="s">
        <v>989</v>
      </c>
      <c r="X648" s="196" t="s">
        <v>1207</v>
      </c>
      <c r="Y648" s="196" t="s">
        <v>848</v>
      </c>
    </row>
    <row r="649" spans="1:25">
      <c r="A649" s="196" t="s">
        <v>837</v>
      </c>
      <c r="B649" s="196" t="s">
        <v>838</v>
      </c>
      <c r="C649" s="196">
        <v>2014</v>
      </c>
      <c r="D649" s="196">
        <v>80</v>
      </c>
      <c r="E649" s="196" t="s">
        <v>853</v>
      </c>
      <c r="F649" s="196" t="s">
        <v>1275</v>
      </c>
      <c r="G649" s="196">
        <v>13</v>
      </c>
      <c r="H649" s="196">
        <v>11</v>
      </c>
      <c r="I649" s="196">
        <v>23640</v>
      </c>
      <c r="J649" s="196">
        <v>70067</v>
      </c>
      <c r="K649" s="196">
        <v>74.900000000000006</v>
      </c>
      <c r="L649" s="196">
        <v>0.87</v>
      </c>
      <c r="M649" s="196">
        <v>4638</v>
      </c>
      <c r="N649" s="196">
        <v>898027</v>
      </c>
      <c r="O649" s="196">
        <v>1105</v>
      </c>
      <c r="P649" s="196" t="s">
        <v>841</v>
      </c>
      <c r="Q649" s="196" t="s">
        <v>1207</v>
      </c>
      <c r="R649" s="196" t="s">
        <v>1208</v>
      </c>
      <c r="S649" s="196" t="s">
        <v>844</v>
      </c>
      <c r="T649" s="196" t="s">
        <v>845</v>
      </c>
      <c r="U649" s="196" t="s">
        <v>846</v>
      </c>
      <c r="V649" s="196" t="s">
        <v>841</v>
      </c>
      <c r="W649" s="196" t="s">
        <v>989</v>
      </c>
      <c r="X649" s="196" t="s">
        <v>1207</v>
      </c>
      <c r="Y649" s="196" t="s">
        <v>848</v>
      </c>
    </row>
    <row r="650" spans="1:25">
      <c r="A650" s="196" t="s">
        <v>837</v>
      </c>
      <c r="B650" s="196" t="s">
        <v>181</v>
      </c>
      <c r="C650" s="196">
        <v>2014</v>
      </c>
      <c r="D650" s="196">
        <v>80</v>
      </c>
      <c r="E650" s="196" t="s">
        <v>874</v>
      </c>
      <c r="F650" s="196" t="s">
        <v>1275</v>
      </c>
      <c r="G650" s="196">
        <v>932</v>
      </c>
      <c r="H650" s="196">
        <v>182</v>
      </c>
      <c r="I650" s="196">
        <v>756478</v>
      </c>
      <c r="J650" s="196">
        <v>828817</v>
      </c>
      <c r="K650" s="196">
        <v>74.900000000000006</v>
      </c>
      <c r="L650" s="196">
        <v>0.87</v>
      </c>
      <c r="M650" s="196">
        <v>4638</v>
      </c>
      <c r="N650" s="196">
        <v>898027</v>
      </c>
      <c r="O650" s="196">
        <v>1105</v>
      </c>
      <c r="P650" s="196" t="s">
        <v>841</v>
      </c>
      <c r="Q650" s="196" t="s">
        <v>1207</v>
      </c>
      <c r="R650" s="196" t="s">
        <v>1208</v>
      </c>
      <c r="S650" s="196" t="s">
        <v>844</v>
      </c>
      <c r="T650" s="196" t="s">
        <v>845</v>
      </c>
      <c r="U650" s="196" t="s">
        <v>846</v>
      </c>
      <c r="V650" s="196" t="s">
        <v>841</v>
      </c>
      <c r="W650" s="196" t="s">
        <v>989</v>
      </c>
      <c r="X650" s="196" t="s">
        <v>1207</v>
      </c>
      <c r="Y650" s="196" t="s">
        <v>848</v>
      </c>
    </row>
    <row r="651" spans="1:25">
      <c r="A651" s="196" t="s">
        <v>837</v>
      </c>
      <c r="B651" s="196" t="s">
        <v>850</v>
      </c>
      <c r="C651" s="196">
        <v>2014</v>
      </c>
      <c r="D651" s="196">
        <v>80</v>
      </c>
      <c r="E651" s="196" t="s">
        <v>918</v>
      </c>
      <c r="F651" s="196" t="s">
        <v>1275</v>
      </c>
      <c r="G651" s="196">
        <v>1</v>
      </c>
      <c r="H651" s="196">
        <v>1</v>
      </c>
      <c r="I651" s="196">
        <v>2307</v>
      </c>
      <c r="J651" s="196">
        <v>2992</v>
      </c>
      <c r="K651" s="196">
        <v>74.900000000000006</v>
      </c>
      <c r="L651" s="196">
        <v>0.87</v>
      </c>
      <c r="M651" s="196">
        <v>4638</v>
      </c>
      <c r="N651" s="196">
        <v>898027</v>
      </c>
      <c r="O651" s="196">
        <v>1105</v>
      </c>
      <c r="P651" s="196" t="s">
        <v>841</v>
      </c>
      <c r="Q651" s="196" t="s">
        <v>1207</v>
      </c>
      <c r="R651" s="196" t="s">
        <v>1208</v>
      </c>
      <c r="S651" s="196" t="s">
        <v>844</v>
      </c>
      <c r="T651" s="196" t="s">
        <v>845</v>
      </c>
      <c r="U651" s="196" t="s">
        <v>846</v>
      </c>
      <c r="V651" s="196" t="s">
        <v>841</v>
      </c>
      <c r="W651" s="196" t="s">
        <v>989</v>
      </c>
      <c r="X651" s="196" t="s">
        <v>1207</v>
      </c>
      <c r="Y651" s="196" t="s">
        <v>848</v>
      </c>
    </row>
    <row r="652" spans="1:25">
      <c r="A652" s="196" t="s">
        <v>837</v>
      </c>
      <c r="B652" s="196" t="s">
        <v>850</v>
      </c>
      <c r="C652" s="196">
        <v>2014</v>
      </c>
      <c r="D652" s="196">
        <v>80</v>
      </c>
      <c r="E652" s="196" t="s">
        <v>875</v>
      </c>
      <c r="F652" s="196" t="s">
        <v>1275</v>
      </c>
      <c r="G652" s="196">
        <v>15</v>
      </c>
      <c r="H652" s="196">
        <v>15</v>
      </c>
      <c r="I652" s="196">
        <v>19665</v>
      </c>
      <c r="J652" s="196">
        <v>67268</v>
      </c>
      <c r="K652" s="196">
        <v>74.900000000000006</v>
      </c>
      <c r="L652" s="196">
        <v>0.87</v>
      </c>
      <c r="M652" s="196">
        <v>4638</v>
      </c>
      <c r="N652" s="196">
        <v>898027</v>
      </c>
      <c r="O652" s="196">
        <v>1105</v>
      </c>
      <c r="P652" s="196" t="s">
        <v>841</v>
      </c>
      <c r="Q652" s="196" t="s">
        <v>1207</v>
      </c>
      <c r="R652" s="196" t="s">
        <v>1208</v>
      </c>
      <c r="S652" s="196" t="s">
        <v>844</v>
      </c>
      <c r="T652" s="196" t="s">
        <v>845</v>
      </c>
      <c r="U652" s="196" t="s">
        <v>846</v>
      </c>
      <c r="V652" s="196" t="s">
        <v>841</v>
      </c>
      <c r="W652" s="196" t="s">
        <v>989</v>
      </c>
      <c r="X652" s="196" t="s">
        <v>1207</v>
      </c>
      <c r="Y652" s="196" t="s">
        <v>848</v>
      </c>
    </row>
    <row r="653" spans="1:25">
      <c r="A653" s="196" t="s">
        <v>837</v>
      </c>
      <c r="B653" s="196" t="s">
        <v>181</v>
      </c>
      <c r="C653" s="196">
        <v>2013</v>
      </c>
      <c r="D653" s="196">
        <v>80</v>
      </c>
      <c r="E653" s="196" t="s">
        <v>876</v>
      </c>
      <c r="F653" s="196" t="s">
        <v>1275</v>
      </c>
      <c r="G653" s="196">
        <v>863</v>
      </c>
      <c r="H653" s="196">
        <v>183</v>
      </c>
      <c r="I653" s="196">
        <v>733147</v>
      </c>
      <c r="J653" s="196">
        <v>833326</v>
      </c>
      <c r="K653" s="196">
        <v>74.900000000000006</v>
      </c>
      <c r="L653" s="196">
        <v>0.87</v>
      </c>
      <c r="M653" s="196">
        <v>4638</v>
      </c>
      <c r="N653" s="196">
        <v>898027</v>
      </c>
      <c r="O653" s="196">
        <v>1105</v>
      </c>
      <c r="P653" s="196" t="s">
        <v>841</v>
      </c>
      <c r="Q653" s="196" t="s">
        <v>1207</v>
      </c>
      <c r="R653" s="196" t="s">
        <v>1208</v>
      </c>
      <c r="S653" s="196" t="s">
        <v>844</v>
      </c>
      <c r="T653" s="196" t="s">
        <v>845</v>
      </c>
      <c r="U653" s="196" t="s">
        <v>846</v>
      </c>
      <c r="V653" s="196" t="s">
        <v>841</v>
      </c>
      <c r="W653" s="196" t="s">
        <v>989</v>
      </c>
      <c r="X653" s="196" t="s">
        <v>1207</v>
      </c>
      <c r="Y653" s="196" t="s">
        <v>848</v>
      </c>
    </row>
    <row r="654" spans="1:25">
      <c r="A654" s="196" t="s">
        <v>837</v>
      </c>
      <c r="B654" s="196" t="s">
        <v>181</v>
      </c>
      <c r="C654" s="196">
        <v>2014</v>
      </c>
      <c r="D654" s="196">
        <v>30</v>
      </c>
      <c r="E654" s="196" t="s">
        <v>856</v>
      </c>
      <c r="F654" s="196" t="s">
        <v>1275</v>
      </c>
      <c r="G654" s="196">
        <v>7</v>
      </c>
      <c r="H654" s="196">
        <v>7</v>
      </c>
      <c r="I654" s="196">
        <v>9300</v>
      </c>
      <c r="J654" s="196">
        <v>34414</v>
      </c>
      <c r="K654" s="196">
        <v>74.900000000000006</v>
      </c>
      <c r="L654" s="196">
        <v>0.87</v>
      </c>
      <c r="M654" s="196">
        <v>4638</v>
      </c>
      <c r="N654" s="196">
        <v>898027</v>
      </c>
      <c r="O654" s="196">
        <v>1105</v>
      </c>
      <c r="P654" s="196" t="s">
        <v>841</v>
      </c>
      <c r="Q654" s="196" t="s">
        <v>1207</v>
      </c>
      <c r="R654" s="196" t="s">
        <v>1208</v>
      </c>
      <c r="S654" s="196" t="s">
        <v>844</v>
      </c>
      <c r="T654" s="196" t="s">
        <v>845</v>
      </c>
      <c r="U654" s="196" t="s">
        <v>846</v>
      </c>
      <c r="V654" s="196" t="s">
        <v>841</v>
      </c>
      <c r="W654" s="196" t="s">
        <v>989</v>
      </c>
      <c r="X654" s="196" t="s">
        <v>1207</v>
      </c>
      <c r="Y654" s="196" t="s">
        <v>848</v>
      </c>
    </row>
    <row r="655" spans="1:25">
      <c r="A655" s="196" t="s">
        <v>837</v>
      </c>
      <c r="B655" s="196" t="s">
        <v>181</v>
      </c>
      <c r="C655" s="196">
        <v>2014</v>
      </c>
      <c r="D655" s="196">
        <v>30</v>
      </c>
      <c r="E655" s="196" t="s">
        <v>857</v>
      </c>
      <c r="F655" s="196" t="s">
        <v>1275</v>
      </c>
      <c r="G655" s="196">
        <v>4</v>
      </c>
      <c r="H655" s="196">
        <v>4</v>
      </c>
      <c r="I655" s="196">
        <v>4929</v>
      </c>
      <c r="J655" s="196">
        <v>22818</v>
      </c>
      <c r="K655" s="196">
        <v>74.900000000000006</v>
      </c>
      <c r="L655" s="196">
        <v>0.87</v>
      </c>
      <c r="M655" s="196">
        <v>4638</v>
      </c>
      <c r="N655" s="196">
        <v>898027</v>
      </c>
      <c r="O655" s="196">
        <v>1105</v>
      </c>
      <c r="P655" s="196" t="s">
        <v>841</v>
      </c>
      <c r="Q655" s="196" t="s">
        <v>1207</v>
      </c>
      <c r="R655" s="196" t="s">
        <v>1208</v>
      </c>
      <c r="S655" s="196" t="s">
        <v>844</v>
      </c>
      <c r="T655" s="196" t="s">
        <v>845</v>
      </c>
      <c r="U655" s="196" t="s">
        <v>846</v>
      </c>
      <c r="V655" s="196" t="s">
        <v>841</v>
      </c>
      <c r="W655" s="196" t="s">
        <v>989</v>
      </c>
      <c r="X655" s="196" t="s">
        <v>1207</v>
      </c>
      <c r="Y655" s="196" t="s">
        <v>848</v>
      </c>
    </row>
    <row r="656" spans="1:25">
      <c r="A656" s="196" t="s">
        <v>837</v>
      </c>
      <c r="B656" s="196" t="s">
        <v>181</v>
      </c>
      <c r="C656" s="196">
        <v>2014</v>
      </c>
      <c r="D656" s="196">
        <v>55</v>
      </c>
      <c r="E656" s="196" t="s">
        <v>858</v>
      </c>
      <c r="F656" s="196" t="s">
        <v>1275</v>
      </c>
      <c r="G656" s="196">
        <v>32</v>
      </c>
      <c r="H656" s="196">
        <v>27</v>
      </c>
      <c r="I656" s="196">
        <v>44598</v>
      </c>
      <c r="J656" s="196">
        <v>161187</v>
      </c>
      <c r="K656" s="196">
        <v>74.900000000000006</v>
      </c>
      <c r="L656" s="196">
        <v>0.87</v>
      </c>
      <c r="M656" s="196">
        <v>4638</v>
      </c>
      <c r="N656" s="196">
        <v>898027</v>
      </c>
      <c r="O656" s="196">
        <v>1105</v>
      </c>
      <c r="P656" s="196" t="s">
        <v>841</v>
      </c>
      <c r="Q656" s="196" t="s">
        <v>1207</v>
      </c>
      <c r="R656" s="196" t="s">
        <v>1208</v>
      </c>
      <c r="S656" s="196" t="s">
        <v>844</v>
      </c>
      <c r="T656" s="196" t="s">
        <v>845</v>
      </c>
      <c r="U656" s="196" t="s">
        <v>846</v>
      </c>
      <c r="V656" s="196" t="s">
        <v>841</v>
      </c>
      <c r="W656" s="196" t="s">
        <v>989</v>
      </c>
      <c r="X656" s="196" t="s">
        <v>1207</v>
      </c>
      <c r="Y656" s="196" t="s">
        <v>848</v>
      </c>
    </row>
    <row r="657" spans="1:25">
      <c r="A657" s="196" t="s">
        <v>837</v>
      </c>
      <c r="B657" s="196" t="s">
        <v>181</v>
      </c>
      <c r="C657" s="196">
        <v>2014</v>
      </c>
      <c r="D657" s="196">
        <v>55</v>
      </c>
      <c r="E657" s="196" t="s">
        <v>859</v>
      </c>
      <c r="F657" s="196" t="s">
        <v>1275</v>
      </c>
      <c r="G657" s="196">
        <v>12</v>
      </c>
      <c r="H657" s="196">
        <v>11</v>
      </c>
      <c r="I657" s="196">
        <v>17955</v>
      </c>
      <c r="J657" s="196">
        <v>49276</v>
      </c>
      <c r="K657" s="196">
        <v>74.900000000000006</v>
      </c>
      <c r="L657" s="196">
        <v>0.87</v>
      </c>
      <c r="M657" s="196">
        <v>4638</v>
      </c>
      <c r="N657" s="196">
        <v>898027</v>
      </c>
      <c r="O657" s="196">
        <v>1105</v>
      </c>
      <c r="P657" s="196" t="s">
        <v>841</v>
      </c>
      <c r="Q657" s="196" t="s">
        <v>1207</v>
      </c>
      <c r="R657" s="196" t="s">
        <v>1208</v>
      </c>
      <c r="S657" s="196" t="s">
        <v>844</v>
      </c>
      <c r="T657" s="196" t="s">
        <v>845</v>
      </c>
      <c r="U657" s="196" t="s">
        <v>846</v>
      </c>
      <c r="V657" s="196" t="s">
        <v>841</v>
      </c>
      <c r="W657" s="196" t="s">
        <v>989</v>
      </c>
      <c r="X657" s="196" t="s">
        <v>1207</v>
      </c>
      <c r="Y657" s="196" t="s">
        <v>848</v>
      </c>
    </row>
    <row r="658" spans="1:25">
      <c r="A658" s="196" t="s">
        <v>837</v>
      </c>
      <c r="B658" s="196" t="s">
        <v>850</v>
      </c>
      <c r="C658" s="196">
        <v>2013</v>
      </c>
      <c r="D658" s="196">
        <v>30</v>
      </c>
      <c r="E658" s="196" t="s">
        <v>851</v>
      </c>
      <c r="F658" s="196" t="s">
        <v>1276</v>
      </c>
      <c r="G658" s="196">
        <v>1</v>
      </c>
      <c r="H658" s="196">
        <v>1</v>
      </c>
      <c r="I658" s="196">
        <v>705</v>
      </c>
      <c r="J658" s="196">
        <v>30596</v>
      </c>
      <c r="K658" s="196">
        <v>92.9</v>
      </c>
      <c r="L658" s="196">
        <v>2.2999999999999998</v>
      </c>
      <c r="M658" s="196">
        <v>20162</v>
      </c>
      <c r="N658" s="196">
        <v>2170083</v>
      </c>
      <c r="O658" s="196">
        <v>2203</v>
      </c>
      <c r="P658" s="196" t="s">
        <v>1211</v>
      </c>
      <c r="Q658" s="196" t="s">
        <v>1212</v>
      </c>
      <c r="R658" s="196" t="s">
        <v>1213</v>
      </c>
      <c r="S658" s="196" t="s">
        <v>844</v>
      </c>
      <c r="T658" s="196" t="s">
        <v>888</v>
      </c>
      <c r="U658" s="196" t="s">
        <v>1214</v>
      </c>
      <c r="V658" s="196" t="s">
        <v>1215</v>
      </c>
      <c r="W658" s="196" t="s">
        <v>1211</v>
      </c>
      <c r="X658" s="196" t="s">
        <v>1212</v>
      </c>
      <c r="Y658" s="196" t="s">
        <v>848</v>
      </c>
    </row>
    <row r="659" spans="1:25">
      <c r="A659" s="196" t="s">
        <v>837</v>
      </c>
      <c r="B659" s="196" t="s">
        <v>181</v>
      </c>
      <c r="C659" s="196">
        <v>2014</v>
      </c>
      <c r="D659" s="196">
        <v>80</v>
      </c>
      <c r="E659" s="196" t="s">
        <v>874</v>
      </c>
      <c r="F659" s="196" t="s">
        <v>1276</v>
      </c>
      <c r="G659" s="196">
        <v>1</v>
      </c>
      <c r="H659" s="196">
        <v>1</v>
      </c>
      <c r="I659" s="196">
        <v>765</v>
      </c>
      <c r="J659" s="196">
        <v>6402</v>
      </c>
      <c r="K659" s="196">
        <v>92.9</v>
      </c>
      <c r="L659" s="196">
        <v>2.2999999999999998</v>
      </c>
      <c r="M659" s="196">
        <v>20162</v>
      </c>
      <c r="N659" s="196">
        <v>2170083</v>
      </c>
      <c r="O659" s="196">
        <v>2203</v>
      </c>
      <c r="P659" s="196" t="s">
        <v>1211</v>
      </c>
      <c r="Q659" s="196" t="s">
        <v>1212</v>
      </c>
      <c r="R659" s="196" t="s">
        <v>1213</v>
      </c>
      <c r="S659" s="196" t="s">
        <v>844</v>
      </c>
      <c r="T659" s="196" t="s">
        <v>888</v>
      </c>
      <c r="U659" s="196" t="s">
        <v>1214</v>
      </c>
      <c r="V659" s="196" t="s">
        <v>1215</v>
      </c>
      <c r="W659" s="196" t="s">
        <v>1211</v>
      </c>
      <c r="X659" s="196" t="s">
        <v>1212</v>
      </c>
      <c r="Y659" s="196" t="s">
        <v>848</v>
      </c>
    </row>
    <row r="660" spans="1:25">
      <c r="A660" s="196" t="s">
        <v>837</v>
      </c>
      <c r="B660" s="196" t="s">
        <v>850</v>
      </c>
      <c r="C660" s="196">
        <v>2014</v>
      </c>
      <c r="D660" s="196">
        <v>80</v>
      </c>
      <c r="E660" s="196" t="s">
        <v>875</v>
      </c>
      <c r="F660" s="196" t="s">
        <v>1276</v>
      </c>
      <c r="G660" s="196">
        <v>1</v>
      </c>
      <c r="H660" s="196">
        <v>1</v>
      </c>
      <c r="I660" s="196">
        <v>1737</v>
      </c>
      <c r="J660" s="196">
        <v>27185</v>
      </c>
      <c r="K660" s="196">
        <v>92.9</v>
      </c>
      <c r="L660" s="196">
        <v>2.2999999999999998</v>
      </c>
      <c r="M660" s="196">
        <v>20162</v>
      </c>
      <c r="N660" s="196">
        <v>2170083</v>
      </c>
      <c r="O660" s="196">
        <v>2203</v>
      </c>
      <c r="P660" s="196" t="s">
        <v>1211</v>
      </c>
      <c r="Q660" s="196" t="s">
        <v>1212</v>
      </c>
      <c r="R660" s="196" t="s">
        <v>1213</v>
      </c>
      <c r="S660" s="196" t="s">
        <v>844</v>
      </c>
      <c r="T660" s="196" t="s">
        <v>888</v>
      </c>
      <c r="U660" s="196" t="s">
        <v>1214</v>
      </c>
      <c r="V660" s="196" t="s">
        <v>1215</v>
      </c>
      <c r="W660" s="196" t="s">
        <v>1211</v>
      </c>
      <c r="X660" s="196" t="s">
        <v>1212</v>
      </c>
      <c r="Y660" s="196" t="s">
        <v>848</v>
      </c>
    </row>
    <row r="661" spans="1:25">
      <c r="A661" s="196" t="s">
        <v>837</v>
      </c>
      <c r="B661" s="196" t="s">
        <v>838</v>
      </c>
      <c r="C661" s="196">
        <v>2013</v>
      </c>
      <c r="D661" s="196">
        <v>30</v>
      </c>
      <c r="E661" s="196" t="s">
        <v>839</v>
      </c>
      <c r="F661" s="196" t="s">
        <v>1277</v>
      </c>
      <c r="G661" s="196">
        <v>1</v>
      </c>
      <c r="H661" s="196">
        <v>1</v>
      </c>
      <c r="I661" s="196">
        <v>1242</v>
      </c>
      <c r="J661" s="196">
        <v>15451</v>
      </c>
      <c r="K661" s="196">
        <v>91.01</v>
      </c>
      <c r="L661" s="196">
        <v>3.32</v>
      </c>
      <c r="M661" s="196">
        <v>45834</v>
      </c>
      <c r="N661" s="196">
        <v>4163499</v>
      </c>
      <c r="O661" s="196">
        <v>3706</v>
      </c>
      <c r="P661" s="196" t="s">
        <v>920</v>
      </c>
      <c r="Q661" s="196" t="s">
        <v>1278</v>
      </c>
      <c r="R661" s="196" t="s">
        <v>1279</v>
      </c>
      <c r="S661" s="196" t="s">
        <v>844</v>
      </c>
      <c r="T661" s="196" t="s">
        <v>923</v>
      </c>
      <c r="U661" s="196" t="s">
        <v>1280</v>
      </c>
      <c r="V661" s="196" t="s">
        <v>1278</v>
      </c>
      <c r="W661" s="196" t="s">
        <v>848</v>
      </c>
      <c r="X661" s="196" t="s">
        <v>848</v>
      </c>
      <c r="Y661" s="196" t="s">
        <v>848</v>
      </c>
    </row>
    <row r="662" spans="1:25">
      <c r="A662" s="196" t="s">
        <v>837</v>
      </c>
      <c r="B662" s="196" t="s">
        <v>838</v>
      </c>
      <c r="C662" s="196">
        <v>2013</v>
      </c>
      <c r="D662" s="196">
        <v>55</v>
      </c>
      <c r="E662" s="196" t="s">
        <v>849</v>
      </c>
      <c r="F662" s="196" t="s">
        <v>1277</v>
      </c>
      <c r="G662" s="196">
        <v>1</v>
      </c>
      <c r="H662" s="196">
        <v>1</v>
      </c>
      <c r="I662" s="196">
        <v>1209</v>
      </c>
      <c r="J662" s="196">
        <v>49300</v>
      </c>
      <c r="K662" s="196">
        <v>91.01</v>
      </c>
      <c r="L662" s="196">
        <v>3.32</v>
      </c>
      <c r="M662" s="196">
        <v>45834</v>
      </c>
      <c r="N662" s="196">
        <v>4163499</v>
      </c>
      <c r="O662" s="196">
        <v>3706</v>
      </c>
      <c r="P662" s="196" t="s">
        <v>920</v>
      </c>
      <c r="Q662" s="196" t="s">
        <v>1278</v>
      </c>
      <c r="R662" s="196" t="s">
        <v>1279</v>
      </c>
      <c r="S662" s="196" t="s">
        <v>844</v>
      </c>
      <c r="T662" s="196" t="s">
        <v>923</v>
      </c>
      <c r="U662" s="196" t="s">
        <v>1280</v>
      </c>
      <c r="V662" s="196" t="s">
        <v>1278</v>
      </c>
      <c r="W662" s="196" t="s">
        <v>848</v>
      </c>
      <c r="X662" s="196" t="s">
        <v>848</v>
      </c>
      <c r="Y662" s="196" t="s">
        <v>848</v>
      </c>
    </row>
    <row r="663" spans="1:25">
      <c r="A663" s="196" t="s">
        <v>837</v>
      </c>
      <c r="B663" s="196" t="s">
        <v>850</v>
      </c>
      <c r="C663" s="196">
        <v>2013</v>
      </c>
      <c r="D663" s="196">
        <v>55</v>
      </c>
      <c r="E663" s="196" t="s">
        <v>852</v>
      </c>
      <c r="F663" s="196" t="s">
        <v>1277</v>
      </c>
      <c r="G663" s="196">
        <v>2</v>
      </c>
      <c r="H663" s="196">
        <v>2</v>
      </c>
      <c r="I663" s="196">
        <v>4263</v>
      </c>
      <c r="J663" s="196">
        <v>164209</v>
      </c>
      <c r="K663" s="196">
        <v>91.01</v>
      </c>
      <c r="L663" s="196">
        <v>3.32</v>
      </c>
      <c r="M663" s="196">
        <v>45834</v>
      </c>
      <c r="N663" s="196">
        <v>4163499</v>
      </c>
      <c r="O663" s="196">
        <v>3706</v>
      </c>
      <c r="P663" s="196" t="s">
        <v>920</v>
      </c>
      <c r="Q663" s="196" t="s">
        <v>1278</v>
      </c>
      <c r="R663" s="196" t="s">
        <v>1279</v>
      </c>
      <c r="S663" s="196" t="s">
        <v>844</v>
      </c>
      <c r="T663" s="196" t="s">
        <v>923</v>
      </c>
      <c r="U663" s="196" t="s">
        <v>1280</v>
      </c>
      <c r="V663" s="196" t="s">
        <v>1278</v>
      </c>
      <c r="W663" s="196" t="s">
        <v>848</v>
      </c>
      <c r="X663" s="196" t="s">
        <v>848</v>
      </c>
      <c r="Y663" s="196" t="s">
        <v>848</v>
      </c>
    </row>
    <row r="664" spans="1:25">
      <c r="A664" s="196" t="s">
        <v>837</v>
      </c>
      <c r="B664" s="196" t="s">
        <v>850</v>
      </c>
      <c r="C664" s="196">
        <v>2013</v>
      </c>
      <c r="D664" s="196">
        <v>80</v>
      </c>
      <c r="E664" s="196" t="s">
        <v>917</v>
      </c>
      <c r="F664" s="196" t="s">
        <v>1277</v>
      </c>
      <c r="G664" s="196">
        <v>1</v>
      </c>
      <c r="H664" s="196">
        <v>1</v>
      </c>
      <c r="I664" s="196">
        <v>2679</v>
      </c>
      <c r="J664" s="196">
        <v>79217</v>
      </c>
      <c r="K664" s="196">
        <v>91.01</v>
      </c>
      <c r="L664" s="196">
        <v>3.32</v>
      </c>
      <c r="M664" s="196">
        <v>45834</v>
      </c>
      <c r="N664" s="196">
        <v>4163499</v>
      </c>
      <c r="O664" s="196">
        <v>3706</v>
      </c>
      <c r="P664" s="196" t="s">
        <v>920</v>
      </c>
      <c r="Q664" s="196" t="s">
        <v>1278</v>
      </c>
      <c r="R664" s="196" t="s">
        <v>1279</v>
      </c>
      <c r="S664" s="196" t="s">
        <v>844</v>
      </c>
      <c r="T664" s="196" t="s">
        <v>923</v>
      </c>
      <c r="U664" s="196" t="s">
        <v>1280</v>
      </c>
      <c r="V664" s="196" t="s">
        <v>1278</v>
      </c>
      <c r="W664" s="196" t="s">
        <v>848</v>
      </c>
      <c r="X664" s="196" t="s">
        <v>848</v>
      </c>
      <c r="Y664" s="196" t="s">
        <v>848</v>
      </c>
    </row>
    <row r="665" spans="1:25">
      <c r="A665" s="196" t="s">
        <v>837</v>
      </c>
      <c r="B665" s="196" t="s">
        <v>850</v>
      </c>
      <c r="C665" s="196">
        <v>2014</v>
      </c>
      <c r="D665" s="196">
        <v>80</v>
      </c>
      <c r="E665" s="196" t="s">
        <v>918</v>
      </c>
      <c r="F665" s="196" t="s">
        <v>1277</v>
      </c>
      <c r="G665" s="196">
        <v>1</v>
      </c>
      <c r="H665" s="196">
        <v>1</v>
      </c>
      <c r="I665" s="196">
        <v>2112</v>
      </c>
      <c r="J665" s="196">
        <v>149769</v>
      </c>
      <c r="K665" s="196">
        <v>91.01</v>
      </c>
      <c r="L665" s="196">
        <v>3.32</v>
      </c>
      <c r="M665" s="196">
        <v>45834</v>
      </c>
      <c r="N665" s="196">
        <v>4163499</v>
      </c>
      <c r="O665" s="196">
        <v>3706</v>
      </c>
      <c r="P665" s="196" t="s">
        <v>920</v>
      </c>
      <c r="Q665" s="196" t="s">
        <v>1278</v>
      </c>
      <c r="R665" s="196" t="s">
        <v>1279</v>
      </c>
      <c r="S665" s="196" t="s">
        <v>844</v>
      </c>
      <c r="T665" s="196" t="s">
        <v>923</v>
      </c>
      <c r="U665" s="196" t="s">
        <v>1280</v>
      </c>
      <c r="V665" s="196" t="s">
        <v>1278</v>
      </c>
      <c r="W665" s="196" t="s">
        <v>848</v>
      </c>
      <c r="X665" s="196" t="s">
        <v>848</v>
      </c>
      <c r="Y665" s="196" t="s">
        <v>848</v>
      </c>
    </row>
    <row r="666" spans="1:25">
      <c r="A666" s="196" t="s">
        <v>837</v>
      </c>
      <c r="B666" s="196" t="s">
        <v>181</v>
      </c>
      <c r="C666" s="196">
        <v>2013</v>
      </c>
      <c r="D666" s="196">
        <v>80</v>
      </c>
      <c r="E666" s="196" t="s">
        <v>876</v>
      </c>
      <c r="F666" s="196" t="s">
        <v>1277</v>
      </c>
      <c r="G666" s="196">
        <v>3</v>
      </c>
      <c r="H666" s="196">
        <v>3</v>
      </c>
      <c r="I666" s="196">
        <v>4086</v>
      </c>
      <c r="J666" s="196">
        <v>216190</v>
      </c>
      <c r="K666" s="196">
        <v>91.01</v>
      </c>
      <c r="L666" s="196">
        <v>3.32</v>
      </c>
      <c r="M666" s="196">
        <v>45834</v>
      </c>
      <c r="N666" s="196">
        <v>4163499</v>
      </c>
      <c r="O666" s="196">
        <v>3706</v>
      </c>
      <c r="P666" s="196" t="s">
        <v>920</v>
      </c>
      <c r="Q666" s="196" t="s">
        <v>1278</v>
      </c>
      <c r="R666" s="196" t="s">
        <v>1279</v>
      </c>
      <c r="S666" s="196" t="s">
        <v>844</v>
      </c>
      <c r="T666" s="196" t="s">
        <v>923</v>
      </c>
      <c r="U666" s="196" t="s">
        <v>1280</v>
      </c>
      <c r="V666" s="196" t="s">
        <v>1278</v>
      </c>
      <c r="W666" s="196" t="s">
        <v>848</v>
      </c>
      <c r="X666" s="196" t="s">
        <v>848</v>
      </c>
      <c r="Y666" s="196" t="s">
        <v>848</v>
      </c>
    </row>
    <row r="667" spans="1:25">
      <c r="A667" s="196" t="s">
        <v>837</v>
      </c>
      <c r="B667" s="196" t="s">
        <v>850</v>
      </c>
      <c r="C667" s="196">
        <v>2013</v>
      </c>
      <c r="D667" s="196">
        <v>30</v>
      </c>
      <c r="E667" s="196" t="s">
        <v>851</v>
      </c>
      <c r="F667" s="196" t="s">
        <v>1281</v>
      </c>
      <c r="G667" s="196">
        <v>2</v>
      </c>
      <c r="H667" s="196">
        <v>2</v>
      </c>
      <c r="I667" s="196">
        <v>2379</v>
      </c>
      <c r="J667" s="196">
        <v>17843</v>
      </c>
      <c r="K667" s="196">
        <v>95.04</v>
      </c>
      <c r="L667" s="196">
        <v>3.35</v>
      </c>
      <c r="M667" s="196">
        <v>10179</v>
      </c>
      <c r="N667" s="196">
        <v>1710189</v>
      </c>
      <c r="O667" s="196">
        <v>1827</v>
      </c>
      <c r="P667" s="196" t="s">
        <v>1106</v>
      </c>
      <c r="Q667" s="196" t="s">
        <v>1111</v>
      </c>
      <c r="R667" s="196" t="s">
        <v>1282</v>
      </c>
      <c r="S667" s="196" t="s">
        <v>844</v>
      </c>
      <c r="T667" s="196" t="s">
        <v>1109</v>
      </c>
      <c r="U667" s="196" t="s">
        <v>1110</v>
      </c>
      <c r="V667" s="196" t="s">
        <v>1111</v>
      </c>
      <c r="W667" s="196" t="s">
        <v>1283</v>
      </c>
      <c r="X667" s="196" t="s">
        <v>1284</v>
      </c>
      <c r="Y667" s="196" t="s">
        <v>1285</v>
      </c>
    </row>
    <row r="668" spans="1:25">
      <c r="A668" s="196" t="s">
        <v>837</v>
      </c>
      <c r="B668" s="196" t="s">
        <v>838</v>
      </c>
      <c r="C668" s="196">
        <v>2014</v>
      </c>
      <c r="D668" s="196">
        <v>80</v>
      </c>
      <c r="E668" s="196" t="s">
        <v>853</v>
      </c>
      <c r="F668" s="196" t="s">
        <v>1281</v>
      </c>
      <c r="G668" s="196">
        <v>1</v>
      </c>
      <c r="H668" s="196">
        <v>1</v>
      </c>
      <c r="I668" s="196">
        <v>1419</v>
      </c>
      <c r="J668" s="196">
        <v>15884</v>
      </c>
      <c r="K668" s="196">
        <v>95.04</v>
      </c>
      <c r="L668" s="196">
        <v>3.35</v>
      </c>
      <c r="M668" s="196">
        <v>10179</v>
      </c>
      <c r="N668" s="196">
        <v>1710189</v>
      </c>
      <c r="O668" s="196">
        <v>1827</v>
      </c>
      <c r="P668" s="196" t="s">
        <v>1106</v>
      </c>
      <c r="Q668" s="196" t="s">
        <v>1111</v>
      </c>
      <c r="R668" s="196" t="s">
        <v>1282</v>
      </c>
      <c r="S668" s="196" t="s">
        <v>844</v>
      </c>
      <c r="T668" s="196" t="s">
        <v>1109</v>
      </c>
      <c r="U668" s="196" t="s">
        <v>1110</v>
      </c>
      <c r="V668" s="196" t="s">
        <v>1111</v>
      </c>
      <c r="W668" s="196" t="s">
        <v>1283</v>
      </c>
      <c r="X668" s="196" t="s">
        <v>1284</v>
      </c>
      <c r="Y668" s="196" t="s">
        <v>1285</v>
      </c>
    </row>
    <row r="669" spans="1:25">
      <c r="A669" s="196" t="s">
        <v>837</v>
      </c>
      <c r="B669" s="196" t="s">
        <v>850</v>
      </c>
      <c r="C669" s="196">
        <v>2014</v>
      </c>
      <c r="D669" s="196">
        <v>80</v>
      </c>
      <c r="E669" s="196" t="s">
        <v>918</v>
      </c>
      <c r="F669" s="196" t="s">
        <v>1281</v>
      </c>
      <c r="G669" s="196">
        <v>1</v>
      </c>
      <c r="H669" s="196">
        <v>1</v>
      </c>
      <c r="I669" s="196">
        <v>1638</v>
      </c>
      <c r="J669" s="196">
        <v>10898</v>
      </c>
      <c r="K669" s="196">
        <v>95.04</v>
      </c>
      <c r="L669" s="196">
        <v>3.35</v>
      </c>
      <c r="M669" s="196">
        <v>10179</v>
      </c>
      <c r="N669" s="196">
        <v>1710189</v>
      </c>
      <c r="O669" s="196">
        <v>1827</v>
      </c>
      <c r="P669" s="196" t="s">
        <v>1106</v>
      </c>
      <c r="Q669" s="196" t="s">
        <v>1111</v>
      </c>
      <c r="R669" s="196" t="s">
        <v>1282</v>
      </c>
      <c r="S669" s="196" t="s">
        <v>844</v>
      </c>
      <c r="T669" s="196" t="s">
        <v>1109</v>
      </c>
      <c r="U669" s="196" t="s">
        <v>1110</v>
      </c>
      <c r="V669" s="196" t="s">
        <v>1111</v>
      </c>
      <c r="W669" s="196" t="s">
        <v>1283</v>
      </c>
      <c r="X669" s="196" t="s">
        <v>1284</v>
      </c>
      <c r="Y669" s="196" t="s">
        <v>1285</v>
      </c>
    </row>
    <row r="670" spans="1:25">
      <c r="A670" s="196" t="s">
        <v>837</v>
      </c>
      <c r="B670" s="196" t="s">
        <v>181</v>
      </c>
      <c r="C670" s="196">
        <v>2013</v>
      </c>
      <c r="D670" s="196">
        <v>80</v>
      </c>
      <c r="E670" s="196" t="s">
        <v>876</v>
      </c>
      <c r="F670" s="196" t="s">
        <v>1281</v>
      </c>
      <c r="G670" s="196">
        <v>1</v>
      </c>
      <c r="H670" s="196">
        <v>1</v>
      </c>
      <c r="I670" s="196">
        <v>405</v>
      </c>
      <c r="J670" s="196">
        <v>14459</v>
      </c>
      <c r="K670" s="196">
        <v>95.04</v>
      </c>
      <c r="L670" s="196">
        <v>3.35</v>
      </c>
      <c r="M670" s="196">
        <v>10179</v>
      </c>
      <c r="N670" s="196">
        <v>1710189</v>
      </c>
      <c r="O670" s="196">
        <v>1827</v>
      </c>
      <c r="P670" s="196" t="s">
        <v>1106</v>
      </c>
      <c r="Q670" s="196" t="s">
        <v>1111</v>
      </c>
      <c r="R670" s="196" t="s">
        <v>1282</v>
      </c>
      <c r="S670" s="196" t="s">
        <v>844</v>
      </c>
      <c r="T670" s="196" t="s">
        <v>1109</v>
      </c>
      <c r="U670" s="196" t="s">
        <v>1110</v>
      </c>
      <c r="V670" s="196" t="s">
        <v>1111</v>
      </c>
      <c r="W670" s="196" t="s">
        <v>1283</v>
      </c>
      <c r="X670" s="196" t="s">
        <v>1284</v>
      </c>
      <c r="Y670" s="196" t="s">
        <v>1285</v>
      </c>
    </row>
    <row r="671" spans="1:25">
      <c r="A671" s="196" t="s">
        <v>837</v>
      </c>
      <c r="B671" s="196" t="s">
        <v>181</v>
      </c>
      <c r="C671" s="196">
        <v>2014</v>
      </c>
      <c r="D671" s="196">
        <v>55</v>
      </c>
      <c r="E671" s="196" t="s">
        <v>858</v>
      </c>
      <c r="F671" s="196" t="s">
        <v>1281</v>
      </c>
      <c r="G671" s="196">
        <v>1</v>
      </c>
      <c r="H671" s="196">
        <v>1</v>
      </c>
      <c r="I671" s="196">
        <v>1353</v>
      </c>
      <c r="J671" s="196">
        <v>35743</v>
      </c>
      <c r="K671" s="196">
        <v>95.04</v>
      </c>
      <c r="L671" s="196">
        <v>3.35</v>
      </c>
      <c r="M671" s="196">
        <v>10179</v>
      </c>
      <c r="N671" s="196">
        <v>1710189</v>
      </c>
      <c r="O671" s="196">
        <v>1827</v>
      </c>
      <c r="P671" s="196" t="s">
        <v>1106</v>
      </c>
      <c r="Q671" s="196" t="s">
        <v>1111</v>
      </c>
      <c r="R671" s="196" t="s">
        <v>1282</v>
      </c>
      <c r="S671" s="196" t="s">
        <v>844</v>
      </c>
      <c r="T671" s="196" t="s">
        <v>1109</v>
      </c>
      <c r="U671" s="196" t="s">
        <v>1110</v>
      </c>
      <c r="V671" s="196" t="s">
        <v>1111</v>
      </c>
      <c r="W671" s="196" t="s">
        <v>1283</v>
      </c>
      <c r="X671" s="196" t="s">
        <v>1284</v>
      </c>
      <c r="Y671" s="196" t="s">
        <v>1285</v>
      </c>
    </row>
    <row r="672" spans="1:25">
      <c r="A672" s="196" t="s">
        <v>837</v>
      </c>
      <c r="B672" s="196" t="s">
        <v>850</v>
      </c>
      <c r="C672" s="196">
        <v>2014</v>
      </c>
      <c r="D672" s="196">
        <v>30</v>
      </c>
      <c r="E672" s="196" t="s">
        <v>860</v>
      </c>
      <c r="F672" s="196" t="s">
        <v>1281</v>
      </c>
      <c r="G672" s="196">
        <v>9</v>
      </c>
      <c r="H672" s="196">
        <v>8</v>
      </c>
      <c r="I672" s="196">
        <v>11769</v>
      </c>
      <c r="J672" s="196">
        <v>99708</v>
      </c>
      <c r="K672" s="196">
        <v>95.04</v>
      </c>
      <c r="L672" s="196">
        <v>3.35</v>
      </c>
      <c r="M672" s="196">
        <v>10179</v>
      </c>
      <c r="N672" s="196">
        <v>1710189</v>
      </c>
      <c r="O672" s="196">
        <v>1827</v>
      </c>
      <c r="P672" s="196" t="s">
        <v>1106</v>
      </c>
      <c r="Q672" s="196" t="s">
        <v>1111</v>
      </c>
      <c r="R672" s="196" t="s">
        <v>1282</v>
      </c>
      <c r="S672" s="196" t="s">
        <v>844</v>
      </c>
      <c r="T672" s="196" t="s">
        <v>1109</v>
      </c>
      <c r="U672" s="196" t="s">
        <v>1110</v>
      </c>
      <c r="V672" s="196" t="s">
        <v>1111</v>
      </c>
      <c r="W672" s="196" t="s">
        <v>1283</v>
      </c>
      <c r="X672" s="196" t="s">
        <v>1284</v>
      </c>
      <c r="Y672" s="196" t="s">
        <v>1285</v>
      </c>
    </row>
    <row r="673" spans="1:25">
      <c r="A673" s="196" t="s">
        <v>837</v>
      </c>
      <c r="B673" s="196" t="s">
        <v>850</v>
      </c>
      <c r="C673" s="196">
        <v>2014</v>
      </c>
      <c r="D673" s="196">
        <v>30</v>
      </c>
      <c r="E673" s="196" t="s">
        <v>861</v>
      </c>
      <c r="F673" s="196" t="s">
        <v>1281</v>
      </c>
      <c r="G673" s="196">
        <v>1</v>
      </c>
      <c r="H673" s="196">
        <v>1</v>
      </c>
      <c r="I673" s="196">
        <v>873</v>
      </c>
      <c r="J673" s="196">
        <v>2772</v>
      </c>
      <c r="K673" s="196">
        <v>95.04</v>
      </c>
      <c r="L673" s="196">
        <v>3.35</v>
      </c>
      <c r="M673" s="196">
        <v>10179</v>
      </c>
      <c r="N673" s="196">
        <v>1710189</v>
      </c>
      <c r="O673" s="196">
        <v>1827</v>
      </c>
      <c r="P673" s="196" t="s">
        <v>1106</v>
      </c>
      <c r="Q673" s="196" t="s">
        <v>1111</v>
      </c>
      <c r="R673" s="196" t="s">
        <v>1282</v>
      </c>
      <c r="S673" s="196" t="s">
        <v>844</v>
      </c>
      <c r="T673" s="196" t="s">
        <v>1109</v>
      </c>
      <c r="U673" s="196" t="s">
        <v>1110</v>
      </c>
      <c r="V673" s="196" t="s">
        <v>1111</v>
      </c>
      <c r="W673" s="196" t="s">
        <v>1283</v>
      </c>
      <c r="X673" s="196" t="s">
        <v>1284</v>
      </c>
      <c r="Y673" s="196" t="s">
        <v>1285</v>
      </c>
    </row>
    <row r="674" spans="1:25">
      <c r="A674" s="196" t="s">
        <v>837</v>
      </c>
      <c r="B674" s="196" t="s">
        <v>850</v>
      </c>
      <c r="C674" s="196">
        <v>2014</v>
      </c>
      <c r="D674" s="196">
        <v>55</v>
      </c>
      <c r="E674" s="196" t="s">
        <v>862</v>
      </c>
      <c r="F674" s="196" t="s">
        <v>1281</v>
      </c>
      <c r="G674" s="196">
        <v>1</v>
      </c>
      <c r="H674" s="196">
        <v>1</v>
      </c>
      <c r="I674" s="196">
        <v>1035</v>
      </c>
      <c r="J674" s="196">
        <v>2653</v>
      </c>
      <c r="K674" s="196">
        <v>95.04</v>
      </c>
      <c r="L674" s="196">
        <v>3.35</v>
      </c>
      <c r="M674" s="196">
        <v>10179</v>
      </c>
      <c r="N674" s="196">
        <v>1710189</v>
      </c>
      <c r="O674" s="196">
        <v>1827</v>
      </c>
      <c r="P674" s="196" t="s">
        <v>1106</v>
      </c>
      <c r="Q674" s="196" t="s">
        <v>1111</v>
      </c>
      <c r="R674" s="196" t="s">
        <v>1282</v>
      </c>
      <c r="S674" s="196" t="s">
        <v>844</v>
      </c>
      <c r="T674" s="196" t="s">
        <v>1109</v>
      </c>
      <c r="U674" s="196" t="s">
        <v>1110</v>
      </c>
      <c r="V674" s="196" t="s">
        <v>1111</v>
      </c>
      <c r="W674" s="196" t="s">
        <v>1283</v>
      </c>
      <c r="X674" s="196" t="s">
        <v>1284</v>
      </c>
      <c r="Y674" s="196" t="s">
        <v>1285</v>
      </c>
    </row>
    <row r="675" spans="1:25">
      <c r="A675" s="196" t="s">
        <v>837</v>
      </c>
      <c r="B675" s="196" t="s">
        <v>838</v>
      </c>
      <c r="C675" s="196">
        <v>2013</v>
      </c>
      <c r="D675" s="196">
        <v>30</v>
      </c>
      <c r="E675" s="196" t="s">
        <v>839</v>
      </c>
      <c r="F675" s="196" t="s">
        <v>1286</v>
      </c>
      <c r="G675" s="196">
        <v>1</v>
      </c>
      <c r="H675" s="196">
        <v>1</v>
      </c>
      <c r="I675" s="196">
        <v>855</v>
      </c>
      <c r="J675" s="196">
        <v>3403</v>
      </c>
      <c r="K675" s="196">
        <v>57.95</v>
      </c>
      <c r="L675" s="196">
        <v>2.3199999999999998</v>
      </c>
      <c r="M675" s="196">
        <v>4260</v>
      </c>
      <c r="N675" s="196">
        <v>1086277</v>
      </c>
      <c r="O675" s="196">
        <v>1302</v>
      </c>
      <c r="P675" s="196" t="s">
        <v>910</v>
      </c>
      <c r="Q675" s="196" t="s">
        <v>1287</v>
      </c>
      <c r="R675" s="196" t="s">
        <v>1288</v>
      </c>
      <c r="S675" s="196" t="s">
        <v>844</v>
      </c>
      <c r="T675" s="196" t="s">
        <v>913</v>
      </c>
      <c r="U675" s="196" t="s">
        <v>914</v>
      </c>
      <c r="V675" s="196" t="s">
        <v>911</v>
      </c>
      <c r="W675" s="196" t="s">
        <v>915</v>
      </c>
      <c r="X675" s="196" t="s">
        <v>1287</v>
      </c>
      <c r="Y675" s="196" t="s">
        <v>848</v>
      </c>
    </row>
    <row r="676" spans="1:25">
      <c r="A676" s="196" t="s">
        <v>837</v>
      </c>
      <c r="B676" s="196" t="s">
        <v>838</v>
      </c>
      <c r="C676" s="196">
        <v>2013</v>
      </c>
      <c r="D676" s="196">
        <v>55</v>
      </c>
      <c r="E676" s="196" t="s">
        <v>849</v>
      </c>
      <c r="F676" s="196" t="s">
        <v>1286</v>
      </c>
      <c r="G676" s="196">
        <v>8</v>
      </c>
      <c r="H676" s="196">
        <v>7</v>
      </c>
      <c r="I676" s="196">
        <v>9670</v>
      </c>
      <c r="J676" s="196">
        <v>31360</v>
      </c>
      <c r="K676" s="196">
        <v>57.95</v>
      </c>
      <c r="L676" s="196">
        <v>2.3199999999999998</v>
      </c>
      <c r="M676" s="196">
        <v>4260</v>
      </c>
      <c r="N676" s="196">
        <v>1086277</v>
      </c>
      <c r="O676" s="196">
        <v>1302</v>
      </c>
      <c r="P676" s="196" t="s">
        <v>910</v>
      </c>
      <c r="Q676" s="196" t="s">
        <v>1287</v>
      </c>
      <c r="R676" s="196" t="s">
        <v>1288</v>
      </c>
      <c r="S676" s="196" t="s">
        <v>844</v>
      </c>
      <c r="T676" s="196" t="s">
        <v>913</v>
      </c>
      <c r="U676" s="196" t="s">
        <v>914</v>
      </c>
      <c r="V676" s="196" t="s">
        <v>911</v>
      </c>
      <c r="W676" s="196" t="s">
        <v>915</v>
      </c>
      <c r="X676" s="196" t="s">
        <v>1287</v>
      </c>
      <c r="Y676" s="196" t="s">
        <v>848</v>
      </c>
    </row>
    <row r="677" spans="1:25">
      <c r="A677" s="196" t="s">
        <v>837</v>
      </c>
      <c r="B677" s="196" t="s">
        <v>850</v>
      </c>
      <c r="C677" s="196">
        <v>2013</v>
      </c>
      <c r="D677" s="196">
        <v>30</v>
      </c>
      <c r="E677" s="196" t="s">
        <v>851</v>
      </c>
      <c r="F677" s="196" t="s">
        <v>1286</v>
      </c>
      <c r="G677" s="196">
        <v>4</v>
      </c>
      <c r="H677" s="196">
        <v>4</v>
      </c>
      <c r="I677" s="196">
        <v>6192</v>
      </c>
      <c r="J677" s="196">
        <v>18677</v>
      </c>
      <c r="K677" s="196">
        <v>57.95</v>
      </c>
      <c r="L677" s="196">
        <v>2.3199999999999998</v>
      </c>
      <c r="M677" s="196">
        <v>4260</v>
      </c>
      <c r="N677" s="196">
        <v>1086277</v>
      </c>
      <c r="O677" s="196">
        <v>1302</v>
      </c>
      <c r="P677" s="196" t="s">
        <v>910</v>
      </c>
      <c r="Q677" s="196" t="s">
        <v>1287</v>
      </c>
      <c r="R677" s="196" t="s">
        <v>1288</v>
      </c>
      <c r="S677" s="196" t="s">
        <v>844</v>
      </c>
      <c r="T677" s="196" t="s">
        <v>913</v>
      </c>
      <c r="U677" s="196" t="s">
        <v>914</v>
      </c>
      <c r="V677" s="196" t="s">
        <v>911</v>
      </c>
      <c r="W677" s="196" t="s">
        <v>915</v>
      </c>
      <c r="X677" s="196" t="s">
        <v>1287</v>
      </c>
      <c r="Y677" s="196" t="s">
        <v>848</v>
      </c>
    </row>
    <row r="678" spans="1:25">
      <c r="A678" s="196" t="s">
        <v>837</v>
      </c>
      <c r="B678" s="196" t="s">
        <v>850</v>
      </c>
      <c r="C678" s="196">
        <v>2013</v>
      </c>
      <c r="D678" s="196">
        <v>55</v>
      </c>
      <c r="E678" s="196" t="s">
        <v>852</v>
      </c>
      <c r="F678" s="196" t="s">
        <v>1286</v>
      </c>
      <c r="G678" s="196">
        <v>3</v>
      </c>
      <c r="H678" s="196">
        <v>3</v>
      </c>
      <c r="I678" s="196">
        <v>2625</v>
      </c>
      <c r="J678" s="196">
        <v>14221</v>
      </c>
      <c r="K678" s="196">
        <v>57.95</v>
      </c>
      <c r="L678" s="196">
        <v>2.3199999999999998</v>
      </c>
      <c r="M678" s="196">
        <v>4260</v>
      </c>
      <c r="N678" s="196">
        <v>1086277</v>
      </c>
      <c r="O678" s="196">
        <v>1302</v>
      </c>
      <c r="P678" s="196" t="s">
        <v>910</v>
      </c>
      <c r="Q678" s="196" t="s">
        <v>1287</v>
      </c>
      <c r="R678" s="196" t="s">
        <v>1288</v>
      </c>
      <c r="S678" s="196" t="s">
        <v>844</v>
      </c>
      <c r="T678" s="196" t="s">
        <v>913</v>
      </c>
      <c r="U678" s="196" t="s">
        <v>914</v>
      </c>
      <c r="V678" s="196" t="s">
        <v>911</v>
      </c>
      <c r="W678" s="196" t="s">
        <v>915</v>
      </c>
      <c r="X678" s="196" t="s">
        <v>1287</v>
      </c>
      <c r="Y678" s="196" t="s">
        <v>848</v>
      </c>
    </row>
    <row r="679" spans="1:25">
      <c r="A679" s="196" t="s">
        <v>837</v>
      </c>
      <c r="B679" s="196" t="s">
        <v>838</v>
      </c>
      <c r="C679" s="196">
        <v>2014</v>
      </c>
      <c r="D679" s="196">
        <v>80</v>
      </c>
      <c r="E679" s="196" t="s">
        <v>853</v>
      </c>
      <c r="F679" s="196" t="s">
        <v>1286</v>
      </c>
      <c r="G679" s="196">
        <v>1</v>
      </c>
      <c r="H679" s="196">
        <v>1</v>
      </c>
      <c r="I679" s="196">
        <v>1224</v>
      </c>
      <c r="J679" s="196">
        <v>4579</v>
      </c>
      <c r="K679" s="196">
        <v>57.95</v>
      </c>
      <c r="L679" s="196">
        <v>2.3199999999999998</v>
      </c>
      <c r="M679" s="196">
        <v>4260</v>
      </c>
      <c r="N679" s="196">
        <v>1086277</v>
      </c>
      <c r="O679" s="196">
        <v>1302</v>
      </c>
      <c r="P679" s="196" t="s">
        <v>910</v>
      </c>
      <c r="Q679" s="196" t="s">
        <v>1287</v>
      </c>
      <c r="R679" s="196" t="s">
        <v>1288</v>
      </c>
      <c r="S679" s="196" t="s">
        <v>844</v>
      </c>
      <c r="T679" s="196" t="s">
        <v>913</v>
      </c>
      <c r="U679" s="196" t="s">
        <v>914</v>
      </c>
      <c r="V679" s="196" t="s">
        <v>911</v>
      </c>
      <c r="W679" s="196" t="s">
        <v>915</v>
      </c>
      <c r="X679" s="196" t="s">
        <v>1287</v>
      </c>
      <c r="Y679" s="196" t="s">
        <v>848</v>
      </c>
    </row>
    <row r="680" spans="1:25">
      <c r="A680" s="196" t="s">
        <v>837</v>
      </c>
      <c r="B680" s="196" t="s">
        <v>181</v>
      </c>
      <c r="C680" s="196">
        <v>2014</v>
      </c>
      <c r="D680" s="196">
        <v>80</v>
      </c>
      <c r="E680" s="196" t="s">
        <v>874</v>
      </c>
      <c r="F680" s="196" t="s">
        <v>1286</v>
      </c>
      <c r="G680" s="196">
        <v>1</v>
      </c>
      <c r="H680" s="196">
        <v>1</v>
      </c>
      <c r="I680" s="196">
        <v>930</v>
      </c>
      <c r="J680" s="196">
        <v>8466</v>
      </c>
      <c r="K680" s="196">
        <v>57.95</v>
      </c>
      <c r="L680" s="196">
        <v>2.3199999999999998</v>
      </c>
      <c r="M680" s="196">
        <v>4260</v>
      </c>
      <c r="N680" s="196">
        <v>1086277</v>
      </c>
      <c r="O680" s="196">
        <v>1302</v>
      </c>
      <c r="P680" s="196" t="s">
        <v>910</v>
      </c>
      <c r="Q680" s="196" t="s">
        <v>1287</v>
      </c>
      <c r="R680" s="196" t="s">
        <v>1288</v>
      </c>
      <c r="S680" s="196" t="s">
        <v>844</v>
      </c>
      <c r="T680" s="196" t="s">
        <v>913</v>
      </c>
      <c r="U680" s="196" t="s">
        <v>914</v>
      </c>
      <c r="V680" s="196" t="s">
        <v>911</v>
      </c>
      <c r="W680" s="196" t="s">
        <v>915</v>
      </c>
      <c r="X680" s="196" t="s">
        <v>1287</v>
      </c>
      <c r="Y680" s="196" t="s">
        <v>848</v>
      </c>
    </row>
    <row r="681" spans="1:25">
      <c r="A681" s="196" t="s">
        <v>837</v>
      </c>
      <c r="B681" s="196" t="s">
        <v>838</v>
      </c>
      <c r="C681" s="196">
        <v>2014</v>
      </c>
      <c r="D681" s="196">
        <v>55</v>
      </c>
      <c r="E681" s="196" t="s">
        <v>854</v>
      </c>
      <c r="F681" s="196" t="s">
        <v>1286</v>
      </c>
      <c r="G681" s="196">
        <v>3</v>
      </c>
      <c r="H681" s="196">
        <v>3</v>
      </c>
      <c r="I681" s="196">
        <v>1413</v>
      </c>
      <c r="J681" s="196">
        <v>16941</v>
      </c>
      <c r="K681" s="196">
        <v>57.95</v>
      </c>
      <c r="L681" s="196">
        <v>2.3199999999999998</v>
      </c>
      <c r="M681" s="196">
        <v>4260</v>
      </c>
      <c r="N681" s="196">
        <v>1086277</v>
      </c>
      <c r="O681" s="196">
        <v>1302</v>
      </c>
      <c r="P681" s="196" t="s">
        <v>910</v>
      </c>
      <c r="Q681" s="196" t="s">
        <v>1287</v>
      </c>
      <c r="R681" s="196" t="s">
        <v>1288</v>
      </c>
      <c r="S681" s="196" t="s">
        <v>844</v>
      </c>
      <c r="T681" s="196" t="s">
        <v>913</v>
      </c>
      <c r="U681" s="196" t="s">
        <v>914</v>
      </c>
      <c r="V681" s="196" t="s">
        <v>911</v>
      </c>
      <c r="W681" s="196" t="s">
        <v>915</v>
      </c>
      <c r="X681" s="196" t="s">
        <v>1287</v>
      </c>
      <c r="Y681" s="196" t="s">
        <v>848</v>
      </c>
    </row>
    <row r="682" spans="1:25">
      <c r="A682" s="196" t="s">
        <v>837</v>
      </c>
      <c r="B682" s="196" t="s">
        <v>838</v>
      </c>
      <c r="C682" s="196">
        <v>2014</v>
      </c>
      <c r="D682" s="196">
        <v>55</v>
      </c>
      <c r="E682" s="196" t="s">
        <v>855</v>
      </c>
      <c r="F682" s="196" t="s">
        <v>1286</v>
      </c>
      <c r="G682" s="196">
        <v>3</v>
      </c>
      <c r="H682" s="196">
        <v>3</v>
      </c>
      <c r="I682" s="196">
        <v>3120</v>
      </c>
      <c r="J682" s="196">
        <v>10626</v>
      </c>
      <c r="K682" s="196">
        <v>57.95</v>
      </c>
      <c r="L682" s="196">
        <v>2.3199999999999998</v>
      </c>
      <c r="M682" s="196">
        <v>4260</v>
      </c>
      <c r="N682" s="196">
        <v>1086277</v>
      </c>
      <c r="O682" s="196">
        <v>1302</v>
      </c>
      <c r="P682" s="196" t="s">
        <v>910</v>
      </c>
      <c r="Q682" s="196" t="s">
        <v>1287</v>
      </c>
      <c r="R682" s="196" t="s">
        <v>1288</v>
      </c>
      <c r="S682" s="196" t="s">
        <v>844</v>
      </c>
      <c r="T682" s="196" t="s">
        <v>913</v>
      </c>
      <c r="U682" s="196" t="s">
        <v>914</v>
      </c>
      <c r="V682" s="196" t="s">
        <v>911</v>
      </c>
      <c r="W682" s="196" t="s">
        <v>915</v>
      </c>
      <c r="X682" s="196" t="s">
        <v>1287</v>
      </c>
      <c r="Y682" s="196" t="s">
        <v>848</v>
      </c>
    </row>
    <row r="683" spans="1:25">
      <c r="A683" s="196" t="s">
        <v>837</v>
      </c>
      <c r="B683" s="196" t="s">
        <v>181</v>
      </c>
      <c r="C683" s="196">
        <v>2014</v>
      </c>
      <c r="D683" s="196">
        <v>30</v>
      </c>
      <c r="E683" s="196" t="s">
        <v>856</v>
      </c>
      <c r="F683" s="196" t="s">
        <v>1286</v>
      </c>
      <c r="G683" s="196">
        <v>1</v>
      </c>
      <c r="H683" s="196">
        <v>1</v>
      </c>
      <c r="I683" s="196">
        <v>558</v>
      </c>
      <c r="J683" s="196">
        <v>5350</v>
      </c>
      <c r="K683" s="196">
        <v>57.95</v>
      </c>
      <c r="L683" s="196">
        <v>2.3199999999999998</v>
      </c>
      <c r="M683" s="196">
        <v>4260</v>
      </c>
      <c r="N683" s="196">
        <v>1086277</v>
      </c>
      <c r="O683" s="196">
        <v>1302</v>
      </c>
      <c r="P683" s="196" t="s">
        <v>910</v>
      </c>
      <c r="Q683" s="196" t="s">
        <v>1287</v>
      </c>
      <c r="R683" s="196" t="s">
        <v>1288</v>
      </c>
      <c r="S683" s="196" t="s">
        <v>844</v>
      </c>
      <c r="T683" s="196" t="s">
        <v>913</v>
      </c>
      <c r="U683" s="196" t="s">
        <v>914</v>
      </c>
      <c r="V683" s="196" t="s">
        <v>911</v>
      </c>
      <c r="W683" s="196" t="s">
        <v>915</v>
      </c>
      <c r="X683" s="196" t="s">
        <v>1287</v>
      </c>
      <c r="Y683" s="196" t="s">
        <v>848</v>
      </c>
    </row>
    <row r="684" spans="1:25">
      <c r="A684" s="196" t="s">
        <v>837</v>
      </c>
      <c r="B684" s="196" t="s">
        <v>181</v>
      </c>
      <c r="C684" s="196">
        <v>2014</v>
      </c>
      <c r="D684" s="196">
        <v>30</v>
      </c>
      <c r="E684" s="196" t="s">
        <v>857</v>
      </c>
      <c r="F684" s="196" t="s">
        <v>1286</v>
      </c>
      <c r="G684" s="196">
        <v>1</v>
      </c>
      <c r="H684" s="196">
        <v>1</v>
      </c>
      <c r="I684" s="196">
        <v>426</v>
      </c>
      <c r="J684" s="196">
        <v>2665</v>
      </c>
      <c r="K684" s="196">
        <v>57.95</v>
      </c>
      <c r="L684" s="196">
        <v>2.3199999999999998</v>
      </c>
      <c r="M684" s="196">
        <v>4260</v>
      </c>
      <c r="N684" s="196">
        <v>1086277</v>
      </c>
      <c r="O684" s="196">
        <v>1302</v>
      </c>
      <c r="P684" s="196" t="s">
        <v>910</v>
      </c>
      <c r="Q684" s="196" t="s">
        <v>1287</v>
      </c>
      <c r="R684" s="196" t="s">
        <v>1288</v>
      </c>
      <c r="S684" s="196" t="s">
        <v>844</v>
      </c>
      <c r="T684" s="196" t="s">
        <v>913</v>
      </c>
      <c r="U684" s="196" t="s">
        <v>914</v>
      </c>
      <c r="V684" s="196" t="s">
        <v>911</v>
      </c>
      <c r="W684" s="196" t="s">
        <v>915</v>
      </c>
      <c r="X684" s="196" t="s">
        <v>1287</v>
      </c>
      <c r="Y684" s="196" t="s">
        <v>848</v>
      </c>
    </row>
    <row r="685" spans="1:25">
      <c r="A685" s="196" t="s">
        <v>837</v>
      </c>
      <c r="B685" s="196" t="s">
        <v>181</v>
      </c>
      <c r="C685" s="196">
        <v>2014</v>
      </c>
      <c r="D685" s="196">
        <v>55</v>
      </c>
      <c r="E685" s="196" t="s">
        <v>858</v>
      </c>
      <c r="F685" s="196" t="s">
        <v>1286</v>
      </c>
      <c r="G685" s="196">
        <v>4</v>
      </c>
      <c r="H685" s="196">
        <v>3</v>
      </c>
      <c r="I685" s="196">
        <v>2706</v>
      </c>
      <c r="J685" s="196">
        <v>8777</v>
      </c>
      <c r="K685" s="196">
        <v>57.95</v>
      </c>
      <c r="L685" s="196">
        <v>2.3199999999999998</v>
      </c>
      <c r="M685" s="196">
        <v>4260</v>
      </c>
      <c r="N685" s="196">
        <v>1086277</v>
      </c>
      <c r="O685" s="196">
        <v>1302</v>
      </c>
      <c r="P685" s="196" t="s">
        <v>910</v>
      </c>
      <c r="Q685" s="196" t="s">
        <v>1287</v>
      </c>
      <c r="R685" s="196" t="s">
        <v>1288</v>
      </c>
      <c r="S685" s="196" t="s">
        <v>844</v>
      </c>
      <c r="T685" s="196" t="s">
        <v>913</v>
      </c>
      <c r="U685" s="196" t="s">
        <v>914</v>
      </c>
      <c r="V685" s="196" t="s">
        <v>911</v>
      </c>
      <c r="W685" s="196" t="s">
        <v>915</v>
      </c>
      <c r="X685" s="196" t="s">
        <v>1287</v>
      </c>
      <c r="Y685" s="196" t="s">
        <v>848</v>
      </c>
    </row>
    <row r="686" spans="1:25">
      <c r="A686" s="196" t="s">
        <v>837</v>
      </c>
      <c r="B686" s="196" t="s">
        <v>181</v>
      </c>
      <c r="C686" s="196">
        <v>2014</v>
      </c>
      <c r="D686" s="196">
        <v>55</v>
      </c>
      <c r="E686" s="196" t="s">
        <v>859</v>
      </c>
      <c r="F686" s="196" t="s">
        <v>1286</v>
      </c>
      <c r="G686" s="196">
        <v>1</v>
      </c>
      <c r="H686" s="196">
        <v>1</v>
      </c>
      <c r="I686" s="196">
        <v>966</v>
      </c>
      <c r="J686" s="196">
        <v>10376</v>
      </c>
      <c r="K686" s="196">
        <v>57.95</v>
      </c>
      <c r="L686" s="196">
        <v>2.3199999999999998</v>
      </c>
      <c r="M686" s="196">
        <v>4260</v>
      </c>
      <c r="N686" s="196">
        <v>1086277</v>
      </c>
      <c r="O686" s="196">
        <v>1302</v>
      </c>
      <c r="P686" s="196" t="s">
        <v>910</v>
      </c>
      <c r="Q686" s="196" t="s">
        <v>1287</v>
      </c>
      <c r="R686" s="196" t="s">
        <v>1288</v>
      </c>
      <c r="S686" s="196" t="s">
        <v>844</v>
      </c>
      <c r="T686" s="196" t="s">
        <v>913</v>
      </c>
      <c r="U686" s="196" t="s">
        <v>914</v>
      </c>
      <c r="V686" s="196" t="s">
        <v>911</v>
      </c>
      <c r="W686" s="196" t="s">
        <v>915</v>
      </c>
      <c r="X686" s="196" t="s">
        <v>1287</v>
      </c>
      <c r="Y686" s="196" t="s">
        <v>848</v>
      </c>
    </row>
    <row r="687" spans="1:25">
      <c r="A687" s="196" t="s">
        <v>837</v>
      </c>
      <c r="B687" s="196" t="s">
        <v>850</v>
      </c>
      <c r="C687" s="196">
        <v>2014</v>
      </c>
      <c r="D687" s="196">
        <v>30</v>
      </c>
      <c r="E687" s="196" t="s">
        <v>860</v>
      </c>
      <c r="F687" s="196" t="s">
        <v>1286</v>
      </c>
      <c r="G687" s="196">
        <v>1</v>
      </c>
      <c r="H687" s="196">
        <v>1</v>
      </c>
      <c r="I687" s="196">
        <v>558</v>
      </c>
      <c r="J687" s="196">
        <v>5350</v>
      </c>
      <c r="K687" s="196">
        <v>57.95</v>
      </c>
      <c r="L687" s="196">
        <v>2.3199999999999998</v>
      </c>
      <c r="M687" s="196">
        <v>4260</v>
      </c>
      <c r="N687" s="196">
        <v>1086277</v>
      </c>
      <c r="O687" s="196">
        <v>1302</v>
      </c>
      <c r="P687" s="196" t="s">
        <v>910</v>
      </c>
      <c r="Q687" s="196" t="s">
        <v>1287</v>
      </c>
      <c r="R687" s="196" t="s">
        <v>1288</v>
      </c>
      <c r="S687" s="196" t="s">
        <v>844</v>
      </c>
      <c r="T687" s="196" t="s">
        <v>913</v>
      </c>
      <c r="U687" s="196" t="s">
        <v>914</v>
      </c>
      <c r="V687" s="196" t="s">
        <v>911</v>
      </c>
      <c r="W687" s="196" t="s">
        <v>915</v>
      </c>
      <c r="X687" s="196" t="s">
        <v>1287</v>
      </c>
      <c r="Y687" s="196" t="s">
        <v>848</v>
      </c>
    </row>
    <row r="688" spans="1:25">
      <c r="A688" s="196" t="s">
        <v>837</v>
      </c>
      <c r="B688" s="196" t="s">
        <v>850</v>
      </c>
      <c r="C688" s="196">
        <v>2014</v>
      </c>
      <c r="D688" s="196">
        <v>30</v>
      </c>
      <c r="E688" s="196" t="s">
        <v>861</v>
      </c>
      <c r="F688" s="196" t="s">
        <v>1286</v>
      </c>
      <c r="G688" s="196">
        <v>1</v>
      </c>
      <c r="H688" s="196">
        <v>1</v>
      </c>
      <c r="I688" s="196">
        <v>978</v>
      </c>
      <c r="J688" s="196">
        <v>9428</v>
      </c>
      <c r="K688" s="196">
        <v>57.95</v>
      </c>
      <c r="L688" s="196">
        <v>2.3199999999999998</v>
      </c>
      <c r="M688" s="196">
        <v>4260</v>
      </c>
      <c r="N688" s="196">
        <v>1086277</v>
      </c>
      <c r="O688" s="196">
        <v>1302</v>
      </c>
      <c r="P688" s="196" t="s">
        <v>910</v>
      </c>
      <c r="Q688" s="196" t="s">
        <v>1287</v>
      </c>
      <c r="R688" s="196" t="s">
        <v>1288</v>
      </c>
      <c r="S688" s="196" t="s">
        <v>844</v>
      </c>
      <c r="T688" s="196" t="s">
        <v>913</v>
      </c>
      <c r="U688" s="196" t="s">
        <v>914</v>
      </c>
      <c r="V688" s="196" t="s">
        <v>911</v>
      </c>
      <c r="W688" s="196" t="s">
        <v>915</v>
      </c>
      <c r="X688" s="196" t="s">
        <v>1287</v>
      </c>
      <c r="Y688" s="196" t="s">
        <v>848</v>
      </c>
    </row>
    <row r="689" spans="1:25">
      <c r="A689" s="196" t="s">
        <v>837</v>
      </c>
      <c r="B689" s="196" t="s">
        <v>850</v>
      </c>
      <c r="C689" s="196">
        <v>2014</v>
      </c>
      <c r="D689" s="196">
        <v>55</v>
      </c>
      <c r="E689" s="196" t="s">
        <v>862</v>
      </c>
      <c r="F689" s="196" t="s">
        <v>1286</v>
      </c>
      <c r="G689" s="196">
        <v>10</v>
      </c>
      <c r="H689" s="196">
        <v>10</v>
      </c>
      <c r="I689" s="196">
        <v>9369</v>
      </c>
      <c r="J689" s="196">
        <v>47650</v>
      </c>
      <c r="K689" s="196">
        <v>57.95</v>
      </c>
      <c r="L689" s="196">
        <v>2.3199999999999998</v>
      </c>
      <c r="M689" s="196">
        <v>4260</v>
      </c>
      <c r="N689" s="196">
        <v>1086277</v>
      </c>
      <c r="O689" s="196">
        <v>1302</v>
      </c>
      <c r="P689" s="196" t="s">
        <v>910</v>
      </c>
      <c r="Q689" s="196" t="s">
        <v>1287</v>
      </c>
      <c r="R689" s="196" t="s">
        <v>1288</v>
      </c>
      <c r="S689" s="196" t="s">
        <v>844</v>
      </c>
      <c r="T689" s="196" t="s">
        <v>913</v>
      </c>
      <c r="U689" s="196" t="s">
        <v>914</v>
      </c>
      <c r="V689" s="196" t="s">
        <v>911</v>
      </c>
      <c r="W689" s="196" t="s">
        <v>915</v>
      </c>
      <c r="X689" s="196" t="s">
        <v>1287</v>
      </c>
      <c r="Y689" s="196" t="s">
        <v>848</v>
      </c>
    </row>
    <row r="690" spans="1:25">
      <c r="A690" s="196" t="s">
        <v>837</v>
      </c>
      <c r="B690" s="196" t="s">
        <v>850</v>
      </c>
      <c r="C690" s="196">
        <v>2014</v>
      </c>
      <c r="D690" s="196">
        <v>55</v>
      </c>
      <c r="E690" s="196" t="s">
        <v>863</v>
      </c>
      <c r="F690" s="196" t="s">
        <v>1286</v>
      </c>
      <c r="G690" s="196">
        <v>1</v>
      </c>
      <c r="H690" s="196">
        <v>1</v>
      </c>
      <c r="I690" s="196">
        <v>321</v>
      </c>
      <c r="J690" s="196">
        <v>8466</v>
      </c>
      <c r="K690" s="196">
        <v>57.95</v>
      </c>
      <c r="L690" s="196">
        <v>2.3199999999999998</v>
      </c>
      <c r="M690" s="196">
        <v>4260</v>
      </c>
      <c r="N690" s="196">
        <v>1086277</v>
      </c>
      <c r="O690" s="196">
        <v>1302</v>
      </c>
      <c r="P690" s="196" t="s">
        <v>910</v>
      </c>
      <c r="Q690" s="196" t="s">
        <v>1287</v>
      </c>
      <c r="R690" s="196" t="s">
        <v>1288</v>
      </c>
      <c r="S690" s="196" t="s">
        <v>844</v>
      </c>
      <c r="T690" s="196" t="s">
        <v>913</v>
      </c>
      <c r="U690" s="196" t="s">
        <v>914</v>
      </c>
      <c r="V690" s="196" t="s">
        <v>911</v>
      </c>
      <c r="W690" s="196" t="s">
        <v>915</v>
      </c>
      <c r="X690" s="196" t="s">
        <v>1287</v>
      </c>
      <c r="Y690" s="196" t="s">
        <v>848</v>
      </c>
    </row>
    <row r="691" spans="1:25">
      <c r="A691" s="196" t="s">
        <v>837</v>
      </c>
      <c r="B691" s="196" t="s">
        <v>850</v>
      </c>
      <c r="C691" s="196">
        <v>2013</v>
      </c>
      <c r="D691" s="196">
        <v>55</v>
      </c>
      <c r="E691" s="196" t="s">
        <v>852</v>
      </c>
      <c r="F691" s="196" t="s">
        <v>1289</v>
      </c>
      <c r="G691" s="196">
        <v>1</v>
      </c>
      <c r="H691" s="196">
        <v>1</v>
      </c>
      <c r="I691" s="196">
        <v>339</v>
      </c>
      <c r="J691" s="196">
        <v>7044</v>
      </c>
      <c r="K691" s="196">
        <v>80.73</v>
      </c>
      <c r="L691" s="196">
        <v>0.35</v>
      </c>
      <c r="M691" s="196">
        <v>8606</v>
      </c>
      <c r="N691" s="196">
        <v>1848264</v>
      </c>
      <c r="O691" s="196">
        <v>1989</v>
      </c>
      <c r="P691" s="196" t="s">
        <v>910</v>
      </c>
      <c r="Q691" s="196" t="s">
        <v>911</v>
      </c>
      <c r="R691" s="196" t="s">
        <v>912</v>
      </c>
      <c r="S691" s="196" t="s">
        <v>844</v>
      </c>
      <c r="T691" s="196" t="s">
        <v>913</v>
      </c>
      <c r="U691" s="196" t="s">
        <v>914</v>
      </c>
      <c r="V691" s="196" t="s">
        <v>911</v>
      </c>
      <c r="W691" s="196" t="s">
        <v>1290</v>
      </c>
      <c r="X691" s="196" t="s">
        <v>1291</v>
      </c>
      <c r="Y691" s="196" t="s">
        <v>848</v>
      </c>
    </row>
    <row r="692" spans="1:25">
      <c r="A692" s="196" t="s">
        <v>837</v>
      </c>
      <c r="B692" s="196" t="s">
        <v>838</v>
      </c>
      <c r="C692" s="196">
        <v>2013</v>
      </c>
      <c r="D692" s="196">
        <v>30</v>
      </c>
      <c r="E692" s="196" t="s">
        <v>839</v>
      </c>
      <c r="F692" s="196" t="s">
        <v>1292</v>
      </c>
      <c r="G692" s="196">
        <v>1</v>
      </c>
      <c r="H692" s="196">
        <v>1</v>
      </c>
      <c r="I692" s="196">
        <v>1218</v>
      </c>
      <c r="J692" s="196">
        <v>7272</v>
      </c>
      <c r="K692" s="196">
        <v>73.739999999999995</v>
      </c>
      <c r="L692" s="196">
        <v>5.93</v>
      </c>
      <c r="M692" s="196">
        <v>7101</v>
      </c>
      <c r="N692" s="196">
        <v>2504442</v>
      </c>
      <c r="O692" s="196">
        <v>2553</v>
      </c>
      <c r="P692" s="196" t="s">
        <v>865</v>
      </c>
      <c r="Q692" s="196" t="s">
        <v>869</v>
      </c>
      <c r="R692" s="196" t="s">
        <v>1262</v>
      </c>
      <c r="S692" s="196" t="s">
        <v>844</v>
      </c>
      <c r="T692" s="196" t="s">
        <v>868</v>
      </c>
      <c r="U692" s="196" t="s">
        <v>869</v>
      </c>
      <c r="V692" s="196" t="s">
        <v>1263</v>
      </c>
      <c r="W692" s="196" t="s">
        <v>1264</v>
      </c>
      <c r="X692" s="196" t="s">
        <v>1265</v>
      </c>
      <c r="Y692" s="196" t="s">
        <v>848</v>
      </c>
    </row>
    <row r="693" spans="1:25">
      <c r="A693" s="196" t="s">
        <v>837</v>
      </c>
      <c r="B693" s="196" t="s">
        <v>850</v>
      </c>
      <c r="C693" s="196">
        <v>2013</v>
      </c>
      <c r="D693" s="196">
        <v>30</v>
      </c>
      <c r="E693" s="196" t="s">
        <v>851</v>
      </c>
      <c r="F693" s="196" t="s">
        <v>1292</v>
      </c>
      <c r="G693" s="196">
        <v>2</v>
      </c>
      <c r="H693" s="196">
        <v>2</v>
      </c>
      <c r="I693" s="196">
        <v>1575</v>
      </c>
      <c r="J693" s="196">
        <v>11355</v>
      </c>
      <c r="K693" s="196">
        <v>73.739999999999995</v>
      </c>
      <c r="L693" s="196">
        <v>5.93</v>
      </c>
      <c r="M693" s="196">
        <v>7101</v>
      </c>
      <c r="N693" s="196">
        <v>2504442</v>
      </c>
      <c r="O693" s="196">
        <v>2553</v>
      </c>
      <c r="P693" s="196" t="s">
        <v>865</v>
      </c>
      <c r="Q693" s="196" t="s">
        <v>869</v>
      </c>
      <c r="R693" s="196" t="s">
        <v>1262</v>
      </c>
      <c r="S693" s="196" t="s">
        <v>844</v>
      </c>
      <c r="T693" s="196" t="s">
        <v>868</v>
      </c>
      <c r="U693" s="196" t="s">
        <v>869</v>
      </c>
      <c r="V693" s="196" t="s">
        <v>1263</v>
      </c>
      <c r="W693" s="196" t="s">
        <v>1264</v>
      </c>
      <c r="X693" s="196" t="s">
        <v>1265</v>
      </c>
      <c r="Y693" s="196" t="s">
        <v>848</v>
      </c>
    </row>
    <row r="694" spans="1:25">
      <c r="A694" s="196" t="s">
        <v>837</v>
      </c>
      <c r="B694" s="196" t="s">
        <v>850</v>
      </c>
      <c r="C694" s="196">
        <v>2013</v>
      </c>
      <c r="D694" s="196">
        <v>80</v>
      </c>
      <c r="E694" s="196" t="s">
        <v>917</v>
      </c>
      <c r="F694" s="196" t="s">
        <v>1292</v>
      </c>
      <c r="G694" s="196">
        <v>1</v>
      </c>
      <c r="H694" s="196">
        <v>1</v>
      </c>
      <c r="I694" s="196">
        <v>1095</v>
      </c>
      <c r="J694" s="196">
        <v>23371</v>
      </c>
      <c r="K694" s="196">
        <v>73.739999999999995</v>
      </c>
      <c r="L694" s="196">
        <v>5.93</v>
      </c>
      <c r="M694" s="196">
        <v>7101</v>
      </c>
      <c r="N694" s="196">
        <v>2504442</v>
      </c>
      <c r="O694" s="196">
        <v>2553</v>
      </c>
      <c r="P694" s="196" t="s">
        <v>865</v>
      </c>
      <c r="Q694" s="196" t="s">
        <v>869</v>
      </c>
      <c r="R694" s="196" t="s">
        <v>1262</v>
      </c>
      <c r="S694" s="196" t="s">
        <v>844</v>
      </c>
      <c r="T694" s="196" t="s">
        <v>868</v>
      </c>
      <c r="U694" s="196" t="s">
        <v>869</v>
      </c>
      <c r="V694" s="196" t="s">
        <v>1263</v>
      </c>
      <c r="W694" s="196" t="s">
        <v>1264</v>
      </c>
      <c r="X694" s="196" t="s">
        <v>1265</v>
      </c>
      <c r="Y694" s="196" t="s">
        <v>848</v>
      </c>
    </row>
    <row r="695" spans="1:25">
      <c r="A695" s="196" t="s">
        <v>837</v>
      </c>
      <c r="B695" s="196" t="s">
        <v>181</v>
      </c>
      <c r="C695" s="196">
        <v>2014</v>
      </c>
      <c r="D695" s="196">
        <v>80</v>
      </c>
      <c r="E695" s="196" t="s">
        <v>874</v>
      </c>
      <c r="F695" s="196" t="s">
        <v>1292</v>
      </c>
      <c r="G695" s="196">
        <v>1</v>
      </c>
      <c r="H695" s="196">
        <v>1</v>
      </c>
      <c r="I695" s="196">
        <v>903</v>
      </c>
      <c r="J695" s="196">
        <v>24089</v>
      </c>
      <c r="K695" s="196">
        <v>73.739999999999995</v>
      </c>
      <c r="L695" s="196">
        <v>5.93</v>
      </c>
      <c r="M695" s="196">
        <v>7101</v>
      </c>
      <c r="N695" s="196">
        <v>2504442</v>
      </c>
      <c r="O695" s="196">
        <v>2553</v>
      </c>
      <c r="P695" s="196" t="s">
        <v>865</v>
      </c>
      <c r="Q695" s="196" t="s">
        <v>869</v>
      </c>
      <c r="R695" s="196" t="s">
        <v>1262</v>
      </c>
      <c r="S695" s="196" t="s">
        <v>844</v>
      </c>
      <c r="T695" s="196" t="s">
        <v>868</v>
      </c>
      <c r="U695" s="196" t="s">
        <v>869</v>
      </c>
      <c r="V695" s="196" t="s">
        <v>1263</v>
      </c>
      <c r="W695" s="196" t="s">
        <v>1264</v>
      </c>
      <c r="X695" s="196" t="s">
        <v>1265</v>
      </c>
      <c r="Y695" s="196" t="s">
        <v>848</v>
      </c>
    </row>
    <row r="696" spans="1:25">
      <c r="A696" s="196" t="s">
        <v>837</v>
      </c>
      <c r="B696" s="196" t="s">
        <v>181</v>
      </c>
      <c r="C696" s="196">
        <v>2013</v>
      </c>
      <c r="D696" s="196">
        <v>80</v>
      </c>
      <c r="E696" s="196" t="s">
        <v>876</v>
      </c>
      <c r="F696" s="196" t="s">
        <v>1292</v>
      </c>
      <c r="G696" s="196">
        <v>1</v>
      </c>
      <c r="H696" s="196">
        <v>1</v>
      </c>
      <c r="I696" s="196">
        <v>903</v>
      </c>
      <c r="J696" s="196">
        <v>24089</v>
      </c>
      <c r="K696" s="196">
        <v>73.739999999999995</v>
      </c>
      <c r="L696" s="196">
        <v>5.93</v>
      </c>
      <c r="M696" s="196">
        <v>7101</v>
      </c>
      <c r="N696" s="196">
        <v>2504442</v>
      </c>
      <c r="O696" s="196">
        <v>2553</v>
      </c>
      <c r="P696" s="196" t="s">
        <v>865</v>
      </c>
      <c r="Q696" s="196" t="s">
        <v>869</v>
      </c>
      <c r="R696" s="196" t="s">
        <v>1262</v>
      </c>
      <c r="S696" s="196" t="s">
        <v>844</v>
      </c>
      <c r="T696" s="196" t="s">
        <v>868</v>
      </c>
      <c r="U696" s="196" t="s">
        <v>869</v>
      </c>
      <c r="V696" s="196" t="s">
        <v>1263</v>
      </c>
      <c r="W696" s="196" t="s">
        <v>1264</v>
      </c>
      <c r="X696" s="196" t="s">
        <v>1265</v>
      </c>
      <c r="Y696" s="196" t="s">
        <v>848</v>
      </c>
    </row>
    <row r="697" spans="1:25">
      <c r="A697" s="196" t="s">
        <v>837</v>
      </c>
      <c r="B697" s="196" t="s">
        <v>181</v>
      </c>
      <c r="C697" s="196">
        <v>2014</v>
      </c>
      <c r="D697" s="196">
        <v>30</v>
      </c>
      <c r="E697" s="196" t="s">
        <v>856</v>
      </c>
      <c r="F697" s="196" t="s">
        <v>1292</v>
      </c>
      <c r="G697" s="196">
        <v>1</v>
      </c>
      <c r="H697" s="196">
        <v>1</v>
      </c>
      <c r="I697" s="196">
        <v>180</v>
      </c>
      <c r="J697" s="196">
        <v>6060</v>
      </c>
      <c r="K697" s="196">
        <v>73.739999999999995</v>
      </c>
      <c r="L697" s="196">
        <v>5.93</v>
      </c>
      <c r="M697" s="196">
        <v>7101</v>
      </c>
      <c r="N697" s="196">
        <v>2504442</v>
      </c>
      <c r="O697" s="196">
        <v>2553</v>
      </c>
      <c r="P697" s="196" t="s">
        <v>865</v>
      </c>
      <c r="Q697" s="196" t="s">
        <v>869</v>
      </c>
      <c r="R697" s="196" t="s">
        <v>1262</v>
      </c>
      <c r="S697" s="196" t="s">
        <v>844</v>
      </c>
      <c r="T697" s="196" t="s">
        <v>868</v>
      </c>
      <c r="U697" s="196" t="s">
        <v>869</v>
      </c>
      <c r="V697" s="196" t="s">
        <v>1263</v>
      </c>
      <c r="W697" s="196" t="s">
        <v>1264</v>
      </c>
      <c r="X697" s="196" t="s">
        <v>1265</v>
      </c>
      <c r="Y697" s="196" t="s">
        <v>848</v>
      </c>
    </row>
    <row r="698" spans="1:25">
      <c r="A698" s="196" t="s">
        <v>837</v>
      </c>
      <c r="B698" s="196" t="s">
        <v>181</v>
      </c>
      <c r="C698" s="196">
        <v>2014</v>
      </c>
      <c r="D698" s="196">
        <v>30</v>
      </c>
      <c r="E698" s="196" t="s">
        <v>857</v>
      </c>
      <c r="F698" s="196" t="s">
        <v>1292</v>
      </c>
      <c r="G698" s="196">
        <v>1</v>
      </c>
      <c r="H698" s="196">
        <v>1</v>
      </c>
      <c r="I698" s="196">
        <v>180</v>
      </c>
      <c r="J698" s="196">
        <v>6060</v>
      </c>
      <c r="K698" s="196">
        <v>73.739999999999995</v>
      </c>
      <c r="L698" s="196">
        <v>5.93</v>
      </c>
      <c r="M698" s="196">
        <v>7101</v>
      </c>
      <c r="N698" s="196">
        <v>2504442</v>
      </c>
      <c r="O698" s="196">
        <v>2553</v>
      </c>
      <c r="P698" s="196" t="s">
        <v>865</v>
      </c>
      <c r="Q698" s="196" t="s">
        <v>869</v>
      </c>
      <c r="R698" s="196" t="s">
        <v>1262</v>
      </c>
      <c r="S698" s="196" t="s">
        <v>844</v>
      </c>
      <c r="T698" s="196" t="s">
        <v>868</v>
      </c>
      <c r="U698" s="196" t="s">
        <v>869</v>
      </c>
      <c r="V698" s="196" t="s">
        <v>1263</v>
      </c>
      <c r="W698" s="196" t="s">
        <v>1264</v>
      </c>
      <c r="X698" s="196" t="s">
        <v>1265</v>
      </c>
      <c r="Y698" s="196" t="s">
        <v>848</v>
      </c>
    </row>
    <row r="699" spans="1:25">
      <c r="A699" s="196" t="s">
        <v>837</v>
      </c>
      <c r="B699" s="196" t="s">
        <v>850</v>
      </c>
      <c r="C699" s="196">
        <v>2014</v>
      </c>
      <c r="D699" s="196">
        <v>30</v>
      </c>
      <c r="E699" s="196" t="s">
        <v>861</v>
      </c>
      <c r="F699" s="196" t="s">
        <v>1292</v>
      </c>
      <c r="G699" s="196">
        <v>1</v>
      </c>
      <c r="H699" s="196">
        <v>1</v>
      </c>
      <c r="I699" s="196">
        <v>1392</v>
      </c>
      <c r="J699" s="196">
        <v>7585</v>
      </c>
      <c r="K699" s="196">
        <v>73.739999999999995</v>
      </c>
      <c r="L699" s="196">
        <v>5.93</v>
      </c>
      <c r="M699" s="196">
        <v>7101</v>
      </c>
      <c r="N699" s="196">
        <v>2504442</v>
      </c>
      <c r="O699" s="196">
        <v>2553</v>
      </c>
      <c r="P699" s="196" t="s">
        <v>865</v>
      </c>
      <c r="Q699" s="196" t="s">
        <v>869</v>
      </c>
      <c r="R699" s="196" t="s">
        <v>1262</v>
      </c>
      <c r="S699" s="196" t="s">
        <v>844</v>
      </c>
      <c r="T699" s="196" t="s">
        <v>868</v>
      </c>
      <c r="U699" s="196" t="s">
        <v>869</v>
      </c>
      <c r="V699" s="196" t="s">
        <v>1263</v>
      </c>
      <c r="W699" s="196" t="s">
        <v>1264</v>
      </c>
      <c r="X699" s="196" t="s">
        <v>1265</v>
      </c>
      <c r="Y699" s="196" t="s">
        <v>848</v>
      </c>
    </row>
    <row r="700" spans="1:25">
      <c r="A700" s="196" t="s">
        <v>837</v>
      </c>
      <c r="B700" s="196" t="s">
        <v>850</v>
      </c>
      <c r="C700" s="196">
        <v>2014</v>
      </c>
      <c r="D700" s="196">
        <v>55</v>
      </c>
      <c r="E700" s="196" t="s">
        <v>862</v>
      </c>
      <c r="F700" s="196" t="s">
        <v>1292</v>
      </c>
      <c r="G700" s="196">
        <v>1</v>
      </c>
      <c r="H700" s="196">
        <v>1</v>
      </c>
      <c r="I700" s="196">
        <v>180</v>
      </c>
      <c r="J700" s="196">
        <v>6060</v>
      </c>
      <c r="K700" s="196">
        <v>73.739999999999995</v>
      </c>
      <c r="L700" s="196">
        <v>5.93</v>
      </c>
      <c r="M700" s="196">
        <v>7101</v>
      </c>
      <c r="N700" s="196">
        <v>2504442</v>
      </c>
      <c r="O700" s="196">
        <v>2553</v>
      </c>
      <c r="P700" s="196" t="s">
        <v>865</v>
      </c>
      <c r="Q700" s="196" t="s">
        <v>869</v>
      </c>
      <c r="R700" s="196" t="s">
        <v>1262</v>
      </c>
      <c r="S700" s="196" t="s">
        <v>844</v>
      </c>
      <c r="T700" s="196" t="s">
        <v>868</v>
      </c>
      <c r="U700" s="196" t="s">
        <v>869</v>
      </c>
      <c r="V700" s="196" t="s">
        <v>1263</v>
      </c>
      <c r="W700" s="196" t="s">
        <v>1264</v>
      </c>
      <c r="X700" s="196" t="s">
        <v>1265</v>
      </c>
      <c r="Y700" s="196" t="s">
        <v>848</v>
      </c>
    </row>
    <row r="701" spans="1:25">
      <c r="A701" s="196" t="s">
        <v>837</v>
      </c>
      <c r="B701" s="196" t="s">
        <v>838</v>
      </c>
      <c r="C701" s="196">
        <v>2013</v>
      </c>
      <c r="D701" s="196">
        <v>30</v>
      </c>
      <c r="E701" s="196" t="s">
        <v>839</v>
      </c>
      <c r="F701" s="196" t="s">
        <v>1293</v>
      </c>
      <c r="G701" s="196">
        <v>1</v>
      </c>
      <c r="H701" s="196">
        <v>1</v>
      </c>
      <c r="I701" s="196">
        <v>909</v>
      </c>
      <c r="J701" s="196">
        <v>6395</v>
      </c>
      <c r="K701" s="196">
        <v>92.45</v>
      </c>
      <c r="L701" s="196">
        <v>1.5</v>
      </c>
      <c r="M701" s="196">
        <v>38280</v>
      </c>
      <c r="N701" s="196">
        <v>2198874</v>
      </c>
      <c r="O701" s="196">
        <v>2088</v>
      </c>
      <c r="P701" s="196" t="s">
        <v>865</v>
      </c>
      <c r="Q701" s="196" t="s">
        <v>1294</v>
      </c>
      <c r="R701" s="196" t="s">
        <v>1295</v>
      </c>
      <c r="S701" s="196" t="s">
        <v>844</v>
      </c>
      <c r="T701" s="196" t="s">
        <v>868</v>
      </c>
      <c r="U701" s="196" t="s">
        <v>869</v>
      </c>
      <c r="V701" s="196" t="s">
        <v>1296</v>
      </c>
      <c r="W701" s="196" t="s">
        <v>1294</v>
      </c>
      <c r="X701" s="196" t="s">
        <v>1297</v>
      </c>
      <c r="Y701" s="196" t="s">
        <v>848</v>
      </c>
    </row>
    <row r="702" spans="1:25">
      <c r="A702" s="196" t="s">
        <v>837</v>
      </c>
      <c r="B702" s="196" t="s">
        <v>838</v>
      </c>
      <c r="C702" s="196">
        <v>2013</v>
      </c>
      <c r="D702" s="196">
        <v>55</v>
      </c>
      <c r="E702" s="196" t="s">
        <v>849</v>
      </c>
      <c r="F702" s="196" t="s">
        <v>1293</v>
      </c>
      <c r="G702" s="196">
        <v>3</v>
      </c>
      <c r="H702" s="196">
        <v>3</v>
      </c>
      <c r="I702" s="196">
        <v>3945</v>
      </c>
      <c r="J702" s="196">
        <v>169555</v>
      </c>
      <c r="K702" s="196">
        <v>92.45</v>
      </c>
      <c r="L702" s="196">
        <v>1.5</v>
      </c>
      <c r="M702" s="196">
        <v>38280</v>
      </c>
      <c r="N702" s="196">
        <v>2198874</v>
      </c>
      <c r="O702" s="196">
        <v>2088</v>
      </c>
      <c r="P702" s="196" t="s">
        <v>865</v>
      </c>
      <c r="Q702" s="196" t="s">
        <v>1294</v>
      </c>
      <c r="R702" s="196" t="s">
        <v>1295</v>
      </c>
      <c r="S702" s="196" t="s">
        <v>844</v>
      </c>
      <c r="T702" s="196" t="s">
        <v>868</v>
      </c>
      <c r="U702" s="196" t="s">
        <v>869</v>
      </c>
      <c r="V702" s="196" t="s">
        <v>1296</v>
      </c>
      <c r="W702" s="196" t="s">
        <v>1294</v>
      </c>
      <c r="X702" s="196" t="s">
        <v>1297</v>
      </c>
      <c r="Y702" s="196" t="s">
        <v>848</v>
      </c>
    </row>
    <row r="703" spans="1:25">
      <c r="A703" s="196" t="s">
        <v>837</v>
      </c>
      <c r="B703" s="196" t="s">
        <v>850</v>
      </c>
      <c r="C703" s="196">
        <v>2013</v>
      </c>
      <c r="D703" s="196">
        <v>30</v>
      </c>
      <c r="E703" s="196" t="s">
        <v>851</v>
      </c>
      <c r="F703" s="196" t="s">
        <v>1293</v>
      </c>
      <c r="G703" s="196">
        <v>1</v>
      </c>
      <c r="H703" s="196">
        <v>1</v>
      </c>
      <c r="I703" s="196">
        <v>909</v>
      </c>
      <c r="J703" s="196">
        <v>6395</v>
      </c>
      <c r="K703" s="196">
        <v>92.45</v>
      </c>
      <c r="L703" s="196">
        <v>1.5</v>
      </c>
      <c r="M703" s="196">
        <v>38280</v>
      </c>
      <c r="N703" s="196">
        <v>2198874</v>
      </c>
      <c r="O703" s="196">
        <v>2088</v>
      </c>
      <c r="P703" s="196" t="s">
        <v>865</v>
      </c>
      <c r="Q703" s="196" t="s">
        <v>1294</v>
      </c>
      <c r="R703" s="196" t="s">
        <v>1295</v>
      </c>
      <c r="S703" s="196" t="s">
        <v>844</v>
      </c>
      <c r="T703" s="196" t="s">
        <v>868</v>
      </c>
      <c r="U703" s="196" t="s">
        <v>869</v>
      </c>
      <c r="V703" s="196" t="s">
        <v>1296</v>
      </c>
      <c r="W703" s="196" t="s">
        <v>1294</v>
      </c>
      <c r="X703" s="196" t="s">
        <v>1297</v>
      </c>
      <c r="Y703" s="196" t="s">
        <v>848</v>
      </c>
    </row>
    <row r="704" spans="1:25">
      <c r="A704" s="196" t="s">
        <v>837</v>
      </c>
      <c r="B704" s="196" t="s">
        <v>850</v>
      </c>
      <c r="C704" s="196">
        <v>2013</v>
      </c>
      <c r="D704" s="196">
        <v>55</v>
      </c>
      <c r="E704" s="196" t="s">
        <v>852</v>
      </c>
      <c r="F704" s="196" t="s">
        <v>1293</v>
      </c>
      <c r="G704" s="196">
        <v>2</v>
      </c>
      <c r="H704" s="196">
        <v>2</v>
      </c>
      <c r="I704" s="196">
        <v>4623</v>
      </c>
      <c r="J704" s="196">
        <v>48202</v>
      </c>
      <c r="K704" s="196">
        <v>92.45</v>
      </c>
      <c r="L704" s="196">
        <v>1.5</v>
      </c>
      <c r="M704" s="196">
        <v>38280</v>
      </c>
      <c r="N704" s="196">
        <v>2198874</v>
      </c>
      <c r="O704" s="196">
        <v>2088</v>
      </c>
      <c r="P704" s="196" t="s">
        <v>865</v>
      </c>
      <c r="Q704" s="196" t="s">
        <v>1294</v>
      </c>
      <c r="R704" s="196" t="s">
        <v>1295</v>
      </c>
      <c r="S704" s="196" t="s">
        <v>844</v>
      </c>
      <c r="T704" s="196" t="s">
        <v>868</v>
      </c>
      <c r="U704" s="196" t="s">
        <v>869</v>
      </c>
      <c r="V704" s="196" t="s">
        <v>1296</v>
      </c>
      <c r="W704" s="196" t="s">
        <v>1294</v>
      </c>
      <c r="X704" s="196" t="s">
        <v>1297</v>
      </c>
      <c r="Y704" s="196" t="s">
        <v>848</v>
      </c>
    </row>
    <row r="705" spans="1:25">
      <c r="A705" s="196" t="s">
        <v>837</v>
      </c>
      <c r="B705" s="196" t="s">
        <v>838</v>
      </c>
      <c r="C705" s="196">
        <v>2014</v>
      </c>
      <c r="D705" s="196">
        <v>80</v>
      </c>
      <c r="E705" s="196" t="s">
        <v>853</v>
      </c>
      <c r="F705" s="196" t="s">
        <v>1293</v>
      </c>
      <c r="G705" s="196">
        <v>2</v>
      </c>
      <c r="H705" s="196">
        <v>2</v>
      </c>
      <c r="I705" s="196">
        <v>4545</v>
      </c>
      <c r="J705" s="196">
        <v>90206</v>
      </c>
      <c r="K705" s="196">
        <v>92.45</v>
      </c>
      <c r="L705" s="196">
        <v>1.5</v>
      </c>
      <c r="M705" s="196">
        <v>38280</v>
      </c>
      <c r="N705" s="196">
        <v>2198874</v>
      </c>
      <c r="O705" s="196">
        <v>2088</v>
      </c>
      <c r="P705" s="196" t="s">
        <v>865</v>
      </c>
      <c r="Q705" s="196" t="s">
        <v>1294</v>
      </c>
      <c r="R705" s="196" t="s">
        <v>1295</v>
      </c>
      <c r="S705" s="196" t="s">
        <v>844</v>
      </c>
      <c r="T705" s="196" t="s">
        <v>868</v>
      </c>
      <c r="U705" s="196" t="s">
        <v>869</v>
      </c>
      <c r="V705" s="196" t="s">
        <v>1296</v>
      </c>
      <c r="W705" s="196" t="s">
        <v>1294</v>
      </c>
      <c r="X705" s="196" t="s">
        <v>1297</v>
      </c>
      <c r="Y705" s="196" t="s">
        <v>848</v>
      </c>
    </row>
    <row r="706" spans="1:25">
      <c r="A706" s="196" t="s">
        <v>837</v>
      </c>
      <c r="B706" s="196" t="s">
        <v>850</v>
      </c>
      <c r="C706" s="196">
        <v>2014</v>
      </c>
      <c r="D706" s="196">
        <v>80</v>
      </c>
      <c r="E706" s="196" t="s">
        <v>918</v>
      </c>
      <c r="F706" s="196" t="s">
        <v>1293</v>
      </c>
      <c r="G706" s="196">
        <v>1</v>
      </c>
      <c r="H706" s="196">
        <v>1</v>
      </c>
      <c r="I706" s="196">
        <v>3195</v>
      </c>
      <c r="J706" s="196">
        <v>73188</v>
      </c>
      <c r="K706" s="196">
        <v>92.45</v>
      </c>
      <c r="L706" s="196">
        <v>1.5</v>
      </c>
      <c r="M706" s="196">
        <v>38280</v>
      </c>
      <c r="N706" s="196">
        <v>2198874</v>
      </c>
      <c r="O706" s="196">
        <v>2088</v>
      </c>
      <c r="P706" s="196" t="s">
        <v>865</v>
      </c>
      <c r="Q706" s="196" t="s">
        <v>1294</v>
      </c>
      <c r="R706" s="196" t="s">
        <v>1295</v>
      </c>
      <c r="S706" s="196" t="s">
        <v>844</v>
      </c>
      <c r="T706" s="196" t="s">
        <v>868</v>
      </c>
      <c r="U706" s="196" t="s">
        <v>869</v>
      </c>
      <c r="V706" s="196" t="s">
        <v>1296</v>
      </c>
      <c r="W706" s="196" t="s">
        <v>1294</v>
      </c>
      <c r="X706" s="196" t="s">
        <v>1297</v>
      </c>
      <c r="Y706" s="196" t="s">
        <v>848</v>
      </c>
    </row>
    <row r="707" spans="1:25">
      <c r="A707" s="196" t="s">
        <v>837</v>
      </c>
      <c r="B707" s="196" t="s">
        <v>838</v>
      </c>
      <c r="C707" s="196">
        <v>2014</v>
      </c>
      <c r="D707" s="196">
        <v>55</v>
      </c>
      <c r="E707" s="196" t="s">
        <v>855</v>
      </c>
      <c r="F707" s="196" t="s">
        <v>1293</v>
      </c>
      <c r="G707" s="196">
        <v>1</v>
      </c>
      <c r="H707" s="196">
        <v>1</v>
      </c>
      <c r="I707" s="196">
        <v>2118</v>
      </c>
      <c r="J707" s="196">
        <v>29391</v>
      </c>
      <c r="K707" s="196">
        <v>92.45</v>
      </c>
      <c r="L707" s="196">
        <v>1.5</v>
      </c>
      <c r="M707" s="196">
        <v>38280</v>
      </c>
      <c r="N707" s="196">
        <v>2198874</v>
      </c>
      <c r="O707" s="196">
        <v>2088</v>
      </c>
      <c r="P707" s="196" t="s">
        <v>865</v>
      </c>
      <c r="Q707" s="196" t="s">
        <v>1294</v>
      </c>
      <c r="R707" s="196" t="s">
        <v>1295</v>
      </c>
      <c r="S707" s="196" t="s">
        <v>844</v>
      </c>
      <c r="T707" s="196" t="s">
        <v>868</v>
      </c>
      <c r="U707" s="196" t="s">
        <v>869</v>
      </c>
      <c r="V707" s="196" t="s">
        <v>1296</v>
      </c>
      <c r="W707" s="196" t="s">
        <v>1294</v>
      </c>
      <c r="X707" s="196" t="s">
        <v>1297</v>
      </c>
      <c r="Y707" s="196" t="s">
        <v>848</v>
      </c>
    </row>
    <row r="708" spans="1:25">
      <c r="A708" s="196" t="s">
        <v>837</v>
      </c>
      <c r="B708" s="196" t="s">
        <v>181</v>
      </c>
      <c r="C708" s="196">
        <v>2014</v>
      </c>
      <c r="D708" s="196">
        <v>55</v>
      </c>
      <c r="E708" s="196" t="s">
        <v>858</v>
      </c>
      <c r="F708" s="196" t="s">
        <v>1293</v>
      </c>
      <c r="G708" s="196">
        <v>1</v>
      </c>
      <c r="H708" s="196">
        <v>1</v>
      </c>
      <c r="I708" s="196">
        <v>1464</v>
      </c>
      <c r="J708" s="196">
        <v>3657</v>
      </c>
      <c r="K708" s="196">
        <v>92.45</v>
      </c>
      <c r="L708" s="196">
        <v>1.5</v>
      </c>
      <c r="M708" s="196">
        <v>38280</v>
      </c>
      <c r="N708" s="196">
        <v>2198874</v>
      </c>
      <c r="O708" s="196">
        <v>2088</v>
      </c>
      <c r="P708" s="196" t="s">
        <v>865</v>
      </c>
      <c r="Q708" s="196" t="s">
        <v>1294</v>
      </c>
      <c r="R708" s="196" t="s">
        <v>1295</v>
      </c>
      <c r="S708" s="196" t="s">
        <v>844</v>
      </c>
      <c r="T708" s="196" t="s">
        <v>868</v>
      </c>
      <c r="U708" s="196" t="s">
        <v>869</v>
      </c>
      <c r="V708" s="196" t="s">
        <v>1296</v>
      </c>
      <c r="W708" s="196" t="s">
        <v>1294</v>
      </c>
      <c r="X708" s="196" t="s">
        <v>1297</v>
      </c>
      <c r="Y708" s="196" t="s">
        <v>848</v>
      </c>
    </row>
    <row r="709" spans="1:25">
      <c r="A709" s="196" t="s">
        <v>837</v>
      </c>
      <c r="B709" s="196" t="s">
        <v>850</v>
      </c>
      <c r="C709" s="196">
        <v>2014</v>
      </c>
      <c r="D709" s="196">
        <v>55</v>
      </c>
      <c r="E709" s="196" t="s">
        <v>862</v>
      </c>
      <c r="F709" s="196" t="s">
        <v>1293</v>
      </c>
      <c r="G709" s="196">
        <v>2</v>
      </c>
      <c r="H709" s="196">
        <v>2</v>
      </c>
      <c r="I709" s="196">
        <v>4815</v>
      </c>
      <c r="J709" s="196">
        <v>103248</v>
      </c>
      <c r="K709" s="196">
        <v>92.45</v>
      </c>
      <c r="L709" s="196">
        <v>1.5</v>
      </c>
      <c r="M709" s="196">
        <v>38280</v>
      </c>
      <c r="N709" s="196">
        <v>2198874</v>
      </c>
      <c r="O709" s="196">
        <v>2088</v>
      </c>
      <c r="P709" s="196" t="s">
        <v>865</v>
      </c>
      <c r="Q709" s="196" t="s">
        <v>1294</v>
      </c>
      <c r="R709" s="196" t="s">
        <v>1295</v>
      </c>
      <c r="S709" s="196" t="s">
        <v>844</v>
      </c>
      <c r="T709" s="196" t="s">
        <v>868</v>
      </c>
      <c r="U709" s="196" t="s">
        <v>869</v>
      </c>
      <c r="V709" s="196" t="s">
        <v>1296</v>
      </c>
      <c r="W709" s="196" t="s">
        <v>1294</v>
      </c>
      <c r="X709" s="196" t="s">
        <v>1297</v>
      </c>
      <c r="Y709" s="196" t="s">
        <v>848</v>
      </c>
    </row>
    <row r="710" spans="1:25">
      <c r="A710" s="196" t="s">
        <v>837</v>
      </c>
      <c r="B710" s="196" t="s">
        <v>850</v>
      </c>
      <c r="C710" s="196">
        <v>2013</v>
      </c>
      <c r="D710" s="196">
        <v>30</v>
      </c>
      <c r="E710" s="196" t="s">
        <v>851</v>
      </c>
      <c r="F710" s="196" t="s">
        <v>1298</v>
      </c>
      <c r="G710" s="196">
        <v>2</v>
      </c>
      <c r="H710" s="196">
        <v>2</v>
      </c>
      <c r="I710" s="196">
        <v>4107</v>
      </c>
      <c r="J710" s="196">
        <v>126972</v>
      </c>
      <c r="K710" s="196">
        <v>89.09</v>
      </c>
      <c r="L710" s="196">
        <v>0.77</v>
      </c>
      <c r="M710" s="196">
        <v>67491</v>
      </c>
      <c r="N710" s="196">
        <v>2120978</v>
      </c>
      <c r="O710" s="196">
        <v>1889</v>
      </c>
      <c r="P710" s="196" t="s">
        <v>920</v>
      </c>
      <c r="Q710" s="196" t="s">
        <v>921</v>
      </c>
      <c r="R710" s="196" t="s">
        <v>922</v>
      </c>
      <c r="S710" s="196" t="s">
        <v>844</v>
      </c>
      <c r="T710" s="196" t="s">
        <v>923</v>
      </c>
      <c r="U710" s="196" t="s">
        <v>924</v>
      </c>
      <c r="V710" s="196" t="s">
        <v>925</v>
      </c>
      <c r="W710" s="196" t="s">
        <v>920</v>
      </c>
      <c r="X710" s="196" t="s">
        <v>921</v>
      </c>
      <c r="Y710" s="196" t="s">
        <v>848</v>
      </c>
    </row>
    <row r="711" spans="1:25">
      <c r="A711" s="196" t="s">
        <v>837</v>
      </c>
      <c r="B711" s="196" t="s">
        <v>181</v>
      </c>
      <c r="C711" s="196">
        <v>2014</v>
      </c>
      <c r="D711" s="196">
        <v>80</v>
      </c>
      <c r="E711" s="196" t="s">
        <v>874</v>
      </c>
      <c r="F711" s="196" t="s">
        <v>1298</v>
      </c>
      <c r="G711" s="196">
        <v>2</v>
      </c>
      <c r="H711" s="196">
        <v>2</v>
      </c>
      <c r="I711" s="196">
        <v>3024</v>
      </c>
      <c r="J711" s="196">
        <v>261512</v>
      </c>
      <c r="K711" s="196">
        <v>89.09</v>
      </c>
      <c r="L711" s="196">
        <v>0.77</v>
      </c>
      <c r="M711" s="196">
        <v>67491</v>
      </c>
      <c r="N711" s="196">
        <v>2120978</v>
      </c>
      <c r="O711" s="196">
        <v>1889</v>
      </c>
      <c r="P711" s="196" t="s">
        <v>920</v>
      </c>
      <c r="Q711" s="196" t="s">
        <v>921</v>
      </c>
      <c r="R711" s="196" t="s">
        <v>922</v>
      </c>
      <c r="S711" s="196" t="s">
        <v>844</v>
      </c>
      <c r="T711" s="196" t="s">
        <v>923</v>
      </c>
      <c r="U711" s="196" t="s">
        <v>924</v>
      </c>
      <c r="V711" s="196" t="s">
        <v>925</v>
      </c>
      <c r="W711" s="196" t="s">
        <v>920</v>
      </c>
      <c r="X711" s="196" t="s">
        <v>921</v>
      </c>
      <c r="Y711" s="196" t="s">
        <v>848</v>
      </c>
    </row>
    <row r="712" spans="1:25">
      <c r="A712" s="196" t="s">
        <v>837</v>
      </c>
      <c r="B712" s="196" t="s">
        <v>181</v>
      </c>
      <c r="C712" s="196">
        <v>2013</v>
      </c>
      <c r="D712" s="196">
        <v>80</v>
      </c>
      <c r="E712" s="196" t="s">
        <v>876</v>
      </c>
      <c r="F712" s="196" t="s">
        <v>1298</v>
      </c>
      <c r="G712" s="196">
        <v>1</v>
      </c>
      <c r="H712" s="196">
        <v>1</v>
      </c>
      <c r="I712" s="196">
        <v>2046</v>
      </c>
      <c r="J712" s="196">
        <v>217604</v>
      </c>
      <c r="K712" s="196">
        <v>89.09</v>
      </c>
      <c r="L712" s="196">
        <v>0.77</v>
      </c>
      <c r="M712" s="196">
        <v>67491</v>
      </c>
      <c r="N712" s="196">
        <v>2120978</v>
      </c>
      <c r="O712" s="196">
        <v>1889</v>
      </c>
      <c r="P712" s="196" t="s">
        <v>920</v>
      </c>
      <c r="Q712" s="196" t="s">
        <v>921</v>
      </c>
      <c r="R712" s="196" t="s">
        <v>922</v>
      </c>
      <c r="S712" s="196" t="s">
        <v>844</v>
      </c>
      <c r="T712" s="196" t="s">
        <v>923</v>
      </c>
      <c r="U712" s="196" t="s">
        <v>924</v>
      </c>
      <c r="V712" s="196" t="s">
        <v>925</v>
      </c>
      <c r="W712" s="196" t="s">
        <v>920</v>
      </c>
      <c r="X712" s="196" t="s">
        <v>921</v>
      </c>
      <c r="Y712" s="196" t="s">
        <v>848</v>
      </c>
    </row>
    <row r="713" spans="1:25">
      <c r="A713" s="196" t="s">
        <v>837</v>
      </c>
      <c r="B713" s="196" t="s">
        <v>850</v>
      </c>
      <c r="C713" s="196">
        <v>2014</v>
      </c>
      <c r="D713" s="196">
        <v>30</v>
      </c>
      <c r="E713" s="196" t="s">
        <v>861</v>
      </c>
      <c r="F713" s="196" t="s">
        <v>1298</v>
      </c>
      <c r="G713" s="196">
        <v>1</v>
      </c>
      <c r="H713" s="196">
        <v>1</v>
      </c>
      <c r="I713" s="196">
        <v>1071</v>
      </c>
      <c r="J713" s="196">
        <v>26785</v>
      </c>
      <c r="K713" s="196">
        <v>89.09</v>
      </c>
      <c r="L713" s="196">
        <v>0.77</v>
      </c>
      <c r="M713" s="196">
        <v>67491</v>
      </c>
      <c r="N713" s="196">
        <v>2120978</v>
      </c>
      <c r="O713" s="196">
        <v>1889</v>
      </c>
      <c r="P713" s="196" t="s">
        <v>920</v>
      </c>
      <c r="Q713" s="196" t="s">
        <v>921</v>
      </c>
      <c r="R713" s="196" t="s">
        <v>922</v>
      </c>
      <c r="S713" s="196" t="s">
        <v>844</v>
      </c>
      <c r="T713" s="196" t="s">
        <v>923</v>
      </c>
      <c r="U713" s="196" t="s">
        <v>924</v>
      </c>
      <c r="V713" s="196" t="s">
        <v>925</v>
      </c>
      <c r="W713" s="196" t="s">
        <v>920</v>
      </c>
      <c r="X713" s="196" t="s">
        <v>921</v>
      </c>
      <c r="Y713" s="196" t="s">
        <v>848</v>
      </c>
    </row>
    <row r="714" spans="1:25">
      <c r="A714" s="196" t="s">
        <v>837</v>
      </c>
      <c r="B714" s="196" t="s">
        <v>838</v>
      </c>
      <c r="C714" s="196">
        <v>2013</v>
      </c>
      <c r="D714" s="196">
        <v>55</v>
      </c>
      <c r="E714" s="196" t="s">
        <v>849</v>
      </c>
      <c r="F714" s="196" t="s">
        <v>1299</v>
      </c>
      <c r="G714" s="196">
        <v>18</v>
      </c>
      <c r="H714" s="196">
        <v>18</v>
      </c>
      <c r="I714" s="196">
        <v>29547</v>
      </c>
      <c r="J714" s="196">
        <v>664695</v>
      </c>
      <c r="K714" s="196">
        <v>95.38</v>
      </c>
      <c r="L714" s="196">
        <v>0.53</v>
      </c>
      <c r="M714" s="196">
        <v>30143</v>
      </c>
      <c r="N714" s="196">
        <v>3822289</v>
      </c>
      <c r="O714" s="196">
        <v>3135</v>
      </c>
      <c r="P714" s="196" t="s">
        <v>878</v>
      </c>
      <c r="Q714" s="196" t="s">
        <v>1300</v>
      </c>
      <c r="R714" s="196" t="s">
        <v>1301</v>
      </c>
      <c r="S714" s="196" t="s">
        <v>844</v>
      </c>
      <c r="T714" s="196" t="s">
        <v>845</v>
      </c>
      <c r="U714" s="196" t="s">
        <v>846</v>
      </c>
      <c r="V714" s="196" t="s">
        <v>841</v>
      </c>
      <c r="W714" s="196" t="s">
        <v>1117</v>
      </c>
      <c r="X714" s="196" t="s">
        <v>1300</v>
      </c>
      <c r="Y714" s="196" t="s">
        <v>1302</v>
      </c>
    </row>
    <row r="715" spans="1:25">
      <c r="A715" s="196" t="s">
        <v>837</v>
      </c>
      <c r="B715" s="196" t="s">
        <v>850</v>
      </c>
      <c r="C715" s="196">
        <v>2013</v>
      </c>
      <c r="D715" s="196">
        <v>30</v>
      </c>
      <c r="E715" s="196" t="s">
        <v>851</v>
      </c>
      <c r="F715" s="196" t="s">
        <v>1299</v>
      </c>
      <c r="G715" s="196">
        <v>6</v>
      </c>
      <c r="H715" s="196">
        <v>6</v>
      </c>
      <c r="I715" s="196">
        <v>7867</v>
      </c>
      <c r="J715" s="196">
        <v>225303</v>
      </c>
      <c r="K715" s="196">
        <v>95.38</v>
      </c>
      <c r="L715" s="196">
        <v>0.53</v>
      </c>
      <c r="M715" s="196">
        <v>30143</v>
      </c>
      <c r="N715" s="196">
        <v>3822289</v>
      </c>
      <c r="O715" s="196">
        <v>3135</v>
      </c>
      <c r="P715" s="196" t="s">
        <v>878</v>
      </c>
      <c r="Q715" s="196" t="s">
        <v>1300</v>
      </c>
      <c r="R715" s="196" t="s">
        <v>1301</v>
      </c>
      <c r="S715" s="196" t="s">
        <v>844</v>
      </c>
      <c r="T715" s="196" t="s">
        <v>845</v>
      </c>
      <c r="U715" s="196" t="s">
        <v>846</v>
      </c>
      <c r="V715" s="196" t="s">
        <v>841</v>
      </c>
      <c r="W715" s="196" t="s">
        <v>1117</v>
      </c>
      <c r="X715" s="196" t="s">
        <v>1300</v>
      </c>
      <c r="Y715" s="196" t="s">
        <v>1302</v>
      </c>
    </row>
    <row r="716" spans="1:25">
      <c r="A716" s="196" t="s">
        <v>837</v>
      </c>
      <c r="B716" s="196" t="s">
        <v>850</v>
      </c>
      <c r="C716" s="196">
        <v>2013</v>
      </c>
      <c r="D716" s="196">
        <v>55</v>
      </c>
      <c r="E716" s="196" t="s">
        <v>852</v>
      </c>
      <c r="F716" s="196" t="s">
        <v>1299</v>
      </c>
      <c r="G716" s="196">
        <v>596</v>
      </c>
      <c r="H716" s="196">
        <v>144</v>
      </c>
      <c r="I716" s="196">
        <v>894696</v>
      </c>
      <c r="J716" s="196">
        <v>3385429</v>
      </c>
      <c r="K716" s="196">
        <v>95.38</v>
      </c>
      <c r="L716" s="196">
        <v>0.53</v>
      </c>
      <c r="M716" s="196">
        <v>30143</v>
      </c>
      <c r="N716" s="196">
        <v>3822289</v>
      </c>
      <c r="O716" s="196">
        <v>3135</v>
      </c>
      <c r="P716" s="196" t="s">
        <v>878</v>
      </c>
      <c r="Q716" s="196" t="s">
        <v>1300</v>
      </c>
      <c r="R716" s="196" t="s">
        <v>1301</v>
      </c>
      <c r="S716" s="196" t="s">
        <v>844</v>
      </c>
      <c r="T716" s="196" t="s">
        <v>845</v>
      </c>
      <c r="U716" s="196" t="s">
        <v>846</v>
      </c>
      <c r="V716" s="196" t="s">
        <v>841</v>
      </c>
      <c r="W716" s="196" t="s">
        <v>1117</v>
      </c>
      <c r="X716" s="196" t="s">
        <v>1300</v>
      </c>
      <c r="Y716" s="196" t="s">
        <v>1302</v>
      </c>
    </row>
    <row r="717" spans="1:25">
      <c r="A717" s="196" t="s">
        <v>837</v>
      </c>
      <c r="B717" s="196" t="s">
        <v>181</v>
      </c>
      <c r="C717" s="196">
        <v>2014</v>
      </c>
      <c r="D717" s="196">
        <v>80</v>
      </c>
      <c r="E717" s="196" t="s">
        <v>874</v>
      </c>
      <c r="F717" s="196" t="s">
        <v>1299</v>
      </c>
      <c r="G717" s="196">
        <v>1</v>
      </c>
      <c r="H717" s="196">
        <v>1</v>
      </c>
      <c r="I717" s="196">
        <v>1311</v>
      </c>
      <c r="J717" s="196">
        <v>53582</v>
      </c>
      <c r="K717" s="196">
        <v>95.38</v>
      </c>
      <c r="L717" s="196">
        <v>0.53</v>
      </c>
      <c r="M717" s="196">
        <v>30143</v>
      </c>
      <c r="N717" s="196">
        <v>3822289</v>
      </c>
      <c r="O717" s="196">
        <v>3135</v>
      </c>
      <c r="P717" s="196" t="s">
        <v>878</v>
      </c>
      <c r="Q717" s="196" t="s">
        <v>1300</v>
      </c>
      <c r="R717" s="196" t="s">
        <v>1301</v>
      </c>
      <c r="S717" s="196" t="s">
        <v>844</v>
      </c>
      <c r="T717" s="196" t="s">
        <v>845</v>
      </c>
      <c r="U717" s="196" t="s">
        <v>846</v>
      </c>
      <c r="V717" s="196" t="s">
        <v>841</v>
      </c>
      <c r="W717" s="196" t="s">
        <v>1117</v>
      </c>
      <c r="X717" s="196" t="s">
        <v>1300</v>
      </c>
      <c r="Y717" s="196" t="s">
        <v>1302</v>
      </c>
    </row>
    <row r="718" spans="1:25">
      <c r="A718" s="196" t="s">
        <v>837</v>
      </c>
      <c r="B718" s="196" t="s">
        <v>838</v>
      </c>
      <c r="C718" s="196">
        <v>2013</v>
      </c>
      <c r="D718" s="196">
        <v>80</v>
      </c>
      <c r="E718" s="196" t="s">
        <v>908</v>
      </c>
      <c r="F718" s="196" t="s">
        <v>1299</v>
      </c>
      <c r="G718" s="196">
        <v>1</v>
      </c>
      <c r="H718" s="196">
        <v>1</v>
      </c>
      <c r="I718" s="196">
        <v>1359</v>
      </c>
      <c r="J718" s="196">
        <v>7777</v>
      </c>
      <c r="K718" s="196">
        <v>95.38</v>
      </c>
      <c r="L718" s="196">
        <v>0.53</v>
      </c>
      <c r="M718" s="196">
        <v>30143</v>
      </c>
      <c r="N718" s="196">
        <v>3822289</v>
      </c>
      <c r="O718" s="196">
        <v>3135</v>
      </c>
      <c r="P718" s="196" t="s">
        <v>878</v>
      </c>
      <c r="Q718" s="196" t="s">
        <v>1300</v>
      </c>
      <c r="R718" s="196" t="s">
        <v>1301</v>
      </c>
      <c r="S718" s="196" t="s">
        <v>844</v>
      </c>
      <c r="T718" s="196" t="s">
        <v>845</v>
      </c>
      <c r="U718" s="196" t="s">
        <v>846</v>
      </c>
      <c r="V718" s="196" t="s">
        <v>841</v>
      </c>
      <c r="W718" s="196" t="s">
        <v>1117</v>
      </c>
      <c r="X718" s="196" t="s">
        <v>1300</v>
      </c>
      <c r="Y718" s="196" t="s">
        <v>1302</v>
      </c>
    </row>
    <row r="719" spans="1:25">
      <c r="A719" s="196" t="s">
        <v>837</v>
      </c>
      <c r="B719" s="196" t="s">
        <v>181</v>
      </c>
      <c r="C719" s="196">
        <v>2013</v>
      </c>
      <c r="D719" s="196">
        <v>80</v>
      </c>
      <c r="E719" s="196" t="s">
        <v>876</v>
      </c>
      <c r="F719" s="196" t="s">
        <v>1299</v>
      </c>
      <c r="G719" s="196">
        <v>1</v>
      </c>
      <c r="H719" s="196">
        <v>1</v>
      </c>
      <c r="I719" s="196">
        <v>2697</v>
      </c>
      <c r="J719" s="196">
        <v>49254</v>
      </c>
      <c r="K719" s="196">
        <v>95.38</v>
      </c>
      <c r="L719" s="196">
        <v>0.53</v>
      </c>
      <c r="M719" s="196">
        <v>30143</v>
      </c>
      <c r="N719" s="196">
        <v>3822289</v>
      </c>
      <c r="O719" s="196">
        <v>3135</v>
      </c>
      <c r="P719" s="196" t="s">
        <v>878</v>
      </c>
      <c r="Q719" s="196" t="s">
        <v>1300</v>
      </c>
      <c r="R719" s="196" t="s">
        <v>1301</v>
      </c>
      <c r="S719" s="196" t="s">
        <v>844</v>
      </c>
      <c r="T719" s="196" t="s">
        <v>845</v>
      </c>
      <c r="U719" s="196" t="s">
        <v>846</v>
      </c>
      <c r="V719" s="196" t="s">
        <v>841</v>
      </c>
      <c r="W719" s="196" t="s">
        <v>1117</v>
      </c>
      <c r="X719" s="196" t="s">
        <v>1300</v>
      </c>
      <c r="Y719" s="196" t="s">
        <v>1302</v>
      </c>
    </row>
    <row r="720" spans="1:25">
      <c r="A720" s="196" t="s">
        <v>837</v>
      </c>
      <c r="B720" s="196" t="s">
        <v>850</v>
      </c>
      <c r="C720" s="196">
        <v>2014</v>
      </c>
      <c r="D720" s="196">
        <v>30</v>
      </c>
      <c r="E720" s="196" t="s">
        <v>860</v>
      </c>
      <c r="F720" s="196" t="s">
        <v>1299</v>
      </c>
      <c r="G720" s="196">
        <v>1</v>
      </c>
      <c r="H720" s="196">
        <v>1</v>
      </c>
      <c r="I720" s="196">
        <v>1041</v>
      </c>
      <c r="J720" s="196">
        <v>58831</v>
      </c>
      <c r="K720" s="196">
        <v>95.38</v>
      </c>
      <c r="L720" s="196">
        <v>0.53</v>
      </c>
      <c r="M720" s="196">
        <v>30143</v>
      </c>
      <c r="N720" s="196">
        <v>3822289</v>
      </c>
      <c r="O720" s="196">
        <v>3135</v>
      </c>
      <c r="P720" s="196" t="s">
        <v>878</v>
      </c>
      <c r="Q720" s="196" t="s">
        <v>1300</v>
      </c>
      <c r="R720" s="196" t="s">
        <v>1301</v>
      </c>
      <c r="S720" s="196" t="s">
        <v>844</v>
      </c>
      <c r="T720" s="196" t="s">
        <v>845</v>
      </c>
      <c r="U720" s="196" t="s">
        <v>846</v>
      </c>
      <c r="V720" s="196" t="s">
        <v>841</v>
      </c>
      <c r="W720" s="196" t="s">
        <v>1117</v>
      </c>
      <c r="X720" s="196" t="s">
        <v>1300</v>
      </c>
      <c r="Y720" s="196" t="s">
        <v>1302</v>
      </c>
    </row>
    <row r="721" spans="1:25">
      <c r="A721" s="196" t="s">
        <v>837</v>
      </c>
      <c r="B721" s="196" t="s">
        <v>850</v>
      </c>
      <c r="C721" s="196">
        <v>2014</v>
      </c>
      <c r="D721" s="196">
        <v>55</v>
      </c>
      <c r="E721" s="196" t="s">
        <v>862</v>
      </c>
      <c r="F721" s="196" t="s">
        <v>1299</v>
      </c>
      <c r="G721" s="196">
        <v>61</v>
      </c>
      <c r="H721" s="196">
        <v>44</v>
      </c>
      <c r="I721" s="196">
        <v>117573</v>
      </c>
      <c r="J721" s="196">
        <v>1289301</v>
      </c>
      <c r="K721" s="196">
        <v>95.38</v>
      </c>
      <c r="L721" s="196">
        <v>0.53</v>
      </c>
      <c r="M721" s="196">
        <v>30143</v>
      </c>
      <c r="N721" s="196">
        <v>3822289</v>
      </c>
      <c r="O721" s="196">
        <v>3135</v>
      </c>
      <c r="P721" s="196" t="s">
        <v>878</v>
      </c>
      <c r="Q721" s="196" t="s">
        <v>1300</v>
      </c>
      <c r="R721" s="196" t="s">
        <v>1301</v>
      </c>
      <c r="S721" s="196" t="s">
        <v>844</v>
      </c>
      <c r="T721" s="196" t="s">
        <v>845</v>
      </c>
      <c r="U721" s="196" t="s">
        <v>846</v>
      </c>
      <c r="V721" s="196" t="s">
        <v>841</v>
      </c>
      <c r="W721" s="196" t="s">
        <v>1117</v>
      </c>
      <c r="X721" s="196" t="s">
        <v>1300</v>
      </c>
      <c r="Y721" s="196" t="s">
        <v>1302</v>
      </c>
    </row>
    <row r="722" spans="1:25">
      <c r="A722" s="196" t="s">
        <v>837</v>
      </c>
      <c r="B722" s="196" t="s">
        <v>850</v>
      </c>
      <c r="C722" s="196">
        <v>2014</v>
      </c>
      <c r="D722" s="196">
        <v>55</v>
      </c>
      <c r="E722" s="196" t="s">
        <v>863</v>
      </c>
      <c r="F722" s="196" t="s">
        <v>1299</v>
      </c>
      <c r="G722" s="196">
        <v>65</v>
      </c>
      <c r="H722" s="196">
        <v>52</v>
      </c>
      <c r="I722" s="196">
        <v>109020</v>
      </c>
      <c r="J722" s="196">
        <v>1783672</v>
      </c>
      <c r="K722" s="196">
        <v>95.38</v>
      </c>
      <c r="L722" s="196">
        <v>0.53</v>
      </c>
      <c r="M722" s="196">
        <v>30143</v>
      </c>
      <c r="N722" s="196">
        <v>3822289</v>
      </c>
      <c r="O722" s="196">
        <v>3135</v>
      </c>
      <c r="P722" s="196" t="s">
        <v>878</v>
      </c>
      <c r="Q722" s="196" t="s">
        <v>1300</v>
      </c>
      <c r="R722" s="196" t="s">
        <v>1301</v>
      </c>
      <c r="S722" s="196" t="s">
        <v>844</v>
      </c>
      <c r="T722" s="196" t="s">
        <v>845</v>
      </c>
      <c r="U722" s="196" t="s">
        <v>846</v>
      </c>
      <c r="V722" s="196" t="s">
        <v>841</v>
      </c>
      <c r="W722" s="196" t="s">
        <v>1117</v>
      </c>
      <c r="X722" s="196" t="s">
        <v>1300</v>
      </c>
      <c r="Y722" s="196" t="s">
        <v>1302</v>
      </c>
    </row>
    <row r="723" spans="1:25">
      <c r="A723" s="196" t="s">
        <v>837</v>
      </c>
      <c r="B723" s="196" t="s">
        <v>850</v>
      </c>
      <c r="C723" s="196">
        <v>2013</v>
      </c>
      <c r="D723" s="196">
        <v>55</v>
      </c>
      <c r="E723" s="196" t="s">
        <v>852</v>
      </c>
      <c r="F723" s="196" t="s">
        <v>1303</v>
      </c>
      <c r="G723" s="196">
        <v>1</v>
      </c>
      <c r="H723" s="196">
        <v>1</v>
      </c>
      <c r="I723" s="196">
        <v>2136</v>
      </c>
      <c r="J723" s="196">
        <v>67521</v>
      </c>
      <c r="K723" s="196">
        <v>89.26</v>
      </c>
      <c r="L723" s="196">
        <v>0.72</v>
      </c>
      <c r="M723" s="196">
        <v>20888</v>
      </c>
      <c r="N723" s="196">
        <v>1428790</v>
      </c>
      <c r="O723" s="196">
        <v>1278</v>
      </c>
      <c r="P723" s="196" t="s">
        <v>878</v>
      </c>
      <c r="Q723" s="196" t="s">
        <v>1304</v>
      </c>
      <c r="R723" s="196" t="s">
        <v>1305</v>
      </c>
      <c r="S723" s="196" t="s">
        <v>844</v>
      </c>
      <c r="T723" s="196" t="s">
        <v>1061</v>
      </c>
      <c r="U723" s="196" t="s">
        <v>1062</v>
      </c>
      <c r="V723" s="196" t="s">
        <v>1063</v>
      </c>
      <c r="W723" s="196" t="s">
        <v>1059</v>
      </c>
      <c r="X723" s="196" t="s">
        <v>1304</v>
      </c>
      <c r="Y723" s="196" t="s">
        <v>848</v>
      </c>
    </row>
    <row r="724" spans="1:25">
      <c r="A724" s="196" t="s">
        <v>837</v>
      </c>
      <c r="B724" s="196" t="s">
        <v>181</v>
      </c>
      <c r="C724" s="196">
        <v>2014</v>
      </c>
      <c r="D724" s="196">
        <v>80</v>
      </c>
      <c r="E724" s="196" t="s">
        <v>874</v>
      </c>
      <c r="F724" s="196" t="s">
        <v>1303</v>
      </c>
      <c r="G724" s="196">
        <v>2</v>
      </c>
      <c r="H724" s="196">
        <v>2</v>
      </c>
      <c r="I724" s="196">
        <v>3783</v>
      </c>
      <c r="J724" s="196">
        <v>73633</v>
      </c>
      <c r="K724" s="196">
        <v>89.26</v>
      </c>
      <c r="L724" s="196">
        <v>0.72</v>
      </c>
      <c r="M724" s="196">
        <v>20888</v>
      </c>
      <c r="N724" s="196">
        <v>1428790</v>
      </c>
      <c r="O724" s="196">
        <v>1278</v>
      </c>
      <c r="P724" s="196" t="s">
        <v>878</v>
      </c>
      <c r="Q724" s="196" t="s">
        <v>1304</v>
      </c>
      <c r="R724" s="196" t="s">
        <v>1305</v>
      </c>
      <c r="S724" s="196" t="s">
        <v>844</v>
      </c>
      <c r="T724" s="196" t="s">
        <v>1061</v>
      </c>
      <c r="U724" s="196" t="s">
        <v>1062</v>
      </c>
      <c r="V724" s="196" t="s">
        <v>1063</v>
      </c>
      <c r="W724" s="196" t="s">
        <v>1059</v>
      </c>
      <c r="X724" s="196" t="s">
        <v>1304</v>
      </c>
      <c r="Y724" s="196" t="s">
        <v>848</v>
      </c>
    </row>
    <row r="725" spans="1:25">
      <c r="A725" s="196" t="s">
        <v>837</v>
      </c>
      <c r="B725" s="196" t="s">
        <v>850</v>
      </c>
      <c r="C725" s="196">
        <v>2014</v>
      </c>
      <c r="D725" s="196">
        <v>80</v>
      </c>
      <c r="E725" s="196" t="s">
        <v>875</v>
      </c>
      <c r="F725" s="196" t="s">
        <v>1303</v>
      </c>
      <c r="G725" s="196">
        <v>1</v>
      </c>
      <c r="H725" s="196">
        <v>1</v>
      </c>
      <c r="I725" s="196">
        <v>1647</v>
      </c>
      <c r="J725" s="196">
        <v>6112</v>
      </c>
      <c r="K725" s="196">
        <v>89.26</v>
      </c>
      <c r="L725" s="196">
        <v>0.72</v>
      </c>
      <c r="M725" s="196">
        <v>20888</v>
      </c>
      <c r="N725" s="196">
        <v>1428790</v>
      </c>
      <c r="O725" s="196">
        <v>1278</v>
      </c>
      <c r="P725" s="196" t="s">
        <v>878</v>
      </c>
      <c r="Q725" s="196" t="s">
        <v>1304</v>
      </c>
      <c r="R725" s="196" t="s">
        <v>1305</v>
      </c>
      <c r="S725" s="196" t="s">
        <v>844</v>
      </c>
      <c r="T725" s="196" t="s">
        <v>1061</v>
      </c>
      <c r="U725" s="196" t="s">
        <v>1062</v>
      </c>
      <c r="V725" s="196" t="s">
        <v>1063</v>
      </c>
      <c r="W725" s="196" t="s">
        <v>1059</v>
      </c>
      <c r="X725" s="196" t="s">
        <v>1304</v>
      </c>
      <c r="Y725" s="196" t="s">
        <v>848</v>
      </c>
    </row>
    <row r="726" spans="1:25">
      <c r="A726" s="196" t="s">
        <v>837</v>
      </c>
      <c r="B726" s="196" t="s">
        <v>181</v>
      </c>
      <c r="C726" s="196">
        <v>2013</v>
      </c>
      <c r="D726" s="196">
        <v>80</v>
      </c>
      <c r="E726" s="196" t="s">
        <v>876</v>
      </c>
      <c r="F726" s="196" t="s">
        <v>1303</v>
      </c>
      <c r="G726" s="196">
        <v>1</v>
      </c>
      <c r="H726" s="196">
        <v>1</v>
      </c>
      <c r="I726" s="196">
        <v>1743</v>
      </c>
      <c r="J726" s="196">
        <v>3984</v>
      </c>
      <c r="K726" s="196">
        <v>89.26</v>
      </c>
      <c r="L726" s="196">
        <v>0.72</v>
      </c>
      <c r="M726" s="196">
        <v>20888</v>
      </c>
      <c r="N726" s="196">
        <v>1428790</v>
      </c>
      <c r="O726" s="196">
        <v>1278</v>
      </c>
      <c r="P726" s="196" t="s">
        <v>878</v>
      </c>
      <c r="Q726" s="196" t="s">
        <v>1304</v>
      </c>
      <c r="R726" s="196" t="s">
        <v>1305</v>
      </c>
      <c r="S726" s="196" t="s">
        <v>844</v>
      </c>
      <c r="T726" s="196" t="s">
        <v>1061</v>
      </c>
      <c r="U726" s="196" t="s">
        <v>1062</v>
      </c>
      <c r="V726" s="196" t="s">
        <v>1063</v>
      </c>
      <c r="W726" s="196" t="s">
        <v>1059</v>
      </c>
      <c r="X726" s="196" t="s">
        <v>1304</v>
      </c>
      <c r="Y726" s="196" t="s">
        <v>848</v>
      </c>
    </row>
    <row r="727" spans="1:25">
      <c r="A727" s="196" t="s">
        <v>837</v>
      </c>
      <c r="B727" s="196" t="s">
        <v>838</v>
      </c>
      <c r="C727" s="196">
        <v>2014</v>
      </c>
      <c r="D727" s="196">
        <v>55</v>
      </c>
      <c r="E727" s="196" t="s">
        <v>854</v>
      </c>
      <c r="F727" s="196" t="s">
        <v>1303</v>
      </c>
      <c r="G727" s="196">
        <v>1</v>
      </c>
      <c r="H727" s="196">
        <v>1</v>
      </c>
      <c r="I727" s="196">
        <v>1044</v>
      </c>
      <c r="J727" s="196">
        <v>3057</v>
      </c>
      <c r="K727" s="196">
        <v>89.26</v>
      </c>
      <c r="L727" s="196">
        <v>0.72</v>
      </c>
      <c r="M727" s="196">
        <v>20888</v>
      </c>
      <c r="N727" s="196">
        <v>1428790</v>
      </c>
      <c r="O727" s="196">
        <v>1278</v>
      </c>
      <c r="P727" s="196" t="s">
        <v>878</v>
      </c>
      <c r="Q727" s="196" t="s">
        <v>1304</v>
      </c>
      <c r="R727" s="196" t="s">
        <v>1305</v>
      </c>
      <c r="S727" s="196" t="s">
        <v>844</v>
      </c>
      <c r="T727" s="196" t="s">
        <v>1061</v>
      </c>
      <c r="U727" s="196" t="s">
        <v>1062</v>
      </c>
      <c r="V727" s="196" t="s">
        <v>1063</v>
      </c>
      <c r="W727" s="196" t="s">
        <v>1059</v>
      </c>
      <c r="X727" s="196" t="s">
        <v>1304</v>
      </c>
      <c r="Y727" s="196" t="s">
        <v>848</v>
      </c>
    </row>
    <row r="728" spans="1:25">
      <c r="A728" s="196" t="s">
        <v>837</v>
      </c>
      <c r="B728" s="196" t="s">
        <v>181</v>
      </c>
      <c r="C728" s="196">
        <v>2014</v>
      </c>
      <c r="D728" s="196">
        <v>55</v>
      </c>
      <c r="E728" s="196" t="s">
        <v>858</v>
      </c>
      <c r="F728" s="196" t="s">
        <v>1303</v>
      </c>
      <c r="G728" s="196">
        <v>2</v>
      </c>
      <c r="H728" s="196">
        <v>2</v>
      </c>
      <c r="I728" s="196">
        <v>1554</v>
      </c>
      <c r="J728" s="196">
        <v>11863</v>
      </c>
      <c r="K728" s="196">
        <v>89.26</v>
      </c>
      <c r="L728" s="196">
        <v>0.72</v>
      </c>
      <c r="M728" s="196">
        <v>20888</v>
      </c>
      <c r="N728" s="196">
        <v>1428790</v>
      </c>
      <c r="O728" s="196">
        <v>1278</v>
      </c>
      <c r="P728" s="196" t="s">
        <v>878</v>
      </c>
      <c r="Q728" s="196" t="s">
        <v>1304</v>
      </c>
      <c r="R728" s="196" t="s">
        <v>1305</v>
      </c>
      <c r="S728" s="196" t="s">
        <v>844</v>
      </c>
      <c r="T728" s="196" t="s">
        <v>1061</v>
      </c>
      <c r="U728" s="196" t="s">
        <v>1062</v>
      </c>
      <c r="V728" s="196" t="s">
        <v>1063</v>
      </c>
      <c r="W728" s="196" t="s">
        <v>1059</v>
      </c>
      <c r="X728" s="196" t="s">
        <v>1304</v>
      </c>
      <c r="Y728" s="196" t="s">
        <v>848</v>
      </c>
    </row>
    <row r="729" spans="1:25">
      <c r="A729" s="196" t="s">
        <v>837</v>
      </c>
      <c r="B729" s="196" t="s">
        <v>838</v>
      </c>
      <c r="C729" s="196">
        <v>2013</v>
      </c>
      <c r="D729" s="196">
        <v>55</v>
      </c>
      <c r="E729" s="196" t="s">
        <v>849</v>
      </c>
      <c r="F729" s="196" t="s">
        <v>1306</v>
      </c>
      <c r="G729" s="196">
        <v>3</v>
      </c>
      <c r="H729" s="196">
        <v>2</v>
      </c>
      <c r="I729" s="196">
        <v>2763</v>
      </c>
      <c r="J729" s="196">
        <v>11614</v>
      </c>
      <c r="K729" s="196">
        <v>100</v>
      </c>
      <c r="L729" s="196">
        <v>1.53</v>
      </c>
      <c r="M729" s="196">
        <v>11607</v>
      </c>
      <c r="N729" s="196">
        <v>2154168</v>
      </c>
      <c r="O729" s="196">
        <v>2008</v>
      </c>
      <c r="P729" s="196" t="s">
        <v>920</v>
      </c>
      <c r="Q729" s="196" t="s">
        <v>1278</v>
      </c>
      <c r="R729" s="196" t="s">
        <v>1279</v>
      </c>
      <c r="S729" s="196" t="s">
        <v>844</v>
      </c>
      <c r="T729" s="196" t="s">
        <v>923</v>
      </c>
      <c r="U729" s="196" t="s">
        <v>1280</v>
      </c>
      <c r="V729" s="196" t="s">
        <v>1278</v>
      </c>
      <c r="W729" s="196" t="s">
        <v>1307</v>
      </c>
      <c r="X729" s="196" t="s">
        <v>1308</v>
      </c>
      <c r="Y729" s="196" t="s">
        <v>848</v>
      </c>
    </row>
    <row r="730" spans="1:25">
      <c r="A730" s="196" t="s">
        <v>837</v>
      </c>
      <c r="B730" s="196" t="s">
        <v>850</v>
      </c>
      <c r="C730" s="196">
        <v>2013</v>
      </c>
      <c r="D730" s="196">
        <v>55</v>
      </c>
      <c r="E730" s="196" t="s">
        <v>852</v>
      </c>
      <c r="F730" s="196" t="s">
        <v>1306</v>
      </c>
      <c r="G730" s="196">
        <v>3</v>
      </c>
      <c r="H730" s="196">
        <v>3</v>
      </c>
      <c r="I730" s="196">
        <v>4224</v>
      </c>
      <c r="J730" s="196">
        <v>18097</v>
      </c>
      <c r="K730" s="196">
        <v>100</v>
      </c>
      <c r="L730" s="196">
        <v>1.53</v>
      </c>
      <c r="M730" s="196">
        <v>11607</v>
      </c>
      <c r="N730" s="196">
        <v>2154168</v>
      </c>
      <c r="O730" s="196">
        <v>2008</v>
      </c>
      <c r="P730" s="196" t="s">
        <v>920</v>
      </c>
      <c r="Q730" s="196" t="s">
        <v>1278</v>
      </c>
      <c r="R730" s="196" t="s">
        <v>1279</v>
      </c>
      <c r="S730" s="196" t="s">
        <v>844</v>
      </c>
      <c r="T730" s="196" t="s">
        <v>923</v>
      </c>
      <c r="U730" s="196" t="s">
        <v>1280</v>
      </c>
      <c r="V730" s="196" t="s">
        <v>1278</v>
      </c>
      <c r="W730" s="196" t="s">
        <v>1307</v>
      </c>
      <c r="X730" s="196" t="s">
        <v>1308</v>
      </c>
      <c r="Y730" s="196" t="s">
        <v>848</v>
      </c>
    </row>
    <row r="731" spans="1:25">
      <c r="A731" s="196" t="s">
        <v>837</v>
      </c>
      <c r="B731" s="196" t="s">
        <v>850</v>
      </c>
      <c r="C731" s="196">
        <v>2014</v>
      </c>
      <c r="D731" s="196">
        <v>30</v>
      </c>
      <c r="E731" s="196" t="s">
        <v>861</v>
      </c>
      <c r="F731" s="196" t="s">
        <v>1306</v>
      </c>
      <c r="G731" s="196">
        <v>1</v>
      </c>
      <c r="H731" s="196">
        <v>1</v>
      </c>
      <c r="I731" s="196">
        <v>678</v>
      </c>
      <c r="J731" s="196">
        <v>22753</v>
      </c>
      <c r="K731" s="196">
        <v>100</v>
      </c>
      <c r="L731" s="196">
        <v>1.53</v>
      </c>
      <c r="M731" s="196">
        <v>11607</v>
      </c>
      <c r="N731" s="196">
        <v>2154168</v>
      </c>
      <c r="O731" s="196">
        <v>2008</v>
      </c>
      <c r="P731" s="196" t="s">
        <v>920</v>
      </c>
      <c r="Q731" s="196" t="s">
        <v>1278</v>
      </c>
      <c r="R731" s="196" t="s">
        <v>1279</v>
      </c>
      <c r="S731" s="196" t="s">
        <v>844</v>
      </c>
      <c r="T731" s="196" t="s">
        <v>923</v>
      </c>
      <c r="U731" s="196" t="s">
        <v>1280</v>
      </c>
      <c r="V731" s="196" t="s">
        <v>1278</v>
      </c>
      <c r="W731" s="196" t="s">
        <v>1307</v>
      </c>
      <c r="X731" s="196" t="s">
        <v>1308</v>
      </c>
      <c r="Y731" s="196" t="s">
        <v>848</v>
      </c>
    </row>
    <row r="732" spans="1:25">
      <c r="A732" s="196" t="s">
        <v>837</v>
      </c>
      <c r="B732" s="196" t="s">
        <v>850</v>
      </c>
      <c r="C732" s="196">
        <v>2014</v>
      </c>
      <c r="D732" s="196">
        <v>55</v>
      </c>
      <c r="E732" s="196" t="s">
        <v>862</v>
      </c>
      <c r="F732" s="196" t="s">
        <v>1306</v>
      </c>
      <c r="G732" s="196">
        <v>1</v>
      </c>
      <c r="H732" s="196">
        <v>1</v>
      </c>
      <c r="I732" s="196">
        <v>576</v>
      </c>
      <c r="J732" s="196">
        <v>16813</v>
      </c>
      <c r="K732" s="196">
        <v>100</v>
      </c>
      <c r="L732" s="196">
        <v>1.53</v>
      </c>
      <c r="M732" s="196">
        <v>11607</v>
      </c>
      <c r="N732" s="196">
        <v>2154168</v>
      </c>
      <c r="O732" s="196">
        <v>2008</v>
      </c>
      <c r="P732" s="196" t="s">
        <v>920</v>
      </c>
      <c r="Q732" s="196" t="s">
        <v>1278</v>
      </c>
      <c r="R732" s="196" t="s">
        <v>1279</v>
      </c>
      <c r="S732" s="196" t="s">
        <v>844</v>
      </c>
      <c r="T732" s="196" t="s">
        <v>923</v>
      </c>
      <c r="U732" s="196" t="s">
        <v>1280</v>
      </c>
      <c r="V732" s="196" t="s">
        <v>1278</v>
      </c>
      <c r="W732" s="196" t="s">
        <v>1307</v>
      </c>
      <c r="X732" s="196" t="s">
        <v>1308</v>
      </c>
      <c r="Y732" s="196" t="s">
        <v>848</v>
      </c>
    </row>
    <row r="733" spans="1:25">
      <c r="A733" s="196" t="s">
        <v>837</v>
      </c>
      <c r="B733" s="196" t="s">
        <v>838</v>
      </c>
      <c r="C733" s="196">
        <v>2013</v>
      </c>
      <c r="D733" s="196">
        <v>30</v>
      </c>
      <c r="E733" s="196" t="s">
        <v>839</v>
      </c>
      <c r="F733" s="196" t="s">
        <v>1309</v>
      </c>
      <c r="G733" s="196">
        <v>3</v>
      </c>
      <c r="H733" s="196">
        <v>3</v>
      </c>
      <c r="I733" s="196">
        <v>4238</v>
      </c>
      <c r="J733" s="196">
        <v>64121</v>
      </c>
      <c r="K733" s="196">
        <v>98.62</v>
      </c>
      <c r="L733" s="196">
        <v>0.02</v>
      </c>
      <c r="M733" s="196">
        <v>20729</v>
      </c>
      <c r="N733" s="196">
        <v>1645123</v>
      </c>
      <c r="O733" s="196">
        <v>1764</v>
      </c>
      <c r="P733" s="196" t="s">
        <v>901</v>
      </c>
      <c r="Q733" s="196" t="s">
        <v>901</v>
      </c>
      <c r="R733" s="196" t="s">
        <v>1019</v>
      </c>
      <c r="S733" s="196" t="s">
        <v>844</v>
      </c>
      <c r="T733" s="196" t="s">
        <v>900</v>
      </c>
      <c r="U733" s="196" t="s">
        <v>901</v>
      </c>
      <c r="V733" s="196" t="s">
        <v>1310</v>
      </c>
      <c r="W733" s="196" t="s">
        <v>1311</v>
      </c>
      <c r="X733" s="196" t="s">
        <v>1312</v>
      </c>
      <c r="Y733" s="196" t="s">
        <v>1313</v>
      </c>
    </row>
    <row r="734" spans="1:25">
      <c r="A734" s="196" t="s">
        <v>837</v>
      </c>
      <c r="B734" s="196" t="s">
        <v>850</v>
      </c>
      <c r="C734" s="196">
        <v>2013</v>
      </c>
      <c r="D734" s="196">
        <v>30</v>
      </c>
      <c r="E734" s="196" t="s">
        <v>851</v>
      </c>
      <c r="F734" s="196" t="s">
        <v>1309</v>
      </c>
      <c r="G734" s="196">
        <v>2</v>
      </c>
      <c r="H734" s="196">
        <v>2</v>
      </c>
      <c r="I734" s="196">
        <v>1614</v>
      </c>
      <c r="J734" s="196">
        <v>108842</v>
      </c>
      <c r="K734" s="196">
        <v>98.62</v>
      </c>
      <c r="L734" s="196">
        <v>0.02</v>
      </c>
      <c r="M734" s="196">
        <v>20729</v>
      </c>
      <c r="N734" s="196">
        <v>1645123</v>
      </c>
      <c r="O734" s="196">
        <v>1764</v>
      </c>
      <c r="P734" s="196" t="s">
        <v>901</v>
      </c>
      <c r="Q734" s="196" t="s">
        <v>901</v>
      </c>
      <c r="R734" s="196" t="s">
        <v>1019</v>
      </c>
      <c r="S734" s="196" t="s">
        <v>844</v>
      </c>
      <c r="T734" s="196" t="s">
        <v>900</v>
      </c>
      <c r="U734" s="196" t="s">
        <v>901</v>
      </c>
      <c r="V734" s="196" t="s">
        <v>1310</v>
      </c>
      <c r="W734" s="196" t="s">
        <v>1311</v>
      </c>
      <c r="X734" s="196" t="s">
        <v>1312</v>
      </c>
      <c r="Y734" s="196" t="s">
        <v>1313</v>
      </c>
    </row>
    <row r="735" spans="1:25">
      <c r="A735" s="196" t="s">
        <v>837</v>
      </c>
      <c r="B735" s="196" t="s">
        <v>850</v>
      </c>
      <c r="C735" s="196">
        <v>2013</v>
      </c>
      <c r="D735" s="196">
        <v>55</v>
      </c>
      <c r="E735" s="196" t="s">
        <v>852</v>
      </c>
      <c r="F735" s="196" t="s">
        <v>1309</v>
      </c>
      <c r="G735" s="196">
        <v>2</v>
      </c>
      <c r="H735" s="196">
        <v>2</v>
      </c>
      <c r="I735" s="196">
        <v>2513</v>
      </c>
      <c r="J735" s="196">
        <v>35674</v>
      </c>
      <c r="K735" s="196">
        <v>98.62</v>
      </c>
      <c r="L735" s="196">
        <v>0.02</v>
      </c>
      <c r="M735" s="196">
        <v>20729</v>
      </c>
      <c r="N735" s="196">
        <v>1645123</v>
      </c>
      <c r="O735" s="196">
        <v>1764</v>
      </c>
      <c r="P735" s="196" t="s">
        <v>901</v>
      </c>
      <c r="Q735" s="196" t="s">
        <v>901</v>
      </c>
      <c r="R735" s="196" t="s">
        <v>1019</v>
      </c>
      <c r="S735" s="196" t="s">
        <v>844</v>
      </c>
      <c r="T735" s="196" t="s">
        <v>900</v>
      </c>
      <c r="U735" s="196" t="s">
        <v>901</v>
      </c>
      <c r="V735" s="196" t="s">
        <v>1310</v>
      </c>
      <c r="W735" s="196" t="s">
        <v>1311</v>
      </c>
      <c r="X735" s="196" t="s">
        <v>1312</v>
      </c>
      <c r="Y735" s="196" t="s">
        <v>1313</v>
      </c>
    </row>
    <row r="736" spans="1:25">
      <c r="A736" s="196" t="s">
        <v>837</v>
      </c>
      <c r="B736" s="196" t="s">
        <v>850</v>
      </c>
      <c r="C736" s="196">
        <v>2013</v>
      </c>
      <c r="D736" s="196">
        <v>80</v>
      </c>
      <c r="E736" s="196" t="s">
        <v>917</v>
      </c>
      <c r="F736" s="196" t="s">
        <v>1309</v>
      </c>
      <c r="G736" s="196">
        <v>1</v>
      </c>
      <c r="H736" s="196">
        <v>1</v>
      </c>
      <c r="I736" s="196">
        <v>75</v>
      </c>
      <c r="J736" s="196">
        <v>2800</v>
      </c>
      <c r="K736" s="196">
        <v>98.62</v>
      </c>
      <c r="L736" s="196">
        <v>0.02</v>
      </c>
      <c r="M736" s="196">
        <v>20729</v>
      </c>
      <c r="N736" s="196">
        <v>1645123</v>
      </c>
      <c r="O736" s="196">
        <v>1764</v>
      </c>
      <c r="P736" s="196" t="s">
        <v>901</v>
      </c>
      <c r="Q736" s="196" t="s">
        <v>901</v>
      </c>
      <c r="R736" s="196" t="s">
        <v>1019</v>
      </c>
      <c r="S736" s="196" t="s">
        <v>844</v>
      </c>
      <c r="T736" s="196" t="s">
        <v>900</v>
      </c>
      <c r="U736" s="196" t="s">
        <v>901</v>
      </c>
      <c r="V736" s="196" t="s">
        <v>1310</v>
      </c>
      <c r="W736" s="196" t="s">
        <v>1311</v>
      </c>
      <c r="X736" s="196" t="s">
        <v>1312</v>
      </c>
      <c r="Y736" s="196" t="s">
        <v>1313</v>
      </c>
    </row>
    <row r="737" spans="1:25">
      <c r="A737" s="196" t="s">
        <v>837</v>
      </c>
      <c r="B737" s="196" t="s">
        <v>181</v>
      </c>
      <c r="C737" s="196">
        <v>2014</v>
      </c>
      <c r="D737" s="196">
        <v>80</v>
      </c>
      <c r="E737" s="196" t="s">
        <v>874</v>
      </c>
      <c r="F737" s="196" t="s">
        <v>1309</v>
      </c>
      <c r="G737" s="196">
        <v>3</v>
      </c>
      <c r="H737" s="196">
        <v>3</v>
      </c>
      <c r="I737" s="196">
        <v>335</v>
      </c>
      <c r="J737" s="196">
        <v>20580</v>
      </c>
      <c r="K737" s="196">
        <v>98.62</v>
      </c>
      <c r="L737" s="196">
        <v>0.02</v>
      </c>
      <c r="M737" s="196">
        <v>20729</v>
      </c>
      <c r="N737" s="196">
        <v>1645123</v>
      </c>
      <c r="O737" s="196">
        <v>1764</v>
      </c>
      <c r="P737" s="196" t="s">
        <v>901</v>
      </c>
      <c r="Q737" s="196" t="s">
        <v>901</v>
      </c>
      <c r="R737" s="196" t="s">
        <v>1019</v>
      </c>
      <c r="S737" s="196" t="s">
        <v>844</v>
      </c>
      <c r="T737" s="196" t="s">
        <v>900</v>
      </c>
      <c r="U737" s="196" t="s">
        <v>901</v>
      </c>
      <c r="V737" s="196" t="s">
        <v>1310</v>
      </c>
      <c r="W737" s="196" t="s">
        <v>1311</v>
      </c>
      <c r="X737" s="196" t="s">
        <v>1312</v>
      </c>
      <c r="Y737" s="196" t="s">
        <v>1313</v>
      </c>
    </row>
    <row r="738" spans="1:25">
      <c r="A738" s="196" t="s">
        <v>837</v>
      </c>
      <c r="B738" s="196" t="s">
        <v>850</v>
      </c>
      <c r="C738" s="196">
        <v>2014</v>
      </c>
      <c r="D738" s="196">
        <v>80</v>
      </c>
      <c r="E738" s="196" t="s">
        <v>875</v>
      </c>
      <c r="F738" s="196" t="s">
        <v>1309</v>
      </c>
      <c r="G738" s="196">
        <v>1</v>
      </c>
      <c r="H738" s="196">
        <v>1</v>
      </c>
      <c r="I738" s="196">
        <v>954</v>
      </c>
      <c r="J738" s="196">
        <v>15571</v>
      </c>
      <c r="K738" s="196">
        <v>98.62</v>
      </c>
      <c r="L738" s="196">
        <v>0.02</v>
      </c>
      <c r="M738" s="196">
        <v>20729</v>
      </c>
      <c r="N738" s="196">
        <v>1645123</v>
      </c>
      <c r="O738" s="196">
        <v>1764</v>
      </c>
      <c r="P738" s="196" t="s">
        <v>901</v>
      </c>
      <c r="Q738" s="196" t="s">
        <v>901</v>
      </c>
      <c r="R738" s="196" t="s">
        <v>1019</v>
      </c>
      <c r="S738" s="196" t="s">
        <v>844</v>
      </c>
      <c r="T738" s="196" t="s">
        <v>900</v>
      </c>
      <c r="U738" s="196" t="s">
        <v>901</v>
      </c>
      <c r="V738" s="196" t="s">
        <v>1310</v>
      </c>
      <c r="W738" s="196" t="s">
        <v>1311</v>
      </c>
      <c r="X738" s="196" t="s">
        <v>1312</v>
      </c>
      <c r="Y738" s="196" t="s">
        <v>1313</v>
      </c>
    </row>
    <row r="739" spans="1:25">
      <c r="A739" s="196" t="s">
        <v>837</v>
      </c>
      <c r="B739" s="196" t="s">
        <v>838</v>
      </c>
      <c r="C739" s="196">
        <v>2013</v>
      </c>
      <c r="D739" s="196">
        <v>80</v>
      </c>
      <c r="E739" s="196" t="s">
        <v>908</v>
      </c>
      <c r="F739" s="196" t="s">
        <v>1309</v>
      </c>
      <c r="G739" s="196">
        <v>2</v>
      </c>
      <c r="H739" s="196">
        <v>2</v>
      </c>
      <c r="I739" s="196">
        <v>1357</v>
      </c>
      <c r="J739" s="196">
        <v>23255</v>
      </c>
      <c r="K739" s="196">
        <v>98.62</v>
      </c>
      <c r="L739" s="196">
        <v>0.02</v>
      </c>
      <c r="M739" s="196">
        <v>20729</v>
      </c>
      <c r="N739" s="196">
        <v>1645123</v>
      </c>
      <c r="O739" s="196">
        <v>1764</v>
      </c>
      <c r="P739" s="196" t="s">
        <v>901</v>
      </c>
      <c r="Q739" s="196" t="s">
        <v>901</v>
      </c>
      <c r="R739" s="196" t="s">
        <v>1019</v>
      </c>
      <c r="S739" s="196" t="s">
        <v>844</v>
      </c>
      <c r="T739" s="196" t="s">
        <v>900</v>
      </c>
      <c r="U739" s="196" t="s">
        <v>901</v>
      </c>
      <c r="V739" s="196" t="s">
        <v>1310</v>
      </c>
      <c r="W739" s="196" t="s">
        <v>1311</v>
      </c>
      <c r="X739" s="196" t="s">
        <v>1312</v>
      </c>
      <c r="Y739" s="196" t="s">
        <v>1313</v>
      </c>
    </row>
    <row r="740" spans="1:25">
      <c r="A740" s="196" t="s">
        <v>837</v>
      </c>
      <c r="B740" s="196" t="s">
        <v>850</v>
      </c>
      <c r="C740" s="196">
        <v>2014</v>
      </c>
      <c r="D740" s="196">
        <v>55</v>
      </c>
      <c r="E740" s="196" t="s">
        <v>863</v>
      </c>
      <c r="F740" s="196" t="s">
        <v>1309</v>
      </c>
      <c r="G740" s="196">
        <v>1</v>
      </c>
      <c r="H740" s="196">
        <v>1</v>
      </c>
      <c r="I740" s="196">
        <v>1437</v>
      </c>
      <c r="J740" s="196">
        <v>9695</v>
      </c>
      <c r="K740" s="196">
        <v>98.62</v>
      </c>
      <c r="L740" s="196">
        <v>0.02</v>
      </c>
      <c r="M740" s="196">
        <v>20729</v>
      </c>
      <c r="N740" s="196">
        <v>1645123</v>
      </c>
      <c r="O740" s="196">
        <v>1764</v>
      </c>
      <c r="P740" s="196" t="s">
        <v>901</v>
      </c>
      <c r="Q740" s="196" t="s">
        <v>901</v>
      </c>
      <c r="R740" s="196" t="s">
        <v>1019</v>
      </c>
      <c r="S740" s="196" t="s">
        <v>844</v>
      </c>
      <c r="T740" s="196" t="s">
        <v>900</v>
      </c>
      <c r="U740" s="196" t="s">
        <v>901</v>
      </c>
      <c r="V740" s="196" t="s">
        <v>1310</v>
      </c>
      <c r="W740" s="196" t="s">
        <v>1311</v>
      </c>
      <c r="X740" s="196" t="s">
        <v>1312</v>
      </c>
      <c r="Y740" s="196" t="s">
        <v>1313</v>
      </c>
    </row>
    <row r="741" spans="1:25">
      <c r="A741" s="196" t="s">
        <v>837</v>
      </c>
      <c r="B741" s="196" t="s">
        <v>838</v>
      </c>
      <c r="C741" s="196">
        <v>2013</v>
      </c>
      <c r="D741" s="196">
        <v>30</v>
      </c>
      <c r="E741" s="196" t="s">
        <v>839</v>
      </c>
      <c r="F741" s="196" t="s">
        <v>1314</v>
      </c>
      <c r="G741" s="196">
        <v>1</v>
      </c>
      <c r="H741" s="196">
        <v>1</v>
      </c>
      <c r="I741" s="196">
        <v>675</v>
      </c>
      <c r="J741" s="196">
        <v>3588</v>
      </c>
      <c r="K741" s="196">
        <v>74.8</v>
      </c>
      <c r="L741" s="196">
        <v>2.2999999999999998</v>
      </c>
      <c r="M741" s="196">
        <v>4451</v>
      </c>
      <c r="N741" s="196">
        <v>1586090</v>
      </c>
      <c r="O741" s="196">
        <v>1812</v>
      </c>
      <c r="P741" s="196" t="s">
        <v>841</v>
      </c>
      <c r="Q741" s="196" t="s">
        <v>989</v>
      </c>
      <c r="R741" s="196" t="s">
        <v>990</v>
      </c>
      <c r="S741" s="196" t="s">
        <v>844</v>
      </c>
      <c r="T741" s="196" t="s">
        <v>845</v>
      </c>
      <c r="U741" s="196" t="s">
        <v>846</v>
      </c>
      <c r="V741" s="196" t="s">
        <v>841</v>
      </c>
      <c r="W741" s="196" t="s">
        <v>989</v>
      </c>
      <c r="X741" s="196" t="s">
        <v>1315</v>
      </c>
      <c r="Y741" s="196" t="s">
        <v>848</v>
      </c>
    </row>
    <row r="742" spans="1:25">
      <c r="A742" s="196" t="s">
        <v>837</v>
      </c>
      <c r="B742" s="196" t="s">
        <v>850</v>
      </c>
      <c r="C742" s="196">
        <v>2013</v>
      </c>
      <c r="D742" s="196">
        <v>80</v>
      </c>
      <c r="E742" s="196" t="s">
        <v>917</v>
      </c>
      <c r="F742" s="196" t="s">
        <v>1314</v>
      </c>
      <c r="G742" s="196">
        <v>1</v>
      </c>
      <c r="H742" s="196">
        <v>1</v>
      </c>
      <c r="I742" s="196">
        <v>1584</v>
      </c>
      <c r="J742" s="196">
        <v>13655</v>
      </c>
      <c r="K742" s="196">
        <v>74.8</v>
      </c>
      <c r="L742" s="196">
        <v>2.2999999999999998</v>
      </c>
      <c r="M742" s="196">
        <v>4451</v>
      </c>
      <c r="N742" s="196">
        <v>1586090</v>
      </c>
      <c r="O742" s="196">
        <v>1812</v>
      </c>
      <c r="P742" s="196" t="s">
        <v>841</v>
      </c>
      <c r="Q742" s="196" t="s">
        <v>989</v>
      </c>
      <c r="R742" s="196" t="s">
        <v>990</v>
      </c>
      <c r="S742" s="196" t="s">
        <v>844</v>
      </c>
      <c r="T742" s="196" t="s">
        <v>845</v>
      </c>
      <c r="U742" s="196" t="s">
        <v>846</v>
      </c>
      <c r="V742" s="196" t="s">
        <v>841</v>
      </c>
      <c r="W742" s="196" t="s">
        <v>989</v>
      </c>
      <c r="X742" s="196" t="s">
        <v>1315</v>
      </c>
      <c r="Y742" s="196" t="s">
        <v>848</v>
      </c>
    </row>
    <row r="743" spans="1:25">
      <c r="A743" s="196" t="s">
        <v>837</v>
      </c>
      <c r="B743" s="196" t="s">
        <v>181</v>
      </c>
      <c r="C743" s="196">
        <v>2014</v>
      </c>
      <c r="D743" s="196">
        <v>80</v>
      </c>
      <c r="E743" s="196" t="s">
        <v>874</v>
      </c>
      <c r="F743" s="196" t="s">
        <v>1314</v>
      </c>
      <c r="G743" s="196">
        <v>1</v>
      </c>
      <c r="H743" s="196">
        <v>1</v>
      </c>
      <c r="I743" s="196">
        <v>696</v>
      </c>
      <c r="J743" s="196">
        <v>2622</v>
      </c>
      <c r="K743" s="196">
        <v>74.8</v>
      </c>
      <c r="L743" s="196">
        <v>2.2999999999999998</v>
      </c>
      <c r="M743" s="196">
        <v>4451</v>
      </c>
      <c r="N743" s="196">
        <v>1586090</v>
      </c>
      <c r="O743" s="196">
        <v>1812</v>
      </c>
      <c r="P743" s="196" t="s">
        <v>841</v>
      </c>
      <c r="Q743" s="196" t="s">
        <v>989</v>
      </c>
      <c r="R743" s="196" t="s">
        <v>990</v>
      </c>
      <c r="S743" s="196" t="s">
        <v>844</v>
      </c>
      <c r="T743" s="196" t="s">
        <v>845</v>
      </c>
      <c r="U743" s="196" t="s">
        <v>846</v>
      </c>
      <c r="V743" s="196" t="s">
        <v>841</v>
      </c>
      <c r="W743" s="196" t="s">
        <v>989</v>
      </c>
      <c r="X743" s="196" t="s">
        <v>1315</v>
      </c>
      <c r="Y743" s="196" t="s">
        <v>848</v>
      </c>
    </row>
    <row r="744" spans="1:25">
      <c r="A744" s="196" t="s">
        <v>837</v>
      </c>
      <c r="B744" s="196" t="s">
        <v>850</v>
      </c>
      <c r="C744" s="196">
        <v>2014</v>
      </c>
      <c r="D744" s="196">
        <v>80</v>
      </c>
      <c r="E744" s="196" t="s">
        <v>875</v>
      </c>
      <c r="F744" s="196" t="s">
        <v>1314</v>
      </c>
      <c r="G744" s="196">
        <v>1</v>
      </c>
      <c r="H744" s="196">
        <v>1</v>
      </c>
      <c r="I744" s="196">
        <v>1095</v>
      </c>
      <c r="J744" s="196">
        <v>4950</v>
      </c>
      <c r="K744" s="196">
        <v>74.8</v>
      </c>
      <c r="L744" s="196">
        <v>2.2999999999999998</v>
      </c>
      <c r="M744" s="196">
        <v>4451</v>
      </c>
      <c r="N744" s="196">
        <v>1586090</v>
      </c>
      <c r="O744" s="196">
        <v>1812</v>
      </c>
      <c r="P744" s="196" t="s">
        <v>841</v>
      </c>
      <c r="Q744" s="196" t="s">
        <v>989</v>
      </c>
      <c r="R744" s="196" t="s">
        <v>990</v>
      </c>
      <c r="S744" s="196" t="s">
        <v>844</v>
      </c>
      <c r="T744" s="196" t="s">
        <v>845</v>
      </c>
      <c r="U744" s="196" t="s">
        <v>846</v>
      </c>
      <c r="V744" s="196" t="s">
        <v>841</v>
      </c>
      <c r="W744" s="196" t="s">
        <v>989</v>
      </c>
      <c r="X744" s="196" t="s">
        <v>1315</v>
      </c>
      <c r="Y744" s="196" t="s">
        <v>848</v>
      </c>
    </row>
    <row r="745" spans="1:25">
      <c r="A745" s="196" t="s">
        <v>837</v>
      </c>
      <c r="B745" s="196" t="s">
        <v>850</v>
      </c>
      <c r="C745" s="196">
        <v>2013</v>
      </c>
      <c r="D745" s="196">
        <v>55</v>
      </c>
      <c r="E745" s="196" t="s">
        <v>852</v>
      </c>
      <c r="F745" s="196" t="s">
        <v>1316</v>
      </c>
      <c r="G745" s="196">
        <v>3</v>
      </c>
      <c r="H745" s="196">
        <v>3</v>
      </c>
      <c r="I745" s="196">
        <v>2395</v>
      </c>
      <c r="J745" s="196">
        <v>70308</v>
      </c>
      <c r="K745" s="196">
        <v>94.59</v>
      </c>
      <c r="L745" s="196">
        <v>0.52</v>
      </c>
      <c r="M745" s="196">
        <v>17062</v>
      </c>
      <c r="N745" s="196">
        <v>2870031</v>
      </c>
      <c r="O745" s="196">
        <v>2742</v>
      </c>
      <c r="P745" s="196" t="s">
        <v>993</v>
      </c>
      <c r="Q745" s="196" t="s">
        <v>844</v>
      </c>
      <c r="R745" s="196" t="s">
        <v>844</v>
      </c>
      <c r="S745" s="196" t="s">
        <v>844</v>
      </c>
      <c r="T745" s="196" t="s">
        <v>1165</v>
      </c>
      <c r="U745" s="196" t="s">
        <v>1166</v>
      </c>
      <c r="V745" s="196" t="s">
        <v>1167</v>
      </c>
      <c r="W745" s="196" t="s">
        <v>1168</v>
      </c>
      <c r="X745" s="196" t="s">
        <v>848</v>
      </c>
      <c r="Y745" s="196" t="s">
        <v>848</v>
      </c>
    </row>
    <row r="746" spans="1:25">
      <c r="A746" s="196" t="s">
        <v>837</v>
      </c>
      <c r="B746" s="196" t="s">
        <v>850</v>
      </c>
      <c r="C746" s="196">
        <v>2013</v>
      </c>
      <c r="D746" s="196">
        <v>80</v>
      </c>
      <c r="E746" s="196" t="s">
        <v>917</v>
      </c>
      <c r="F746" s="196" t="s">
        <v>1316</v>
      </c>
      <c r="G746" s="196">
        <v>1</v>
      </c>
      <c r="H746" s="196">
        <v>1</v>
      </c>
      <c r="I746" s="196">
        <v>1128</v>
      </c>
      <c r="J746" s="196">
        <v>9017</v>
      </c>
      <c r="K746" s="196">
        <v>94.59</v>
      </c>
      <c r="L746" s="196">
        <v>0.52</v>
      </c>
      <c r="M746" s="196">
        <v>17062</v>
      </c>
      <c r="N746" s="196">
        <v>2870031</v>
      </c>
      <c r="O746" s="196">
        <v>2742</v>
      </c>
      <c r="P746" s="196" t="s">
        <v>993</v>
      </c>
      <c r="Q746" s="196" t="s">
        <v>844</v>
      </c>
      <c r="R746" s="196" t="s">
        <v>844</v>
      </c>
      <c r="S746" s="196" t="s">
        <v>844</v>
      </c>
      <c r="T746" s="196" t="s">
        <v>1165</v>
      </c>
      <c r="U746" s="196" t="s">
        <v>1166</v>
      </c>
      <c r="V746" s="196" t="s">
        <v>1167</v>
      </c>
      <c r="W746" s="196" t="s">
        <v>1168</v>
      </c>
      <c r="X746" s="196" t="s">
        <v>848</v>
      </c>
      <c r="Y746" s="196" t="s">
        <v>848</v>
      </c>
    </row>
    <row r="747" spans="1:25">
      <c r="A747" s="196" t="s">
        <v>837</v>
      </c>
      <c r="B747" s="196" t="s">
        <v>181</v>
      </c>
      <c r="C747" s="196">
        <v>2014</v>
      </c>
      <c r="D747" s="196">
        <v>80</v>
      </c>
      <c r="E747" s="196" t="s">
        <v>874</v>
      </c>
      <c r="F747" s="196" t="s">
        <v>1316</v>
      </c>
      <c r="G747" s="196">
        <v>1</v>
      </c>
      <c r="H747" s="196">
        <v>1</v>
      </c>
      <c r="I747" s="196">
        <v>77</v>
      </c>
      <c r="J747" s="196">
        <v>17578</v>
      </c>
      <c r="K747" s="196">
        <v>94.59</v>
      </c>
      <c r="L747" s="196">
        <v>0.52</v>
      </c>
      <c r="M747" s="196">
        <v>17062</v>
      </c>
      <c r="N747" s="196">
        <v>2870031</v>
      </c>
      <c r="O747" s="196">
        <v>2742</v>
      </c>
      <c r="P747" s="196" t="s">
        <v>993</v>
      </c>
      <c r="Q747" s="196" t="s">
        <v>844</v>
      </c>
      <c r="R747" s="196" t="s">
        <v>844</v>
      </c>
      <c r="S747" s="196" t="s">
        <v>844</v>
      </c>
      <c r="T747" s="196" t="s">
        <v>1165</v>
      </c>
      <c r="U747" s="196" t="s">
        <v>1166</v>
      </c>
      <c r="V747" s="196" t="s">
        <v>1167</v>
      </c>
      <c r="W747" s="196" t="s">
        <v>1168</v>
      </c>
      <c r="X747" s="196" t="s">
        <v>848</v>
      </c>
      <c r="Y747" s="196" t="s">
        <v>848</v>
      </c>
    </row>
    <row r="748" spans="1:25">
      <c r="A748" s="196" t="s">
        <v>837</v>
      </c>
      <c r="B748" s="196" t="s">
        <v>838</v>
      </c>
      <c r="C748" s="196">
        <v>2014</v>
      </c>
      <c r="D748" s="196">
        <v>55</v>
      </c>
      <c r="E748" s="196" t="s">
        <v>855</v>
      </c>
      <c r="F748" s="196" t="s">
        <v>1316</v>
      </c>
      <c r="G748" s="196">
        <v>1</v>
      </c>
      <c r="H748" s="196">
        <v>1</v>
      </c>
      <c r="I748" s="196">
        <v>657</v>
      </c>
      <c r="J748" s="196">
        <v>16376</v>
      </c>
      <c r="K748" s="196">
        <v>94.59</v>
      </c>
      <c r="L748" s="196">
        <v>0.52</v>
      </c>
      <c r="M748" s="196">
        <v>17062</v>
      </c>
      <c r="N748" s="196">
        <v>2870031</v>
      </c>
      <c r="O748" s="196">
        <v>2742</v>
      </c>
      <c r="P748" s="196" t="s">
        <v>993</v>
      </c>
      <c r="Q748" s="196" t="s">
        <v>844</v>
      </c>
      <c r="R748" s="196" t="s">
        <v>844</v>
      </c>
      <c r="S748" s="196" t="s">
        <v>844</v>
      </c>
      <c r="T748" s="196" t="s">
        <v>1165</v>
      </c>
      <c r="U748" s="196" t="s">
        <v>1166</v>
      </c>
      <c r="V748" s="196" t="s">
        <v>1167</v>
      </c>
      <c r="W748" s="196" t="s">
        <v>1168</v>
      </c>
      <c r="X748" s="196" t="s">
        <v>848</v>
      </c>
      <c r="Y748" s="196" t="s">
        <v>848</v>
      </c>
    </row>
    <row r="749" spans="1:25">
      <c r="A749" s="196" t="s">
        <v>837</v>
      </c>
      <c r="B749" s="196" t="s">
        <v>181</v>
      </c>
      <c r="C749" s="196">
        <v>2014</v>
      </c>
      <c r="D749" s="196">
        <v>80</v>
      </c>
      <c r="E749" s="196" t="s">
        <v>874</v>
      </c>
      <c r="F749" s="196" t="s">
        <v>1317</v>
      </c>
      <c r="G749" s="196">
        <v>1</v>
      </c>
      <c r="H749" s="196">
        <v>1</v>
      </c>
      <c r="I749" s="196">
        <v>993</v>
      </c>
      <c r="J749" s="196">
        <v>4228</v>
      </c>
      <c r="K749" s="196">
        <v>72.02</v>
      </c>
      <c r="L749" s="196">
        <v>1.87</v>
      </c>
      <c r="M749" s="196">
        <v>4926</v>
      </c>
      <c r="N749" s="196">
        <v>1918635</v>
      </c>
      <c r="O749" s="196">
        <v>1859</v>
      </c>
      <c r="P749" s="196" t="s">
        <v>878</v>
      </c>
      <c r="Q749" s="196" t="s">
        <v>1318</v>
      </c>
      <c r="R749" s="196" t="s">
        <v>1319</v>
      </c>
      <c r="S749" s="196" t="s">
        <v>844</v>
      </c>
      <c r="T749" s="196" t="s">
        <v>1318</v>
      </c>
      <c r="U749" s="196" t="s">
        <v>1320</v>
      </c>
      <c r="V749" s="196" t="s">
        <v>1321</v>
      </c>
      <c r="W749" s="196" t="s">
        <v>1322</v>
      </c>
      <c r="X749" s="196" t="s">
        <v>848</v>
      </c>
      <c r="Y749" s="196" t="s">
        <v>848</v>
      </c>
    </row>
    <row r="750" spans="1:25">
      <c r="A750" s="196" t="s">
        <v>837</v>
      </c>
      <c r="B750" s="196" t="s">
        <v>850</v>
      </c>
      <c r="C750" s="196">
        <v>2014</v>
      </c>
      <c r="D750" s="196">
        <v>80</v>
      </c>
      <c r="E750" s="196" t="s">
        <v>875</v>
      </c>
      <c r="F750" s="196" t="s">
        <v>1317</v>
      </c>
      <c r="G750" s="196">
        <v>1</v>
      </c>
      <c r="H750" s="196">
        <v>1</v>
      </c>
      <c r="I750" s="196">
        <v>270</v>
      </c>
      <c r="J750" s="196">
        <v>8081</v>
      </c>
      <c r="K750" s="196">
        <v>72.02</v>
      </c>
      <c r="L750" s="196">
        <v>1.87</v>
      </c>
      <c r="M750" s="196">
        <v>4926</v>
      </c>
      <c r="N750" s="196">
        <v>1918635</v>
      </c>
      <c r="O750" s="196">
        <v>1859</v>
      </c>
      <c r="P750" s="196" t="s">
        <v>878</v>
      </c>
      <c r="Q750" s="196" t="s">
        <v>1318</v>
      </c>
      <c r="R750" s="196" t="s">
        <v>1319</v>
      </c>
      <c r="S750" s="196" t="s">
        <v>844</v>
      </c>
      <c r="T750" s="196" t="s">
        <v>1318</v>
      </c>
      <c r="U750" s="196" t="s">
        <v>1320</v>
      </c>
      <c r="V750" s="196" t="s">
        <v>1321</v>
      </c>
      <c r="W750" s="196" t="s">
        <v>1322</v>
      </c>
      <c r="X750" s="196" t="s">
        <v>848</v>
      </c>
      <c r="Y750" s="196" t="s">
        <v>848</v>
      </c>
    </row>
    <row r="751" spans="1:25">
      <c r="A751" s="196" t="s">
        <v>837</v>
      </c>
      <c r="B751" s="196" t="s">
        <v>181</v>
      </c>
      <c r="C751" s="196">
        <v>2014</v>
      </c>
      <c r="D751" s="196">
        <v>55</v>
      </c>
      <c r="E751" s="196" t="s">
        <v>858</v>
      </c>
      <c r="F751" s="196" t="s">
        <v>1317</v>
      </c>
      <c r="G751" s="196">
        <v>1</v>
      </c>
      <c r="H751" s="196">
        <v>1</v>
      </c>
      <c r="I751" s="196">
        <v>1161</v>
      </c>
      <c r="J751" s="196">
        <v>3234</v>
      </c>
      <c r="K751" s="196">
        <v>72.02</v>
      </c>
      <c r="L751" s="196">
        <v>1.87</v>
      </c>
      <c r="M751" s="196">
        <v>4926</v>
      </c>
      <c r="N751" s="196">
        <v>1918635</v>
      </c>
      <c r="O751" s="196">
        <v>1859</v>
      </c>
      <c r="P751" s="196" t="s">
        <v>878</v>
      </c>
      <c r="Q751" s="196" t="s">
        <v>1318</v>
      </c>
      <c r="R751" s="196" t="s">
        <v>1319</v>
      </c>
      <c r="S751" s="196" t="s">
        <v>844</v>
      </c>
      <c r="T751" s="196" t="s">
        <v>1318</v>
      </c>
      <c r="U751" s="196" t="s">
        <v>1320</v>
      </c>
      <c r="V751" s="196" t="s">
        <v>1321</v>
      </c>
      <c r="W751" s="196" t="s">
        <v>1322</v>
      </c>
      <c r="X751" s="196" t="s">
        <v>848</v>
      </c>
      <c r="Y751" s="196" t="s">
        <v>848</v>
      </c>
    </row>
    <row r="752" spans="1:25">
      <c r="A752" s="196" t="s">
        <v>837</v>
      </c>
      <c r="B752" s="196" t="s">
        <v>838</v>
      </c>
      <c r="C752" s="196">
        <v>2013</v>
      </c>
      <c r="D752" s="196">
        <v>30</v>
      </c>
      <c r="E752" s="196" t="s">
        <v>839</v>
      </c>
      <c r="F752" s="196" t="s">
        <v>1323</v>
      </c>
      <c r="G752" s="196">
        <v>5</v>
      </c>
      <c r="H752" s="196">
        <v>5</v>
      </c>
      <c r="I752" s="196">
        <v>5271</v>
      </c>
      <c r="J752" s="196">
        <v>33929</v>
      </c>
      <c r="K752" s="196">
        <v>90.88</v>
      </c>
      <c r="L752" s="196">
        <v>3.08</v>
      </c>
      <c r="M752" s="196">
        <v>6532</v>
      </c>
      <c r="N752" s="196">
        <v>1333694</v>
      </c>
      <c r="O752" s="196">
        <v>1516</v>
      </c>
      <c r="P752" s="196" t="s">
        <v>1324</v>
      </c>
      <c r="Q752" s="196" t="s">
        <v>1324</v>
      </c>
      <c r="R752" s="196" t="s">
        <v>1325</v>
      </c>
      <c r="S752" s="196" t="s">
        <v>844</v>
      </c>
      <c r="T752" s="196" t="s">
        <v>913</v>
      </c>
      <c r="U752" s="196" t="s">
        <v>914</v>
      </c>
      <c r="V752" s="196" t="s">
        <v>1324</v>
      </c>
      <c r="W752" s="196" t="s">
        <v>1326</v>
      </c>
      <c r="X752" s="196" t="s">
        <v>1327</v>
      </c>
      <c r="Y752" s="196" t="s">
        <v>1328</v>
      </c>
    </row>
    <row r="753" spans="1:25">
      <c r="A753" s="196" t="s">
        <v>837</v>
      </c>
      <c r="B753" s="196" t="s">
        <v>838</v>
      </c>
      <c r="C753" s="196">
        <v>2013</v>
      </c>
      <c r="D753" s="196">
        <v>55</v>
      </c>
      <c r="E753" s="196" t="s">
        <v>849</v>
      </c>
      <c r="F753" s="196" t="s">
        <v>1323</v>
      </c>
      <c r="G753" s="196">
        <v>6</v>
      </c>
      <c r="H753" s="196">
        <v>6</v>
      </c>
      <c r="I753" s="196">
        <v>7401</v>
      </c>
      <c r="J753" s="196">
        <v>40996</v>
      </c>
      <c r="K753" s="196">
        <v>90.88</v>
      </c>
      <c r="L753" s="196">
        <v>3.08</v>
      </c>
      <c r="M753" s="196">
        <v>6532</v>
      </c>
      <c r="N753" s="196">
        <v>1333694</v>
      </c>
      <c r="O753" s="196">
        <v>1516</v>
      </c>
      <c r="P753" s="196" t="s">
        <v>1324</v>
      </c>
      <c r="Q753" s="196" t="s">
        <v>1324</v>
      </c>
      <c r="R753" s="196" t="s">
        <v>1325</v>
      </c>
      <c r="S753" s="196" t="s">
        <v>844</v>
      </c>
      <c r="T753" s="196" t="s">
        <v>913</v>
      </c>
      <c r="U753" s="196" t="s">
        <v>914</v>
      </c>
      <c r="V753" s="196" t="s">
        <v>1324</v>
      </c>
      <c r="W753" s="196" t="s">
        <v>1326</v>
      </c>
      <c r="X753" s="196" t="s">
        <v>1327</v>
      </c>
      <c r="Y753" s="196" t="s">
        <v>1328</v>
      </c>
    </row>
    <row r="754" spans="1:25">
      <c r="A754" s="196" t="s">
        <v>837</v>
      </c>
      <c r="B754" s="196" t="s">
        <v>850</v>
      </c>
      <c r="C754" s="196">
        <v>2013</v>
      </c>
      <c r="D754" s="196">
        <v>30</v>
      </c>
      <c r="E754" s="196" t="s">
        <v>851</v>
      </c>
      <c r="F754" s="196" t="s">
        <v>1323</v>
      </c>
      <c r="G754" s="196">
        <v>12</v>
      </c>
      <c r="H754" s="196">
        <v>12</v>
      </c>
      <c r="I754" s="196">
        <v>14193</v>
      </c>
      <c r="J754" s="196">
        <v>98698</v>
      </c>
      <c r="K754" s="196">
        <v>90.88</v>
      </c>
      <c r="L754" s="196">
        <v>3.08</v>
      </c>
      <c r="M754" s="196">
        <v>6532</v>
      </c>
      <c r="N754" s="196">
        <v>1333694</v>
      </c>
      <c r="O754" s="196">
        <v>1516</v>
      </c>
      <c r="P754" s="196" t="s">
        <v>1324</v>
      </c>
      <c r="Q754" s="196" t="s">
        <v>1324</v>
      </c>
      <c r="R754" s="196" t="s">
        <v>1325</v>
      </c>
      <c r="S754" s="196" t="s">
        <v>844</v>
      </c>
      <c r="T754" s="196" t="s">
        <v>913</v>
      </c>
      <c r="U754" s="196" t="s">
        <v>914</v>
      </c>
      <c r="V754" s="196" t="s">
        <v>1324</v>
      </c>
      <c r="W754" s="196" t="s">
        <v>1326</v>
      </c>
      <c r="X754" s="196" t="s">
        <v>1327</v>
      </c>
      <c r="Y754" s="196" t="s">
        <v>1328</v>
      </c>
    </row>
    <row r="755" spans="1:25">
      <c r="A755" s="196" t="s">
        <v>837</v>
      </c>
      <c r="B755" s="196" t="s">
        <v>850</v>
      </c>
      <c r="C755" s="196">
        <v>2013</v>
      </c>
      <c r="D755" s="196">
        <v>55</v>
      </c>
      <c r="E755" s="196" t="s">
        <v>852</v>
      </c>
      <c r="F755" s="196" t="s">
        <v>1323</v>
      </c>
      <c r="G755" s="196">
        <v>2</v>
      </c>
      <c r="H755" s="196">
        <v>2</v>
      </c>
      <c r="I755" s="196">
        <v>1704</v>
      </c>
      <c r="J755" s="196">
        <v>15411</v>
      </c>
      <c r="K755" s="196">
        <v>90.88</v>
      </c>
      <c r="L755" s="196">
        <v>3.08</v>
      </c>
      <c r="M755" s="196">
        <v>6532</v>
      </c>
      <c r="N755" s="196">
        <v>1333694</v>
      </c>
      <c r="O755" s="196">
        <v>1516</v>
      </c>
      <c r="P755" s="196" t="s">
        <v>1324</v>
      </c>
      <c r="Q755" s="196" t="s">
        <v>1324</v>
      </c>
      <c r="R755" s="196" t="s">
        <v>1325</v>
      </c>
      <c r="S755" s="196" t="s">
        <v>844</v>
      </c>
      <c r="T755" s="196" t="s">
        <v>913</v>
      </c>
      <c r="U755" s="196" t="s">
        <v>914</v>
      </c>
      <c r="V755" s="196" t="s">
        <v>1324</v>
      </c>
      <c r="W755" s="196" t="s">
        <v>1326</v>
      </c>
      <c r="X755" s="196" t="s">
        <v>1327</v>
      </c>
      <c r="Y755" s="196" t="s">
        <v>1328</v>
      </c>
    </row>
    <row r="756" spans="1:25">
      <c r="A756" s="196" t="s">
        <v>837</v>
      </c>
      <c r="B756" s="196" t="s">
        <v>838</v>
      </c>
      <c r="C756" s="196">
        <v>2014</v>
      </c>
      <c r="D756" s="196">
        <v>80</v>
      </c>
      <c r="E756" s="196" t="s">
        <v>853</v>
      </c>
      <c r="F756" s="196" t="s">
        <v>1323</v>
      </c>
      <c r="G756" s="196">
        <v>1</v>
      </c>
      <c r="H756" s="196">
        <v>1</v>
      </c>
      <c r="I756" s="196">
        <v>993</v>
      </c>
      <c r="J756" s="196">
        <v>16493</v>
      </c>
      <c r="K756" s="196">
        <v>90.88</v>
      </c>
      <c r="L756" s="196">
        <v>3.08</v>
      </c>
      <c r="M756" s="196">
        <v>6532</v>
      </c>
      <c r="N756" s="196">
        <v>1333694</v>
      </c>
      <c r="O756" s="196">
        <v>1516</v>
      </c>
      <c r="P756" s="196" t="s">
        <v>1324</v>
      </c>
      <c r="Q756" s="196" t="s">
        <v>1324</v>
      </c>
      <c r="R756" s="196" t="s">
        <v>1325</v>
      </c>
      <c r="S756" s="196" t="s">
        <v>844</v>
      </c>
      <c r="T756" s="196" t="s">
        <v>913</v>
      </c>
      <c r="U756" s="196" t="s">
        <v>914</v>
      </c>
      <c r="V756" s="196" t="s">
        <v>1324</v>
      </c>
      <c r="W756" s="196" t="s">
        <v>1326</v>
      </c>
      <c r="X756" s="196" t="s">
        <v>1327</v>
      </c>
      <c r="Y756" s="196" t="s">
        <v>1328</v>
      </c>
    </row>
    <row r="757" spans="1:25">
      <c r="A757" s="196" t="s">
        <v>837</v>
      </c>
      <c r="B757" s="196" t="s">
        <v>181</v>
      </c>
      <c r="C757" s="196">
        <v>2014</v>
      </c>
      <c r="D757" s="196">
        <v>80</v>
      </c>
      <c r="E757" s="196" t="s">
        <v>874</v>
      </c>
      <c r="F757" s="196" t="s">
        <v>1323</v>
      </c>
      <c r="G757" s="196">
        <v>1</v>
      </c>
      <c r="H757" s="196">
        <v>1</v>
      </c>
      <c r="I757" s="196">
        <v>993</v>
      </c>
      <c r="J757" s="196">
        <v>16493</v>
      </c>
      <c r="K757" s="196">
        <v>90.88</v>
      </c>
      <c r="L757" s="196">
        <v>3.08</v>
      </c>
      <c r="M757" s="196">
        <v>6532</v>
      </c>
      <c r="N757" s="196">
        <v>1333694</v>
      </c>
      <c r="O757" s="196">
        <v>1516</v>
      </c>
      <c r="P757" s="196" t="s">
        <v>1324</v>
      </c>
      <c r="Q757" s="196" t="s">
        <v>1324</v>
      </c>
      <c r="R757" s="196" t="s">
        <v>1325</v>
      </c>
      <c r="S757" s="196" t="s">
        <v>844</v>
      </c>
      <c r="T757" s="196" t="s">
        <v>913</v>
      </c>
      <c r="U757" s="196" t="s">
        <v>914</v>
      </c>
      <c r="V757" s="196" t="s">
        <v>1324</v>
      </c>
      <c r="W757" s="196" t="s">
        <v>1326</v>
      </c>
      <c r="X757" s="196" t="s">
        <v>1327</v>
      </c>
      <c r="Y757" s="196" t="s">
        <v>1328</v>
      </c>
    </row>
    <row r="758" spans="1:25">
      <c r="A758" s="196" t="s">
        <v>837</v>
      </c>
      <c r="B758" s="196" t="s">
        <v>850</v>
      </c>
      <c r="C758" s="196">
        <v>2014</v>
      </c>
      <c r="D758" s="196">
        <v>80</v>
      </c>
      <c r="E758" s="196" t="s">
        <v>918</v>
      </c>
      <c r="F758" s="196" t="s">
        <v>1323</v>
      </c>
      <c r="G758" s="196">
        <v>1</v>
      </c>
      <c r="H758" s="196">
        <v>1</v>
      </c>
      <c r="I758" s="196">
        <v>993</v>
      </c>
      <c r="J758" s="196">
        <v>16493</v>
      </c>
      <c r="K758" s="196">
        <v>90.88</v>
      </c>
      <c r="L758" s="196">
        <v>3.08</v>
      </c>
      <c r="M758" s="196">
        <v>6532</v>
      </c>
      <c r="N758" s="196">
        <v>1333694</v>
      </c>
      <c r="O758" s="196">
        <v>1516</v>
      </c>
      <c r="P758" s="196" t="s">
        <v>1324</v>
      </c>
      <c r="Q758" s="196" t="s">
        <v>1324</v>
      </c>
      <c r="R758" s="196" t="s">
        <v>1325</v>
      </c>
      <c r="S758" s="196" t="s">
        <v>844</v>
      </c>
      <c r="T758" s="196" t="s">
        <v>913</v>
      </c>
      <c r="U758" s="196" t="s">
        <v>914</v>
      </c>
      <c r="V758" s="196" t="s">
        <v>1324</v>
      </c>
      <c r="W758" s="196" t="s">
        <v>1326</v>
      </c>
      <c r="X758" s="196" t="s">
        <v>1327</v>
      </c>
      <c r="Y758" s="196" t="s">
        <v>1328</v>
      </c>
    </row>
    <row r="759" spans="1:25">
      <c r="A759" s="196" t="s">
        <v>837</v>
      </c>
      <c r="B759" s="196" t="s">
        <v>838</v>
      </c>
      <c r="C759" s="196">
        <v>2014</v>
      </c>
      <c r="D759" s="196">
        <v>55</v>
      </c>
      <c r="E759" s="196" t="s">
        <v>854</v>
      </c>
      <c r="F759" s="196" t="s">
        <v>1323</v>
      </c>
      <c r="G759" s="196">
        <v>3</v>
      </c>
      <c r="H759" s="196">
        <v>3</v>
      </c>
      <c r="I759" s="196">
        <v>3636</v>
      </c>
      <c r="J759" s="196">
        <v>20986</v>
      </c>
      <c r="K759" s="196">
        <v>90.88</v>
      </c>
      <c r="L759" s="196">
        <v>3.08</v>
      </c>
      <c r="M759" s="196">
        <v>6532</v>
      </c>
      <c r="N759" s="196">
        <v>1333694</v>
      </c>
      <c r="O759" s="196">
        <v>1516</v>
      </c>
      <c r="P759" s="196" t="s">
        <v>1324</v>
      </c>
      <c r="Q759" s="196" t="s">
        <v>1324</v>
      </c>
      <c r="R759" s="196" t="s">
        <v>1325</v>
      </c>
      <c r="S759" s="196" t="s">
        <v>844</v>
      </c>
      <c r="T759" s="196" t="s">
        <v>913</v>
      </c>
      <c r="U759" s="196" t="s">
        <v>914</v>
      </c>
      <c r="V759" s="196" t="s">
        <v>1324</v>
      </c>
      <c r="W759" s="196" t="s">
        <v>1326</v>
      </c>
      <c r="X759" s="196" t="s">
        <v>1327</v>
      </c>
      <c r="Y759" s="196" t="s">
        <v>1328</v>
      </c>
    </row>
    <row r="760" spans="1:25">
      <c r="A760" s="196" t="s">
        <v>837</v>
      </c>
      <c r="B760" s="196" t="s">
        <v>838</v>
      </c>
      <c r="C760" s="196">
        <v>2014</v>
      </c>
      <c r="D760" s="196">
        <v>55</v>
      </c>
      <c r="E760" s="196" t="s">
        <v>855</v>
      </c>
      <c r="F760" s="196" t="s">
        <v>1323</v>
      </c>
      <c r="G760" s="196">
        <v>6</v>
      </c>
      <c r="H760" s="196">
        <v>6</v>
      </c>
      <c r="I760" s="196">
        <v>7431</v>
      </c>
      <c r="J760" s="196">
        <v>85510</v>
      </c>
      <c r="K760" s="196">
        <v>90.88</v>
      </c>
      <c r="L760" s="196">
        <v>3.08</v>
      </c>
      <c r="M760" s="196">
        <v>6532</v>
      </c>
      <c r="N760" s="196">
        <v>1333694</v>
      </c>
      <c r="O760" s="196">
        <v>1516</v>
      </c>
      <c r="P760" s="196" t="s">
        <v>1324</v>
      </c>
      <c r="Q760" s="196" t="s">
        <v>1324</v>
      </c>
      <c r="R760" s="196" t="s">
        <v>1325</v>
      </c>
      <c r="S760" s="196" t="s">
        <v>844</v>
      </c>
      <c r="T760" s="196" t="s">
        <v>913</v>
      </c>
      <c r="U760" s="196" t="s">
        <v>914</v>
      </c>
      <c r="V760" s="196" t="s">
        <v>1324</v>
      </c>
      <c r="W760" s="196" t="s">
        <v>1326</v>
      </c>
      <c r="X760" s="196" t="s">
        <v>1327</v>
      </c>
      <c r="Y760" s="196" t="s">
        <v>1328</v>
      </c>
    </row>
    <row r="761" spans="1:25">
      <c r="A761" s="196" t="s">
        <v>837</v>
      </c>
      <c r="B761" s="196" t="s">
        <v>181</v>
      </c>
      <c r="C761" s="196">
        <v>2014</v>
      </c>
      <c r="D761" s="196">
        <v>30</v>
      </c>
      <c r="E761" s="196" t="s">
        <v>856</v>
      </c>
      <c r="F761" s="196" t="s">
        <v>1323</v>
      </c>
      <c r="G761" s="196">
        <v>1</v>
      </c>
      <c r="H761" s="196">
        <v>1</v>
      </c>
      <c r="I761" s="196">
        <v>1182</v>
      </c>
      <c r="J761" s="196">
        <v>16748</v>
      </c>
      <c r="K761" s="196">
        <v>90.88</v>
      </c>
      <c r="L761" s="196">
        <v>3.08</v>
      </c>
      <c r="M761" s="196">
        <v>6532</v>
      </c>
      <c r="N761" s="196">
        <v>1333694</v>
      </c>
      <c r="O761" s="196">
        <v>1516</v>
      </c>
      <c r="P761" s="196" t="s">
        <v>1324</v>
      </c>
      <c r="Q761" s="196" t="s">
        <v>1324</v>
      </c>
      <c r="R761" s="196" t="s">
        <v>1325</v>
      </c>
      <c r="S761" s="196" t="s">
        <v>844</v>
      </c>
      <c r="T761" s="196" t="s">
        <v>913</v>
      </c>
      <c r="U761" s="196" t="s">
        <v>914</v>
      </c>
      <c r="V761" s="196" t="s">
        <v>1324</v>
      </c>
      <c r="W761" s="196" t="s">
        <v>1326</v>
      </c>
      <c r="X761" s="196" t="s">
        <v>1327</v>
      </c>
      <c r="Y761" s="196" t="s">
        <v>1328</v>
      </c>
    </row>
    <row r="762" spans="1:25">
      <c r="A762" s="196" t="s">
        <v>837</v>
      </c>
      <c r="B762" s="196" t="s">
        <v>181</v>
      </c>
      <c r="C762" s="196">
        <v>2014</v>
      </c>
      <c r="D762" s="196">
        <v>55</v>
      </c>
      <c r="E762" s="196" t="s">
        <v>858</v>
      </c>
      <c r="F762" s="196" t="s">
        <v>1323</v>
      </c>
      <c r="G762" s="196">
        <v>5</v>
      </c>
      <c r="H762" s="196">
        <v>5</v>
      </c>
      <c r="I762" s="196">
        <v>3741</v>
      </c>
      <c r="J762" s="196">
        <v>24233</v>
      </c>
      <c r="K762" s="196">
        <v>90.88</v>
      </c>
      <c r="L762" s="196">
        <v>3.08</v>
      </c>
      <c r="M762" s="196">
        <v>6532</v>
      </c>
      <c r="N762" s="196">
        <v>1333694</v>
      </c>
      <c r="O762" s="196">
        <v>1516</v>
      </c>
      <c r="P762" s="196" t="s">
        <v>1324</v>
      </c>
      <c r="Q762" s="196" t="s">
        <v>1324</v>
      </c>
      <c r="R762" s="196" t="s">
        <v>1325</v>
      </c>
      <c r="S762" s="196" t="s">
        <v>844</v>
      </c>
      <c r="T762" s="196" t="s">
        <v>913</v>
      </c>
      <c r="U762" s="196" t="s">
        <v>914</v>
      </c>
      <c r="V762" s="196" t="s">
        <v>1324</v>
      </c>
      <c r="W762" s="196" t="s">
        <v>1326</v>
      </c>
      <c r="X762" s="196" t="s">
        <v>1327</v>
      </c>
      <c r="Y762" s="196" t="s">
        <v>1328</v>
      </c>
    </row>
    <row r="763" spans="1:25">
      <c r="A763" s="196" t="s">
        <v>837</v>
      </c>
      <c r="B763" s="196" t="s">
        <v>181</v>
      </c>
      <c r="C763" s="196">
        <v>2014</v>
      </c>
      <c r="D763" s="196">
        <v>55</v>
      </c>
      <c r="E763" s="196" t="s">
        <v>859</v>
      </c>
      <c r="F763" s="196" t="s">
        <v>1323</v>
      </c>
      <c r="G763" s="196">
        <v>1</v>
      </c>
      <c r="H763" s="196">
        <v>1</v>
      </c>
      <c r="I763" s="196">
        <v>612</v>
      </c>
      <c r="J763" s="196">
        <v>2853</v>
      </c>
      <c r="K763" s="196">
        <v>90.88</v>
      </c>
      <c r="L763" s="196">
        <v>3.08</v>
      </c>
      <c r="M763" s="196">
        <v>6532</v>
      </c>
      <c r="N763" s="196">
        <v>1333694</v>
      </c>
      <c r="O763" s="196">
        <v>1516</v>
      </c>
      <c r="P763" s="196" t="s">
        <v>1324</v>
      </c>
      <c r="Q763" s="196" t="s">
        <v>1324</v>
      </c>
      <c r="R763" s="196" t="s">
        <v>1325</v>
      </c>
      <c r="S763" s="196" t="s">
        <v>844</v>
      </c>
      <c r="T763" s="196" t="s">
        <v>913</v>
      </c>
      <c r="U763" s="196" t="s">
        <v>914</v>
      </c>
      <c r="V763" s="196" t="s">
        <v>1324</v>
      </c>
      <c r="W763" s="196" t="s">
        <v>1326</v>
      </c>
      <c r="X763" s="196" t="s">
        <v>1327</v>
      </c>
      <c r="Y763" s="196" t="s">
        <v>1328</v>
      </c>
    </row>
    <row r="764" spans="1:25">
      <c r="A764" s="196" t="s">
        <v>837</v>
      </c>
      <c r="B764" s="196" t="s">
        <v>850</v>
      </c>
      <c r="C764" s="196">
        <v>2014</v>
      </c>
      <c r="D764" s="196">
        <v>30</v>
      </c>
      <c r="E764" s="196" t="s">
        <v>860</v>
      </c>
      <c r="F764" s="196" t="s">
        <v>1323</v>
      </c>
      <c r="G764" s="196">
        <v>3</v>
      </c>
      <c r="H764" s="196">
        <v>3</v>
      </c>
      <c r="I764" s="196">
        <v>3783</v>
      </c>
      <c r="J764" s="196">
        <v>31755</v>
      </c>
      <c r="K764" s="196">
        <v>90.88</v>
      </c>
      <c r="L764" s="196">
        <v>3.08</v>
      </c>
      <c r="M764" s="196">
        <v>6532</v>
      </c>
      <c r="N764" s="196">
        <v>1333694</v>
      </c>
      <c r="O764" s="196">
        <v>1516</v>
      </c>
      <c r="P764" s="196" t="s">
        <v>1324</v>
      </c>
      <c r="Q764" s="196" t="s">
        <v>1324</v>
      </c>
      <c r="R764" s="196" t="s">
        <v>1325</v>
      </c>
      <c r="S764" s="196" t="s">
        <v>844</v>
      </c>
      <c r="T764" s="196" t="s">
        <v>913</v>
      </c>
      <c r="U764" s="196" t="s">
        <v>914</v>
      </c>
      <c r="V764" s="196" t="s">
        <v>1324</v>
      </c>
      <c r="W764" s="196" t="s">
        <v>1326</v>
      </c>
      <c r="X764" s="196" t="s">
        <v>1327</v>
      </c>
      <c r="Y764" s="196" t="s">
        <v>1328</v>
      </c>
    </row>
    <row r="765" spans="1:25">
      <c r="A765" s="196" t="s">
        <v>837</v>
      </c>
      <c r="B765" s="196" t="s">
        <v>850</v>
      </c>
      <c r="C765" s="196">
        <v>2014</v>
      </c>
      <c r="D765" s="196">
        <v>30</v>
      </c>
      <c r="E765" s="196" t="s">
        <v>861</v>
      </c>
      <c r="F765" s="196" t="s">
        <v>1323</v>
      </c>
      <c r="G765" s="196">
        <v>2</v>
      </c>
      <c r="H765" s="196">
        <v>2</v>
      </c>
      <c r="I765" s="196">
        <v>2601</v>
      </c>
      <c r="J765" s="196">
        <v>15007</v>
      </c>
      <c r="K765" s="196">
        <v>90.88</v>
      </c>
      <c r="L765" s="196">
        <v>3.08</v>
      </c>
      <c r="M765" s="196">
        <v>6532</v>
      </c>
      <c r="N765" s="196">
        <v>1333694</v>
      </c>
      <c r="O765" s="196">
        <v>1516</v>
      </c>
      <c r="P765" s="196" t="s">
        <v>1324</v>
      </c>
      <c r="Q765" s="196" t="s">
        <v>1324</v>
      </c>
      <c r="R765" s="196" t="s">
        <v>1325</v>
      </c>
      <c r="S765" s="196" t="s">
        <v>844</v>
      </c>
      <c r="T765" s="196" t="s">
        <v>913</v>
      </c>
      <c r="U765" s="196" t="s">
        <v>914</v>
      </c>
      <c r="V765" s="196" t="s">
        <v>1324</v>
      </c>
      <c r="W765" s="196" t="s">
        <v>1326</v>
      </c>
      <c r="X765" s="196" t="s">
        <v>1327</v>
      </c>
      <c r="Y765" s="196" t="s">
        <v>1328</v>
      </c>
    </row>
    <row r="766" spans="1:25">
      <c r="A766" s="196" t="s">
        <v>837</v>
      </c>
      <c r="B766" s="196" t="s">
        <v>850</v>
      </c>
      <c r="C766" s="196">
        <v>2014</v>
      </c>
      <c r="D766" s="196">
        <v>55</v>
      </c>
      <c r="E766" s="196" t="s">
        <v>862</v>
      </c>
      <c r="F766" s="196" t="s">
        <v>1323</v>
      </c>
      <c r="G766" s="196">
        <v>17</v>
      </c>
      <c r="H766" s="196">
        <v>15</v>
      </c>
      <c r="I766" s="196">
        <v>21582</v>
      </c>
      <c r="J766" s="196">
        <v>138626</v>
      </c>
      <c r="K766" s="196">
        <v>90.88</v>
      </c>
      <c r="L766" s="196">
        <v>3.08</v>
      </c>
      <c r="M766" s="196">
        <v>6532</v>
      </c>
      <c r="N766" s="196">
        <v>1333694</v>
      </c>
      <c r="O766" s="196">
        <v>1516</v>
      </c>
      <c r="P766" s="196" t="s">
        <v>1324</v>
      </c>
      <c r="Q766" s="196" t="s">
        <v>1324</v>
      </c>
      <c r="R766" s="196" t="s">
        <v>1325</v>
      </c>
      <c r="S766" s="196" t="s">
        <v>844</v>
      </c>
      <c r="T766" s="196" t="s">
        <v>913</v>
      </c>
      <c r="U766" s="196" t="s">
        <v>914</v>
      </c>
      <c r="V766" s="196" t="s">
        <v>1324</v>
      </c>
      <c r="W766" s="196" t="s">
        <v>1326</v>
      </c>
      <c r="X766" s="196" t="s">
        <v>1327</v>
      </c>
      <c r="Y766" s="196" t="s">
        <v>1328</v>
      </c>
    </row>
    <row r="767" spans="1:25">
      <c r="A767" s="196" t="s">
        <v>837</v>
      </c>
      <c r="B767" s="196" t="s">
        <v>850</v>
      </c>
      <c r="C767" s="196">
        <v>2014</v>
      </c>
      <c r="D767" s="196">
        <v>55</v>
      </c>
      <c r="E767" s="196" t="s">
        <v>863</v>
      </c>
      <c r="F767" s="196" t="s">
        <v>1323</v>
      </c>
      <c r="G767" s="196">
        <v>1</v>
      </c>
      <c r="H767" s="196">
        <v>1</v>
      </c>
      <c r="I767" s="196">
        <v>756</v>
      </c>
      <c r="J767" s="196">
        <v>18094</v>
      </c>
      <c r="K767" s="196">
        <v>90.88</v>
      </c>
      <c r="L767" s="196">
        <v>3.08</v>
      </c>
      <c r="M767" s="196">
        <v>6532</v>
      </c>
      <c r="N767" s="196">
        <v>1333694</v>
      </c>
      <c r="O767" s="196">
        <v>1516</v>
      </c>
      <c r="P767" s="196" t="s">
        <v>1324</v>
      </c>
      <c r="Q767" s="196" t="s">
        <v>1324</v>
      </c>
      <c r="R767" s="196" t="s">
        <v>1325</v>
      </c>
      <c r="S767" s="196" t="s">
        <v>844</v>
      </c>
      <c r="T767" s="196" t="s">
        <v>913</v>
      </c>
      <c r="U767" s="196" t="s">
        <v>914</v>
      </c>
      <c r="V767" s="196" t="s">
        <v>1324</v>
      </c>
      <c r="W767" s="196" t="s">
        <v>1326</v>
      </c>
      <c r="X767" s="196" t="s">
        <v>1327</v>
      </c>
      <c r="Y767" s="196" t="s">
        <v>1328</v>
      </c>
    </row>
    <row r="768" spans="1:25">
      <c r="A768" s="196" t="s">
        <v>837</v>
      </c>
      <c r="B768" s="196" t="s">
        <v>838</v>
      </c>
      <c r="C768" s="196">
        <v>2013</v>
      </c>
      <c r="D768" s="196">
        <v>30</v>
      </c>
      <c r="E768" s="196" t="s">
        <v>839</v>
      </c>
      <c r="F768" s="196" t="s">
        <v>1329</v>
      </c>
      <c r="G768" s="196">
        <v>4</v>
      </c>
      <c r="H768" s="196">
        <v>4</v>
      </c>
      <c r="I768" s="196">
        <v>5319</v>
      </c>
      <c r="J768" s="196">
        <v>34063</v>
      </c>
      <c r="K768" s="196">
        <v>79.819999999999993</v>
      </c>
      <c r="L768" s="196">
        <v>4.62</v>
      </c>
      <c r="M768" s="196">
        <v>6480</v>
      </c>
      <c r="N768" s="196">
        <v>1954096</v>
      </c>
      <c r="O768" s="196">
        <v>2146</v>
      </c>
      <c r="P768" s="196" t="s">
        <v>1330</v>
      </c>
      <c r="Q768" s="196" t="s">
        <v>1331</v>
      </c>
      <c r="R768" s="196" t="s">
        <v>1332</v>
      </c>
      <c r="S768" s="196" t="s">
        <v>844</v>
      </c>
      <c r="T768" s="196" t="s">
        <v>900</v>
      </c>
      <c r="U768" s="196" t="s">
        <v>901</v>
      </c>
      <c r="V768" s="196" t="s">
        <v>1056</v>
      </c>
      <c r="W768" s="196" t="s">
        <v>1331</v>
      </c>
      <c r="X768" s="196" t="s">
        <v>1333</v>
      </c>
      <c r="Y768" s="196" t="s">
        <v>848</v>
      </c>
    </row>
    <row r="769" spans="1:25">
      <c r="A769" s="196" t="s">
        <v>837</v>
      </c>
      <c r="B769" s="196" t="s">
        <v>838</v>
      </c>
      <c r="C769" s="196">
        <v>2013</v>
      </c>
      <c r="D769" s="196">
        <v>55</v>
      </c>
      <c r="E769" s="196" t="s">
        <v>849</v>
      </c>
      <c r="F769" s="196" t="s">
        <v>1329</v>
      </c>
      <c r="G769" s="196">
        <v>2</v>
      </c>
      <c r="H769" s="196">
        <v>2</v>
      </c>
      <c r="I769" s="196">
        <v>2826</v>
      </c>
      <c r="J769" s="196">
        <v>13140</v>
      </c>
      <c r="K769" s="196">
        <v>79.819999999999993</v>
      </c>
      <c r="L769" s="196">
        <v>4.62</v>
      </c>
      <c r="M769" s="196">
        <v>6480</v>
      </c>
      <c r="N769" s="196">
        <v>1954096</v>
      </c>
      <c r="O769" s="196">
        <v>2146</v>
      </c>
      <c r="P769" s="196" t="s">
        <v>1330</v>
      </c>
      <c r="Q769" s="196" t="s">
        <v>1331</v>
      </c>
      <c r="R769" s="196" t="s">
        <v>1332</v>
      </c>
      <c r="S769" s="196" t="s">
        <v>844</v>
      </c>
      <c r="T769" s="196" t="s">
        <v>900</v>
      </c>
      <c r="U769" s="196" t="s">
        <v>901</v>
      </c>
      <c r="V769" s="196" t="s">
        <v>1056</v>
      </c>
      <c r="W769" s="196" t="s">
        <v>1331</v>
      </c>
      <c r="X769" s="196" t="s">
        <v>1333</v>
      </c>
      <c r="Y769" s="196" t="s">
        <v>848</v>
      </c>
    </row>
    <row r="770" spans="1:25">
      <c r="A770" s="196" t="s">
        <v>837</v>
      </c>
      <c r="B770" s="196" t="s">
        <v>850</v>
      </c>
      <c r="C770" s="196">
        <v>2013</v>
      </c>
      <c r="D770" s="196">
        <v>30</v>
      </c>
      <c r="E770" s="196" t="s">
        <v>851</v>
      </c>
      <c r="F770" s="196" t="s">
        <v>1329</v>
      </c>
      <c r="G770" s="196">
        <v>3</v>
      </c>
      <c r="H770" s="196">
        <v>3</v>
      </c>
      <c r="I770" s="196">
        <v>6519</v>
      </c>
      <c r="J770" s="196">
        <v>24472</v>
      </c>
      <c r="K770" s="196">
        <v>79.819999999999993</v>
      </c>
      <c r="L770" s="196">
        <v>4.62</v>
      </c>
      <c r="M770" s="196">
        <v>6480</v>
      </c>
      <c r="N770" s="196">
        <v>1954096</v>
      </c>
      <c r="O770" s="196">
        <v>2146</v>
      </c>
      <c r="P770" s="196" t="s">
        <v>1330</v>
      </c>
      <c r="Q770" s="196" t="s">
        <v>1331</v>
      </c>
      <c r="R770" s="196" t="s">
        <v>1332</v>
      </c>
      <c r="S770" s="196" t="s">
        <v>844</v>
      </c>
      <c r="T770" s="196" t="s">
        <v>900</v>
      </c>
      <c r="U770" s="196" t="s">
        <v>901</v>
      </c>
      <c r="V770" s="196" t="s">
        <v>1056</v>
      </c>
      <c r="W770" s="196" t="s">
        <v>1331</v>
      </c>
      <c r="X770" s="196" t="s">
        <v>1333</v>
      </c>
      <c r="Y770" s="196" t="s">
        <v>848</v>
      </c>
    </row>
    <row r="771" spans="1:25">
      <c r="A771" s="196" t="s">
        <v>837</v>
      </c>
      <c r="B771" s="196" t="s">
        <v>850</v>
      </c>
      <c r="C771" s="196">
        <v>2013</v>
      </c>
      <c r="D771" s="196">
        <v>55</v>
      </c>
      <c r="E771" s="196" t="s">
        <v>852</v>
      </c>
      <c r="F771" s="196" t="s">
        <v>1329</v>
      </c>
      <c r="G771" s="196">
        <v>3</v>
      </c>
      <c r="H771" s="196">
        <v>3</v>
      </c>
      <c r="I771" s="196">
        <v>3852</v>
      </c>
      <c r="J771" s="196">
        <v>17604</v>
      </c>
      <c r="K771" s="196">
        <v>79.819999999999993</v>
      </c>
      <c r="L771" s="196">
        <v>4.62</v>
      </c>
      <c r="M771" s="196">
        <v>6480</v>
      </c>
      <c r="N771" s="196">
        <v>1954096</v>
      </c>
      <c r="O771" s="196">
        <v>2146</v>
      </c>
      <c r="P771" s="196" t="s">
        <v>1330</v>
      </c>
      <c r="Q771" s="196" t="s">
        <v>1331</v>
      </c>
      <c r="R771" s="196" t="s">
        <v>1332</v>
      </c>
      <c r="S771" s="196" t="s">
        <v>844</v>
      </c>
      <c r="T771" s="196" t="s">
        <v>900</v>
      </c>
      <c r="U771" s="196" t="s">
        <v>901</v>
      </c>
      <c r="V771" s="196" t="s">
        <v>1056</v>
      </c>
      <c r="W771" s="196" t="s">
        <v>1331</v>
      </c>
      <c r="X771" s="196" t="s">
        <v>1333</v>
      </c>
      <c r="Y771" s="196" t="s">
        <v>848</v>
      </c>
    </row>
    <row r="772" spans="1:25">
      <c r="A772" s="196" t="s">
        <v>837</v>
      </c>
      <c r="B772" s="196" t="s">
        <v>850</v>
      </c>
      <c r="C772" s="196">
        <v>2013</v>
      </c>
      <c r="D772" s="196">
        <v>80</v>
      </c>
      <c r="E772" s="196" t="s">
        <v>917</v>
      </c>
      <c r="F772" s="196" t="s">
        <v>1329</v>
      </c>
      <c r="G772" s="196">
        <v>1</v>
      </c>
      <c r="H772" s="196">
        <v>1</v>
      </c>
      <c r="I772" s="196">
        <v>1242</v>
      </c>
      <c r="J772" s="196">
        <v>3670</v>
      </c>
      <c r="K772" s="196">
        <v>79.819999999999993</v>
      </c>
      <c r="L772" s="196">
        <v>4.62</v>
      </c>
      <c r="M772" s="196">
        <v>6480</v>
      </c>
      <c r="N772" s="196">
        <v>1954096</v>
      </c>
      <c r="O772" s="196">
        <v>2146</v>
      </c>
      <c r="P772" s="196" t="s">
        <v>1330</v>
      </c>
      <c r="Q772" s="196" t="s">
        <v>1331</v>
      </c>
      <c r="R772" s="196" t="s">
        <v>1332</v>
      </c>
      <c r="S772" s="196" t="s">
        <v>844</v>
      </c>
      <c r="T772" s="196" t="s">
        <v>900</v>
      </c>
      <c r="U772" s="196" t="s">
        <v>901</v>
      </c>
      <c r="V772" s="196" t="s">
        <v>1056</v>
      </c>
      <c r="W772" s="196" t="s">
        <v>1331</v>
      </c>
      <c r="X772" s="196" t="s">
        <v>1333</v>
      </c>
      <c r="Y772" s="196" t="s">
        <v>848</v>
      </c>
    </row>
    <row r="773" spans="1:25">
      <c r="A773" s="196" t="s">
        <v>837</v>
      </c>
      <c r="B773" s="196" t="s">
        <v>181</v>
      </c>
      <c r="C773" s="196">
        <v>2014</v>
      </c>
      <c r="D773" s="196">
        <v>80</v>
      </c>
      <c r="E773" s="196" t="s">
        <v>874</v>
      </c>
      <c r="F773" s="196" t="s">
        <v>1329</v>
      </c>
      <c r="G773" s="196">
        <v>4</v>
      </c>
      <c r="H773" s="196">
        <v>4</v>
      </c>
      <c r="I773" s="196">
        <v>6477</v>
      </c>
      <c r="J773" s="196">
        <v>47109</v>
      </c>
      <c r="K773" s="196">
        <v>79.819999999999993</v>
      </c>
      <c r="L773" s="196">
        <v>4.62</v>
      </c>
      <c r="M773" s="196">
        <v>6480</v>
      </c>
      <c r="N773" s="196">
        <v>1954096</v>
      </c>
      <c r="O773" s="196">
        <v>2146</v>
      </c>
      <c r="P773" s="196" t="s">
        <v>1330</v>
      </c>
      <c r="Q773" s="196" t="s">
        <v>1331</v>
      </c>
      <c r="R773" s="196" t="s">
        <v>1332</v>
      </c>
      <c r="S773" s="196" t="s">
        <v>844</v>
      </c>
      <c r="T773" s="196" t="s">
        <v>900</v>
      </c>
      <c r="U773" s="196" t="s">
        <v>901</v>
      </c>
      <c r="V773" s="196" t="s">
        <v>1056</v>
      </c>
      <c r="W773" s="196" t="s">
        <v>1331</v>
      </c>
      <c r="X773" s="196" t="s">
        <v>1333</v>
      </c>
      <c r="Y773" s="196" t="s">
        <v>848</v>
      </c>
    </row>
    <row r="774" spans="1:25">
      <c r="A774" s="196" t="s">
        <v>837</v>
      </c>
      <c r="B774" s="196" t="s">
        <v>850</v>
      </c>
      <c r="C774" s="196">
        <v>2014</v>
      </c>
      <c r="D774" s="196">
        <v>80</v>
      </c>
      <c r="E774" s="196" t="s">
        <v>875</v>
      </c>
      <c r="F774" s="196" t="s">
        <v>1329</v>
      </c>
      <c r="G774" s="196">
        <v>2</v>
      </c>
      <c r="H774" s="196">
        <v>2</v>
      </c>
      <c r="I774" s="196">
        <v>3213</v>
      </c>
      <c r="J774" s="196">
        <v>25835</v>
      </c>
      <c r="K774" s="196">
        <v>79.819999999999993</v>
      </c>
      <c r="L774" s="196">
        <v>4.62</v>
      </c>
      <c r="M774" s="196">
        <v>6480</v>
      </c>
      <c r="N774" s="196">
        <v>1954096</v>
      </c>
      <c r="O774" s="196">
        <v>2146</v>
      </c>
      <c r="P774" s="196" t="s">
        <v>1330</v>
      </c>
      <c r="Q774" s="196" t="s">
        <v>1331</v>
      </c>
      <c r="R774" s="196" t="s">
        <v>1332</v>
      </c>
      <c r="S774" s="196" t="s">
        <v>844</v>
      </c>
      <c r="T774" s="196" t="s">
        <v>900</v>
      </c>
      <c r="U774" s="196" t="s">
        <v>901</v>
      </c>
      <c r="V774" s="196" t="s">
        <v>1056</v>
      </c>
      <c r="W774" s="196" t="s">
        <v>1331</v>
      </c>
      <c r="X774" s="196" t="s">
        <v>1333</v>
      </c>
      <c r="Y774" s="196" t="s">
        <v>848</v>
      </c>
    </row>
    <row r="775" spans="1:25">
      <c r="A775" s="196" t="s">
        <v>837</v>
      </c>
      <c r="B775" s="196" t="s">
        <v>838</v>
      </c>
      <c r="C775" s="196">
        <v>2013</v>
      </c>
      <c r="D775" s="196">
        <v>80</v>
      </c>
      <c r="E775" s="196" t="s">
        <v>908</v>
      </c>
      <c r="F775" s="196" t="s">
        <v>1329</v>
      </c>
      <c r="G775" s="196">
        <v>2</v>
      </c>
      <c r="H775" s="196">
        <v>2</v>
      </c>
      <c r="I775" s="196">
        <v>2652</v>
      </c>
      <c r="J775" s="196">
        <v>16323</v>
      </c>
      <c r="K775" s="196">
        <v>79.819999999999993</v>
      </c>
      <c r="L775" s="196">
        <v>4.62</v>
      </c>
      <c r="M775" s="196">
        <v>6480</v>
      </c>
      <c r="N775" s="196">
        <v>1954096</v>
      </c>
      <c r="O775" s="196">
        <v>2146</v>
      </c>
      <c r="P775" s="196" t="s">
        <v>1330</v>
      </c>
      <c r="Q775" s="196" t="s">
        <v>1331</v>
      </c>
      <c r="R775" s="196" t="s">
        <v>1332</v>
      </c>
      <c r="S775" s="196" t="s">
        <v>844</v>
      </c>
      <c r="T775" s="196" t="s">
        <v>900</v>
      </c>
      <c r="U775" s="196" t="s">
        <v>901</v>
      </c>
      <c r="V775" s="196" t="s">
        <v>1056</v>
      </c>
      <c r="W775" s="196" t="s">
        <v>1331</v>
      </c>
      <c r="X775" s="196" t="s">
        <v>1333</v>
      </c>
      <c r="Y775" s="196" t="s">
        <v>848</v>
      </c>
    </row>
    <row r="776" spans="1:25">
      <c r="A776" s="196" t="s">
        <v>837</v>
      </c>
      <c r="B776" s="196" t="s">
        <v>181</v>
      </c>
      <c r="C776" s="196">
        <v>2013</v>
      </c>
      <c r="D776" s="196">
        <v>80</v>
      </c>
      <c r="E776" s="196" t="s">
        <v>876</v>
      </c>
      <c r="F776" s="196" t="s">
        <v>1329</v>
      </c>
      <c r="G776" s="196">
        <v>3</v>
      </c>
      <c r="H776" s="196">
        <v>3</v>
      </c>
      <c r="I776" s="196">
        <v>2562</v>
      </c>
      <c r="J776" s="196">
        <v>8901</v>
      </c>
      <c r="K776" s="196">
        <v>79.819999999999993</v>
      </c>
      <c r="L776" s="196">
        <v>4.62</v>
      </c>
      <c r="M776" s="196">
        <v>6480</v>
      </c>
      <c r="N776" s="196">
        <v>1954096</v>
      </c>
      <c r="O776" s="196">
        <v>2146</v>
      </c>
      <c r="P776" s="196" t="s">
        <v>1330</v>
      </c>
      <c r="Q776" s="196" t="s">
        <v>1331</v>
      </c>
      <c r="R776" s="196" t="s">
        <v>1332</v>
      </c>
      <c r="S776" s="196" t="s">
        <v>844</v>
      </c>
      <c r="T776" s="196" t="s">
        <v>900</v>
      </c>
      <c r="U776" s="196" t="s">
        <v>901</v>
      </c>
      <c r="V776" s="196" t="s">
        <v>1056</v>
      </c>
      <c r="W776" s="196" t="s">
        <v>1331</v>
      </c>
      <c r="X776" s="196" t="s">
        <v>1333</v>
      </c>
      <c r="Y776" s="196" t="s">
        <v>848</v>
      </c>
    </row>
    <row r="777" spans="1:25">
      <c r="A777" s="196" t="s">
        <v>837</v>
      </c>
      <c r="B777" s="196" t="s">
        <v>838</v>
      </c>
      <c r="C777" s="196">
        <v>2014</v>
      </c>
      <c r="D777" s="196">
        <v>55</v>
      </c>
      <c r="E777" s="196" t="s">
        <v>854</v>
      </c>
      <c r="F777" s="196" t="s">
        <v>1329</v>
      </c>
      <c r="G777" s="196">
        <v>2</v>
      </c>
      <c r="H777" s="196">
        <v>2</v>
      </c>
      <c r="I777" s="196">
        <v>4305</v>
      </c>
      <c r="J777" s="196">
        <v>19490</v>
      </c>
      <c r="K777" s="196">
        <v>79.819999999999993</v>
      </c>
      <c r="L777" s="196">
        <v>4.62</v>
      </c>
      <c r="M777" s="196">
        <v>6480</v>
      </c>
      <c r="N777" s="196">
        <v>1954096</v>
      </c>
      <c r="O777" s="196">
        <v>2146</v>
      </c>
      <c r="P777" s="196" t="s">
        <v>1330</v>
      </c>
      <c r="Q777" s="196" t="s">
        <v>1331</v>
      </c>
      <c r="R777" s="196" t="s">
        <v>1332</v>
      </c>
      <c r="S777" s="196" t="s">
        <v>844</v>
      </c>
      <c r="T777" s="196" t="s">
        <v>900</v>
      </c>
      <c r="U777" s="196" t="s">
        <v>901</v>
      </c>
      <c r="V777" s="196" t="s">
        <v>1056</v>
      </c>
      <c r="W777" s="196" t="s">
        <v>1331</v>
      </c>
      <c r="X777" s="196" t="s">
        <v>1333</v>
      </c>
      <c r="Y777" s="196" t="s">
        <v>848</v>
      </c>
    </row>
    <row r="778" spans="1:25">
      <c r="A778" s="196" t="s">
        <v>837</v>
      </c>
      <c r="B778" s="196" t="s">
        <v>181</v>
      </c>
      <c r="C778" s="196">
        <v>2014</v>
      </c>
      <c r="D778" s="196">
        <v>55</v>
      </c>
      <c r="E778" s="196" t="s">
        <v>858</v>
      </c>
      <c r="F778" s="196" t="s">
        <v>1329</v>
      </c>
      <c r="G778" s="196">
        <v>1</v>
      </c>
      <c r="H778" s="196">
        <v>1</v>
      </c>
      <c r="I778" s="196">
        <v>2922</v>
      </c>
      <c r="J778" s="196">
        <v>7357</v>
      </c>
      <c r="K778" s="196">
        <v>79.819999999999993</v>
      </c>
      <c r="L778" s="196">
        <v>4.62</v>
      </c>
      <c r="M778" s="196">
        <v>6480</v>
      </c>
      <c r="N778" s="196">
        <v>1954096</v>
      </c>
      <c r="O778" s="196">
        <v>2146</v>
      </c>
      <c r="P778" s="196" t="s">
        <v>1330</v>
      </c>
      <c r="Q778" s="196" t="s">
        <v>1331</v>
      </c>
      <c r="R778" s="196" t="s">
        <v>1332</v>
      </c>
      <c r="S778" s="196" t="s">
        <v>844</v>
      </c>
      <c r="T778" s="196" t="s">
        <v>900</v>
      </c>
      <c r="U778" s="196" t="s">
        <v>901</v>
      </c>
      <c r="V778" s="196" t="s">
        <v>1056</v>
      </c>
      <c r="W778" s="196" t="s">
        <v>1331</v>
      </c>
      <c r="X778" s="196" t="s">
        <v>1333</v>
      </c>
      <c r="Y778" s="196" t="s">
        <v>848</v>
      </c>
    </row>
    <row r="779" spans="1:25">
      <c r="A779" s="196" t="s">
        <v>837</v>
      </c>
      <c r="B779" s="196" t="s">
        <v>850</v>
      </c>
      <c r="C779" s="196">
        <v>2014</v>
      </c>
      <c r="D779" s="196">
        <v>55</v>
      </c>
      <c r="E779" s="196" t="s">
        <v>862</v>
      </c>
      <c r="F779" s="196" t="s">
        <v>1329</v>
      </c>
      <c r="G779" s="196">
        <v>1</v>
      </c>
      <c r="H779" s="196">
        <v>1</v>
      </c>
      <c r="I779" s="196">
        <v>3015</v>
      </c>
      <c r="J779" s="196">
        <v>10051</v>
      </c>
      <c r="K779" s="196">
        <v>79.819999999999993</v>
      </c>
      <c r="L779" s="196">
        <v>4.62</v>
      </c>
      <c r="M779" s="196">
        <v>6480</v>
      </c>
      <c r="N779" s="196">
        <v>1954096</v>
      </c>
      <c r="O779" s="196">
        <v>2146</v>
      </c>
      <c r="P779" s="196" t="s">
        <v>1330</v>
      </c>
      <c r="Q779" s="196" t="s">
        <v>1331</v>
      </c>
      <c r="R779" s="196" t="s">
        <v>1332</v>
      </c>
      <c r="S779" s="196" t="s">
        <v>844</v>
      </c>
      <c r="T779" s="196" t="s">
        <v>900</v>
      </c>
      <c r="U779" s="196" t="s">
        <v>901</v>
      </c>
      <c r="V779" s="196" t="s">
        <v>1056</v>
      </c>
      <c r="W779" s="196" t="s">
        <v>1331</v>
      </c>
      <c r="X779" s="196" t="s">
        <v>1333</v>
      </c>
      <c r="Y779" s="196" t="s">
        <v>848</v>
      </c>
    </row>
    <row r="780" spans="1:25">
      <c r="A780" s="196" t="s">
        <v>837</v>
      </c>
      <c r="B780" s="196" t="s">
        <v>181</v>
      </c>
      <c r="C780" s="196">
        <v>2014</v>
      </c>
      <c r="D780" s="196">
        <v>30</v>
      </c>
      <c r="E780" s="196" t="s">
        <v>856</v>
      </c>
      <c r="F780" s="196" t="s">
        <v>1334</v>
      </c>
      <c r="G780" s="196">
        <v>1</v>
      </c>
      <c r="H780" s="196">
        <v>1</v>
      </c>
      <c r="I780" s="196">
        <v>3825</v>
      </c>
      <c r="J780" s="196">
        <v>7374</v>
      </c>
      <c r="K780" s="196">
        <v>66.900000000000006</v>
      </c>
      <c r="L780" s="196">
        <v>2.1800000000000002</v>
      </c>
      <c r="M780" s="196">
        <v>4807</v>
      </c>
      <c r="N780" s="196">
        <v>2357056</v>
      </c>
      <c r="O780" s="196">
        <v>2518</v>
      </c>
      <c r="P780" s="196" t="s">
        <v>1335</v>
      </c>
      <c r="Q780" s="196" t="s">
        <v>1336</v>
      </c>
      <c r="R780" s="196" t="s">
        <v>1337</v>
      </c>
      <c r="S780" s="196" t="s">
        <v>844</v>
      </c>
      <c r="T780" s="196" t="s">
        <v>1061</v>
      </c>
      <c r="U780" s="196" t="s">
        <v>1062</v>
      </c>
      <c r="V780" s="196" t="s">
        <v>1336</v>
      </c>
      <c r="W780" s="196" t="s">
        <v>848</v>
      </c>
      <c r="X780" s="196" t="s">
        <v>848</v>
      </c>
      <c r="Y780" s="196" t="s">
        <v>848</v>
      </c>
    </row>
    <row r="781" spans="1:25">
      <c r="A781" s="196" t="s">
        <v>837</v>
      </c>
      <c r="B781" s="196" t="s">
        <v>838</v>
      </c>
      <c r="C781" s="196">
        <v>2013</v>
      </c>
      <c r="D781" s="196">
        <v>30</v>
      </c>
      <c r="E781" s="196" t="s">
        <v>839</v>
      </c>
      <c r="F781" s="196" t="s">
        <v>1338</v>
      </c>
      <c r="G781" s="196">
        <v>1</v>
      </c>
      <c r="H781" s="196">
        <v>1</v>
      </c>
      <c r="I781" s="196">
        <v>1035</v>
      </c>
      <c r="J781" s="196">
        <v>11373</v>
      </c>
      <c r="K781" s="196">
        <v>87.89</v>
      </c>
      <c r="L781" s="196">
        <v>0.28999999999999998</v>
      </c>
      <c r="M781" s="196">
        <v>10140</v>
      </c>
      <c r="N781" s="196">
        <v>1460979</v>
      </c>
      <c r="O781" s="196">
        <v>1486</v>
      </c>
      <c r="P781" s="196" t="s">
        <v>993</v>
      </c>
      <c r="Q781" s="196" t="s">
        <v>994</v>
      </c>
      <c r="R781" s="196" t="s">
        <v>995</v>
      </c>
      <c r="S781" s="196" t="s">
        <v>844</v>
      </c>
      <c r="T781" s="196" t="s">
        <v>923</v>
      </c>
      <c r="U781" s="196" t="s">
        <v>996</v>
      </c>
      <c r="V781" s="196" t="s">
        <v>994</v>
      </c>
      <c r="W781" s="196" t="s">
        <v>1339</v>
      </c>
      <c r="X781" s="196" t="s">
        <v>1340</v>
      </c>
      <c r="Y781" s="196" t="s">
        <v>848</v>
      </c>
    </row>
    <row r="782" spans="1:25">
      <c r="A782" s="196" t="s">
        <v>837</v>
      </c>
      <c r="B782" s="196" t="s">
        <v>850</v>
      </c>
      <c r="C782" s="196">
        <v>2013</v>
      </c>
      <c r="D782" s="196">
        <v>30</v>
      </c>
      <c r="E782" s="196" t="s">
        <v>851</v>
      </c>
      <c r="F782" s="196" t="s">
        <v>1338</v>
      </c>
      <c r="G782" s="196">
        <v>2</v>
      </c>
      <c r="H782" s="196">
        <v>2</v>
      </c>
      <c r="I782" s="196">
        <v>2027</v>
      </c>
      <c r="J782" s="196">
        <v>38364</v>
      </c>
      <c r="K782" s="196">
        <v>87.89</v>
      </c>
      <c r="L782" s="196">
        <v>0.28999999999999998</v>
      </c>
      <c r="M782" s="196">
        <v>10140</v>
      </c>
      <c r="N782" s="196">
        <v>1460979</v>
      </c>
      <c r="O782" s="196">
        <v>1486</v>
      </c>
      <c r="P782" s="196" t="s">
        <v>993</v>
      </c>
      <c r="Q782" s="196" t="s">
        <v>994</v>
      </c>
      <c r="R782" s="196" t="s">
        <v>995</v>
      </c>
      <c r="S782" s="196" t="s">
        <v>844</v>
      </c>
      <c r="T782" s="196" t="s">
        <v>923</v>
      </c>
      <c r="U782" s="196" t="s">
        <v>996</v>
      </c>
      <c r="V782" s="196" t="s">
        <v>994</v>
      </c>
      <c r="W782" s="196" t="s">
        <v>1339</v>
      </c>
      <c r="X782" s="196" t="s">
        <v>1340</v>
      </c>
      <c r="Y782" s="196" t="s">
        <v>848</v>
      </c>
    </row>
    <row r="783" spans="1:25">
      <c r="A783" s="196" t="s">
        <v>837</v>
      </c>
      <c r="B783" s="196" t="s">
        <v>850</v>
      </c>
      <c r="C783" s="196">
        <v>2013</v>
      </c>
      <c r="D783" s="196">
        <v>55</v>
      </c>
      <c r="E783" s="196" t="s">
        <v>852</v>
      </c>
      <c r="F783" s="196" t="s">
        <v>1338</v>
      </c>
      <c r="G783" s="196">
        <v>2</v>
      </c>
      <c r="H783" s="196">
        <v>2</v>
      </c>
      <c r="I783" s="196">
        <v>1905</v>
      </c>
      <c r="J783" s="196">
        <v>30233</v>
      </c>
      <c r="K783" s="196">
        <v>87.89</v>
      </c>
      <c r="L783" s="196">
        <v>0.28999999999999998</v>
      </c>
      <c r="M783" s="196">
        <v>10140</v>
      </c>
      <c r="N783" s="196">
        <v>1460979</v>
      </c>
      <c r="O783" s="196">
        <v>1486</v>
      </c>
      <c r="P783" s="196" t="s">
        <v>993</v>
      </c>
      <c r="Q783" s="196" t="s">
        <v>994</v>
      </c>
      <c r="R783" s="196" t="s">
        <v>995</v>
      </c>
      <c r="S783" s="196" t="s">
        <v>844</v>
      </c>
      <c r="T783" s="196" t="s">
        <v>923</v>
      </c>
      <c r="U783" s="196" t="s">
        <v>996</v>
      </c>
      <c r="V783" s="196" t="s">
        <v>994</v>
      </c>
      <c r="W783" s="196" t="s">
        <v>1339</v>
      </c>
      <c r="X783" s="196" t="s">
        <v>1340</v>
      </c>
      <c r="Y783" s="196" t="s">
        <v>848</v>
      </c>
    </row>
    <row r="784" spans="1:25">
      <c r="A784" s="196" t="s">
        <v>837</v>
      </c>
      <c r="B784" s="196" t="s">
        <v>181</v>
      </c>
      <c r="C784" s="196">
        <v>2014</v>
      </c>
      <c r="D784" s="196">
        <v>80</v>
      </c>
      <c r="E784" s="196" t="s">
        <v>874</v>
      </c>
      <c r="F784" s="196" t="s">
        <v>1338</v>
      </c>
      <c r="G784" s="196">
        <v>1</v>
      </c>
      <c r="H784" s="196">
        <v>1</v>
      </c>
      <c r="I784" s="196">
        <v>1035</v>
      </c>
      <c r="J784" s="196">
        <v>11373</v>
      </c>
      <c r="K784" s="196">
        <v>87.89</v>
      </c>
      <c r="L784" s="196">
        <v>0.28999999999999998</v>
      </c>
      <c r="M784" s="196">
        <v>10140</v>
      </c>
      <c r="N784" s="196">
        <v>1460979</v>
      </c>
      <c r="O784" s="196">
        <v>1486</v>
      </c>
      <c r="P784" s="196" t="s">
        <v>993</v>
      </c>
      <c r="Q784" s="196" t="s">
        <v>994</v>
      </c>
      <c r="R784" s="196" t="s">
        <v>995</v>
      </c>
      <c r="S784" s="196" t="s">
        <v>844</v>
      </c>
      <c r="T784" s="196" t="s">
        <v>923</v>
      </c>
      <c r="U784" s="196" t="s">
        <v>996</v>
      </c>
      <c r="V784" s="196" t="s">
        <v>994</v>
      </c>
      <c r="W784" s="196" t="s">
        <v>1339</v>
      </c>
      <c r="X784" s="196" t="s">
        <v>1340</v>
      </c>
      <c r="Y784" s="196" t="s">
        <v>848</v>
      </c>
    </row>
    <row r="785" spans="1:25">
      <c r="A785" s="196" t="s">
        <v>837</v>
      </c>
      <c r="B785" s="196" t="s">
        <v>181</v>
      </c>
      <c r="C785" s="196">
        <v>2014</v>
      </c>
      <c r="D785" s="196">
        <v>30</v>
      </c>
      <c r="E785" s="196" t="s">
        <v>856</v>
      </c>
      <c r="F785" s="196" t="s">
        <v>1338</v>
      </c>
      <c r="G785" s="196">
        <v>2</v>
      </c>
      <c r="H785" s="196">
        <v>2</v>
      </c>
      <c r="I785" s="196">
        <v>2136</v>
      </c>
      <c r="J785" s="196">
        <v>15702</v>
      </c>
      <c r="K785" s="196">
        <v>87.89</v>
      </c>
      <c r="L785" s="196">
        <v>0.28999999999999998</v>
      </c>
      <c r="M785" s="196">
        <v>10140</v>
      </c>
      <c r="N785" s="196">
        <v>1460979</v>
      </c>
      <c r="O785" s="196">
        <v>1486</v>
      </c>
      <c r="P785" s="196" t="s">
        <v>993</v>
      </c>
      <c r="Q785" s="196" t="s">
        <v>994</v>
      </c>
      <c r="R785" s="196" t="s">
        <v>995</v>
      </c>
      <c r="S785" s="196" t="s">
        <v>844</v>
      </c>
      <c r="T785" s="196" t="s">
        <v>923</v>
      </c>
      <c r="U785" s="196" t="s">
        <v>996</v>
      </c>
      <c r="V785" s="196" t="s">
        <v>994</v>
      </c>
      <c r="W785" s="196" t="s">
        <v>1339</v>
      </c>
      <c r="X785" s="196" t="s">
        <v>1340</v>
      </c>
      <c r="Y785" s="196" t="s">
        <v>848</v>
      </c>
    </row>
    <row r="786" spans="1:25">
      <c r="A786" s="196" t="s">
        <v>837</v>
      </c>
      <c r="B786" s="196" t="s">
        <v>181</v>
      </c>
      <c r="C786" s="196">
        <v>2014</v>
      </c>
      <c r="D786" s="196">
        <v>55</v>
      </c>
      <c r="E786" s="196" t="s">
        <v>858</v>
      </c>
      <c r="F786" s="196" t="s">
        <v>1338</v>
      </c>
      <c r="G786" s="196">
        <v>1</v>
      </c>
      <c r="H786" s="196">
        <v>1</v>
      </c>
      <c r="I786" s="196">
        <v>75</v>
      </c>
      <c r="J786" s="196">
        <v>11303</v>
      </c>
      <c r="K786" s="196">
        <v>87.89</v>
      </c>
      <c r="L786" s="196">
        <v>0.28999999999999998</v>
      </c>
      <c r="M786" s="196">
        <v>10140</v>
      </c>
      <c r="N786" s="196">
        <v>1460979</v>
      </c>
      <c r="O786" s="196">
        <v>1486</v>
      </c>
      <c r="P786" s="196" t="s">
        <v>993</v>
      </c>
      <c r="Q786" s="196" t="s">
        <v>994</v>
      </c>
      <c r="R786" s="196" t="s">
        <v>995</v>
      </c>
      <c r="S786" s="196" t="s">
        <v>844</v>
      </c>
      <c r="T786" s="196" t="s">
        <v>923</v>
      </c>
      <c r="U786" s="196" t="s">
        <v>996</v>
      </c>
      <c r="V786" s="196" t="s">
        <v>994</v>
      </c>
      <c r="W786" s="196" t="s">
        <v>1339</v>
      </c>
      <c r="X786" s="196" t="s">
        <v>1340</v>
      </c>
      <c r="Y786" s="196" t="s">
        <v>848</v>
      </c>
    </row>
    <row r="787" spans="1:25">
      <c r="A787" s="196" t="s">
        <v>837</v>
      </c>
      <c r="B787" s="196" t="s">
        <v>850</v>
      </c>
      <c r="C787" s="196">
        <v>2014</v>
      </c>
      <c r="D787" s="196">
        <v>30</v>
      </c>
      <c r="E787" s="196" t="s">
        <v>860</v>
      </c>
      <c r="F787" s="196" t="s">
        <v>1338</v>
      </c>
      <c r="G787" s="196">
        <v>13</v>
      </c>
      <c r="H787" s="196">
        <v>13</v>
      </c>
      <c r="I787" s="196">
        <v>15690</v>
      </c>
      <c r="J787" s="196">
        <v>187891</v>
      </c>
      <c r="K787" s="196">
        <v>87.89</v>
      </c>
      <c r="L787" s="196">
        <v>0.28999999999999998</v>
      </c>
      <c r="M787" s="196">
        <v>10140</v>
      </c>
      <c r="N787" s="196">
        <v>1460979</v>
      </c>
      <c r="O787" s="196">
        <v>1486</v>
      </c>
      <c r="P787" s="196" t="s">
        <v>993</v>
      </c>
      <c r="Q787" s="196" t="s">
        <v>994</v>
      </c>
      <c r="R787" s="196" t="s">
        <v>995</v>
      </c>
      <c r="S787" s="196" t="s">
        <v>844</v>
      </c>
      <c r="T787" s="196" t="s">
        <v>923</v>
      </c>
      <c r="U787" s="196" t="s">
        <v>996</v>
      </c>
      <c r="V787" s="196" t="s">
        <v>994</v>
      </c>
      <c r="W787" s="196" t="s">
        <v>1339</v>
      </c>
      <c r="X787" s="196" t="s">
        <v>1340</v>
      </c>
      <c r="Y787" s="196" t="s">
        <v>848</v>
      </c>
    </row>
    <row r="788" spans="1:25">
      <c r="A788" s="196" t="s">
        <v>837</v>
      </c>
      <c r="B788" s="196" t="s">
        <v>850</v>
      </c>
      <c r="C788" s="196">
        <v>2014</v>
      </c>
      <c r="D788" s="196">
        <v>30</v>
      </c>
      <c r="E788" s="196" t="s">
        <v>861</v>
      </c>
      <c r="F788" s="196" t="s">
        <v>1338</v>
      </c>
      <c r="G788" s="196">
        <v>7</v>
      </c>
      <c r="H788" s="196">
        <v>7</v>
      </c>
      <c r="I788" s="196">
        <v>9324</v>
      </c>
      <c r="J788" s="196">
        <v>114374</v>
      </c>
      <c r="K788" s="196">
        <v>87.89</v>
      </c>
      <c r="L788" s="196">
        <v>0.28999999999999998</v>
      </c>
      <c r="M788" s="196">
        <v>10140</v>
      </c>
      <c r="N788" s="196">
        <v>1460979</v>
      </c>
      <c r="O788" s="196">
        <v>1486</v>
      </c>
      <c r="P788" s="196" t="s">
        <v>993</v>
      </c>
      <c r="Q788" s="196" t="s">
        <v>994</v>
      </c>
      <c r="R788" s="196" t="s">
        <v>995</v>
      </c>
      <c r="S788" s="196" t="s">
        <v>844</v>
      </c>
      <c r="T788" s="196" t="s">
        <v>923</v>
      </c>
      <c r="U788" s="196" t="s">
        <v>996</v>
      </c>
      <c r="V788" s="196" t="s">
        <v>994</v>
      </c>
      <c r="W788" s="196" t="s">
        <v>1339</v>
      </c>
      <c r="X788" s="196" t="s">
        <v>1340</v>
      </c>
      <c r="Y788" s="196" t="s">
        <v>848</v>
      </c>
    </row>
    <row r="789" spans="1:25">
      <c r="A789" s="196" t="s">
        <v>837</v>
      </c>
      <c r="B789" s="196" t="s">
        <v>838</v>
      </c>
      <c r="C789" s="196">
        <v>2013</v>
      </c>
      <c r="D789" s="196">
        <v>55</v>
      </c>
      <c r="E789" s="196" t="s">
        <v>849</v>
      </c>
      <c r="F789" s="196" t="s">
        <v>1341</v>
      </c>
      <c r="G789" s="196">
        <v>2</v>
      </c>
      <c r="H789" s="196">
        <v>2</v>
      </c>
      <c r="I789" s="196">
        <v>3633</v>
      </c>
      <c r="J789" s="196">
        <v>35771</v>
      </c>
      <c r="K789" s="196">
        <v>90.96</v>
      </c>
      <c r="L789" s="196">
        <v>0.44</v>
      </c>
      <c r="M789" s="196">
        <v>15563</v>
      </c>
      <c r="N789" s="196">
        <v>1319656</v>
      </c>
      <c r="O789" s="196">
        <v>1463</v>
      </c>
      <c r="P789" s="196" t="s">
        <v>993</v>
      </c>
      <c r="Q789" s="196" t="s">
        <v>923</v>
      </c>
      <c r="R789" s="196" t="s">
        <v>1047</v>
      </c>
      <c r="S789" s="196" t="s">
        <v>844</v>
      </c>
      <c r="T789" s="196" t="s">
        <v>923</v>
      </c>
      <c r="U789" s="196" t="s">
        <v>1048</v>
      </c>
      <c r="V789" s="196" t="s">
        <v>1049</v>
      </c>
      <c r="W789" s="196" t="s">
        <v>1050</v>
      </c>
      <c r="X789" s="196" t="s">
        <v>1051</v>
      </c>
      <c r="Y789" s="196" t="s">
        <v>848</v>
      </c>
    </row>
    <row r="790" spans="1:25">
      <c r="A790" s="196" t="s">
        <v>837</v>
      </c>
      <c r="B790" s="196" t="s">
        <v>850</v>
      </c>
      <c r="C790" s="196">
        <v>2013</v>
      </c>
      <c r="D790" s="196">
        <v>80</v>
      </c>
      <c r="E790" s="196" t="s">
        <v>917</v>
      </c>
      <c r="F790" s="196" t="s">
        <v>1341</v>
      </c>
      <c r="G790" s="196">
        <v>314</v>
      </c>
      <c r="H790" s="196">
        <v>96</v>
      </c>
      <c r="I790" s="196">
        <v>360778</v>
      </c>
      <c r="J790" s="196">
        <v>1212606</v>
      </c>
      <c r="K790" s="196">
        <v>90.96</v>
      </c>
      <c r="L790" s="196">
        <v>0.44</v>
      </c>
      <c r="M790" s="196">
        <v>15563</v>
      </c>
      <c r="N790" s="196">
        <v>1319656</v>
      </c>
      <c r="O790" s="196">
        <v>1463</v>
      </c>
      <c r="P790" s="196" t="s">
        <v>993</v>
      </c>
      <c r="Q790" s="196" t="s">
        <v>923</v>
      </c>
      <c r="R790" s="196" t="s">
        <v>1047</v>
      </c>
      <c r="S790" s="196" t="s">
        <v>844</v>
      </c>
      <c r="T790" s="196" t="s">
        <v>923</v>
      </c>
      <c r="U790" s="196" t="s">
        <v>1048</v>
      </c>
      <c r="V790" s="196" t="s">
        <v>1049</v>
      </c>
      <c r="W790" s="196" t="s">
        <v>1050</v>
      </c>
      <c r="X790" s="196" t="s">
        <v>1051</v>
      </c>
      <c r="Y790" s="196" t="s">
        <v>848</v>
      </c>
    </row>
    <row r="791" spans="1:25">
      <c r="A791" s="196" t="s">
        <v>837</v>
      </c>
      <c r="B791" s="196" t="s">
        <v>838</v>
      </c>
      <c r="C791" s="196">
        <v>2014</v>
      </c>
      <c r="D791" s="196">
        <v>80</v>
      </c>
      <c r="E791" s="196" t="s">
        <v>853</v>
      </c>
      <c r="F791" s="196" t="s">
        <v>1341</v>
      </c>
      <c r="G791" s="196">
        <v>1352</v>
      </c>
      <c r="H791" s="196">
        <v>115</v>
      </c>
      <c r="I791" s="196">
        <v>1237667</v>
      </c>
      <c r="J791" s="196">
        <v>1319656</v>
      </c>
      <c r="K791" s="196">
        <v>90.96</v>
      </c>
      <c r="L791" s="196">
        <v>0.44</v>
      </c>
      <c r="M791" s="196">
        <v>15563</v>
      </c>
      <c r="N791" s="196">
        <v>1319656</v>
      </c>
      <c r="O791" s="196">
        <v>1463</v>
      </c>
      <c r="P791" s="196" t="s">
        <v>993</v>
      </c>
      <c r="Q791" s="196" t="s">
        <v>923</v>
      </c>
      <c r="R791" s="196" t="s">
        <v>1047</v>
      </c>
      <c r="S791" s="196" t="s">
        <v>844</v>
      </c>
      <c r="T791" s="196" t="s">
        <v>923</v>
      </c>
      <c r="U791" s="196" t="s">
        <v>1048</v>
      </c>
      <c r="V791" s="196" t="s">
        <v>1049</v>
      </c>
      <c r="W791" s="196" t="s">
        <v>1050</v>
      </c>
      <c r="X791" s="196" t="s">
        <v>1051</v>
      </c>
      <c r="Y791" s="196" t="s">
        <v>848</v>
      </c>
    </row>
    <row r="792" spans="1:25">
      <c r="A792" s="196" t="s">
        <v>837</v>
      </c>
      <c r="B792" s="196" t="s">
        <v>181</v>
      </c>
      <c r="C792" s="196">
        <v>2014</v>
      </c>
      <c r="D792" s="196">
        <v>80</v>
      </c>
      <c r="E792" s="196" t="s">
        <v>874</v>
      </c>
      <c r="F792" s="196" t="s">
        <v>1341</v>
      </c>
      <c r="G792" s="196">
        <v>815</v>
      </c>
      <c r="H792" s="196">
        <v>110</v>
      </c>
      <c r="I792" s="196">
        <v>841903</v>
      </c>
      <c r="J792" s="196">
        <v>1303975</v>
      </c>
      <c r="K792" s="196">
        <v>90.96</v>
      </c>
      <c r="L792" s="196">
        <v>0.44</v>
      </c>
      <c r="M792" s="196">
        <v>15563</v>
      </c>
      <c r="N792" s="196">
        <v>1319656</v>
      </c>
      <c r="O792" s="196">
        <v>1463</v>
      </c>
      <c r="P792" s="196" t="s">
        <v>993</v>
      </c>
      <c r="Q792" s="196" t="s">
        <v>923</v>
      </c>
      <c r="R792" s="196" t="s">
        <v>1047</v>
      </c>
      <c r="S792" s="196" t="s">
        <v>844</v>
      </c>
      <c r="T792" s="196" t="s">
        <v>923</v>
      </c>
      <c r="U792" s="196" t="s">
        <v>1048</v>
      </c>
      <c r="V792" s="196" t="s">
        <v>1049</v>
      </c>
      <c r="W792" s="196" t="s">
        <v>1050</v>
      </c>
      <c r="X792" s="196" t="s">
        <v>1051</v>
      </c>
      <c r="Y792" s="196" t="s">
        <v>848</v>
      </c>
    </row>
    <row r="793" spans="1:25">
      <c r="A793" s="196" t="s">
        <v>837</v>
      </c>
      <c r="B793" s="196" t="s">
        <v>850</v>
      </c>
      <c r="C793" s="196">
        <v>2014</v>
      </c>
      <c r="D793" s="196">
        <v>80</v>
      </c>
      <c r="E793" s="196" t="s">
        <v>918</v>
      </c>
      <c r="F793" s="196" t="s">
        <v>1341</v>
      </c>
      <c r="G793" s="196">
        <v>1279</v>
      </c>
      <c r="H793" s="196">
        <v>115</v>
      </c>
      <c r="I793" s="196">
        <v>1203032</v>
      </c>
      <c r="J793" s="196">
        <v>1319656</v>
      </c>
      <c r="K793" s="196">
        <v>90.96</v>
      </c>
      <c r="L793" s="196">
        <v>0.44</v>
      </c>
      <c r="M793" s="196">
        <v>15563</v>
      </c>
      <c r="N793" s="196">
        <v>1319656</v>
      </c>
      <c r="O793" s="196">
        <v>1463</v>
      </c>
      <c r="P793" s="196" t="s">
        <v>993</v>
      </c>
      <c r="Q793" s="196" t="s">
        <v>923</v>
      </c>
      <c r="R793" s="196" t="s">
        <v>1047</v>
      </c>
      <c r="S793" s="196" t="s">
        <v>844</v>
      </c>
      <c r="T793" s="196" t="s">
        <v>923</v>
      </c>
      <c r="U793" s="196" t="s">
        <v>1048</v>
      </c>
      <c r="V793" s="196" t="s">
        <v>1049</v>
      </c>
      <c r="W793" s="196" t="s">
        <v>1050</v>
      </c>
      <c r="X793" s="196" t="s">
        <v>1051</v>
      </c>
      <c r="Y793" s="196" t="s">
        <v>848</v>
      </c>
    </row>
    <row r="794" spans="1:25">
      <c r="A794" s="196" t="s">
        <v>837</v>
      </c>
      <c r="B794" s="196" t="s">
        <v>850</v>
      </c>
      <c r="C794" s="196">
        <v>2014</v>
      </c>
      <c r="D794" s="196">
        <v>80</v>
      </c>
      <c r="E794" s="196" t="s">
        <v>875</v>
      </c>
      <c r="F794" s="196" t="s">
        <v>1341</v>
      </c>
      <c r="G794" s="196">
        <v>954</v>
      </c>
      <c r="H794" s="196">
        <v>113</v>
      </c>
      <c r="I794" s="196">
        <v>958382</v>
      </c>
      <c r="J794" s="196">
        <v>1312236</v>
      </c>
      <c r="K794" s="196">
        <v>90.96</v>
      </c>
      <c r="L794" s="196">
        <v>0.44</v>
      </c>
      <c r="M794" s="196">
        <v>15563</v>
      </c>
      <c r="N794" s="196">
        <v>1319656</v>
      </c>
      <c r="O794" s="196">
        <v>1463</v>
      </c>
      <c r="P794" s="196" t="s">
        <v>993</v>
      </c>
      <c r="Q794" s="196" t="s">
        <v>923</v>
      </c>
      <c r="R794" s="196" t="s">
        <v>1047</v>
      </c>
      <c r="S794" s="196" t="s">
        <v>844</v>
      </c>
      <c r="T794" s="196" t="s">
        <v>923</v>
      </c>
      <c r="U794" s="196" t="s">
        <v>1048</v>
      </c>
      <c r="V794" s="196" t="s">
        <v>1049</v>
      </c>
      <c r="W794" s="196" t="s">
        <v>1050</v>
      </c>
      <c r="X794" s="196" t="s">
        <v>1051</v>
      </c>
      <c r="Y794" s="196" t="s">
        <v>848</v>
      </c>
    </row>
    <row r="795" spans="1:25">
      <c r="A795" s="196" t="s">
        <v>837</v>
      </c>
      <c r="B795" s="196" t="s">
        <v>838</v>
      </c>
      <c r="C795" s="196">
        <v>2013</v>
      </c>
      <c r="D795" s="196">
        <v>80</v>
      </c>
      <c r="E795" s="196" t="s">
        <v>908</v>
      </c>
      <c r="F795" s="196" t="s">
        <v>1341</v>
      </c>
      <c r="G795" s="196">
        <v>32</v>
      </c>
      <c r="H795" s="196">
        <v>28</v>
      </c>
      <c r="I795" s="196">
        <v>47991</v>
      </c>
      <c r="J795" s="196">
        <v>542315</v>
      </c>
      <c r="K795" s="196">
        <v>90.96</v>
      </c>
      <c r="L795" s="196">
        <v>0.44</v>
      </c>
      <c r="M795" s="196">
        <v>15563</v>
      </c>
      <c r="N795" s="196">
        <v>1319656</v>
      </c>
      <c r="O795" s="196">
        <v>1463</v>
      </c>
      <c r="P795" s="196" t="s">
        <v>993</v>
      </c>
      <c r="Q795" s="196" t="s">
        <v>923</v>
      </c>
      <c r="R795" s="196" t="s">
        <v>1047</v>
      </c>
      <c r="S795" s="196" t="s">
        <v>844</v>
      </c>
      <c r="T795" s="196" t="s">
        <v>923</v>
      </c>
      <c r="U795" s="196" t="s">
        <v>1048</v>
      </c>
      <c r="V795" s="196" t="s">
        <v>1049</v>
      </c>
      <c r="W795" s="196" t="s">
        <v>1050</v>
      </c>
      <c r="X795" s="196" t="s">
        <v>1051</v>
      </c>
      <c r="Y795" s="196" t="s">
        <v>848</v>
      </c>
    </row>
    <row r="796" spans="1:25">
      <c r="A796" s="196" t="s">
        <v>837</v>
      </c>
      <c r="B796" s="196" t="s">
        <v>181</v>
      </c>
      <c r="C796" s="196">
        <v>2013</v>
      </c>
      <c r="D796" s="196">
        <v>80</v>
      </c>
      <c r="E796" s="196" t="s">
        <v>876</v>
      </c>
      <c r="F796" s="196" t="s">
        <v>1341</v>
      </c>
      <c r="G796" s="196">
        <v>1218</v>
      </c>
      <c r="H796" s="196">
        <v>115</v>
      </c>
      <c r="I796" s="196">
        <v>1154028</v>
      </c>
      <c r="J796" s="196">
        <v>1319656</v>
      </c>
      <c r="K796" s="196">
        <v>90.96</v>
      </c>
      <c r="L796" s="196">
        <v>0.44</v>
      </c>
      <c r="M796" s="196">
        <v>15563</v>
      </c>
      <c r="N796" s="196">
        <v>1319656</v>
      </c>
      <c r="O796" s="196">
        <v>1463</v>
      </c>
      <c r="P796" s="196" t="s">
        <v>993</v>
      </c>
      <c r="Q796" s="196" t="s">
        <v>923</v>
      </c>
      <c r="R796" s="196" t="s">
        <v>1047</v>
      </c>
      <c r="S796" s="196" t="s">
        <v>844</v>
      </c>
      <c r="T796" s="196" t="s">
        <v>923</v>
      </c>
      <c r="U796" s="196" t="s">
        <v>1048</v>
      </c>
      <c r="V796" s="196" t="s">
        <v>1049</v>
      </c>
      <c r="W796" s="196" t="s">
        <v>1050</v>
      </c>
      <c r="X796" s="196" t="s">
        <v>1051</v>
      </c>
      <c r="Y796" s="196" t="s">
        <v>848</v>
      </c>
    </row>
    <row r="797" spans="1:25">
      <c r="A797" s="196" t="s">
        <v>837</v>
      </c>
      <c r="B797" s="196" t="s">
        <v>181</v>
      </c>
      <c r="C797" s="196">
        <v>2014</v>
      </c>
      <c r="D797" s="196">
        <v>30</v>
      </c>
      <c r="E797" s="196" t="s">
        <v>856</v>
      </c>
      <c r="F797" s="196" t="s">
        <v>1341</v>
      </c>
      <c r="G797" s="196">
        <v>10</v>
      </c>
      <c r="H797" s="196">
        <v>9</v>
      </c>
      <c r="I797" s="196">
        <v>15246</v>
      </c>
      <c r="J797" s="196">
        <v>242196</v>
      </c>
      <c r="K797" s="196">
        <v>90.96</v>
      </c>
      <c r="L797" s="196">
        <v>0.44</v>
      </c>
      <c r="M797" s="196">
        <v>15563</v>
      </c>
      <c r="N797" s="196">
        <v>1319656</v>
      </c>
      <c r="O797" s="196">
        <v>1463</v>
      </c>
      <c r="P797" s="196" t="s">
        <v>993</v>
      </c>
      <c r="Q797" s="196" t="s">
        <v>923</v>
      </c>
      <c r="R797" s="196" t="s">
        <v>1047</v>
      </c>
      <c r="S797" s="196" t="s">
        <v>844</v>
      </c>
      <c r="T797" s="196" t="s">
        <v>923</v>
      </c>
      <c r="U797" s="196" t="s">
        <v>1048</v>
      </c>
      <c r="V797" s="196" t="s">
        <v>1049</v>
      </c>
      <c r="W797" s="196" t="s">
        <v>1050</v>
      </c>
      <c r="X797" s="196" t="s">
        <v>1051</v>
      </c>
      <c r="Y797" s="196" t="s">
        <v>848</v>
      </c>
    </row>
    <row r="798" spans="1:25">
      <c r="A798" s="196" t="s">
        <v>837</v>
      </c>
      <c r="B798" s="196" t="s">
        <v>181</v>
      </c>
      <c r="C798" s="196">
        <v>2014</v>
      </c>
      <c r="D798" s="196">
        <v>30</v>
      </c>
      <c r="E798" s="196" t="s">
        <v>857</v>
      </c>
      <c r="F798" s="196" t="s">
        <v>1341</v>
      </c>
      <c r="G798" s="196">
        <v>1</v>
      </c>
      <c r="H798" s="196">
        <v>1</v>
      </c>
      <c r="I798" s="196">
        <v>660</v>
      </c>
      <c r="J798" s="196">
        <v>5442</v>
      </c>
      <c r="K798" s="196">
        <v>90.96</v>
      </c>
      <c r="L798" s="196">
        <v>0.44</v>
      </c>
      <c r="M798" s="196">
        <v>15563</v>
      </c>
      <c r="N798" s="196">
        <v>1319656</v>
      </c>
      <c r="O798" s="196">
        <v>1463</v>
      </c>
      <c r="P798" s="196" t="s">
        <v>993</v>
      </c>
      <c r="Q798" s="196" t="s">
        <v>923</v>
      </c>
      <c r="R798" s="196" t="s">
        <v>1047</v>
      </c>
      <c r="S798" s="196" t="s">
        <v>844</v>
      </c>
      <c r="T798" s="196" t="s">
        <v>923</v>
      </c>
      <c r="U798" s="196" t="s">
        <v>1048</v>
      </c>
      <c r="V798" s="196" t="s">
        <v>1049</v>
      </c>
      <c r="W798" s="196" t="s">
        <v>1050</v>
      </c>
      <c r="X798" s="196" t="s">
        <v>1051</v>
      </c>
      <c r="Y798" s="196" t="s">
        <v>848</v>
      </c>
    </row>
    <row r="799" spans="1:25">
      <c r="A799" s="196" t="s">
        <v>837</v>
      </c>
      <c r="B799" s="196" t="s">
        <v>181</v>
      </c>
      <c r="C799" s="196">
        <v>2014</v>
      </c>
      <c r="D799" s="196">
        <v>55</v>
      </c>
      <c r="E799" s="196" t="s">
        <v>858</v>
      </c>
      <c r="F799" s="196" t="s">
        <v>1341</v>
      </c>
      <c r="G799" s="196">
        <v>1</v>
      </c>
      <c r="H799" s="196">
        <v>1</v>
      </c>
      <c r="I799" s="196">
        <v>381</v>
      </c>
      <c r="J799" s="196">
        <v>4988</v>
      </c>
      <c r="K799" s="196">
        <v>90.96</v>
      </c>
      <c r="L799" s="196">
        <v>0.44</v>
      </c>
      <c r="M799" s="196">
        <v>15563</v>
      </c>
      <c r="N799" s="196">
        <v>1319656</v>
      </c>
      <c r="O799" s="196">
        <v>1463</v>
      </c>
      <c r="P799" s="196" t="s">
        <v>993</v>
      </c>
      <c r="Q799" s="196" t="s">
        <v>923</v>
      </c>
      <c r="R799" s="196" t="s">
        <v>1047</v>
      </c>
      <c r="S799" s="196" t="s">
        <v>844</v>
      </c>
      <c r="T799" s="196" t="s">
        <v>923</v>
      </c>
      <c r="U799" s="196" t="s">
        <v>1048</v>
      </c>
      <c r="V799" s="196" t="s">
        <v>1049</v>
      </c>
      <c r="W799" s="196" t="s">
        <v>1050</v>
      </c>
      <c r="X799" s="196" t="s">
        <v>1051</v>
      </c>
      <c r="Y799" s="196" t="s">
        <v>848</v>
      </c>
    </row>
    <row r="800" spans="1:25">
      <c r="A800" s="196" t="s">
        <v>837</v>
      </c>
      <c r="B800" s="196" t="s">
        <v>850</v>
      </c>
      <c r="C800" s="196">
        <v>2014</v>
      </c>
      <c r="D800" s="196">
        <v>30</v>
      </c>
      <c r="E800" s="196" t="s">
        <v>861</v>
      </c>
      <c r="F800" s="196" t="s">
        <v>1341</v>
      </c>
      <c r="G800" s="196">
        <v>5</v>
      </c>
      <c r="H800" s="196">
        <v>5</v>
      </c>
      <c r="I800" s="196">
        <v>6363</v>
      </c>
      <c r="J800" s="196">
        <v>138071</v>
      </c>
      <c r="K800" s="196">
        <v>90.96</v>
      </c>
      <c r="L800" s="196">
        <v>0.44</v>
      </c>
      <c r="M800" s="196">
        <v>15563</v>
      </c>
      <c r="N800" s="196">
        <v>1319656</v>
      </c>
      <c r="O800" s="196">
        <v>1463</v>
      </c>
      <c r="P800" s="196" t="s">
        <v>993</v>
      </c>
      <c r="Q800" s="196" t="s">
        <v>923</v>
      </c>
      <c r="R800" s="196" t="s">
        <v>1047</v>
      </c>
      <c r="S800" s="196" t="s">
        <v>844</v>
      </c>
      <c r="T800" s="196" t="s">
        <v>923</v>
      </c>
      <c r="U800" s="196" t="s">
        <v>1048</v>
      </c>
      <c r="V800" s="196" t="s">
        <v>1049</v>
      </c>
      <c r="W800" s="196" t="s">
        <v>1050</v>
      </c>
      <c r="X800" s="196" t="s">
        <v>1051</v>
      </c>
      <c r="Y800" s="196" t="s">
        <v>848</v>
      </c>
    </row>
    <row r="801" spans="1:25">
      <c r="A801" s="196" t="s">
        <v>837</v>
      </c>
      <c r="B801" s="196" t="s">
        <v>850</v>
      </c>
      <c r="C801" s="196">
        <v>2014</v>
      </c>
      <c r="D801" s="196">
        <v>55</v>
      </c>
      <c r="E801" s="196" t="s">
        <v>862</v>
      </c>
      <c r="F801" s="196" t="s">
        <v>1341</v>
      </c>
      <c r="G801" s="196">
        <v>1</v>
      </c>
      <c r="H801" s="196">
        <v>1</v>
      </c>
      <c r="I801" s="196">
        <v>858</v>
      </c>
      <c r="J801" s="196">
        <v>23837</v>
      </c>
      <c r="K801" s="196">
        <v>90.96</v>
      </c>
      <c r="L801" s="196">
        <v>0.44</v>
      </c>
      <c r="M801" s="196">
        <v>15563</v>
      </c>
      <c r="N801" s="196">
        <v>1319656</v>
      </c>
      <c r="O801" s="196">
        <v>1463</v>
      </c>
      <c r="P801" s="196" t="s">
        <v>993</v>
      </c>
      <c r="Q801" s="196" t="s">
        <v>923</v>
      </c>
      <c r="R801" s="196" t="s">
        <v>1047</v>
      </c>
      <c r="S801" s="196" t="s">
        <v>844</v>
      </c>
      <c r="T801" s="196" t="s">
        <v>923</v>
      </c>
      <c r="U801" s="196" t="s">
        <v>1048</v>
      </c>
      <c r="V801" s="196" t="s">
        <v>1049</v>
      </c>
      <c r="W801" s="196" t="s">
        <v>1050</v>
      </c>
      <c r="X801" s="196" t="s">
        <v>1051</v>
      </c>
      <c r="Y801" s="196" t="s">
        <v>848</v>
      </c>
    </row>
    <row r="802" spans="1:25">
      <c r="A802" s="196" t="s">
        <v>837</v>
      </c>
      <c r="B802" s="196" t="s">
        <v>850</v>
      </c>
      <c r="C802" s="196">
        <v>2014</v>
      </c>
      <c r="D802" s="196">
        <v>55</v>
      </c>
      <c r="E802" s="196" t="s">
        <v>863</v>
      </c>
      <c r="F802" s="196" t="s">
        <v>1341</v>
      </c>
      <c r="G802" s="196">
        <v>2</v>
      </c>
      <c r="H802" s="196">
        <v>2</v>
      </c>
      <c r="I802" s="196">
        <v>2880</v>
      </c>
      <c r="J802" s="196">
        <v>21129</v>
      </c>
      <c r="K802" s="196">
        <v>90.96</v>
      </c>
      <c r="L802" s="196">
        <v>0.44</v>
      </c>
      <c r="M802" s="196">
        <v>15563</v>
      </c>
      <c r="N802" s="196">
        <v>1319656</v>
      </c>
      <c r="O802" s="196">
        <v>1463</v>
      </c>
      <c r="P802" s="196" t="s">
        <v>993</v>
      </c>
      <c r="Q802" s="196" t="s">
        <v>923</v>
      </c>
      <c r="R802" s="196" t="s">
        <v>1047</v>
      </c>
      <c r="S802" s="196" t="s">
        <v>844</v>
      </c>
      <c r="T802" s="196" t="s">
        <v>923</v>
      </c>
      <c r="U802" s="196" t="s">
        <v>1048</v>
      </c>
      <c r="V802" s="196" t="s">
        <v>1049</v>
      </c>
      <c r="W802" s="196" t="s">
        <v>1050</v>
      </c>
      <c r="X802" s="196" t="s">
        <v>1051</v>
      </c>
      <c r="Y802" s="196" t="s">
        <v>848</v>
      </c>
    </row>
    <row r="803" spans="1:25">
      <c r="A803" s="196" t="s">
        <v>837</v>
      </c>
      <c r="B803" s="196" t="s">
        <v>850</v>
      </c>
      <c r="C803" s="196">
        <v>2013</v>
      </c>
      <c r="D803" s="196">
        <v>30</v>
      </c>
      <c r="E803" s="196" t="s">
        <v>851</v>
      </c>
      <c r="F803" s="196" t="s">
        <v>1342</v>
      </c>
      <c r="G803" s="196">
        <v>1</v>
      </c>
      <c r="H803" s="196">
        <v>1</v>
      </c>
      <c r="I803" s="196">
        <v>1161</v>
      </c>
      <c r="J803" s="196">
        <v>10492</v>
      </c>
      <c r="K803" s="196">
        <v>56.73</v>
      </c>
      <c r="L803" s="196">
        <v>2.72</v>
      </c>
      <c r="M803" s="196">
        <v>4015</v>
      </c>
      <c r="N803" s="196">
        <v>479442</v>
      </c>
      <c r="O803" s="196">
        <v>629</v>
      </c>
      <c r="P803" s="196" t="s">
        <v>1343</v>
      </c>
      <c r="Q803" s="196" t="s">
        <v>1344</v>
      </c>
      <c r="R803" s="196" t="s">
        <v>1345</v>
      </c>
      <c r="S803" s="196" t="s">
        <v>844</v>
      </c>
      <c r="T803" s="196" t="s">
        <v>923</v>
      </c>
      <c r="U803" s="196" t="s">
        <v>1346</v>
      </c>
      <c r="V803" s="196" t="s">
        <v>1347</v>
      </c>
      <c r="W803" s="196" t="s">
        <v>1348</v>
      </c>
      <c r="X803" s="196" t="s">
        <v>1344</v>
      </c>
      <c r="Y803" s="196" t="s">
        <v>848</v>
      </c>
    </row>
    <row r="804" spans="1:25">
      <c r="A804" s="196" t="s">
        <v>837</v>
      </c>
      <c r="B804" s="196" t="s">
        <v>181</v>
      </c>
      <c r="C804" s="196">
        <v>2013</v>
      </c>
      <c r="D804" s="196">
        <v>80</v>
      </c>
      <c r="E804" s="196" t="s">
        <v>876</v>
      </c>
      <c r="F804" s="196" t="s">
        <v>1342</v>
      </c>
      <c r="G804" s="196">
        <v>1</v>
      </c>
      <c r="H804" s="196">
        <v>1</v>
      </c>
      <c r="I804" s="196">
        <v>1161</v>
      </c>
      <c r="J804" s="196">
        <v>10492</v>
      </c>
      <c r="K804" s="196">
        <v>56.73</v>
      </c>
      <c r="L804" s="196">
        <v>2.72</v>
      </c>
      <c r="M804" s="196">
        <v>4015</v>
      </c>
      <c r="N804" s="196">
        <v>479442</v>
      </c>
      <c r="O804" s="196">
        <v>629</v>
      </c>
      <c r="P804" s="196" t="s">
        <v>1343</v>
      </c>
      <c r="Q804" s="196" t="s">
        <v>1344</v>
      </c>
      <c r="R804" s="196" t="s">
        <v>1345</v>
      </c>
      <c r="S804" s="196" t="s">
        <v>844</v>
      </c>
      <c r="T804" s="196" t="s">
        <v>923</v>
      </c>
      <c r="U804" s="196" t="s">
        <v>1346</v>
      </c>
      <c r="V804" s="196" t="s">
        <v>1347</v>
      </c>
      <c r="W804" s="196" t="s">
        <v>1348</v>
      </c>
      <c r="X804" s="196" t="s">
        <v>1344</v>
      </c>
      <c r="Y804" s="196" t="s">
        <v>848</v>
      </c>
    </row>
    <row r="805" spans="1:25">
      <c r="A805" s="196" t="s">
        <v>837</v>
      </c>
      <c r="B805" s="196" t="s">
        <v>838</v>
      </c>
      <c r="C805" s="196">
        <v>2013</v>
      </c>
      <c r="D805" s="196">
        <v>55</v>
      </c>
      <c r="E805" s="196" t="s">
        <v>849</v>
      </c>
      <c r="F805" s="196" t="s">
        <v>1349</v>
      </c>
      <c r="G805" s="196">
        <v>3</v>
      </c>
      <c r="H805" s="196">
        <v>3</v>
      </c>
      <c r="I805" s="196">
        <v>2508</v>
      </c>
      <c r="J805" s="196">
        <v>24535</v>
      </c>
      <c r="K805" s="196">
        <v>79.06</v>
      </c>
      <c r="L805" s="196">
        <v>1.45</v>
      </c>
      <c r="M805" s="196">
        <v>7471</v>
      </c>
      <c r="N805" s="196">
        <v>1220558</v>
      </c>
      <c r="O805" s="196">
        <v>1410</v>
      </c>
      <c r="P805" s="196" t="s">
        <v>950</v>
      </c>
      <c r="Q805" s="196" t="s">
        <v>1245</v>
      </c>
      <c r="R805" s="196" t="s">
        <v>1246</v>
      </c>
      <c r="S805" s="196" t="s">
        <v>953</v>
      </c>
      <c r="T805" s="196" t="s">
        <v>954</v>
      </c>
      <c r="U805" s="196" t="s">
        <v>1185</v>
      </c>
      <c r="V805" s="196" t="s">
        <v>1186</v>
      </c>
      <c r="W805" s="196" t="s">
        <v>1183</v>
      </c>
      <c r="X805" s="196" t="s">
        <v>1245</v>
      </c>
      <c r="Y805" s="196" t="s">
        <v>1350</v>
      </c>
    </row>
    <row r="806" spans="1:25">
      <c r="A806" s="196" t="s">
        <v>837</v>
      </c>
      <c r="B806" s="196" t="s">
        <v>850</v>
      </c>
      <c r="C806" s="196">
        <v>2013</v>
      </c>
      <c r="D806" s="196">
        <v>30</v>
      </c>
      <c r="E806" s="196" t="s">
        <v>851</v>
      </c>
      <c r="F806" s="196" t="s">
        <v>1349</v>
      </c>
      <c r="G806" s="196">
        <v>1</v>
      </c>
      <c r="H806" s="196">
        <v>1</v>
      </c>
      <c r="I806" s="196">
        <v>1080</v>
      </c>
      <c r="J806" s="196">
        <v>11127</v>
      </c>
      <c r="K806" s="196">
        <v>79.06</v>
      </c>
      <c r="L806" s="196">
        <v>1.45</v>
      </c>
      <c r="M806" s="196">
        <v>7471</v>
      </c>
      <c r="N806" s="196">
        <v>1220558</v>
      </c>
      <c r="O806" s="196">
        <v>1410</v>
      </c>
      <c r="P806" s="196" t="s">
        <v>950</v>
      </c>
      <c r="Q806" s="196" t="s">
        <v>1245</v>
      </c>
      <c r="R806" s="196" t="s">
        <v>1246</v>
      </c>
      <c r="S806" s="196" t="s">
        <v>953</v>
      </c>
      <c r="T806" s="196" t="s">
        <v>954</v>
      </c>
      <c r="U806" s="196" t="s">
        <v>1185</v>
      </c>
      <c r="V806" s="196" t="s">
        <v>1186</v>
      </c>
      <c r="W806" s="196" t="s">
        <v>1183</v>
      </c>
      <c r="X806" s="196" t="s">
        <v>1245</v>
      </c>
      <c r="Y806" s="196" t="s">
        <v>1350</v>
      </c>
    </row>
    <row r="807" spans="1:25">
      <c r="A807" s="196" t="s">
        <v>837</v>
      </c>
      <c r="B807" s="196" t="s">
        <v>850</v>
      </c>
      <c r="C807" s="196">
        <v>2013</v>
      </c>
      <c r="D807" s="196">
        <v>80</v>
      </c>
      <c r="E807" s="196" t="s">
        <v>917</v>
      </c>
      <c r="F807" s="196" t="s">
        <v>1349</v>
      </c>
      <c r="G807" s="196">
        <v>30</v>
      </c>
      <c r="H807" s="196">
        <v>27</v>
      </c>
      <c r="I807" s="196">
        <v>33315</v>
      </c>
      <c r="J807" s="196">
        <v>215384</v>
      </c>
      <c r="K807" s="196">
        <v>79.06</v>
      </c>
      <c r="L807" s="196">
        <v>1.45</v>
      </c>
      <c r="M807" s="196">
        <v>7471</v>
      </c>
      <c r="N807" s="196">
        <v>1220558</v>
      </c>
      <c r="O807" s="196">
        <v>1410</v>
      </c>
      <c r="P807" s="196" t="s">
        <v>950</v>
      </c>
      <c r="Q807" s="196" t="s">
        <v>1245</v>
      </c>
      <c r="R807" s="196" t="s">
        <v>1246</v>
      </c>
      <c r="S807" s="196" t="s">
        <v>953</v>
      </c>
      <c r="T807" s="196" t="s">
        <v>954</v>
      </c>
      <c r="U807" s="196" t="s">
        <v>1185</v>
      </c>
      <c r="V807" s="196" t="s">
        <v>1186</v>
      </c>
      <c r="W807" s="196" t="s">
        <v>1183</v>
      </c>
      <c r="X807" s="196" t="s">
        <v>1245</v>
      </c>
      <c r="Y807" s="196" t="s">
        <v>1350</v>
      </c>
    </row>
    <row r="808" spans="1:25">
      <c r="A808" s="196" t="s">
        <v>837</v>
      </c>
      <c r="B808" s="196" t="s">
        <v>838</v>
      </c>
      <c r="C808" s="196">
        <v>2014</v>
      </c>
      <c r="D808" s="196">
        <v>80</v>
      </c>
      <c r="E808" s="196" t="s">
        <v>853</v>
      </c>
      <c r="F808" s="196" t="s">
        <v>1349</v>
      </c>
      <c r="G808" s="196">
        <v>999</v>
      </c>
      <c r="H808" s="196">
        <v>159</v>
      </c>
      <c r="I808" s="196">
        <v>896107</v>
      </c>
      <c r="J808" s="196">
        <v>1108742</v>
      </c>
      <c r="K808" s="196">
        <v>79.06</v>
      </c>
      <c r="L808" s="196">
        <v>1.45</v>
      </c>
      <c r="M808" s="196">
        <v>7471</v>
      </c>
      <c r="N808" s="196">
        <v>1220558</v>
      </c>
      <c r="O808" s="196">
        <v>1410</v>
      </c>
      <c r="P808" s="196" t="s">
        <v>950</v>
      </c>
      <c r="Q808" s="196" t="s">
        <v>1245</v>
      </c>
      <c r="R808" s="196" t="s">
        <v>1246</v>
      </c>
      <c r="S808" s="196" t="s">
        <v>953</v>
      </c>
      <c r="T808" s="196" t="s">
        <v>954</v>
      </c>
      <c r="U808" s="196" t="s">
        <v>1185</v>
      </c>
      <c r="V808" s="196" t="s">
        <v>1186</v>
      </c>
      <c r="W808" s="196" t="s">
        <v>1183</v>
      </c>
      <c r="X808" s="196" t="s">
        <v>1245</v>
      </c>
      <c r="Y808" s="196" t="s">
        <v>1350</v>
      </c>
    </row>
    <row r="809" spans="1:25">
      <c r="A809" s="196" t="s">
        <v>837</v>
      </c>
      <c r="B809" s="196" t="s">
        <v>181</v>
      </c>
      <c r="C809" s="196">
        <v>2014</v>
      </c>
      <c r="D809" s="196">
        <v>80</v>
      </c>
      <c r="E809" s="196" t="s">
        <v>874</v>
      </c>
      <c r="F809" s="196" t="s">
        <v>1349</v>
      </c>
      <c r="G809" s="196">
        <v>543</v>
      </c>
      <c r="H809" s="196">
        <v>140</v>
      </c>
      <c r="I809" s="196">
        <v>514804</v>
      </c>
      <c r="J809" s="196">
        <v>986221</v>
      </c>
      <c r="K809" s="196">
        <v>79.06</v>
      </c>
      <c r="L809" s="196">
        <v>1.45</v>
      </c>
      <c r="M809" s="196">
        <v>7471</v>
      </c>
      <c r="N809" s="196">
        <v>1220558</v>
      </c>
      <c r="O809" s="196">
        <v>1410</v>
      </c>
      <c r="P809" s="196" t="s">
        <v>950</v>
      </c>
      <c r="Q809" s="196" t="s">
        <v>1245</v>
      </c>
      <c r="R809" s="196" t="s">
        <v>1246</v>
      </c>
      <c r="S809" s="196" t="s">
        <v>953</v>
      </c>
      <c r="T809" s="196" t="s">
        <v>954</v>
      </c>
      <c r="U809" s="196" t="s">
        <v>1185</v>
      </c>
      <c r="V809" s="196" t="s">
        <v>1186</v>
      </c>
      <c r="W809" s="196" t="s">
        <v>1183</v>
      </c>
      <c r="X809" s="196" t="s">
        <v>1245</v>
      </c>
      <c r="Y809" s="196" t="s">
        <v>1350</v>
      </c>
    </row>
    <row r="810" spans="1:25">
      <c r="A810" s="196" t="s">
        <v>837</v>
      </c>
      <c r="B810" s="196" t="s">
        <v>850</v>
      </c>
      <c r="C810" s="196">
        <v>2014</v>
      </c>
      <c r="D810" s="196">
        <v>80</v>
      </c>
      <c r="E810" s="196" t="s">
        <v>918</v>
      </c>
      <c r="F810" s="196" t="s">
        <v>1349</v>
      </c>
      <c r="G810" s="196">
        <v>1114</v>
      </c>
      <c r="H810" s="196">
        <v>160</v>
      </c>
      <c r="I810" s="196">
        <v>962573</v>
      </c>
      <c r="J810" s="196">
        <v>1101757</v>
      </c>
      <c r="K810" s="196">
        <v>79.06</v>
      </c>
      <c r="L810" s="196">
        <v>1.45</v>
      </c>
      <c r="M810" s="196">
        <v>7471</v>
      </c>
      <c r="N810" s="196">
        <v>1220558</v>
      </c>
      <c r="O810" s="196">
        <v>1410</v>
      </c>
      <c r="P810" s="196" t="s">
        <v>950</v>
      </c>
      <c r="Q810" s="196" t="s">
        <v>1245</v>
      </c>
      <c r="R810" s="196" t="s">
        <v>1246</v>
      </c>
      <c r="S810" s="196" t="s">
        <v>953</v>
      </c>
      <c r="T810" s="196" t="s">
        <v>954</v>
      </c>
      <c r="U810" s="196" t="s">
        <v>1185</v>
      </c>
      <c r="V810" s="196" t="s">
        <v>1186</v>
      </c>
      <c r="W810" s="196" t="s">
        <v>1183</v>
      </c>
      <c r="X810" s="196" t="s">
        <v>1245</v>
      </c>
      <c r="Y810" s="196" t="s">
        <v>1350</v>
      </c>
    </row>
    <row r="811" spans="1:25">
      <c r="A811" s="196" t="s">
        <v>837</v>
      </c>
      <c r="B811" s="196" t="s">
        <v>850</v>
      </c>
      <c r="C811" s="196">
        <v>2014</v>
      </c>
      <c r="D811" s="196">
        <v>80</v>
      </c>
      <c r="E811" s="196" t="s">
        <v>875</v>
      </c>
      <c r="F811" s="196" t="s">
        <v>1349</v>
      </c>
      <c r="G811" s="196">
        <v>53</v>
      </c>
      <c r="H811" s="196">
        <v>40</v>
      </c>
      <c r="I811" s="196">
        <v>50600</v>
      </c>
      <c r="J811" s="196">
        <v>305526</v>
      </c>
      <c r="K811" s="196">
        <v>79.06</v>
      </c>
      <c r="L811" s="196">
        <v>1.45</v>
      </c>
      <c r="M811" s="196">
        <v>7471</v>
      </c>
      <c r="N811" s="196">
        <v>1220558</v>
      </c>
      <c r="O811" s="196">
        <v>1410</v>
      </c>
      <c r="P811" s="196" t="s">
        <v>950</v>
      </c>
      <c r="Q811" s="196" t="s">
        <v>1245</v>
      </c>
      <c r="R811" s="196" t="s">
        <v>1246</v>
      </c>
      <c r="S811" s="196" t="s">
        <v>953</v>
      </c>
      <c r="T811" s="196" t="s">
        <v>954</v>
      </c>
      <c r="U811" s="196" t="s">
        <v>1185</v>
      </c>
      <c r="V811" s="196" t="s">
        <v>1186</v>
      </c>
      <c r="W811" s="196" t="s">
        <v>1183</v>
      </c>
      <c r="X811" s="196" t="s">
        <v>1245</v>
      </c>
      <c r="Y811" s="196" t="s">
        <v>1350</v>
      </c>
    </row>
    <row r="812" spans="1:25">
      <c r="A812" s="196" t="s">
        <v>837</v>
      </c>
      <c r="B812" s="196" t="s">
        <v>838</v>
      </c>
      <c r="C812" s="196">
        <v>2013</v>
      </c>
      <c r="D812" s="196">
        <v>80</v>
      </c>
      <c r="E812" s="196" t="s">
        <v>908</v>
      </c>
      <c r="F812" s="196" t="s">
        <v>1349</v>
      </c>
      <c r="G812" s="196">
        <v>18</v>
      </c>
      <c r="H812" s="196">
        <v>18</v>
      </c>
      <c r="I812" s="196">
        <v>20775</v>
      </c>
      <c r="J812" s="196">
        <v>153907</v>
      </c>
      <c r="K812" s="196">
        <v>79.06</v>
      </c>
      <c r="L812" s="196">
        <v>1.45</v>
      </c>
      <c r="M812" s="196">
        <v>7471</v>
      </c>
      <c r="N812" s="196">
        <v>1220558</v>
      </c>
      <c r="O812" s="196">
        <v>1410</v>
      </c>
      <c r="P812" s="196" t="s">
        <v>950</v>
      </c>
      <c r="Q812" s="196" t="s">
        <v>1245</v>
      </c>
      <c r="R812" s="196" t="s">
        <v>1246</v>
      </c>
      <c r="S812" s="196" t="s">
        <v>953</v>
      </c>
      <c r="T812" s="196" t="s">
        <v>954</v>
      </c>
      <c r="U812" s="196" t="s">
        <v>1185</v>
      </c>
      <c r="V812" s="196" t="s">
        <v>1186</v>
      </c>
      <c r="W812" s="196" t="s">
        <v>1183</v>
      </c>
      <c r="X812" s="196" t="s">
        <v>1245</v>
      </c>
      <c r="Y812" s="196" t="s">
        <v>1350</v>
      </c>
    </row>
    <row r="813" spans="1:25">
      <c r="A813" s="196" t="s">
        <v>837</v>
      </c>
      <c r="B813" s="196" t="s">
        <v>181</v>
      </c>
      <c r="C813" s="196">
        <v>2013</v>
      </c>
      <c r="D813" s="196">
        <v>80</v>
      </c>
      <c r="E813" s="196" t="s">
        <v>876</v>
      </c>
      <c r="F813" s="196" t="s">
        <v>1349</v>
      </c>
      <c r="G813" s="196">
        <v>35</v>
      </c>
      <c r="H813" s="196">
        <v>30</v>
      </c>
      <c r="I813" s="196">
        <v>31853</v>
      </c>
      <c r="J813" s="196">
        <v>241323</v>
      </c>
      <c r="K813" s="196">
        <v>79.06</v>
      </c>
      <c r="L813" s="196">
        <v>1.45</v>
      </c>
      <c r="M813" s="196">
        <v>7471</v>
      </c>
      <c r="N813" s="196">
        <v>1220558</v>
      </c>
      <c r="O813" s="196">
        <v>1410</v>
      </c>
      <c r="P813" s="196" t="s">
        <v>950</v>
      </c>
      <c r="Q813" s="196" t="s">
        <v>1245</v>
      </c>
      <c r="R813" s="196" t="s">
        <v>1246</v>
      </c>
      <c r="S813" s="196" t="s">
        <v>953</v>
      </c>
      <c r="T813" s="196" t="s">
        <v>954</v>
      </c>
      <c r="U813" s="196" t="s">
        <v>1185</v>
      </c>
      <c r="V813" s="196" t="s">
        <v>1186</v>
      </c>
      <c r="W813" s="196" t="s">
        <v>1183</v>
      </c>
      <c r="X813" s="196" t="s">
        <v>1245</v>
      </c>
      <c r="Y813" s="196" t="s">
        <v>1350</v>
      </c>
    </row>
    <row r="814" spans="1:25">
      <c r="A814" s="196" t="s">
        <v>837</v>
      </c>
      <c r="B814" s="196" t="s">
        <v>838</v>
      </c>
      <c r="C814" s="196">
        <v>2014</v>
      </c>
      <c r="D814" s="196">
        <v>55</v>
      </c>
      <c r="E814" s="196" t="s">
        <v>854</v>
      </c>
      <c r="F814" s="196" t="s">
        <v>1349</v>
      </c>
      <c r="G814" s="196">
        <v>2</v>
      </c>
      <c r="H814" s="196">
        <v>2</v>
      </c>
      <c r="I814" s="196">
        <v>2595</v>
      </c>
      <c r="J814" s="196">
        <v>10625</v>
      </c>
      <c r="K814" s="196">
        <v>79.06</v>
      </c>
      <c r="L814" s="196">
        <v>1.45</v>
      </c>
      <c r="M814" s="196">
        <v>7471</v>
      </c>
      <c r="N814" s="196">
        <v>1220558</v>
      </c>
      <c r="O814" s="196">
        <v>1410</v>
      </c>
      <c r="P814" s="196" t="s">
        <v>950</v>
      </c>
      <c r="Q814" s="196" t="s">
        <v>1245</v>
      </c>
      <c r="R814" s="196" t="s">
        <v>1246</v>
      </c>
      <c r="S814" s="196" t="s">
        <v>953</v>
      </c>
      <c r="T814" s="196" t="s">
        <v>954</v>
      </c>
      <c r="U814" s="196" t="s">
        <v>1185</v>
      </c>
      <c r="V814" s="196" t="s">
        <v>1186</v>
      </c>
      <c r="W814" s="196" t="s">
        <v>1183</v>
      </c>
      <c r="X814" s="196" t="s">
        <v>1245</v>
      </c>
      <c r="Y814" s="196" t="s">
        <v>1350</v>
      </c>
    </row>
    <row r="815" spans="1:25">
      <c r="A815" s="196" t="s">
        <v>837</v>
      </c>
      <c r="B815" s="196" t="s">
        <v>181</v>
      </c>
      <c r="C815" s="196">
        <v>2014</v>
      </c>
      <c r="D815" s="196">
        <v>30</v>
      </c>
      <c r="E815" s="196" t="s">
        <v>856</v>
      </c>
      <c r="F815" s="196" t="s">
        <v>1349</v>
      </c>
      <c r="G815" s="196">
        <v>12</v>
      </c>
      <c r="H815" s="196">
        <v>10</v>
      </c>
      <c r="I815" s="196">
        <v>11049</v>
      </c>
      <c r="J815" s="196">
        <v>91977</v>
      </c>
      <c r="K815" s="196">
        <v>79.06</v>
      </c>
      <c r="L815" s="196">
        <v>1.45</v>
      </c>
      <c r="M815" s="196">
        <v>7471</v>
      </c>
      <c r="N815" s="196">
        <v>1220558</v>
      </c>
      <c r="O815" s="196">
        <v>1410</v>
      </c>
      <c r="P815" s="196" t="s">
        <v>950</v>
      </c>
      <c r="Q815" s="196" t="s">
        <v>1245</v>
      </c>
      <c r="R815" s="196" t="s">
        <v>1246</v>
      </c>
      <c r="S815" s="196" t="s">
        <v>953</v>
      </c>
      <c r="T815" s="196" t="s">
        <v>954</v>
      </c>
      <c r="U815" s="196" t="s">
        <v>1185</v>
      </c>
      <c r="V815" s="196" t="s">
        <v>1186</v>
      </c>
      <c r="W815" s="196" t="s">
        <v>1183</v>
      </c>
      <c r="X815" s="196" t="s">
        <v>1245</v>
      </c>
      <c r="Y815" s="196" t="s">
        <v>1350</v>
      </c>
    </row>
    <row r="816" spans="1:25">
      <c r="A816" s="196" t="s">
        <v>837</v>
      </c>
      <c r="B816" s="196" t="s">
        <v>181</v>
      </c>
      <c r="C816" s="196">
        <v>2014</v>
      </c>
      <c r="D816" s="196">
        <v>55</v>
      </c>
      <c r="E816" s="196" t="s">
        <v>858</v>
      </c>
      <c r="F816" s="196" t="s">
        <v>1349</v>
      </c>
      <c r="G816" s="196">
        <v>5</v>
      </c>
      <c r="H816" s="196">
        <v>3</v>
      </c>
      <c r="I816" s="196">
        <v>5523</v>
      </c>
      <c r="J816" s="196">
        <v>18075</v>
      </c>
      <c r="K816" s="196">
        <v>79.06</v>
      </c>
      <c r="L816" s="196">
        <v>1.45</v>
      </c>
      <c r="M816" s="196">
        <v>7471</v>
      </c>
      <c r="N816" s="196">
        <v>1220558</v>
      </c>
      <c r="O816" s="196">
        <v>1410</v>
      </c>
      <c r="P816" s="196" t="s">
        <v>950</v>
      </c>
      <c r="Q816" s="196" t="s">
        <v>1245</v>
      </c>
      <c r="R816" s="196" t="s">
        <v>1246</v>
      </c>
      <c r="S816" s="196" t="s">
        <v>953</v>
      </c>
      <c r="T816" s="196" t="s">
        <v>954</v>
      </c>
      <c r="U816" s="196" t="s">
        <v>1185</v>
      </c>
      <c r="V816" s="196" t="s">
        <v>1186</v>
      </c>
      <c r="W816" s="196" t="s">
        <v>1183</v>
      </c>
      <c r="X816" s="196" t="s">
        <v>1245</v>
      </c>
      <c r="Y816" s="196" t="s">
        <v>1350</v>
      </c>
    </row>
    <row r="817" spans="1:25">
      <c r="A817" s="196" t="s">
        <v>837</v>
      </c>
      <c r="B817" s="196" t="s">
        <v>850</v>
      </c>
      <c r="C817" s="196">
        <v>2014</v>
      </c>
      <c r="D817" s="196">
        <v>30</v>
      </c>
      <c r="E817" s="196" t="s">
        <v>860</v>
      </c>
      <c r="F817" s="196" t="s">
        <v>1349</v>
      </c>
      <c r="G817" s="196">
        <v>4</v>
      </c>
      <c r="H817" s="196">
        <v>4</v>
      </c>
      <c r="I817" s="196">
        <v>2661</v>
      </c>
      <c r="J817" s="196">
        <v>30895</v>
      </c>
      <c r="K817" s="196">
        <v>79.06</v>
      </c>
      <c r="L817" s="196">
        <v>1.45</v>
      </c>
      <c r="M817" s="196">
        <v>7471</v>
      </c>
      <c r="N817" s="196">
        <v>1220558</v>
      </c>
      <c r="O817" s="196">
        <v>1410</v>
      </c>
      <c r="P817" s="196" t="s">
        <v>950</v>
      </c>
      <c r="Q817" s="196" t="s">
        <v>1245</v>
      </c>
      <c r="R817" s="196" t="s">
        <v>1246</v>
      </c>
      <c r="S817" s="196" t="s">
        <v>953</v>
      </c>
      <c r="T817" s="196" t="s">
        <v>954</v>
      </c>
      <c r="U817" s="196" t="s">
        <v>1185</v>
      </c>
      <c r="V817" s="196" t="s">
        <v>1186</v>
      </c>
      <c r="W817" s="196" t="s">
        <v>1183</v>
      </c>
      <c r="X817" s="196" t="s">
        <v>1245</v>
      </c>
      <c r="Y817" s="196" t="s">
        <v>1350</v>
      </c>
    </row>
    <row r="818" spans="1:25">
      <c r="A818" s="196" t="s">
        <v>837</v>
      </c>
      <c r="B818" s="196" t="s">
        <v>850</v>
      </c>
      <c r="C818" s="196">
        <v>2014</v>
      </c>
      <c r="D818" s="196">
        <v>30</v>
      </c>
      <c r="E818" s="196" t="s">
        <v>861</v>
      </c>
      <c r="F818" s="196" t="s">
        <v>1349</v>
      </c>
      <c r="G818" s="196">
        <v>1</v>
      </c>
      <c r="H818" s="196">
        <v>1</v>
      </c>
      <c r="I818" s="196">
        <v>1269</v>
      </c>
      <c r="J818" s="196">
        <v>14000</v>
      </c>
      <c r="K818" s="196">
        <v>79.06</v>
      </c>
      <c r="L818" s="196">
        <v>1.45</v>
      </c>
      <c r="M818" s="196">
        <v>7471</v>
      </c>
      <c r="N818" s="196">
        <v>1220558</v>
      </c>
      <c r="O818" s="196">
        <v>1410</v>
      </c>
      <c r="P818" s="196" t="s">
        <v>950</v>
      </c>
      <c r="Q818" s="196" t="s">
        <v>1245</v>
      </c>
      <c r="R818" s="196" t="s">
        <v>1246</v>
      </c>
      <c r="S818" s="196" t="s">
        <v>953</v>
      </c>
      <c r="T818" s="196" t="s">
        <v>954</v>
      </c>
      <c r="U818" s="196" t="s">
        <v>1185</v>
      </c>
      <c r="V818" s="196" t="s">
        <v>1186</v>
      </c>
      <c r="W818" s="196" t="s">
        <v>1183</v>
      </c>
      <c r="X818" s="196" t="s">
        <v>1245</v>
      </c>
      <c r="Y818" s="196" t="s">
        <v>1350</v>
      </c>
    </row>
    <row r="819" spans="1:25">
      <c r="A819" s="196" t="s">
        <v>837</v>
      </c>
      <c r="B819" s="196" t="s">
        <v>850</v>
      </c>
      <c r="C819" s="196">
        <v>2014</v>
      </c>
      <c r="D819" s="196">
        <v>55</v>
      </c>
      <c r="E819" s="196" t="s">
        <v>862</v>
      </c>
      <c r="F819" s="196" t="s">
        <v>1349</v>
      </c>
      <c r="G819" s="196">
        <v>3</v>
      </c>
      <c r="H819" s="196">
        <v>3</v>
      </c>
      <c r="I819" s="196">
        <v>2187</v>
      </c>
      <c r="J819" s="196">
        <v>33403</v>
      </c>
      <c r="K819" s="196">
        <v>79.06</v>
      </c>
      <c r="L819" s="196">
        <v>1.45</v>
      </c>
      <c r="M819" s="196">
        <v>7471</v>
      </c>
      <c r="N819" s="196">
        <v>1220558</v>
      </c>
      <c r="O819" s="196">
        <v>1410</v>
      </c>
      <c r="P819" s="196" t="s">
        <v>950</v>
      </c>
      <c r="Q819" s="196" t="s">
        <v>1245</v>
      </c>
      <c r="R819" s="196" t="s">
        <v>1246</v>
      </c>
      <c r="S819" s="196" t="s">
        <v>953</v>
      </c>
      <c r="T819" s="196" t="s">
        <v>954</v>
      </c>
      <c r="U819" s="196" t="s">
        <v>1185</v>
      </c>
      <c r="V819" s="196" t="s">
        <v>1186</v>
      </c>
      <c r="W819" s="196" t="s">
        <v>1183</v>
      </c>
      <c r="X819" s="196" t="s">
        <v>1245</v>
      </c>
      <c r="Y819" s="196" t="s">
        <v>1350</v>
      </c>
    </row>
    <row r="820" spans="1:25">
      <c r="A820" s="196" t="s">
        <v>837</v>
      </c>
      <c r="B820" s="196" t="s">
        <v>850</v>
      </c>
      <c r="C820" s="196">
        <v>2014</v>
      </c>
      <c r="D820" s="196">
        <v>55</v>
      </c>
      <c r="E820" s="196" t="s">
        <v>863</v>
      </c>
      <c r="F820" s="196" t="s">
        <v>1349</v>
      </c>
      <c r="G820" s="196">
        <v>1</v>
      </c>
      <c r="H820" s="196">
        <v>1</v>
      </c>
      <c r="I820" s="196">
        <v>717</v>
      </c>
      <c r="J820" s="196">
        <v>3932</v>
      </c>
      <c r="K820" s="196">
        <v>79.06</v>
      </c>
      <c r="L820" s="196">
        <v>1.45</v>
      </c>
      <c r="M820" s="196">
        <v>7471</v>
      </c>
      <c r="N820" s="196">
        <v>1220558</v>
      </c>
      <c r="O820" s="196">
        <v>1410</v>
      </c>
      <c r="P820" s="196" t="s">
        <v>950</v>
      </c>
      <c r="Q820" s="196" t="s">
        <v>1245</v>
      </c>
      <c r="R820" s="196" t="s">
        <v>1246</v>
      </c>
      <c r="S820" s="196" t="s">
        <v>953</v>
      </c>
      <c r="T820" s="196" t="s">
        <v>954</v>
      </c>
      <c r="U820" s="196" t="s">
        <v>1185</v>
      </c>
      <c r="V820" s="196" t="s">
        <v>1186</v>
      </c>
      <c r="W820" s="196" t="s">
        <v>1183</v>
      </c>
      <c r="X820" s="196" t="s">
        <v>1245</v>
      </c>
      <c r="Y820" s="196" t="s">
        <v>1350</v>
      </c>
    </row>
    <row r="821" spans="1:25">
      <c r="A821" s="196" t="s">
        <v>837</v>
      </c>
      <c r="B821" s="196" t="s">
        <v>850</v>
      </c>
      <c r="C821" s="196">
        <v>2013</v>
      </c>
      <c r="D821" s="196">
        <v>30</v>
      </c>
      <c r="E821" s="196" t="s">
        <v>851</v>
      </c>
      <c r="F821" s="196" t="s">
        <v>1351</v>
      </c>
      <c r="G821" s="196">
        <v>1</v>
      </c>
      <c r="H821" s="196">
        <v>1</v>
      </c>
      <c r="I821" s="196">
        <v>228</v>
      </c>
      <c r="J821" s="196">
        <v>21728</v>
      </c>
      <c r="K821" s="196">
        <v>66.459999999999994</v>
      </c>
      <c r="L821" s="196">
        <v>1.96</v>
      </c>
      <c r="M821" s="196">
        <v>8717</v>
      </c>
      <c r="N821" s="196">
        <v>1649944</v>
      </c>
      <c r="O821" s="196">
        <v>1613</v>
      </c>
      <c r="P821" s="196" t="s">
        <v>1041</v>
      </c>
      <c r="Q821" s="196" t="s">
        <v>1042</v>
      </c>
      <c r="R821" s="196" t="s">
        <v>1043</v>
      </c>
      <c r="S821" s="196" t="s">
        <v>844</v>
      </c>
      <c r="T821" s="196" t="s">
        <v>913</v>
      </c>
      <c r="U821" s="196" t="s">
        <v>1044</v>
      </c>
      <c r="V821" s="196" t="s">
        <v>1041</v>
      </c>
      <c r="W821" s="196" t="s">
        <v>1042</v>
      </c>
      <c r="X821" s="196" t="s">
        <v>1352</v>
      </c>
      <c r="Y821" s="196" t="s">
        <v>848</v>
      </c>
    </row>
    <row r="822" spans="1:25">
      <c r="A822" s="196" t="s">
        <v>837</v>
      </c>
      <c r="B822" s="196" t="s">
        <v>181</v>
      </c>
      <c r="C822" s="196">
        <v>2013</v>
      </c>
      <c r="D822" s="196">
        <v>80</v>
      </c>
      <c r="E822" s="196" t="s">
        <v>876</v>
      </c>
      <c r="F822" s="196" t="s">
        <v>1351</v>
      </c>
      <c r="G822" s="196">
        <v>1</v>
      </c>
      <c r="H822" s="196">
        <v>1</v>
      </c>
      <c r="I822" s="196">
        <v>1197</v>
      </c>
      <c r="J822" s="196">
        <v>2716</v>
      </c>
      <c r="K822" s="196">
        <v>66.459999999999994</v>
      </c>
      <c r="L822" s="196">
        <v>1.96</v>
      </c>
      <c r="M822" s="196">
        <v>8717</v>
      </c>
      <c r="N822" s="196">
        <v>1649944</v>
      </c>
      <c r="O822" s="196">
        <v>1613</v>
      </c>
      <c r="P822" s="196" t="s">
        <v>1041</v>
      </c>
      <c r="Q822" s="196" t="s">
        <v>1042</v>
      </c>
      <c r="R822" s="196" t="s">
        <v>1043</v>
      </c>
      <c r="S822" s="196" t="s">
        <v>844</v>
      </c>
      <c r="T822" s="196" t="s">
        <v>913</v>
      </c>
      <c r="U822" s="196" t="s">
        <v>1044</v>
      </c>
      <c r="V822" s="196" t="s">
        <v>1041</v>
      </c>
      <c r="W822" s="196" t="s">
        <v>1042</v>
      </c>
      <c r="X822" s="196" t="s">
        <v>1352</v>
      </c>
      <c r="Y822" s="196" t="s">
        <v>848</v>
      </c>
    </row>
    <row r="823" spans="1:25">
      <c r="A823" s="196" t="s">
        <v>837</v>
      </c>
      <c r="B823" s="196" t="s">
        <v>838</v>
      </c>
      <c r="C823" s="196">
        <v>2013</v>
      </c>
      <c r="D823" s="196">
        <v>30</v>
      </c>
      <c r="E823" s="196" t="s">
        <v>839</v>
      </c>
      <c r="F823" s="196" t="s">
        <v>1353</v>
      </c>
      <c r="G823" s="196">
        <v>2</v>
      </c>
      <c r="H823" s="196">
        <v>2</v>
      </c>
      <c r="I823" s="196">
        <v>8685</v>
      </c>
      <c r="J823" s="196">
        <v>31309</v>
      </c>
      <c r="K823" s="196">
        <v>91.24</v>
      </c>
      <c r="L823" s="196">
        <v>5.21</v>
      </c>
      <c r="M823" s="196">
        <v>13170</v>
      </c>
      <c r="N823" s="196">
        <v>3103433</v>
      </c>
      <c r="O823" s="196">
        <v>2697</v>
      </c>
      <c r="P823" s="196" t="s">
        <v>1354</v>
      </c>
      <c r="Q823" s="196" t="s">
        <v>1355</v>
      </c>
      <c r="R823" s="196" t="s">
        <v>1356</v>
      </c>
      <c r="S823" s="196" t="s">
        <v>844</v>
      </c>
      <c r="T823" s="196" t="s">
        <v>923</v>
      </c>
      <c r="U823" s="196" t="s">
        <v>1357</v>
      </c>
      <c r="V823" s="196" t="s">
        <v>1358</v>
      </c>
      <c r="W823" s="196" t="s">
        <v>1354</v>
      </c>
      <c r="X823" s="196" t="s">
        <v>1355</v>
      </c>
      <c r="Y823" s="196" t="s">
        <v>848</v>
      </c>
    </row>
    <row r="824" spans="1:25">
      <c r="A824" s="196" t="s">
        <v>837</v>
      </c>
      <c r="B824" s="196" t="s">
        <v>838</v>
      </c>
      <c r="C824" s="196">
        <v>2013</v>
      </c>
      <c r="D824" s="196">
        <v>55</v>
      </c>
      <c r="E824" s="196" t="s">
        <v>849</v>
      </c>
      <c r="F824" s="196" t="s">
        <v>1353</v>
      </c>
      <c r="G824" s="196">
        <v>1</v>
      </c>
      <c r="H824" s="196">
        <v>1</v>
      </c>
      <c r="I824" s="196">
        <v>75</v>
      </c>
      <c r="J824" s="196">
        <v>8729</v>
      </c>
      <c r="K824" s="196">
        <v>91.24</v>
      </c>
      <c r="L824" s="196">
        <v>5.21</v>
      </c>
      <c r="M824" s="196">
        <v>13170</v>
      </c>
      <c r="N824" s="196">
        <v>3103433</v>
      </c>
      <c r="O824" s="196">
        <v>2697</v>
      </c>
      <c r="P824" s="196" t="s">
        <v>1354</v>
      </c>
      <c r="Q824" s="196" t="s">
        <v>1355</v>
      </c>
      <c r="R824" s="196" t="s">
        <v>1356</v>
      </c>
      <c r="S824" s="196" t="s">
        <v>844</v>
      </c>
      <c r="T824" s="196" t="s">
        <v>923</v>
      </c>
      <c r="U824" s="196" t="s">
        <v>1357</v>
      </c>
      <c r="V824" s="196" t="s">
        <v>1358</v>
      </c>
      <c r="W824" s="196" t="s">
        <v>1354</v>
      </c>
      <c r="X824" s="196" t="s">
        <v>1355</v>
      </c>
      <c r="Y824" s="196" t="s">
        <v>848</v>
      </c>
    </row>
    <row r="825" spans="1:25">
      <c r="A825" s="196" t="s">
        <v>837</v>
      </c>
      <c r="B825" s="196" t="s">
        <v>850</v>
      </c>
      <c r="C825" s="196">
        <v>2013</v>
      </c>
      <c r="D825" s="196">
        <v>30</v>
      </c>
      <c r="E825" s="196" t="s">
        <v>851</v>
      </c>
      <c r="F825" s="196" t="s">
        <v>1353</v>
      </c>
      <c r="G825" s="196">
        <v>7</v>
      </c>
      <c r="H825" s="196">
        <v>7</v>
      </c>
      <c r="I825" s="196">
        <v>8130</v>
      </c>
      <c r="J825" s="196">
        <v>117827</v>
      </c>
      <c r="K825" s="196">
        <v>91.24</v>
      </c>
      <c r="L825" s="196">
        <v>5.21</v>
      </c>
      <c r="M825" s="196">
        <v>13170</v>
      </c>
      <c r="N825" s="196">
        <v>3103433</v>
      </c>
      <c r="O825" s="196">
        <v>2697</v>
      </c>
      <c r="P825" s="196" t="s">
        <v>1354</v>
      </c>
      <c r="Q825" s="196" t="s">
        <v>1355</v>
      </c>
      <c r="R825" s="196" t="s">
        <v>1356</v>
      </c>
      <c r="S825" s="196" t="s">
        <v>844</v>
      </c>
      <c r="T825" s="196" t="s">
        <v>923</v>
      </c>
      <c r="U825" s="196" t="s">
        <v>1357</v>
      </c>
      <c r="V825" s="196" t="s">
        <v>1358</v>
      </c>
      <c r="W825" s="196" t="s">
        <v>1354</v>
      </c>
      <c r="X825" s="196" t="s">
        <v>1355</v>
      </c>
      <c r="Y825" s="196" t="s">
        <v>848</v>
      </c>
    </row>
    <row r="826" spans="1:25">
      <c r="A826" s="196" t="s">
        <v>837</v>
      </c>
      <c r="B826" s="196" t="s">
        <v>850</v>
      </c>
      <c r="C826" s="196">
        <v>2013</v>
      </c>
      <c r="D826" s="196">
        <v>55</v>
      </c>
      <c r="E826" s="196" t="s">
        <v>852</v>
      </c>
      <c r="F826" s="196" t="s">
        <v>1353</v>
      </c>
      <c r="G826" s="196">
        <v>2</v>
      </c>
      <c r="H826" s="196">
        <v>2</v>
      </c>
      <c r="I826" s="196">
        <v>3801</v>
      </c>
      <c r="J826" s="196">
        <v>18088</v>
      </c>
      <c r="K826" s="196">
        <v>91.24</v>
      </c>
      <c r="L826" s="196">
        <v>5.21</v>
      </c>
      <c r="M826" s="196">
        <v>13170</v>
      </c>
      <c r="N826" s="196">
        <v>3103433</v>
      </c>
      <c r="O826" s="196">
        <v>2697</v>
      </c>
      <c r="P826" s="196" t="s">
        <v>1354</v>
      </c>
      <c r="Q826" s="196" t="s">
        <v>1355</v>
      </c>
      <c r="R826" s="196" t="s">
        <v>1356</v>
      </c>
      <c r="S826" s="196" t="s">
        <v>844</v>
      </c>
      <c r="T826" s="196" t="s">
        <v>923</v>
      </c>
      <c r="U826" s="196" t="s">
        <v>1357</v>
      </c>
      <c r="V826" s="196" t="s">
        <v>1358</v>
      </c>
      <c r="W826" s="196" t="s">
        <v>1354</v>
      </c>
      <c r="X826" s="196" t="s">
        <v>1355</v>
      </c>
      <c r="Y826" s="196" t="s">
        <v>848</v>
      </c>
    </row>
    <row r="827" spans="1:25">
      <c r="A827" s="196" t="s">
        <v>837</v>
      </c>
      <c r="B827" s="196" t="s">
        <v>850</v>
      </c>
      <c r="C827" s="196">
        <v>2014</v>
      </c>
      <c r="D827" s="196">
        <v>80</v>
      </c>
      <c r="E827" s="196" t="s">
        <v>875</v>
      </c>
      <c r="F827" s="196" t="s">
        <v>1353</v>
      </c>
      <c r="G827" s="196">
        <v>1</v>
      </c>
      <c r="H827" s="196">
        <v>1</v>
      </c>
      <c r="I827" s="196">
        <v>2640</v>
      </c>
      <c r="J827" s="196">
        <v>6632</v>
      </c>
      <c r="K827" s="196">
        <v>91.24</v>
      </c>
      <c r="L827" s="196">
        <v>5.21</v>
      </c>
      <c r="M827" s="196">
        <v>13170</v>
      </c>
      <c r="N827" s="196">
        <v>3103433</v>
      </c>
      <c r="O827" s="196">
        <v>2697</v>
      </c>
      <c r="P827" s="196" t="s">
        <v>1354</v>
      </c>
      <c r="Q827" s="196" t="s">
        <v>1355</v>
      </c>
      <c r="R827" s="196" t="s">
        <v>1356</v>
      </c>
      <c r="S827" s="196" t="s">
        <v>844</v>
      </c>
      <c r="T827" s="196" t="s">
        <v>923</v>
      </c>
      <c r="U827" s="196" t="s">
        <v>1357</v>
      </c>
      <c r="V827" s="196" t="s">
        <v>1358</v>
      </c>
      <c r="W827" s="196" t="s">
        <v>1354</v>
      </c>
      <c r="X827" s="196" t="s">
        <v>1355</v>
      </c>
      <c r="Y827" s="196" t="s">
        <v>848</v>
      </c>
    </row>
    <row r="828" spans="1:25">
      <c r="A828" s="196" t="s">
        <v>837</v>
      </c>
      <c r="B828" s="196" t="s">
        <v>838</v>
      </c>
      <c r="C828" s="196">
        <v>2014</v>
      </c>
      <c r="D828" s="196">
        <v>55</v>
      </c>
      <c r="E828" s="196" t="s">
        <v>854</v>
      </c>
      <c r="F828" s="196" t="s">
        <v>1353</v>
      </c>
      <c r="G828" s="196">
        <v>1</v>
      </c>
      <c r="H828" s="196">
        <v>1</v>
      </c>
      <c r="I828" s="196">
        <v>3426</v>
      </c>
      <c r="J828" s="196">
        <v>11653</v>
      </c>
      <c r="K828" s="196">
        <v>91.24</v>
      </c>
      <c r="L828" s="196">
        <v>5.21</v>
      </c>
      <c r="M828" s="196">
        <v>13170</v>
      </c>
      <c r="N828" s="196">
        <v>3103433</v>
      </c>
      <c r="O828" s="196">
        <v>2697</v>
      </c>
      <c r="P828" s="196" t="s">
        <v>1354</v>
      </c>
      <c r="Q828" s="196" t="s">
        <v>1355</v>
      </c>
      <c r="R828" s="196" t="s">
        <v>1356</v>
      </c>
      <c r="S828" s="196" t="s">
        <v>844</v>
      </c>
      <c r="T828" s="196" t="s">
        <v>923</v>
      </c>
      <c r="U828" s="196" t="s">
        <v>1357</v>
      </c>
      <c r="V828" s="196" t="s">
        <v>1358</v>
      </c>
      <c r="W828" s="196" t="s">
        <v>1354</v>
      </c>
      <c r="X828" s="196" t="s">
        <v>1355</v>
      </c>
      <c r="Y828" s="196" t="s">
        <v>848</v>
      </c>
    </row>
    <row r="829" spans="1:25">
      <c r="A829" s="196" t="s">
        <v>837</v>
      </c>
      <c r="B829" s="196" t="s">
        <v>181</v>
      </c>
      <c r="C829" s="196">
        <v>2014</v>
      </c>
      <c r="D829" s="196">
        <v>30</v>
      </c>
      <c r="E829" s="196" t="s">
        <v>856</v>
      </c>
      <c r="F829" s="196" t="s">
        <v>1353</v>
      </c>
      <c r="G829" s="196">
        <v>2</v>
      </c>
      <c r="H829" s="196">
        <v>2</v>
      </c>
      <c r="I829" s="196">
        <v>700</v>
      </c>
      <c r="J829" s="196">
        <v>9744</v>
      </c>
      <c r="K829" s="196">
        <v>91.24</v>
      </c>
      <c r="L829" s="196">
        <v>5.21</v>
      </c>
      <c r="M829" s="196">
        <v>13170</v>
      </c>
      <c r="N829" s="196">
        <v>3103433</v>
      </c>
      <c r="O829" s="196">
        <v>2697</v>
      </c>
      <c r="P829" s="196" t="s">
        <v>1354</v>
      </c>
      <c r="Q829" s="196" t="s">
        <v>1355</v>
      </c>
      <c r="R829" s="196" t="s">
        <v>1356</v>
      </c>
      <c r="S829" s="196" t="s">
        <v>844</v>
      </c>
      <c r="T829" s="196" t="s">
        <v>923</v>
      </c>
      <c r="U829" s="196" t="s">
        <v>1357</v>
      </c>
      <c r="V829" s="196" t="s">
        <v>1358</v>
      </c>
      <c r="W829" s="196" t="s">
        <v>1354</v>
      </c>
      <c r="X829" s="196" t="s">
        <v>1355</v>
      </c>
      <c r="Y829" s="196" t="s">
        <v>848</v>
      </c>
    </row>
    <row r="830" spans="1:25">
      <c r="A830" s="196" t="s">
        <v>837</v>
      </c>
      <c r="B830" s="196" t="s">
        <v>181</v>
      </c>
      <c r="C830" s="196">
        <v>2014</v>
      </c>
      <c r="D830" s="196">
        <v>55</v>
      </c>
      <c r="E830" s="196" t="s">
        <v>858</v>
      </c>
      <c r="F830" s="196" t="s">
        <v>1353</v>
      </c>
      <c r="G830" s="196">
        <v>1</v>
      </c>
      <c r="H830" s="196">
        <v>1</v>
      </c>
      <c r="I830" s="196">
        <v>1641</v>
      </c>
      <c r="J830" s="196">
        <v>13268</v>
      </c>
      <c r="K830" s="196">
        <v>91.24</v>
      </c>
      <c r="L830" s="196">
        <v>5.21</v>
      </c>
      <c r="M830" s="196">
        <v>13170</v>
      </c>
      <c r="N830" s="196">
        <v>3103433</v>
      </c>
      <c r="O830" s="196">
        <v>2697</v>
      </c>
      <c r="P830" s="196" t="s">
        <v>1354</v>
      </c>
      <c r="Q830" s="196" t="s">
        <v>1355</v>
      </c>
      <c r="R830" s="196" t="s">
        <v>1356</v>
      </c>
      <c r="S830" s="196" t="s">
        <v>844</v>
      </c>
      <c r="T830" s="196" t="s">
        <v>923</v>
      </c>
      <c r="U830" s="196" t="s">
        <v>1357</v>
      </c>
      <c r="V830" s="196" t="s">
        <v>1358</v>
      </c>
      <c r="W830" s="196" t="s">
        <v>1354</v>
      </c>
      <c r="X830" s="196" t="s">
        <v>1355</v>
      </c>
      <c r="Y830" s="196" t="s">
        <v>848</v>
      </c>
    </row>
    <row r="831" spans="1:25">
      <c r="A831" s="196" t="s">
        <v>837</v>
      </c>
      <c r="B831" s="196" t="s">
        <v>850</v>
      </c>
      <c r="C831" s="196">
        <v>2014</v>
      </c>
      <c r="D831" s="196">
        <v>30</v>
      </c>
      <c r="E831" s="196" t="s">
        <v>860</v>
      </c>
      <c r="F831" s="196" t="s">
        <v>1353</v>
      </c>
      <c r="G831" s="196">
        <v>1</v>
      </c>
      <c r="H831" s="196">
        <v>1</v>
      </c>
      <c r="I831" s="196">
        <v>4128</v>
      </c>
      <c r="J831" s="196">
        <v>20846</v>
      </c>
      <c r="K831" s="196">
        <v>91.24</v>
      </c>
      <c r="L831" s="196">
        <v>5.21</v>
      </c>
      <c r="M831" s="196">
        <v>13170</v>
      </c>
      <c r="N831" s="196">
        <v>3103433</v>
      </c>
      <c r="O831" s="196">
        <v>2697</v>
      </c>
      <c r="P831" s="196" t="s">
        <v>1354</v>
      </c>
      <c r="Q831" s="196" t="s">
        <v>1355</v>
      </c>
      <c r="R831" s="196" t="s">
        <v>1356</v>
      </c>
      <c r="S831" s="196" t="s">
        <v>844</v>
      </c>
      <c r="T831" s="196" t="s">
        <v>923</v>
      </c>
      <c r="U831" s="196" t="s">
        <v>1357</v>
      </c>
      <c r="V831" s="196" t="s">
        <v>1358</v>
      </c>
      <c r="W831" s="196" t="s">
        <v>1354</v>
      </c>
      <c r="X831" s="196" t="s">
        <v>1355</v>
      </c>
      <c r="Y831" s="196" t="s">
        <v>848</v>
      </c>
    </row>
    <row r="832" spans="1:25">
      <c r="A832" s="196" t="s">
        <v>837</v>
      </c>
      <c r="B832" s="196" t="s">
        <v>181</v>
      </c>
      <c r="C832" s="196">
        <v>2014</v>
      </c>
      <c r="D832" s="196">
        <v>55</v>
      </c>
      <c r="E832" s="196" t="s">
        <v>858</v>
      </c>
      <c r="F832" s="196" t="s">
        <v>1359</v>
      </c>
      <c r="G832" s="196">
        <v>1</v>
      </c>
      <c r="H832" s="196">
        <v>1</v>
      </c>
      <c r="I832" s="196">
        <v>77</v>
      </c>
      <c r="J832" s="196">
        <v>2509</v>
      </c>
      <c r="K832" s="196">
        <v>47.7</v>
      </c>
      <c r="L832" s="196">
        <v>0.11</v>
      </c>
      <c r="M832" s="196">
        <v>4419</v>
      </c>
      <c r="N832" s="196">
        <v>1207022</v>
      </c>
      <c r="O832" s="196">
        <v>1175</v>
      </c>
      <c r="P832" s="196" t="s">
        <v>1222</v>
      </c>
      <c r="Q832" s="196" t="s">
        <v>1223</v>
      </c>
      <c r="R832" s="196" t="s">
        <v>1224</v>
      </c>
      <c r="S832" s="196" t="s">
        <v>953</v>
      </c>
      <c r="T832" s="196" t="s">
        <v>1225</v>
      </c>
      <c r="U832" s="196" t="s">
        <v>1226</v>
      </c>
      <c r="V832" s="196" t="s">
        <v>1227</v>
      </c>
      <c r="W832" s="196" t="s">
        <v>1222</v>
      </c>
      <c r="X832" s="196" t="s">
        <v>1223</v>
      </c>
      <c r="Y832" s="196" t="s">
        <v>848</v>
      </c>
    </row>
    <row r="833" spans="1:25">
      <c r="A833" s="196" t="s">
        <v>837</v>
      </c>
      <c r="B833" s="196" t="s">
        <v>838</v>
      </c>
      <c r="C833" s="196">
        <v>2013</v>
      </c>
      <c r="D833" s="196">
        <v>30</v>
      </c>
      <c r="E833" s="196" t="s">
        <v>839</v>
      </c>
      <c r="F833" s="196" t="s">
        <v>1360</v>
      </c>
      <c r="G833" s="196">
        <v>10</v>
      </c>
      <c r="H833" s="196">
        <v>9</v>
      </c>
      <c r="I833" s="196">
        <v>16479</v>
      </c>
      <c r="J833" s="196">
        <v>184462</v>
      </c>
      <c r="K833" s="196">
        <v>100</v>
      </c>
      <c r="L833" s="196">
        <v>3.96</v>
      </c>
      <c r="M833" s="196">
        <v>14746</v>
      </c>
      <c r="N833" s="196">
        <v>1897124</v>
      </c>
      <c r="O833" s="196">
        <v>1920</v>
      </c>
      <c r="P833" s="196" t="s">
        <v>841</v>
      </c>
      <c r="Q833" s="196" t="s">
        <v>841</v>
      </c>
      <c r="R833" s="196" t="s">
        <v>1007</v>
      </c>
      <c r="S833" s="196" t="s">
        <v>844</v>
      </c>
      <c r="T833" s="196" t="s">
        <v>845</v>
      </c>
      <c r="U833" s="196" t="s">
        <v>846</v>
      </c>
      <c r="V833" s="196" t="s">
        <v>841</v>
      </c>
      <c r="W833" s="196" t="s">
        <v>1071</v>
      </c>
      <c r="X833" s="196" t="s">
        <v>848</v>
      </c>
      <c r="Y833" s="196" t="s">
        <v>848</v>
      </c>
    </row>
    <row r="834" spans="1:25">
      <c r="A834" s="196" t="s">
        <v>837</v>
      </c>
      <c r="B834" s="196" t="s">
        <v>838</v>
      </c>
      <c r="C834" s="196">
        <v>2013</v>
      </c>
      <c r="D834" s="196">
        <v>55</v>
      </c>
      <c r="E834" s="196" t="s">
        <v>849</v>
      </c>
      <c r="F834" s="196" t="s">
        <v>1360</v>
      </c>
      <c r="G834" s="196">
        <v>6</v>
      </c>
      <c r="H834" s="196">
        <v>6</v>
      </c>
      <c r="I834" s="196">
        <v>9105</v>
      </c>
      <c r="J834" s="196">
        <v>164966</v>
      </c>
      <c r="K834" s="196">
        <v>100</v>
      </c>
      <c r="L834" s="196">
        <v>3.96</v>
      </c>
      <c r="M834" s="196">
        <v>14746</v>
      </c>
      <c r="N834" s="196">
        <v>1897124</v>
      </c>
      <c r="O834" s="196">
        <v>1920</v>
      </c>
      <c r="P834" s="196" t="s">
        <v>841</v>
      </c>
      <c r="Q834" s="196" t="s">
        <v>841</v>
      </c>
      <c r="R834" s="196" t="s">
        <v>1007</v>
      </c>
      <c r="S834" s="196" t="s">
        <v>844</v>
      </c>
      <c r="T834" s="196" t="s">
        <v>845</v>
      </c>
      <c r="U834" s="196" t="s">
        <v>846</v>
      </c>
      <c r="V834" s="196" t="s">
        <v>841</v>
      </c>
      <c r="W834" s="196" t="s">
        <v>1071</v>
      </c>
      <c r="X834" s="196" t="s">
        <v>848</v>
      </c>
      <c r="Y834" s="196" t="s">
        <v>848</v>
      </c>
    </row>
    <row r="835" spans="1:25">
      <c r="A835" s="196" t="s">
        <v>837</v>
      </c>
      <c r="B835" s="196" t="s">
        <v>850</v>
      </c>
      <c r="C835" s="196">
        <v>2013</v>
      </c>
      <c r="D835" s="196">
        <v>30</v>
      </c>
      <c r="E835" s="196" t="s">
        <v>851</v>
      </c>
      <c r="F835" s="196" t="s">
        <v>1360</v>
      </c>
      <c r="G835" s="196">
        <v>23</v>
      </c>
      <c r="H835" s="196">
        <v>21</v>
      </c>
      <c r="I835" s="196">
        <v>35400</v>
      </c>
      <c r="J835" s="196">
        <v>412240</v>
      </c>
      <c r="K835" s="196">
        <v>100</v>
      </c>
      <c r="L835" s="196">
        <v>3.96</v>
      </c>
      <c r="M835" s="196">
        <v>14746</v>
      </c>
      <c r="N835" s="196">
        <v>1897124</v>
      </c>
      <c r="O835" s="196">
        <v>1920</v>
      </c>
      <c r="P835" s="196" t="s">
        <v>841</v>
      </c>
      <c r="Q835" s="196" t="s">
        <v>841</v>
      </c>
      <c r="R835" s="196" t="s">
        <v>1007</v>
      </c>
      <c r="S835" s="196" t="s">
        <v>844</v>
      </c>
      <c r="T835" s="196" t="s">
        <v>845</v>
      </c>
      <c r="U835" s="196" t="s">
        <v>846</v>
      </c>
      <c r="V835" s="196" t="s">
        <v>841</v>
      </c>
      <c r="W835" s="196" t="s">
        <v>1071</v>
      </c>
      <c r="X835" s="196" t="s">
        <v>848</v>
      </c>
      <c r="Y835" s="196" t="s">
        <v>848</v>
      </c>
    </row>
    <row r="836" spans="1:25">
      <c r="A836" s="196" t="s">
        <v>837</v>
      </c>
      <c r="B836" s="196" t="s">
        <v>850</v>
      </c>
      <c r="C836" s="196">
        <v>2013</v>
      </c>
      <c r="D836" s="196">
        <v>55</v>
      </c>
      <c r="E836" s="196" t="s">
        <v>852</v>
      </c>
      <c r="F836" s="196" t="s">
        <v>1360</v>
      </c>
      <c r="G836" s="196">
        <v>3</v>
      </c>
      <c r="H836" s="196">
        <v>3</v>
      </c>
      <c r="I836" s="196">
        <v>4197</v>
      </c>
      <c r="J836" s="196">
        <v>81132</v>
      </c>
      <c r="K836" s="196">
        <v>100</v>
      </c>
      <c r="L836" s="196">
        <v>3.96</v>
      </c>
      <c r="M836" s="196">
        <v>14746</v>
      </c>
      <c r="N836" s="196">
        <v>1897124</v>
      </c>
      <c r="O836" s="196">
        <v>1920</v>
      </c>
      <c r="P836" s="196" t="s">
        <v>841</v>
      </c>
      <c r="Q836" s="196" t="s">
        <v>841</v>
      </c>
      <c r="R836" s="196" t="s">
        <v>1007</v>
      </c>
      <c r="S836" s="196" t="s">
        <v>844</v>
      </c>
      <c r="T836" s="196" t="s">
        <v>845</v>
      </c>
      <c r="U836" s="196" t="s">
        <v>846</v>
      </c>
      <c r="V836" s="196" t="s">
        <v>841</v>
      </c>
      <c r="W836" s="196" t="s">
        <v>1071</v>
      </c>
      <c r="X836" s="196" t="s">
        <v>848</v>
      </c>
      <c r="Y836" s="196" t="s">
        <v>848</v>
      </c>
    </row>
    <row r="837" spans="1:25">
      <c r="A837" s="196" t="s">
        <v>837</v>
      </c>
      <c r="B837" s="196" t="s">
        <v>181</v>
      </c>
      <c r="C837" s="196">
        <v>2014</v>
      </c>
      <c r="D837" s="196">
        <v>80</v>
      </c>
      <c r="E837" s="196" t="s">
        <v>874</v>
      </c>
      <c r="F837" s="196" t="s">
        <v>1360</v>
      </c>
      <c r="G837" s="196">
        <v>1</v>
      </c>
      <c r="H837" s="196">
        <v>1</v>
      </c>
      <c r="I837" s="196">
        <v>77</v>
      </c>
      <c r="J837" s="196">
        <v>4136</v>
      </c>
      <c r="K837" s="196">
        <v>100</v>
      </c>
      <c r="L837" s="196">
        <v>3.96</v>
      </c>
      <c r="M837" s="196">
        <v>14746</v>
      </c>
      <c r="N837" s="196">
        <v>1897124</v>
      </c>
      <c r="O837" s="196">
        <v>1920</v>
      </c>
      <c r="P837" s="196" t="s">
        <v>841</v>
      </c>
      <c r="Q837" s="196" t="s">
        <v>841</v>
      </c>
      <c r="R837" s="196" t="s">
        <v>1007</v>
      </c>
      <c r="S837" s="196" t="s">
        <v>844</v>
      </c>
      <c r="T837" s="196" t="s">
        <v>845</v>
      </c>
      <c r="U837" s="196" t="s">
        <v>846</v>
      </c>
      <c r="V837" s="196" t="s">
        <v>841</v>
      </c>
      <c r="W837" s="196" t="s">
        <v>1071</v>
      </c>
      <c r="X837" s="196" t="s">
        <v>848</v>
      </c>
      <c r="Y837" s="196" t="s">
        <v>848</v>
      </c>
    </row>
    <row r="838" spans="1:25">
      <c r="A838" s="196" t="s">
        <v>837</v>
      </c>
      <c r="B838" s="196" t="s">
        <v>838</v>
      </c>
      <c r="C838" s="196">
        <v>2014</v>
      </c>
      <c r="D838" s="196">
        <v>55</v>
      </c>
      <c r="E838" s="196" t="s">
        <v>854</v>
      </c>
      <c r="F838" s="196" t="s">
        <v>1360</v>
      </c>
      <c r="G838" s="196">
        <v>6</v>
      </c>
      <c r="H838" s="196">
        <v>6</v>
      </c>
      <c r="I838" s="196">
        <v>7194</v>
      </c>
      <c r="J838" s="196">
        <v>136400</v>
      </c>
      <c r="K838" s="196">
        <v>100</v>
      </c>
      <c r="L838" s="196">
        <v>3.96</v>
      </c>
      <c r="M838" s="196">
        <v>14746</v>
      </c>
      <c r="N838" s="196">
        <v>1897124</v>
      </c>
      <c r="O838" s="196">
        <v>1920</v>
      </c>
      <c r="P838" s="196" t="s">
        <v>841</v>
      </c>
      <c r="Q838" s="196" t="s">
        <v>841</v>
      </c>
      <c r="R838" s="196" t="s">
        <v>1007</v>
      </c>
      <c r="S838" s="196" t="s">
        <v>844</v>
      </c>
      <c r="T838" s="196" t="s">
        <v>845</v>
      </c>
      <c r="U838" s="196" t="s">
        <v>846</v>
      </c>
      <c r="V838" s="196" t="s">
        <v>841</v>
      </c>
      <c r="W838" s="196" t="s">
        <v>1071</v>
      </c>
      <c r="X838" s="196" t="s">
        <v>848</v>
      </c>
      <c r="Y838" s="196" t="s">
        <v>848</v>
      </c>
    </row>
    <row r="839" spans="1:25">
      <c r="A839" s="196" t="s">
        <v>837</v>
      </c>
      <c r="B839" s="196" t="s">
        <v>838</v>
      </c>
      <c r="C839" s="196">
        <v>2014</v>
      </c>
      <c r="D839" s="196">
        <v>55</v>
      </c>
      <c r="E839" s="196" t="s">
        <v>855</v>
      </c>
      <c r="F839" s="196" t="s">
        <v>1360</v>
      </c>
      <c r="G839" s="196">
        <v>3</v>
      </c>
      <c r="H839" s="196">
        <v>3</v>
      </c>
      <c r="I839" s="196">
        <v>5358</v>
      </c>
      <c r="J839" s="196">
        <v>83320</v>
      </c>
      <c r="K839" s="196">
        <v>100</v>
      </c>
      <c r="L839" s="196">
        <v>3.96</v>
      </c>
      <c r="M839" s="196">
        <v>14746</v>
      </c>
      <c r="N839" s="196">
        <v>1897124</v>
      </c>
      <c r="O839" s="196">
        <v>1920</v>
      </c>
      <c r="P839" s="196" t="s">
        <v>841</v>
      </c>
      <c r="Q839" s="196" t="s">
        <v>841</v>
      </c>
      <c r="R839" s="196" t="s">
        <v>1007</v>
      </c>
      <c r="S839" s="196" t="s">
        <v>844</v>
      </c>
      <c r="T839" s="196" t="s">
        <v>845</v>
      </c>
      <c r="U839" s="196" t="s">
        <v>846</v>
      </c>
      <c r="V839" s="196" t="s">
        <v>841</v>
      </c>
      <c r="W839" s="196" t="s">
        <v>1071</v>
      </c>
      <c r="X839" s="196" t="s">
        <v>848</v>
      </c>
      <c r="Y839" s="196" t="s">
        <v>848</v>
      </c>
    </row>
    <row r="840" spans="1:25">
      <c r="A840" s="196" t="s">
        <v>837</v>
      </c>
      <c r="B840" s="196" t="s">
        <v>181</v>
      </c>
      <c r="C840" s="196">
        <v>2014</v>
      </c>
      <c r="D840" s="196">
        <v>30</v>
      </c>
      <c r="E840" s="196" t="s">
        <v>856</v>
      </c>
      <c r="F840" s="196" t="s">
        <v>1360</v>
      </c>
      <c r="G840" s="196">
        <v>2</v>
      </c>
      <c r="H840" s="196">
        <v>2</v>
      </c>
      <c r="I840" s="196">
        <v>1935</v>
      </c>
      <c r="J840" s="196">
        <v>20021</v>
      </c>
      <c r="K840" s="196">
        <v>100</v>
      </c>
      <c r="L840" s="196">
        <v>3.96</v>
      </c>
      <c r="M840" s="196">
        <v>14746</v>
      </c>
      <c r="N840" s="196">
        <v>1897124</v>
      </c>
      <c r="O840" s="196">
        <v>1920</v>
      </c>
      <c r="P840" s="196" t="s">
        <v>841</v>
      </c>
      <c r="Q840" s="196" t="s">
        <v>841</v>
      </c>
      <c r="R840" s="196" t="s">
        <v>1007</v>
      </c>
      <c r="S840" s="196" t="s">
        <v>844</v>
      </c>
      <c r="T840" s="196" t="s">
        <v>845</v>
      </c>
      <c r="U840" s="196" t="s">
        <v>846</v>
      </c>
      <c r="V840" s="196" t="s">
        <v>841</v>
      </c>
      <c r="W840" s="196" t="s">
        <v>1071</v>
      </c>
      <c r="X840" s="196" t="s">
        <v>848</v>
      </c>
      <c r="Y840" s="196" t="s">
        <v>848</v>
      </c>
    </row>
    <row r="841" spans="1:25">
      <c r="A841" s="196" t="s">
        <v>837</v>
      </c>
      <c r="B841" s="196" t="s">
        <v>181</v>
      </c>
      <c r="C841" s="196">
        <v>2014</v>
      </c>
      <c r="D841" s="196">
        <v>30</v>
      </c>
      <c r="E841" s="196" t="s">
        <v>857</v>
      </c>
      <c r="F841" s="196" t="s">
        <v>1360</v>
      </c>
      <c r="G841" s="196">
        <v>1</v>
      </c>
      <c r="H841" s="196">
        <v>1</v>
      </c>
      <c r="I841" s="196">
        <v>1638</v>
      </c>
      <c r="J841" s="196">
        <v>3455</v>
      </c>
      <c r="K841" s="196">
        <v>100</v>
      </c>
      <c r="L841" s="196">
        <v>3.96</v>
      </c>
      <c r="M841" s="196">
        <v>14746</v>
      </c>
      <c r="N841" s="196">
        <v>1897124</v>
      </c>
      <c r="O841" s="196">
        <v>1920</v>
      </c>
      <c r="P841" s="196" t="s">
        <v>841</v>
      </c>
      <c r="Q841" s="196" t="s">
        <v>841</v>
      </c>
      <c r="R841" s="196" t="s">
        <v>1007</v>
      </c>
      <c r="S841" s="196" t="s">
        <v>844</v>
      </c>
      <c r="T841" s="196" t="s">
        <v>845</v>
      </c>
      <c r="U841" s="196" t="s">
        <v>846</v>
      </c>
      <c r="V841" s="196" t="s">
        <v>841</v>
      </c>
      <c r="W841" s="196" t="s">
        <v>1071</v>
      </c>
      <c r="X841" s="196" t="s">
        <v>848</v>
      </c>
      <c r="Y841" s="196" t="s">
        <v>848</v>
      </c>
    </row>
    <row r="842" spans="1:25">
      <c r="A842" s="196" t="s">
        <v>837</v>
      </c>
      <c r="B842" s="196" t="s">
        <v>181</v>
      </c>
      <c r="C842" s="196">
        <v>2014</v>
      </c>
      <c r="D842" s="196">
        <v>55</v>
      </c>
      <c r="E842" s="196" t="s">
        <v>858</v>
      </c>
      <c r="F842" s="196" t="s">
        <v>1360</v>
      </c>
      <c r="G842" s="196">
        <v>11</v>
      </c>
      <c r="H842" s="196">
        <v>9</v>
      </c>
      <c r="I842" s="196">
        <v>9178</v>
      </c>
      <c r="J842" s="196">
        <v>145410</v>
      </c>
      <c r="K842" s="196">
        <v>100</v>
      </c>
      <c r="L842" s="196">
        <v>3.96</v>
      </c>
      <c r="M842" s="196">
        <v>14746</v>
      </c>
      <c r="N842" s="196">
        <v>1897124</v>
      </c>
      <c r="O842" s="196">
        <v>1920</v>
      </c>
      <c r="P842" s="196" t="s">
        <v>841</v>
      </c>
      <c r="Q842" s="196" t="s">
        <v>841</v>
      </c>
      <c r="R842" s="196" t="s">
        <v>1007</v>
      </c>
      <c r="S842" s="196" t="s">
        <v>844</v>
      </c>
      <c r="T842" s="196" t="s">
        <v>845</v>
      </c>
      <c r="U842" s="196" t="s">
        <v>846</v>
      </c>
      <c r="V842" s="196" t="s">
        <v>841</v>
      </c>
      <c r="W842" s="196" t="s">
        <v>1071</v>
      </c>
      <c r="X842" s="196" t="s">
        <v>848</v>
      </c>
      <c r="Y842" s="196" t="s">
        <v>848</v>
      </c>
    </row>
    <row r="843" spans="1:25">
      <c r="A843" s="196" t="s">
        <v>837</v>
      </c>
      <c r="B843" s="196" t="s">
        <v>850</v>
      </c>
      <c r="C843" s="196">
        <v>2014</v>
      </c>
      <c r="D843" s="196">
        <v>30</v>
      </c>
      <c r="E843" s="196" t="s">
        <v>860</v>
      </c>
      <c r="F843" s="196" t="s">
        <v>1360</v>
      </c>
      <c r="G843" s="196">
        <v>9</v>
      </c>
      <c r="H843" s="196">
        <v>8</v>
      </c>
      <c r="I843" s="196">
        <v>10734</v>
      </c>
      <c r="J843" s="196">
        <v>168778</v>
      </c>
      <c r="K843" s="196">
        <v>100</v>
      </c>
      <c r="L843" s="196">
        <v>3.96</v>
      </c>
      <c r="M843" s="196">
        <v>14746</v>
      </c>
      <c r="N843" s="196">
        <v>1897124</v>
      </c>
      <c r="O843" s="196">
        <v>1920</v>
      </c>
      <c r="P843" s="196" t="s">
        <v>841</v>
      </c>
      <c r="Q843" s="196" t="s">
        <v>841</v>
      </c>
      <c r="R843" s="196" t="s">
        <v>1007</v>
      </c>
      <c r="S843" s="196" t="s">
        <v>844</v>
      </c>
      <c r="T843" s="196" t="s">
        <v>845</v>
      </c>
      <c r="U843" s="196" t="s">
        <v>846</v>
      </c>
      <c r="V843" s="196" t="s">
        <v>841</v>
      </c>
      <c r="W843" s="196" t="s">
        <v>1071</v>
      </c>
      <c r="X843" s="196" t="s">
        <v>848</v>
      </c>
      <c r="Y843" s="196" t="s">
        <v>848</v>
      </c>
    </row>
    <row r="844" spans="1:25">
      <c r="A844" s="196" t="s">
        <v>837</v>
      </c>
      <c r="B844" s="196" t="s">
        <v>850</v>
      </c>
      <c r="C844" s="196">
        <v>2014</v>
      </c>
      <c r="D844" s="196">
        <v>30</v>
      </c>
      <c r="E844" s="196" t="s">
        <v>861</v>
      </c>
      <c r="F844" s="196" t="s">
        <v>1360</v>
      </c>
      <c r="G844" s="196">
        <v>7</v>
      </c>
      <c r="H844" s="196">
        <v>6</v>
      </c>
      <c r="I844" s="196">
        <v>7884</v>
      </c>
      <c r="J844" s="196">
        <v>96209</v>
      </c>
      <c r="K844" s="196">
        <v>100</v>
      </c>
      <c r="L844" s="196">
        <v>3.96</v>
      </c>
      <c r="M844" s="196">
        <v>14746</v>
      </c>
      <c r="N844" s="196">
        <v>1897124</v>
      </c>
      <c r="O844" s="196">
        <v>1920</v>
      </c>
      <c r="P844" s="196" t="s">
        <v>841</v>
      </c>
      <c r="Q844" s="196" t="s">
        <v>841</v>
      </c>
      <c r="R844" s="196" t="s">
        <v>1007</v>
      </c>
      <c r="S844" s="196" t="s">
        <v>844</v>
      </c>
      <c r="T844" s="196" t="s">
        <v>845</v>
      </c>
      <c r="U844" s="196" t="s">
        <v>846</v>
      </c>
      <c r="V844" s="196" t="s">
        <v>841</v>
      </c>
      <c r="W844" s="196" t="s">
        <v>1071</v>
      </c>
      <c r="X844" s="196" t="s">
        <v>848</v>
      </c>
      <c r="Y844" s="196" t="s">
        <v>848</v>
      </c>
    </row>
    <row r="845" spans="1:25">
      <c r="A845" s="196" t="s">
        <v>837</v>
      </c>
      <c r="B845" s="196" t="s">
        <v>850</v>
      </c>
      <c r="C845" s="196">
        <v>2014</v>
      </c>
      <c r="D845" s="196">
        <v>55</v>
      </c>
      <c r="E845" s="196" t="s">
        <v>862</v>
      </c>
      <c r="F845" s="196" t="s">
        <v>1360</v>
      </c>
      <c r="G845" s="196">
        <v>11</v>
      </c>
      <c r="H845" s="196">
        <v>11</v>
      </c>
      <c r="I845" s="196">
        <v>13707</v>
      </c>
      <c r="J845" s="196">
        <v>199639</v>
      </c>
      <c r="K845" s="196">
        <v>100</v>
      </c>
      <c r="L845" s="196">
        <v>3.96</v>
      </c>
      <c r="M845" s="196">
        <v>14746</v>
      </c>
      <c r="N845" s="196">
        <v>1897124</v>
      </c>
      <c r="O845" s="196">
        <v>1920</v>
      </c>
      <c r="P845" s="196" t="s">
        <v>841</v>
      </c>
      <c r="Q845" s="196" t="s">
        <v>841</v>
      </c>
      <c r="R845" s="196" t="s">
        <v>1007</v>
      </c>
      <c r="S845" s="196" t="s">
        <v>844</v>
      </c>
      <c r="T845" s="196" t="s">
        <v>845</v>
      </c>
      <c r="U845" s="196" t="s">
        <v>846</v>
      </c>
      <c r="V845" s="196" t="s">
        <v>841</v>
      </c>
      <c r="W845" s="196" t="s">
        <v>1071</v>
      </c>
      <c r="X845" s="196" t="s">
        <v>848</v>
      </c>
      <c r="Y845" s="196" t="s">
        <v>848</v>
      </c>
    </row>
    <row r="846" spans="1:25">
      <c r="A846" s="196" t="s">
        <v>837</v>
      </c>
      <c r="B846" s="196" t="s">
        <v>850</v>
      </c>
      <c r="C846" s="196">
        <v>2013</v>
      </c>
      <c r="D846" s="196">
        <v>80</v>
      </c>
      <c r="E846" s="196" t="s">
        <v>917</v>
      </c>
      <c r="F846" s="196" t="s">
        <v>1361</v>
      </c>
      <c r="G846" s="196">
        <v>1</v>
      </c>
      <c r="H846" s="196">
        <v>1</v>
      </c>
      <c r="I846" s="196">
        <v>255</v>
      </c>
      <c r="J846" s="196">
        <v>3459</v>
      </c>
      <c r="K846" s="196">
        <v>61.8</v>
      </c>
      <c r="L846" s="196">
        <v>0</v>
      </c>
      <c r="M846" s="196">
        <v>8692</v>
      </c>
      <c r="N846" s="196">
        <v>499655</v>
      </c>
      <c r="O846" s="196">
        <v>580</v>
      </c>
      <c r="P846" s="196"/>
      <c r="Q846" s="196"/>
      <c r="R846" s="196"/>
      <c r="S846" s="196"/>
      <c r="T846" s="196"/>
      <c r="U846" s="196"/>
      <c r="V846" s="196"/>
      <c r="W846" s="196"/>
      <c r="X846" s="196"/>
      <c r="Y846" s="196"/>
    </row>
    <row r="847" spans="1:25">
      <c r="A847" s="196" t="s">
        <v>837</v>
      </c>
      <c r="B847" s="196" t="s">
        <v>838</v>
      </c>
      <c r="C847" s="196">
        <v>2014</v>
      </c>
      <c r="D847" s="196">
        <v>80</v>
      </c>
      <c r="E847" s="196" t="s">
        <v>853</v>
      </c>
      <c r="F847" s="196" t="s">
        <v>1361</v>
      </c>
      <c r="G847" s="196">
        <v>9</v>
      </c>
      <c r="H847" s="196">
        <v>9</v>
      </c>
      <c r="I847" s="196">
        <v>9853</v>
      </c>
      <c r="J847" s="196">
        <v>75727</v>
      </c>
      <c r="K847" s="196">
        <v>61.8</v>
      </c>
      <c r="L847" s="196">
        <v>0</v>
      </c>
      <c r="M847" s="196">
        <v>8692</v>
      </c>
      <c r="N847" s="196">
        <v>499655</v>
      </c>
      <c r="O847" s="196">
        <v>580</v>
      </c>
      <c r="P847" s="196"/>
      <c r="Q847" s="196"/>
      <c r="R847" s="196"/>
      <c r="S847" s="196"/>
      <c r="T847" s="196"/>
      <c r="U847" s="196"/>
      <c r="V847" s="196"/>
      <c r="W847" s="196"/>
      <c r="X847" s="196"/>
      <c r="Y847" s="196"/>
    </row>
    <row r="848" spans="1:25">
      <c r="A848" s="196" t="s">
        <v>837</v>
      </c>
      <c r="B848" s="196" t="s">
        <v>181</v>
      </c>
      <c r="C848" s="196">
        <v>2014</v>
      </c>
      <c r="D848" s="196">
        <v>80</v>
      </c>
      <c r="E848" s="196" t="s">
        <v>874</v>
      </c>
      <c r="F848" s="196" t="s">
        <v>1361</v>
      </c>
      <c r="G848" s="196">
        <v>4</v>
      </c>
      <c r="H848" s="196">
        <v>4</v>
      </c>
      <c r="I848" s="196">
        <v>2994</v>
      </c>
      <c r="J848" s="196">
        <v>20932</v>
      </c>
      <c r="K848" s="196">
        <v>61.8</v>
      </c>
      <c r="L848" s="196">
        <v>0</v>
      </c>
      <c r="M848" s="196">
        <v>8692</v>
      </c>
      <c r="N848" s="196">
        <v>499655</v>
      </c>
      <c r="O848" s="196">
        <v>580</v>
      </c>
      <c r="P848" s="196"/>
      <c r="Q848" s="196"/>
      <c r="R848" s="196"/>
      <c r="S848" s="196"/>
      <c r="T848" s="196"/>
      <c r="U848" s="196"/>
      <c r="V848" s="196"/>
      <c r="W848" s="196"/>
      <c r="X848" s="196"/>
      <c r="Y848" s="196"/>
    </row>
    <row r="849" spans="1:25">
      <c r="A849" s="196" t="s">
        <v>837</v>
      </c>
      <c r="B849" s="196" t="s">
        <v>850</v>
      </c>
      <c r="C849" s="196">
        <v>2014</v>
      </c>
      <c r="D849" s="196">
        <v>80</v>
      </c>
      <c r="E849" s="196" t="s">
        <v>918</v>
      </c>
      <c r="F849" s="196" t="s">
        <v>1361</v>
      </c>
      <c r="G849" s="196">
        <v>7</v>
      </c>
      <c r="H849" s="196">
        <v>7</v>
      </c>
      <c r="I849" s="196">
        <v>10039</v>
      </c>
      <c r="J849" s="196">
        <v>53387</v>
      </c>
      <c r="K849" s="196">
        <v>61.8</v>
      </c>
      <c r="L849" s="196">
        <v>0</v>
      </c>
      <c r="M849" s="196">
        <v>8692</v>
      </c>
      <c r="N849" s="196">
        <v>499655</v>
      </c>
      <c r="O849" s="196">
        <v>580</v>
      </c>
      <c r="P849" s="196"/>
      <c r="Q849" s="196"/>
      <c r="R849" s="196"/>
      <c r="S849" s="196"/>
      <c r="T849" s="196"/>
      <c r="U849" s="196"/>
      <c r="V849" s="196"/>
      <c r="W849" s="196"/>
      <c r="X849" s="196"/>
      <c r="Y849" s="196"/>
    </row>
    <row r="850" spans="1:25">
      <c r="A850" s="196" t="s">
        <v>837</v>
      </c>
      <c r="B850" s="196" t="s">
        <v>850</v>
      </c>
      <c r="C850" s="196">
        <v>2014</v>
      </c>
      <c r="D850" s="196">
        <v>80</v>
      </c>
      <c r="E850" s="196" t="s">
        <v>875</v>
      </c>
      <c r="F850" s="196" t="s">
        <v>1361</v>
      </c>
      <c r="G850" s="196">
        <v>4</v>
      </c>
      <c r="H850" s="196">
        <v>4</v>
      </c>
      <c r="I850" s="196">
        <v>5518</v>
      </c>
      <c r="J850" s="196">
        <v>34547</v>
      </c>
      <c r="K850" s="196">
        <v>61.8</v>
      </c>
      <c r="L850" s="196">
        <v>0</v>
      </c>
      <c r="M850" s="196">
        <v>8692</v>
      </c>
      <c r="N850" s="196">
        <v>499655</v>
      </c>
      <c r="O850" s="196">
        <v>580</v>
      </c>
      <c r="P850" s="196"/>
      <c r="Q850" s="196"/>
      <c r="R850" s="196"/>
      <c r="S850" s="196"/>
      <c r="T850" s="196"/>
      <c r="U850" s="196"/>
      <c r="V850" s="196"/>
      <c r="W850" s="196"/>
      <c r="X850" s="196"/>
      <c r="Y850" s="196"/>
    </row>
    <row r="851" spans="1:25">
      <c r="A851" s="196" t="s">
        <v>837</v>
      </c>
      <c r="B851" s="196" t="s">
        <v>181</v>
      </c>
      <c r="C851" s="196">
        <v>2013</v>
      </c>
      <c r="D851" s="196">
        <v>80</v>
      </c>
      <c r="E851" s="196" t="s">
        <v>876</v>
      </c>
      <c r="F851" s="196" t="s">
        <v>1361</v>
      </c>
      <c r="G851" s="196">
        <v>4</v>
      </c>
      <c r="H851" s="196">
        <v>4</v>
      </c>
      <c r="I851" s="196">
        <v>2485</v>
      </c>
      <c r="J851" s="196">
        <v>23444</v>
      </c>
      <c r="K851" s="196">
        <v>61.8</v>
      </c>
      <c r="L851" s="196">
        <v>0</v>
      </c>
      <c r="M851" s="196">
        <v>8692</v>
      </c>
      <c r="N851" s="196">
        <v>499655</v>
      </c>
      <c r="O851" s="196">
        <v>580</v>
      </c>
      <c r="P851" s="196"/>
      <c r="Q851" s="196"/>
      <c r="R851" s="196"/>
      <c r="S851" s="196"/>
      <c r="T851" s="196"/>
      <c r="U851" s="196"/>
      <c r="V851" s="196"/>
      <c r="W851" s="196"/>
      <c r="X851" s="196"/>
      <c r="Y851" s="196"/>
    </row>
    <row r="852" spans="1:25">
      <c r="A852" s="196" t="s">
        <v>837</v>
      </c>
      <c r="B852" s="196" t="s">
        <v>838</v>
      </c>
      <c r="C852" s="196">
        <v>2013</v>
      </c>
      <c r="D852" s="196">
        <v>55</v>
      </c>
      <c r="E852" s="196" t="s">
        <v>849</v>
      </c>
      <c r="F852" s="196" t="s">
        <v>1362</v>
      </c>
      <c r="G852" s="196">
        <v>1029</v>
      </c>
      <c r="H852" s="196">
        <v>208</v>
      </c>
      <c r="I852" s="196">
        <v>939329</v>
      </c>
      <c r="J852" s="196">
        <v>1457671</v>
      </c>
      <c r="K852" s="196">
        <v>86.34</v>
      </c>
      <c r="L852" s="196">
        <v>4.8099999999999996</v>
      </c>
      <c r="M852" s="196">
        <v>7433</v>
      </c>
      <c r="N852" s="196">
        <v>1836550</v>
      </c>
      <c r="O852" s="196">
        <v>2030</v>
      </c>
      <c r="P852" s="196"/>
      <c r="Q852" s="196"/>
      <c r="R852" s="196"/>
      <c r="S852" s="196"/>
      <c r="T852" s="196"/>
      <c r="U852" s="196"/>
      <c r="V852" s="196"/>
      <c r="W852" s="196"/>
      <c r="X852" s="196"/>
      <c r="Y852" s="196"/>
    </row>
    <row r="853" spans="1:25">
      <c r="A853" s="196" t="s">
        <v>837</v>
      </c>
      <c r="B853" s="196" t="s">
        <v>850</v>
      </c>
      <c r="C853" s="196">
        <v>2013</v>
      </c>
      <c r="D853" s="196">
        <v>30</v>
      </c>
      <c r="E853" s="196" t="s">
        <v>851</v>
      </c>
      <c r="F853" s="196" t="s">
        <v>1362</v>
      </c>
      <c r="G853" s="196">
        <v>5</v>
      </c>
      <c r="H853" s="196">
        <v>5</v>
      </c>
      <c r="I853" s="196">
        <v>5908</v>
      </c>
      <c r="J853" s="196">
        <v>84811</v>
      </c>
      <c r="K853" s="196">
        <v>86.34</v>
      </c>
      <c r="L853" s="196">
        <v>4.8099999999999996</v>
      </c>
      <c r="M853" s="196">
        <v>7433</v>
      </c>
      <c r="N853" s="196">
        <v>1836550</v>
      </c>
      <c r="O853" s="196">
        <v>2030</v>
      </c>
      <c r="P853" s="196"/>
      <c r="Q853" s="196"/>
      <c r="R853" s="196"/>
      <c r="S853" s="196"/>
      <c r="T853" s="196"/>
      <c r="U853" s="196"/>
      <c r="V853" s="196"/>
      <c r="W853" s="196"/>
      <c r="X853" s="196"/>
      <c r="Y853" s="196"/>
    </row>
    <row r="854" spans="1:25">
      <c r="A854" s="196" t="s">
        <v>837</v>
      </c>
      <c r="B854" s="196" t="s">
        <v>850</v>
      </c>
      <c r="C854" s="196">
        <v>2013</v>
      </c>
      <c r="D854" s="196">
        <v>55</v>
      </c>
      <c r="E854" s="196" t="s">
        <v>852</v>
      </c>
      <c r="F854" s="196" t="s">
        <v>1362</v>
      </c>
      <c r="G854" s="196">
        <v>924</v>
      </c>
      <c r="H854" s="196">
        <v>196</v>
      </c>
      <c r="I854" s="196">
        <v>840420</v>
      </c>
      <c r="J854" s="196">
        <v>1391220</v>
      </c>
      <c r="K854" s="196">
        <v>86.34</v>
      </c>
      <c r="L854" s="196">
        <v>4.8099999999999996</v>
      </c>
      <c r="M854" s="196">
        <v>7433</v>
      </c>
      <c r="N854" s="196">
        <v>1836550</v>
      </c>
      <c r="O854" s="196">
        <v>2030</v>
      </c>
      <c r="P854" s="196"/>
      <c r="Q854" s="196"/>
      <c r="R854" s="196"/>
      <c r="S854" s="196"/>
      <c r="T854" s="196"/>
      <c r="U854" s="196"/>
      <c r="V854" s="196"/>
      <c r="W854" s="196"/>
      <c r="X854" s="196"/>
      <c r="Y854" s="196"/>
    </row>
    <row r="855" spans="1:25">
      <c r="A855" s="196" t="s">
        <v>837</v>
      </c>
      <c r="B855" s="196" t="s">
        <v>850</v>
      </c>
      <c r="C855" s="196">
        <v>2013</v>
      </c>
      <c r="D855" s="196">
        <v>80</v>
      </c>
      <c r="E855" s="196" t="s">
        <v>917</v>
      </c>
      <c r="F855" s="196" t="s">
        <v>1362</v>
      </c>
      <c r="G855" s="196">
        <v>1</v>
      </c>
      <c r="H855" s="196">
        <v>1</v>
      </c>
      <c r="I855" s="196">
        <v>316</v>
      </c>
      <c r="J855" s="196">
        <v>25250</v>
      </c>
      <c r="K855" s="196">
        <v>86.34</v>
      </c>
      <c r="L855" s="196">
        <v>4.8099999999999996</v>
      </c>
      <c r="M855" s="196">
        <v>7433</v>
      </c>
      <c r="N855" s="196">
        <v>1836550</v>
      </c>
      <c r="O855" s="196">
        <v>2030</v>
      </c>
      <c r="P855" s="196"/>
      <c r="Q855" s="196"/>
      <c r="R855" s="196"/>
      <c r="S855" s="196"/>
      <c r="T855" s="196"/>
      <c r="U855" s="196"/>
      <c r="V855" s="196"/>
      <c r="W855" s="196"/>
      <c r="X855" s="196"/>
      <c r="Y855" s="196"/>
    </row>
    <row r="856" spans="1:25">
      <c r="A856" s="196" t="s">
        <v>837</v>
      </c>
      <c r="B856" s="196" t="s">
        <v>850</v>
      </c>
      <c r="C856" s="196">
        <v>2014</v>
      </c>
      <c r="D856" s="196">
        <v>80</v>
      </c>
      <c r="E856" s="196" t="s">
        <v>918</v>
      </c>
      <c r="F856" s="196" t="s">
        <v>1362</v>
      </c>
      <c r="G856" s="196">
        <v>4</v>
      </c>
      <c r="H856" s="196">
        <v>4</v>
      </c>
      <c r="I856" s="196">
        <v>4773</v>
      </c>
      <c r="J856" s="196">
        <v>40294</v>
      </c>
      <c r="K856" s="196">
        <v>86.34</v>
      </c>
      <c r="L856" s="196">
        <v>4.8099999999999996</v>
      </c>
      <c r="M856" s="196">
        <v>7433</v>
      </c>
      <c r="N856" s="196">
        <v>1836550</v>
      </c>
      <c r="O856" s="196">
        <v>2030</v>
      </c>
      <c r="P856" s="196"/>
      <c r="Q856" s="196"/>
      <c r="R856" s="196"/>
      <c r="S856" s="196"/>
      <c r="T856" s="196"/>
      <c r="U856" s="196"/>
      <c r="V856" s="196"/>
      <c r="W856" s="196"/>
      <c r="X856" s="196"/>
      <c r="Y856" s="196"/>
    </row>
    <row r="857" spans="1:25">
      <c r="A857" s="196" t="s">
        <v>837</v>
      </c>
      <c r="B857" s="196" t="s">
        <v>850</v>
      </c>
      <c r="C857" s="196">
        <v>2014</v>
      </c>
      <c r="D857" s="196">
        <v>80</v>
      </c>
      <c r="E857" s="196" t="s">
        <v>875</v>
      </c>
      <c r="F857" s="196" t="s">
        <v>1362</v>
      </c>
      <c r="G857" s="196">
        <v>3</v>
      </c>
      <c r="H857" s="196">
        <v>2</v>
      </c>
      <c r="I857" s="196">
        <v>3108</v>
      </c>
      <c r="J857" s="196">
        <v>10370</v>
      </c>
      <c r="K857" s="196">
        <v>86.34</v>
      </c>
      <c r="L857" s="196">
        <v>4.8099999999999996</v>
      </c>
      <c r="M857" s="196">
        <v>7433</v>
      </c>
      <c r="N857" s="196">
        <v>1836550</v>
      </c>
      <c r="O857" s="196">
        <v>2030</v>
      </c>
      <c r="P857" s="196"/>
      <c r="Q857" s="196"/>
      <c r="R857" s="196"/>
      <c r="S857" s="196"/>
      <c r="T857" s="196"/>
      <c r="U857" s="196"/>
      <c r="V857" s="196"/>
      <c r="W857" s="196"/>
      <c r="X857" s="196"/>
      <c r="Y857" s="196"/>
    </row>
    <row r="858" spans="1:25">
      <c r="A858" s="196" t="s">
        <v>837</v>
      </c>
      <c r="B858" s="196" t="s">
        <v>838</v>
      </c>
      <c r="C858" s="196">
        <v>2013</v>
      </c>
      <c r="D858" s="196">
        <v>80</v>
      </c>
      <c r="E858" s="196" t="s">
        <v>908</v>
      </c>
      <c r="F858" s="196" t="s">
        <v>1362</v>
      </c>
      <c r="G858" s="196">
        <v>3</v>
      </c>
      <c r="H858" s="196">
        <v>3</v>
      </c>
      <c r="I858" s="196">
        <v>2610</v>
      </c>
      <c r="J858" s="196">
        <v>37770</v>
      </c>
      <c r="K858" s="196">
        <v>86.34</v>
      </c>
      <c r="L858" s="196">
        <v>4.8099999999999996</v>
      </c>
      <c r="M858" s="196">
        <v>7433</v>
      </c>
      <c r="N858" s="196">
        <v>1836550</v>
      </c>
      <c r="O858" s="196">
        <v>2030</v>
      </c>
      <c r="P858" s="196"/>
      <c r="Q858" s="196"/>
      <c r="R858" s="196"/>
      <c r="S858" s="196"/>
      <c r="T858" s="196"/>
      <c r="U858" s="196"/>
      <c r="V858" s="196"/>
      <c r="W858" s="196"/>
      <c r="X858" s="196"/>
      <c r="Y858" s="196"/>
    </row>
    <row r="859" spans="1:25">
      <c r="A859" s="196" t="s">
        <v>837</v>
      </c>
      <c r="B859" s="196" t="s">
        <v>181</v>
      </c>
      <c r="C859" s="196">
        <v>2013</v>
      </c>
      <c r="D859" s="196">
        <v>80</v>
      </c>
      <c r="E859" s="196" t="s">
        <v>876</v>
      </c>
      <c r="F859" s="196" t="s">
        <v>1362</v>
      </c>
      <c r="G859" s="196">
        <v>1</v>
      </c>
      <c r="H859" s="196">
        <v>1</v>
      </c>
      <c r="I859" s="196">
        <v>642</v>
      </c>
      <c r="J859" s="196">
        <v>19972</v>
      </c>
      <c r="K859" s="196">
        <v>86.34</v>
      </c>
      <c r="L859" s="196">
        <v>4.8099999999999996</v>
      </c>
      <c r="M859" s="196">
        <v>7433</v>
      </c>
      <c r="N859" s="196">
        <v>1836550</v>
      </c>
      <c r="O859" s="196">
        <v>2030</v>
      </c>
      <c r="P859" s="196"/>
      <c r="Q859" s="196"/>
      <c r="R859" s="196"/>
      <c r="S859" s="196"/>
      <c r="T859" s="196"/>
      <c r="U859" s="196"/>
      <c r="V859" s="196"/>
      <c r="W859" s="196"/>
      <c r="X859" s="196"/>
      <c r="Y859" s="196"/>
    </row>
    <row r="860" spans="1:25">
      <c r="A860" s="196" t="s">
        <v>837</v>
      </c>
      <c r="B860" s="196" t="s">
        <v>181</v>
      </c>
      <c r="C860" s="196">
        <v>2014</v>
      </c>
      <c r="D860" s="196">
        <v>30</v>
      </c>
      <c r="E860" s="196" t="s">
        <v>857</v>
      </c>
      <c r="F860" s="196" t="s">
        <v>1362</v>
      </c>
      <c r="G860" s="196">
        <v>1</v>
      </c>
      <c r="H860" s="196">
        <v>1</v>
      </c>
      <c r="I860" s="196">
        <v>1596</v>
      </c>
      <c r="J860" s="196">
        <v>21478</v>
      </c>
      <c r="K860" s="196">
        <v>86.34</v>
      </c>
      <c r="L860" s="196">
        <v>4.8099999999999996</v>
      </c>
      <c r="M860" s="196">
        <v>7433</v>
      </c>
      <c r="N860" s="196">
        <v>1836550</v>
      </c>
      <c r="O860" s="196">
        <v>2030</v>
      </c>
      <c r="P860" s="196"/>
      <c r="Q860" s="196"/>
      <c r="R860" s="196"/>
      <c r="S860" s="196"/>
      <c r="T860" s="196"/>
      <c r="U860" s="196"/>
      <c r="V860" s="196"/>
      <c r="W860" s="196"/>
      <c r="X860" s="196"/>
      <c r="Y860" s="196"/>
    </row>
    <row r="861" spans="1:25">
      <c r="A861" s="196" t="s">
        <v>837</v>
      </c>
      <c r="B861" s="196" t="s">
        <v>181</v>
      </c>
      <c r="C861" s="196">
        <v>2014</v>
      </c>
      <c r="D861" s="196">
        <v>55</v>
      </c>
      <c r="E861" s="196" t="s">
        <v>858</v>
      </c>
      <c r="F861" s="196" t="s">
        <v>1362</v>
      </c>
      <c r="G861" s="196">
        <v>1</v>
      </c>
      <c r="H861" s="196">
        <v>1</v>
      </c>
      <c r="I861" s="196">
        <v>1596</v>
      </c>
      <c r="J861" s="196">
        <v>21478</v>
      </c>
      <c r="K861" s="196">
        <v>86.34</v>
      </c>
      <c r="L861" s="196">
        <v>4.8099999999999996</v>
      </c>
      <c r="M861" s="196">
        <v>7433</v>
      </c>
      <c r="N861" s="196">
        <v>1836550</v>
      </c>
      <c r="O861" s="196">
        <v>2030</v>
      </c>
      <c r="P861" s="196"/>
      <c r="Q861" s="196"/>
      <c r="R861" s="196"/>
      <c r="S861" s="196"/>
      <c r="T861" s="196"/>
      <c r="U861" s="196"/>
      <c r="V861" s="196"/>
      <c r="W861" s="196"/>
      <c r="X861" s="196"/>
      <c r="Y861" s="196"/>
    </row>
    <row r="862" spans="1:25">
      <c r="A862" s="196" t="s">
        <v>837</v>
      </c>
      <c r="B862" s="196" t="s">
        <v>181</v>
      </c>
      <c r="C862" s="196">
        <v>2014</v>
      </c>
      <c r="D862" s="196">
        <v>55</v>
      </c>
      <c r="E862" s="196" t="s">
        <v>859</v>
      </c>
      <c r="F862" s="196" t="s">
        <v>1362</v>
      </c>
      <c r="G862" s="196">
        <v>1</v>
      </c>
      <c r="H862" s="196">
        <v>1</v>
      </c>
      <c r="I862" s="196">
        <v>1596</v>
      </c>
      <c r="J862" s="196">
        <v>21478</v>
      </c>
      <c r="K862" s="196">
        <v>86.34</v>
      </c>
      <c r="L862" s="196">
        <v>4.8099999999999996</v>
      </c>
      <c r="M862" s="196">
        <v>7433</v>
      </c>
      <c r="N862" s="196">
        <v>1836550</v>
      </c>
      <c r="O862" s="196">
        <v>2030</v>
      </c>
      <c r="P862" s="196"/>
      <c r="Q862" s="196"/>
      <c r="R862" s="196"/>
      <c r="S862" s="196"/>
      <c r="T862" s="196"/>
      <c r="U862" s="196"/>
      <c r="V862" s="196"/>
      <c r="W862" s="196"/>
      <c r="X862" s="196"/>
      <c r="Y862" s="196"/>
    </row>
    <row r="863" spans="1:25">
      <c r="A863" s="196" t="s">
        <v>837</v>
      </c>
      <c r="B863" s="196" t="s">
        <v>850</v>
      </c>
      <c r="C863" s="196">
        <v>2014</v>
      </c>
      <c r="D863" s="196">
        <v>30</v>
      </c>
      <c r="E863" s="196" t="s">
        <v>861</v>
      </c>
      <c r="F863" s="196" t="s">
        <v>1362</v>
      </c>
      <c r="G863" s="196">
        <v>1</v>
      </c>
      <c r="H863" s="196">
        <v>1</v>
      </c>
      <c r="I863" s="196">
        <v>316</v>
      </c>
      <c r="J863" s="196">
        <v>25250</v>
      </c>
      <c r="K863" s="196">
        <v>86.34</v>
      </c>
      <c r="L863" s="196">
        <v>4.8099999999999996</v>
      </c>
      <c r="M863" s="196">
        <v>7433</v>
      </c>
      <c r="N863" s="196">
        <v>1836550</v>
      </c>
      <c r="O863" s="196">
        <v>2030</v>
      </c>
      <c r="P863" s="196"/>
      <c r="Q863" s="196"/>
      <c r="R863" s="196"/>
      <c r="S863" s="196"/>
      <c r="T863" s="196"/>
      <c r="U863" s="196"/>
      <c r="V863" s="196"/>
      <c r="W863" s="196"/>
      <c r="X863" s="196"/>
      <c r="Y863" s="196"/>
    </row>
    <row r="864" spans="1:25">
      <c r="A864" s="196" t="s">
        <v>837</v>
      </c>
      <c r="B864" s="196" t="s">
        <v>850</v>
      </c>
      <c r="C864" s="196">
        <v>2014</v>
      </c>
      <c r="D864" s="196">
        <v>55</v>
      </c>
      <c r="E864" s="196" t="s">
        <v>863</v>
      </c>
      <c r="F864" s="196" t="s">
        <v>1362</v>
      </c>
      <c r="G864" s="196">
        <v>3</v>
      </c>
      <c r="H864" s="196">
        <v>3</v>
      </c>
      <c r="I864" s="196">
        <v>2839</v>
      </c>
      <c r="J864" s="196">
        <v>45767</v>
      </c>
      <c r="K864" s="196">
        <v>86.34</v>
      </c>
      <c r="L864" s="196">
        <v>4.8099999999999996</v>
      </c>
      <c r="M864" s="196">
        <v>7433</v>
      </c>
      <c r="N864" s="196">
        <v>1836550</v>
      </c>
      <c r="O864" s="196">
        <v>2030</v>
      </c>
      <c r="P864" s="196"/>
      <c r="Q864" s="196"/>
      <c r="R864" s="196"/>
      <c r="S864" s="196"/>
      <c r="T864" s="196"/>
      <c r="U864" s="196"/>
      <c r="V864" s="196"/>
      <c r="W864" s="196"/>
      <c r="X864" s="196"/>
      <c r="Y864" s="196"/>
    </row>
    <row r="865" spans="1:25">
      <c r="A865" s="196" t="s">
        <v>837</v>
      </c>
      <c r="B865" s="196" t="s">
        <v>838</v>
      </c>
      <c r="C865" s="196">
        <v>2013</v>
      </c>
      <c r="D865" s="196">
        <v>30</v>
      </c>
      <c r="E865" s="196" t="s">
        <v>839</v>
      </c>
      <c r="F865" s="196" t="s">
        <v>1363</v>
      </c>
      <c r="G865" s="196">
        <v>1</v>
      </c>
      <c r="H865" s="196">
        <v>1</v>
      </c>
      <c r="I865" s="196">
        <v>564</v>
      </c>
      <c r="J865" s="196">
        <v>2551</v>
      </c>
      <c r="K865" s="196">
        <v>63.4</v>
      </c>
      <c r="L865" s="196">
        <v>6</v>
      </c>
      <c r="M865" s="196">
        <v>4909</v>
      </c>
      <c r="N865" s="196">
        <v>3187561</v>
      </c>
      <c r="O865" s="196">
        <v>3390</v>
      </c>
      <c r="P865" s="196"/>
      <c r="Q865" s="196"/>
      <c r="R865" s="196"/>
      <c r="S865" s="196"/>
      <c r="T865" s="196"/>
      <c r="U865" s="196"/>
      <c r="V865" s="196"/>
      <c r="W865" s="196"/>
      <c r="X865" s="196"/>
      <c r="Y865" s="196"/>
    </row>
    <row r="866" spans="1:25">
      <c r="A866" s="196" t="s">
        <v>837</v>
      </c>
      <c r="B866" s="196" t="s">
        <v>850</v>
      </c>
      <c r="C866" s="196">
        <v>2013</v>
      </c>
      <c r="D866" s="196">
        <v>30</v>
      </c>
      <c r="E866" s="196" t="s">
        <v>851</v>
      </c>
      <c r="F866" s="196" t="s">
        <v>1363</v>
      </c>
      <c r="G866" s="196">
        <v>6</v>
      </c>
      <c r="H866" s="196">
        <v>6</v>
      </c>
      <c r="I866" s="196">
        <v>5178</v>
      </c>
      <c r="J866" s="196">
        <v>26581</v>
      </c>
      <c r="K866" s="196">
        <v>63.4</v>
      </c>
      <c r="L866" s="196">
        <v>6</v>
      </c>
      <c r="M866" s="196">
        <v>4909</v>
      </c>
      <c r="N866" s="196">
        <v>3187561</v>
      </c>
      <c r="O866" s="196">
        <v>3390</v>
      </c>
      <c r="P866" s="196"/>
      <c r="Q866" s="196"/>
      <c r="R866" s="196"/>
      <c r="S866" s="196"/>
      <c r="T866" s="196"/>
      <c r="U866" s="196"/>
      <c r="V866" s="196"/>
      <c r="W866" s="196"/>
      <c r="X866" s="196"/>
      <c r="Y866" s="196"/>
    </row>
    <row r="867" spans="1:25">
      <c r="A867" s="196" t="s">
        <v>837</v>
      </c>
      <c r="B867" s="196" t="s">
        <v>850</v>
      </c>
      <c r="C867" s="196">
        <v>2013</v>
      </c>
      <c r="D867" s="196">
        <v>55</v>
      </c>
      <c r="E867" s="196" t="s">
        <v>852</v>
      </c>
      <c r="F867" s="196" t="s">
        <v>1363</v>
      </c>
      <c r="G867" s="196">
        <v>1</v>
      </c>
      <c r="H867" s="196">
        <v>1</v>
      </c>
      <c r="I867" s="196">
        <v>1953</v>
      </c>
      <c r="J867" s="196">
        <v>16662</v>
      </c>
      <c r="K867" s="196">
        <v>63.4</v>
      </c>
      <c r="L867" s="196">
        <v>6</v>
      </c>
      <c r="M867" s="196">
        <v>4909</v>
      </c>
      <c r="N867" s="196">
        <v>3187561</v>
      </c>
      <c r="O867" s="196">
        <v>3390</v>
      </c>
      <c r="P867" s="196"/>
      <c r="Q867" s="196"/>
      <c r="R867" s="196"/>
      <c r="S867" s="196"/>
      <c r="T867" s="196"/>
      <c r="U867" s="196"/>
      <c r="V867" s="196"/>
      <c r="W867" s="196"/>
      <c r="X867" s="196"/>
      <c r="Y867" s="196"/>
    </row>
    <row r="868" spans="1:25">
      <c r="A868" s="196" t="s">
        <v>837</v>
      </c>
      <c r="B868" s="196" t="s">
        <v>181</v>
      </c>
      <c r="C868" s="196">
        <v>2014</v>
      </c>
      <c r="D868" s="196">
        <v>80</v>
      </c>
      <c r="E868" s="196" t="s">
        <v>874</v>
      </c>
      <c r="F868" s="196" t="s">
        <v>1363</v>
      </c>
      <c r="G868" s="196">
        <v>1</v>
      </c>
      <c r="H868" s="196">
        <v>1</v>
      </c>
      <c r="I868" s="196">
        <v>2355</v>
      </c>
      <c r="J868" s="196">
        <v>10255</v>
      </c>
      <c r="K868" s="196">
        <v>63.4</v>
      </c>
      <c r="L868" s="196">
        <v>6</v>
      </c>
      <c r="M868" s="196">
        <v>4909</v>
      </c>
      <c r="N868" s="196">
        <v>3187561</v>
      </c>
      <c r="O868" s="196">
        <v>3390</v>
      </c>
      <c r="P868" s="196"/>
      <c r="Q868" s="196"/>
      <c r="R868" s="196"/>
      <c r="S868" s="196"/>
      <c r="T868" s="196"/>
      <c r="U868" s="196"/>
      <c r="V868" s="196"/>
      <c r="W868" s="196"/>
      <c r="X868" s="196"/>
      <c r="Y868" s="196"/>
    </row>
    <row r="869" spans="1:25">
      <c r="A869" s="196" t="s">
        <v>837</v>
      </c>
      <c r="B869" s="196" t="s">
        <v>838</v>
      </c>
      <c r="C869" s="196">
        <v>2013</v>
      </c>
      <c r="D869" s="196">
        <v>30</v>
      </c>
      <c r="E869" s="196" t="s">
        <v>839</v>
      </c>
      <c r="F869" s="196" t="s">
        <v>1364</v>
      </c>
      <c r="G869" s="196">
        <v>1</v>
      </c>
      <c r="H869" s="196">
        <v>1</v>
      </c>
      <c r="I869" s="196">
        <v>954</v>
      </c>
      <c r="J869" s="196">
        <v>2605</v>
      </c>
      <c r="K869" s="196">
        <v>82.12</v>
      </c>
      <c r="L869" s="196">
        <v>0</v>
      </c>
      <c r="M869" s="196">
        <v>6868</v>
      </c>
      <c r="N869" s="196">
        <v>1164034</v>
      </c>
      <c r="O869" s="196">
        <v>1434</v>
      </c>
      <c r="P869" s="196"/>
      <c r="Q869" s="196"/>
      <c r="R869" s="196"/>
      <c r="S869" s="196"/>
      <c r="T869" s="196"/>
      <c r="U869" s="196"/>
      <c r="V869" s="196"/>
      <c r="W869" s="196"/>
      <c r="X869" s="196"/>
      <c r="Y869" s="196"/>
    </row>
    <row r="870" spans="1:25">
      <c r="A870" s="196" t="s">
        <v>837</v>
      </c>
      <c r="B870" s="196" t="s">
        <v>850</v>
      </c>
      <c r="C870" s="196">
        <v>2013</v>
      </c>
      <c r="D870" s="196">
        <v>80</v>
      </c>
      <c r="E870" s="196" t="s">
        <v>917</v>
      </c>
      <c r="F870" s="196" t="s">
        <v>1364</v>
      </c>
      <c r="G870" s="196">
        <v>3</v>
      </c>
      <c r="H870" s="196">
        <v>3</v>
      </c>
      <c r="I870" s="196">
        <v>4584</v>
      </c>
      <c r="J870" s="196">
        <v>23685</v>
      </c>
      <c r="K870" s="196">
        <v>82.12</v>
      </c>
      <c r="L870" s="196">
        <v>0</v>
      </c>
      <c r="M870" s="196">
        <v>6868</v>
      </c>
      <c r="N870" s="196">
        <v>1164034</v>
      </c>
      <c r="O870" s="196">
        <v>1434</v>
      </c>
      <c r="P870" s="196"/>
      <c r="Q870" s="196"/>
      <c r="R870" s="196"/>
      <c r="S870" s="196"/>
      <c r="T870" s="196"/>
      <c r="U870" s="196"/>
      <c r="V870" s="196"/>
      <c r="W870" s="196"/>
      <c r="X870" s="196"/>
      <c r="Y870" s="196"/>
    </row>
    <row r="871" spans="1:25">
      <c r="A871" s="196" t="s">
        <v>837</v>
      </c>
      <c r="B871" s="196" t="s">
        <v>838</v>
      </c>
      <c r="C871" s="196">
        <v>2014</v>
      </c>
      <c r="D871" s="196">
        <v>80</v>
      </c>
      <c r="E871" s="196" t="s">
        <v>853</v>
      </c>
      <c r="F871" s="196" t="s">
        <v>1364</v>
      </c>
      <c r="G871" s="196">
        <v>1</v>
      </c>
      <c r="H871" s="196">
        <v>1</v>
      </c>
      <c r="I871" s="196">
        <v>930</v>
      </c>
      <c r="J871" s="196">
        <v>7765</v>
      </c>
      <c r="K871" s="196">
        <v>82.12</v>
      </c>
      <c r="L871" s="196">
        <v>0</v>
      </c>
      <c r="M871" s="196">
        <v>6868</v>
      </c>
      <c r="N871" s="196">
        <v>1164034</v>
      </c>
      <c r="O871" s="196">
        <v>1434</v>
      </c>
      <c r="P871" s="196"/>
      <c r="Q871" s="196"/>
      <c r="R871" s="196"/>
      <c r="S871" s="196"/>
      <c r="T871" s="196"/>
      <c r="U871" s="196"/>
      <c r="V871" s="196"/>
      <c r="W871" s="196"/>
      <c r="X871" s="196"/>
      <c r="Y871" s="196"/>
    </row>
    <row r="872" spans="1:25">
      <c r="A872" s="196" t="s">
        <v>837</v>
      </c>
      <c r="B872" s="196" t="s">
        <v>838</v>
      </c>
      <c r="C872" s="196">
        <v>2013</v>
      </c>
      <c r="D872" s="196">
        <v>80</v>
      </c>
      <c r="E872" s="196" t="s">
        <v>908</v>
      </c>
      <c r="F872" s="196" t="s">
        <v>1364</v>
      </c>
      <c r="G872" s="196">
        <v>2</v>
      </c>
      <c r="H872" s="196">
        <v>2</v>
      </c>
      <c r="I872" s="196">
        <v>1011</v>
      </c>
      <c r="J872" s="196">
        <v>10167</v>
      </c>
      <c r="K872" s="196">
        <v>82.12</v>
      </c>
      <c r="L872" s="196">
        <v>0</v>
      </c>
      <c r="M872" s="196">
        <v>6868</v>
      </c>
      <c r="N872" s="196">
        <v>1164034</v>
      </c>
      <c r="O872" s="196">
        <v>1434</v>
      </c>
      <c r="P872" s="196"/>
      <c r="Q872" s="196"/>
      <c r="R872" s="196"/>
      <c r="S872" s="196"/>
      <c r="T872" s="196"/>
      <c r="U872" s="196"/>
      <c r="V872" s="196"/>
      <c r="W872" s="196"/>
      <c r="X872" s="196"/>
      <c r="Y872" s="196"/>
    </row>
    <row r="873" spans="1:25">
      <c r="A873" s="196" t="s">
        <v>837</v>
      </c>
      <c r="B873" s="196" t="s">
        <v>850</v>
      </c>
      <c r="C873" s="196">
        <v>2014</v>
      </c>
      <c r="D873" s="196">
        <v>30</v>
      </c>
      <c r="E873" s="196" t="s">
        <v>860</v>
      </c>
      <c r="F873" s="196" t="s">
        <v>1364</v>
      </c>
      <c r="G873" s="196">
        <v>2</v>
      </c>
      <c r="H873" s="196">
        <v>2</v>
      </c>
      <c r="I873" s="196">
        <v>3000</v>
      </c>
      <c r="J873" s="196">
        <v>10233</v>
      </c>
      <c r="K873" s="196">
        <v>82.12</v>
      </c>
      <c r="L873" s="196">
        <v>0</v>
      </c>
      <c r="M873" s="196">
        <v>6868</v>
      </c>
      <c r="N873" s="196">
        <v>1164034</v>
      </c>
      <c r="O873" s="196">
        <v>1434</v>
      </c>
      <c r="P873" s="196"/>
      <c r="Q873" s="196"/>
      <c r="R873" s="196"/>
      <c r="S873" s="196"/>
      <c r="T873" s="196"/>
      <c r="U873" s="196"/>
      <c r="V873" s="196"/>
      <c r="W873" s="196"/>
      <c r="X873" s="196"/>
      <c r="Y873" s="196"/>
    </row>
    <row r="874" spans="1:25">
      <c r="A874" s="196" t="s">
        <v>837</v>
      </c>
      <c r="B874" s="196" t="s">
        <v>850</v>
      </c>
      <c r="C874" s="196">
        <v>2014</v>
      </c>
      <c r="D874" s="196">
        <v>30</v>
      </c>
      <c r="E874" s="196" t="s">
        <v>861</v>
      </c>
      <c r="F874" s="196" t="s">
        <v>1364</v>
      </c>
      <c r="G874" s="196">
        <v>1</v>
      </c>
      <c r="H874" s="196">
        <v>1</v>
      </c>
      <c r="I874" s="196">
        <v>381</v>
      </c>
      <c r="J874" s="196">
        <v>12696</v>
      </c>
      <c r="K874" s="196">
        <v>82.12</v>
      </c>
      <c r="L874" s="196">
        <v>0</v>
      </c>
      <c r="M874" s="196">
        <v>6868</v>
      </c>
      <c r="N874" s="196">
        <v>1164034</v>
      </c>
      <c r="O874" s="196">
        <v>1434</v>
      </c>
      <c r="P874" s="196"/>
      <c r="Q874" s="196"/>
      <c r="R874" s="196"/>
      <c r="S874" s="196"/>
      <c r="T874" s="196"/>
      <c r="U874" s="196"/>
      <c r="V874" s="196"/>
      <c r="W874" s="196"/>
      <c r="X874" s="196"/>
      <c r="Y874" s="196"/>
    </row>
    <row r="875" spans="1:25">
      <c r="A875" s="196" t="s">
        <v>837</v>
      </c>
      <c r="B875" s="196" t="s">
        <v>850</v>
      </c>
      <c r="C875" s="196">
        <v>2014</v>
      </c>
      <c r="D875" s="196">
        <v>55</v>
      </c>
      <c r="E875" s="196" t="s">
        <v>862</v>
      </c>
      <c r="F875" s="196" t="s">
        <v>1364</v>
      </c>
      <c r="G875" s="196">
        <v>1</v>
      </c>
      <c r="H875" s="196">
        <v>1</v>
      </c>
      <c r="I875" s="196">
        <v>2109</v>
      </c>
      <c r="J875" s="196">
        <v>8625</v>
      </c>
      <c r="K875" s="196">
        <v>82.12</v>
      </c>
      <c r="L875" s="196">
        <v>0</v>
      </c>
      <c r="M875" s="196">
        <v>6868</v>
      </c>
      <c r="N875" s="196">
        <v>1164034</v>
      </c>
      <c r="O875" s="196">
        <v>1434</v>
      </c>
      <c r="P875" s="196"/>
      <c r="Q875" s="196"/>
      <c r="R875" s="196"/>
      <c r="S875" s="196"/>
      <c r="T875" s="196"/>
      <c r="U875" s="196"/>
      <c r="V875" s="196"/>
      <c r="W875" s="196"/>
      <c r="X875" s="196"/>
      <c r="Y875" s="196"/>
    </row>
    <row r="876" spans="1:25">
      <c r="A876" s="196" t="s">
        <v>837</v>
      </c>
      <c r="B876" s="196" t="s">
        <v>850</v>
      </c>
      <c r="C876" s="196">
        <v>2013</v>
      </c>
      <c r="D876" s="196">
        <v>30</v>
      </c>
      <c r="E876" s="196" t="s">
        <v>851</v>
      </c>
      <c r="F876" s="196" t="s">
        <v>1365</v>
      </c>
      <c r="G876" s="196">
        <v>1</v>
      </c>
      <c r="H876" s="196">
        <v>1</v>
      </c>
      <c r="I876" s="196">
        <v>4284</v>
      </c>
      <c r="J876" s="196">
        <v>13844</v>
      </c>
      <c r="K876" s="196">
        <v>79</v>
      </c>
      <c r="L876" s="196">
        <v>0.95</v>
      </c>
      <c r="M876" s="196">
        <v>5218</v>
      </c>
      <c r="N876" s="196">
        <v>1800863</v>
      </c>
      <c r="O876" s="196">
        <v>1738</v>
      </c>
      <c r="P876" s="196"/>
      <c r="Q876" s="196"/>
      <c r="R876" s="196"/>
      <c r="S876" s="196"/>
      <c r="T876" s="196"/>
      <c r="U876" s="196"/>
      <c r="V876" s="196"/>
      <c r="W876" s="196"/>
      <c r="X876" s="196"/>
      <c r="Y876" s="196"/>
    </row>
    <row r="877" spans="1:25">
      <c r="A877" s="196" t="s">
        <v>837</v>
      </c>
      <c r="B877" s="196" t="s">
        <v>850</v>
      </c>
      <c r="C877" s="196">
        <v>2013</v>
      </c>
      <c r="D877" s="196">
        <v>55</v>
      </c>
      <c r="E877" s="196" t="s">
        <v>852</v>
      </c>
      <c r="F877" s="196" t="s">
        <v>1365</v>
      </c>
      <c r="G877" s="196">
        <v>1</v>
      </c>
      <c r="H877" s="196">
        <v>1</v>
      </c>
      <c r="I877" s="196">
        <v>4284</v>
      </c>
      <c r="J877" s="196">
        <v>13844</v>
      </c>
      <c r="K877" s="196">
        <v>79</v>
      </c>
      <c r="L877" s="196">
        <v>0.95</v>
      </c>
      <c r="M877" s="196">
        <v>5218</v>
      </c>
      <c r="N877" s="196">
        <v>1800863</v>
      </c>
      <c r="O877" s="196">
        <v>1738</v>
      </c>
      <c r="P877" s="196"/>
      <c r="Q877" s="196"/>
      <c r="R877" s="196"/>
      <c r="S877" s="196"/>
      <c r="T877" s="196"/>
      <c r="U877" s="196"/>
      <c r="V877" s="196"/>
      <c r="W877" s="196"/>
      <c r="X877" s="196"/>
      <c r="Y877" s="196"/>
    </row>
    <row r="878" spans="1:25">
      <c r="A878" s="196" t="s">
        <v>837</v>
      </c>
      <c r="B878" s="196" t="s">
        <v>850</v>
      </c>
      <c r="C878" s="196">
        <v>2013</v>
      </c>
      <c r="D878" s="196">
        <v>80</v>
      </c>
      <c r="E878" s="196" t="s">
        <v>917</v>
      </c>
      <c r="F878" s="196" t="s">
        <v>1365</v>
      </c>
      <c r="G878" s="196">
        <v>1</v>
      </c>
      <c r="H878" s="196">
        <v>1</v>
      </c>
      <c r="I878" s="196">
        <v>1416</v>
      </c>
      <c r="J878" s="196">
        <v>14771</v>
      </c>
      <c r="K878" s="196">
        <v>79</v>
      </c>
      <c r="L878" s="196">
        <v>0.95</v>
      </c>
      <c r="M878" s="196">
        <v>5218</v>
      </c>
      <c r="N878" s="196">
        <v>1800863</v>
      </c>
      <c r="O878" s="196">
        <v>1738</v>
      </c>
      <c r="P878" s="196"/>
      <c r="Q878" s="196"/>
      <c r="R878" s="196"/>
      <c r="S878" s="196"/>
      <c r="T878" s="196"/>
      <c r="U878" s="196"/>
      <c r="V878" s="196"/>
      <c r="W878" s="196"/>
      <c r="X878" s="196"/>
      <c r="Y878" s="196"/>
    </row>
    <row r="879" spans="1:25">
      <c r="A879" s="196" t="s">
        <v>837</v>
      </c>
      <c r="B879" s="196" t="s">
        <v>850</v>
      </c>
      <c r="C879" s="196">
        <v>2014</v>
      </c>
      <c r="D879" s="196">
        <v>80</v>
      </c>
      <c r="E879" s="196" t="s">
        <v>875</v>
      </c>
      <c r="F879" s="196" t="s">
        <v>1365</v>
      </c>
      <c r="G879" s="196">
        <v>1</v>
      </c>
      <c r="H879" s="196">
        <v>1</v>
      </c>
      <c r="I879" s="196">
        <v>84</v>
      </c>
      <c r="J879" s="196">
        <v>6654</v>
      </c>
      <c r="K879" s="196">
        <v>79</v>
      </c>
      <c r="L879" s="196">
        <v>0.95</v>
      </c>
      <c r="M879" s="196">
        <v>5218</v>
      </c>
      <c r="N879" s="196">
        <v>1800863</v>
      </c>
      <c r="O879" s="196">
        <v>1738</v>
      </c>
      <c r="P879" s="196"/>
      <c r="Q879" s="196"/>
      <c r="R879" s="196"/>
      <c r="S879" s="196"/>
      <c r="T879" s="196"/>
      <c r="U879" s="196"/>
      <c r="V879" s="196"/>
      <c r="W879" s="196"/>
      <c r="X879" s="196"/>
      <c r="Y879" s="196"/>
    </row>
    <row r="880" spans="1:25">
      <c r="A880" s="196" t="s">
        <v>837</v>
      </c>
      <c r="B880" s="196" t="s">
        <v>838</v>
      </c>
      <c r="C880" s="196">
        <v>2013</v>
      </c>
      <c r="D880" s="196">
        <v>80</v>
      </c>
      <c r="E880" s="196" t="s">
        <v>908</v>
      </c>
      <c r="F880" s="196" t="s">
        <v>1365</v>
      </c>
      <c r="G880" s="196">
        <v>1</v>
      </c>
      <c r="H880" s="196">
        <v>1</v>
      </c>
      <c r="I880" s="196">
        <v>3393</v>
      </c>
      <c r="J880" s="196">
        <v>5073</v>
      </c>
      <c r="K880" s="196">
        <v>79</v>
      </c>
      <c r="L880" s="196">
        <v>0.95</v>
      </c>
      <c r="M880" s="196">
        <v>5218</v>
      </c>
      <c r="N880" s="196">
        <v>1800863</v>
      </c>
      <c r="O880" s="196">
        <v>1738</v>
      </c>
      <c r="P880" s="196"/>
      <c r="Q880" s="196"/>
      <c r="R880" s="196"/>
      <c r="S880" s="196"/>
      <c r="T880" s="196"/>
      <c r="U880" s="196"/>
      <c r="V880" s="196"/>
      <c r="W880" s="196"/>
      <c r="X880" s="196"/>
      <c r="Y880" s="196"/>
    </row>
    <row r="881" spans="1:25">
      <c r="A881" s="196" t="s">
        <v>837</v>
      </c>
      <c r="B881" s="196" t="s">
        <v>181</v>
      </c>
      <c r="C881" s="196">
        <v>2014</v>
      </c>
      <c r="D881" s="196">
        <v>55</v>
      </c>
      <c r="E881" s="196" t="s">
        <v>858</v>
      </c>
      <c r="F881" s="196" t="s">
        <v>1365</v>
      </c>
      <c r="G881" s="196">
        <v>1</v>
      </c>
      <c r="H881" s="196">
        <v>1</v>
      </c>
      <c r="I881" s="196">
        <v>77</v>
      </c>
      <c r="J881" s="196">
        <v>5209</v>
      </c>
      <c r="K881" s="196">
        <v>79</v>
      </c>
      <c r="L881" s="196">
        <v>0.95</v>
      </c>
      <c r="M881" s="196">
        <v>5218</v>
      </c>
      <c r="N881" s="196">
        <v>1800863</v>
      </c>
      <c r="O881" s="196">
        <v>1738</v>
      </c>
      <c r="P881" s="196"/>
      <c r="Q881" s="196"/>
      <c r="R881" s="196"/>
      <c r="S881" s="196"/>
      <c r="T881" s="196"/>
      <c r="U881" s="196"/>
      <c r="V881" s="196"/>
      <c r="W881" s="196"/>
      <c r="X881" s="196"/>
      <c r="Y881" s="196"/>
    </row>
    <row r="882" spans="1:25">
      <c r="A882" s="196" t="s">
        <v>837</v>
      </c>
      <c r="B882" s="196" t="s">
        <v>838</v>
      </c>
      <c r="C882" s="196">
        <v>2013</v>
      </c>
      <c r="D882" s="196">
        <v>30</v>
      </c>
      <c r="E882" s="196" t="s">
        <v>839</v>
      </c>
      <c r="F882" s="196" t="s">
        <v>1366</v>
      </c>
      <c r="G882" s="196">
        <v>5</v>
      </c>
      <c r="H882" s="196">
        <v>5</v>
      </c>
      <c r="I882" s="196">
        <v>5721</v>
      </c>
      <c r="J882" s="196">
        <v>21624</v>
      </c>
      <c r="K882" s="196">
        <v>79.349999999999994</v>
      </c>
      <c r="L882" s="196">
        <v>2.87</v>
      </c>
      <c r="M882" s="196">
        <v>11350</v>
      </c>
      <c r="N882" s="196">
        <v>1164736</v>
      </c>
      <c r="O882" s="196">
        <v>1356</v>
      </c>
      <c r="P882" s="196"/>
      <c r="Q882" s="196"/>
      <c r="R882" s="196"/>
      <c r="S882" s="196"/>
      <c r="T882" s="196"/>
      <c r="U882" s="196"/>
      <c r="V882" s="196"/>
      <c r="W882" s="196"/>
      <c r="X882" s="196"/>
      <c r="Y882" s="196"/>
    </row>
    <row r="883" spans="1:25">
      <c r="A883" s="196" t="s">
        <v>837</v>
      </c>
      <c r="B883" s="196" t="s">
        <v>838</v>
      </c>
      <c r="C883" s="196">
        <v>2013</v>
      </c>
      <c r="D883" s="196">
        <v>55</v>
      </c>
      <c r="E883" s="196" t="s">
        <v>849</v>
      </c>
      <c r="F883" s="196" t="s">
        <v>1366</v>
      </c>
      <c r="G883" s="196">
        <v>171</v>
      </c>
      <c r="H883" s="196">
        <v>86</v>
      </c>
      <c r="I883" s="196">
        <v>189437</v>
      </c>
      <c r="J883" s="196">
        <v>878245</v>
      </c>
      <c r="K883" s="196">
        <v>79.349999999999994</v>
      </c>
      <c r="L883" s="196">
        <v>2.87</v>
      </c>
      <c r="M883" s="196">
        <v>11350</v>
      </c>
      <c r="N883" s="196">
        <v>1164736</v>
      </c>
      <c r="O883" s="196">
        <v>1356</v>
      </c>
      <c r="P883" s="196"/>
      <c r="Q883" s="196"/>
      <c r="R883" s="196"/>
      <c r="S883" s="196"/>
      <c r="T883" s="196"/>
      <c r="U883" s="196"/>
      <c r="V883" s="196"/>
      <c r="W883" s="196"/>
      <c r="X883" s="196"/>
      <c r="Y883" s="196"/>
    </row>
    <row r="884" spans="1:25">
      <c r="A884" s="196" t="s">
        <v>837</v>
      </c>
      <c r="B884" s="196" t="s">
        <v>850</v>
      </c>
      <c r="C884" s="196">
        <v>2013</v>
      </c>
      <c r="D884" s="196">
        <v>30</v>
      </c>
      <c r="E884" s="196" t="s">
        <v>851</v>
      </c>
      <c r="F884" s="196" t="s">
        <v>1366</v>
      </c>
      <c r="G884" s="196">
        <v>9</v>
      </c>
      <c r="H884" s="196">
        <v>8</v>
      </c>
      <c r="I884" s="196">
        <v>11264</v>
      </c>
      <c r="J884" s="196">
        <v>88435</v>
      </c>
      <c r="K884" s="196">
        <v>79.349999999999994</v>
      </c>
      <c r="L884" s="196">
        <v>2.87</v>
      </c>
      <c r="M884" s="196">
        <v>11350</v>
      </c>
      <c r="N884" s="196">
        <v>1164736</v>
      </c>
      <c r="O884" s="196">
        <v>1356</v>
      </c>
      <c r="P884" s="196"/>
      <c r="Q884" s="196"/>
      <c r="R884" s="196"/>
      <c r="S884" s="196"/>
      <c r="T884" s="196"/>
      <c r="U884" s="196"/>
      <c r="V884" s="196"/>
      <c r="W884" s="196"/>
      <c r="X884" s="196"/>
      <c r="Y884" s="196"/>
    </row>
    <row r="885" spans="1:25">
      <c r="A885" s="196" t="s">
        <v>837</v>
      </c>
      <c r="B885" s="196" t="s">
        <v>850</v>
      </c>
      <c r="C885" s="196">
        <v>2013</v>
      </c>
      <c r="D885" s="196">
        <v>55</v>
      </c>
      <c r="E885" s="196" t="s">
        <v>852</v>
      </c>
      <c r="F885" s="196" t="s">
        <v>1366</v>
      </c>
      <c r="G885" s="196">
        <v>139</v>
      </c>
      <c r="H885" s="196">
        <v>71</v>
      </c>
      <c r="I885" s="196">
        <v>142478</v>
      </c>
      <c r="J885" s="196">
        <v>757375</v>
      </c>
      <c r="K885" s="196">
        <v>79.349999999999994</v>
      </c>
      <c r="L885" s="196">
        <v>2.87</v>
      </c>
      <c r="M885" s="196">
        <v>11350</v>
      </c>
      <c r="N885" s="196">
        <v>1164736</v>
      </c>
      <c r="O885" s="196">
        <v>1356</v>
      </c>
      <c r="P885" s="196"/>
      <c r="Q885" s="196"/>
      <c r="R885" s="196"/>
      <c r="S885" s="196"/>
      <c r="T885" s="196"/>
      <c r="U885" s="196"/>
      <c r="V885" s="196"/>
      <c r="W885" s="196"/>
      <c r="X885" s="196"/>
      <c r="Y885" s="196"/>
    </row>
    <row r="886" spans="1:25">
      <c r="A886" s="196" t="s">
        <v>837</v>
      </c>
      <c r="B886" s="196" t="s">
        <v>838</v>
      </c>
      <c r="C886" s="196">
        <v>2014</v>
      </c>
      <c r="D886" s="196">
        <v>80</v>
      </c>
      <c r="E886" s="196" t="s">
        <v>853</v>
      </c>
      <c r="F886" s="196" t="s">
        <v>1366</v>
      </c>
      <c r="G886" s="196">
        <v>3</v>
      </c>
      <c r="H886" s="196">
        <v>3</v>
      </c>
      <c r="I886" s="196">
        <v>3486</v>
      </c>
      <c r="J886" s="196">
        <v>25575</v>
      </c>
      <c r="K886" s="196">
        <v>79.349999999999994</v>
      </c>
      <c r="L886" s="196">
        <v>2.87</v>
      </c>
      <c r="M886" s="196">
        <v>11350</v>
      </c>
      <c r="N886" s="196">
        <v>1164736</v>
      </c>
      <c r="O886" s="196">
        <v>1356</v>
      </c>
      <c r="P886" s="196"/>
      <c r="Q886" s="196"/>
      <c r="R886" s="196"/>
      <c r="S886" s="196"/>
      <c r="T886" s="196"/>
      <c r="U886" s="196"/>
      <c r="V886" s="196"/>
      <c r="W886" s="196"/>
      <c r="X886" s="196"/>
      <c r="Y886" s="196"/>
    </row>
    <row r="887" spans="1:25">
      <c r="A887" s="196" t="s">
        <v>837</v>
      </c>
      <c r="B887" s="196" t="s">
        <v>181</v>
      </c>
      <c r="C887" s="196">
        <v>2014</v>
      </c>
      <c r="D887" s="196">
        <v>80</v>
      </c>
      <c r="E887" s="196" t="s">
        <v>874</v>
      </c>
      <c r="F887" s="196" t="s">
        <v>1366</v>
      </c>
      <c r="G887" s="196">
        <v>1</v>
      </c>
      <c r="H887" s="196">
        <v>1</v>
      </c>
      <c r="I887" s="196">
        <v>639</v>
      </c>
      <c r="J887" s="196">
        <v>6438</v>
      </c>
      <c r="K887" s="196">
        <v>79.349999999999994</v>
      </c>
      <c r="L887" s="196">
        <v>2.87</v>
      </c>
      <c r="M887" s="196">
        <v>11350</v>
      </c>
      <c r="N887" s="196">
        <v>1164736</v>
      </c>
      <c r="O887" s="196">
        <v>1356</v>
      </c>
      <c r="P887" s="196"/>
      <c r="Q887" s="196"/>
      <c r="R887" s="196"/>
      <c r="S887" s="196"/>
      <c r="T887" s="196"/>
      <c r="U887" s="196"/>
      <c r="V887" s="196"/>
      <c r="W887" s="196"/>
      <c r="X887" s="196"/>
      <c r="Y887" s="196"/>
    </row>
    <row r="888" spans="1:25">
      <c r="A888" s="196" t="s">
        <v>837</v>
      </c>
      <c r="B888" s="196" t="s">
        <v>181</v>
      </c>
      <c r="C888" s="196">
        <v>2013</v>
      </c>
      <c r="D888" s="196">
        <v>80</v>
      </c>
      <c r="E888" s="196" t="s">
        <v>876</v>
      </c>
      <c r="F888" s="196" t="s">
        <v>1366</v>
      </c>
      <c r="G888" s="196">
        <v>1</v>
      </c>
      <c r="H888" s="196">
        <v>1</v>
      </c>
      <c r="I888" s="196">
        <v>305</v>
      </c>
      <c r="J888" s="196">
        <v>13044</v>
      </c>
      <c r="K888" s="196">
        <v>79.349999999999994</v>
      </c>
      <c r="L888" s="196">
        <v>2.87</v>
      </c>
      <c r="M888" s="196">
        <v>11350</v>
      </c>
      <c r="N888" s="196">
        <v>1164736</v>
      </c>
      <c r="O888" s="196">
        <v>1356</v>
      </c>
      <c r="P888" s="196"/>
      <c r="Q888" s="196"/>
      <c r="R888" s="196"/>
      <c r="S888" s="196"/>
      <c r="T888" s="196"/>
      <c r="U888" s="196"/>
      <c r="V888" s="196"/>
      <c r="W888" s="196"/>
      <c r="X888" s="196"/>
      <c r="Y888" s="196"/>
    </row>
    <row r="889" spans="1:25">
      <c r="A889" s="196" t="s">
        <v>837</v>
      </c>
      <c r="B889" s="196" t="s">
        <v>838</v>
      </c>
      <c r="C889" s="196">
        <v>2014</v>
      </c>
      <c r="D889" s="196">
        <v>55</v>
      </c>
      <c r="E889" s="196" t="s">
        <v>854</v>
      </c>
      <c r="F889" s="196" t="s">
        <v>1366</v>
      </c>
      <c r="G889" s="196">
        <v>68</v>
      </c>
      <c r="H889" s="196">
        <v>48</v>
      </c>
      <c r="I889" s="196">
        <v>87099</v>
      </c>
      <c r="J889" s="196">
        <v>496390</v>
      </c>
      <c r="K889" s="196">
        <v>79.349999999999994</v>
      </c>
      <c r="L889" s="196">
        <v>2.87</v>
      </c>
      <c r="M889" s="196">
        <v>11350</v>
      </c>
      <c r="N889" s="196">
        <v>1164736</v>
      </c>
      <c r="O889" s="196">
        <v>1356</v>
      </c>
      <c r="P889" s="196"/>
      <c r="Q889" s="196"/>
      <c r="R889" s="196"/>
      <c r="S889" s="196"/>
      <c r="T889" s="196"/>
      <c r="U889" s="196"/>
      <c r="V889" s="196"/>
      <c r="W889" s="196"/>
      <c r="X889" s="196"/>
      <c r="Y889" s="196"/>
    </row>
    <row r="890" spans="1:25">
      <c r="A890" s="196" t="s">
        <v>837</v>
      </c>
      <c r="B890" s="196" t="s">
        <v>838</v>
      </c>
      <c r="C890" s="196">
        <v>2014</v>
      </c>
      <c r="D890" s="196">
        <v>55</v>
      </c>
      <c r="E890" s="196" t="s">
        <v>855</v>
      </c>
      <c r="F890" s="196" t="s">
        <v>1366</v>
      </c>
      <c r="G890" s="196">
        <v>123</v>
      </c>
      <c r="H890" s="196">
        <v>68</v>
      </c>
      <c r="I890" s="196">
        <v>142052</v>
      </c>
      <c r="J890" s="196">
        <v>738896</v>
      </c>
      <c r="K890" s="196">
        <v>79.349999999999994</v>
      </c>
      <c r="L890" s="196">
        <v>2.87</v>
      </c>
      <c r="M890" s="196">
        <v>11350</v>
      </c>
      <c r="N890" s="196">
        <v>1164736</v>
      </c>
      <c r="O890" s="196">
        <v>1356</v>
      </c>
      <c r="P890" s="196"/>
      <c r="Q890" s="196"/>
      <c r="R890" s="196"/>
      <c r="S890" s="196"/>
      <c r="T890" s="196"/>
      <c r="U890" s="196"/>
      <c r="V890" s="196"/>
      <c r="W890" s="196"/>
      <c r="X890" s="196"/>
      <c r="Y890" s="196"/>
    </row>
    <row r="891" spans="1:25">
      <c r="A891" s="196" t="s">
        <v>837</v>
      </c>
      <c r="B891" s="196" t="s">
        <v>181</v>
      </c>
      <c r="C891" s="196">
        <v>2014</v>
      </c>
      <c r="D891" s="196">
        <v>30</v>
      </c>
      <c r="E891" s="196" t="s">
        <v>856</v>
      </c>
      <c r="F891" s="196" t="s">
        <v>1366</v>
      </c>
      <c r="G891" s="196">
        <v>26</v>
      </c>
      <c r="H891" s="196">
        <v>22</v>
      </c>
      <c r="I891" s="196">
        <v>30359</v>
      </c>
      <c r="J891" s="196">
        <v>215455</v>
      </c>
      <c r="K891" s="196">
        <v>79.349999999999994</v>
      </c>
      <c r="L891" s="196">
        <v>2.87</v>
      </c>
      <c r="M891" s="196">
        <v>11350</v>
      </c>
      <c r="N891" s="196">
        <v>1164736</v>
      </c>
      <c r="O891" s="196">
        <v>1356</v>
      </c>
      <c r="P891" s="196"/>
      <c r="Q891" s="196"/>
      <c r="R891" s="196"/>
      <c r="S891" s="196"/>
      <c r="T891" s="196"/>
      <c r="U891" s="196"/>
      <c r="V891" s="196"/>
      <c r="W891" s="196"/>
      <c r="X891" s="196"/>
      <c r="Y891" s="196"/>
    </row>
    <row r="892" spans="1:25">
      <c r="A892" s="196" t="s">
        <v>837</v>
      </c>
      <c r="B892" s="196" t="s">
        <v>181</v>
      </c>
      <c r="C892" s="196">
        <v>2014</v>
      </c>
      <c r="D892" s="196">
        <v>30</v>
      </c>
      <c r="E892" s="196" t="s">
        <v>857</v>
      </c>
      <c r="F892" s="196" t="s">
        <v>1366</v>
      </c>
      <c r="G892" s="196">
        <v>45</v>
      </c>
      <c r="H892" s="196">
        <v>34</v>
      </c>
      <c r="I892" s="196">
        <v>51314</v>
      </c>
      <c r="J892" s="196">
        <v>363107</v>
      </c>
      <c r="K892" s="196">
        <v>79.349999999999994</v>
      </c>
      <c r="L892" s="196">
        <v>2.87</v>
      </c>
      <c r="M892" s="196">
        <v>11350</v>
      </c>
      <c r="N892" s="196">
        <v>1164736</v>
      </c>
      <c r="O892" s="196">
        <v>1356</v>
      </c>
      <c r="P892" s="196"/>
      <c r="Q892" s="196"/>
      <c r="R892" s="196"/>
      <c r="S892" s="196"/>
      <c r="T892" s="196"/>
      <c r="U892" s="196"/>
      <c r="V892" s="196"/>
      <c r="W892" s="196"/>
      <c r="X892" s="196"/>
      <c r="Y892" s="196"/>
    </row>
    <row r="893" spans="1:25">
      <c r="A893" s="196" t="s">
        <v>837</v>
      </c>
      <c r="B893" s="196" t="s">
        <v>181</v>
      </c>
      <c r="C893" s="196">
        <v>2014</v>
      </c>
      <c r="D893" s="196">
        <v>55</v>
      </c>
      <c r="E893" s="196" t="s">
        <v>858</v>
      </c>
      <c r="F893" s="196" t="s">
        <v>1366</v>
      </c>
      <c r="G893" s="196">
        <v>315</v>
      </c>
      <c r="H893" s="196">
        <v>117</v>
      </c>
      <c r="I893" s="196">
        <v>343382</v>
      </c>
      <c r="J893" s="196">
        <v>1037549</v>
      </c>
      <c r="K893" s="196">
        <v>79.349999999999994</v>
      </c>
      <c r="L893" s="196">
        <v>2.87</v>
      </c>
      <c r="M893" s="196">
        <v>11350</v>
      </c>
      <c r="N893" s="196">
        <v>1164736</v>
      </c>
      <c r="O893" s="196">
        <v>1356</v>
      </c>
      <c r="P893" s="196"/>
      <c r="Q893" s="196"/>
      <c r="R893" s="196"/>
      <c r="S893" s="196"/>
      <c r="T893" s="196"/>
      <c r="U893" s="196"/>
      <c r="V893" s="196"/>
      <c r="W893" s="196"/>
      <c r="X893" s="196"/>
      <c r="Y893" s="196"/>
    </row>
    <row r="894" spans="1:25">
      <c r="A894" s="196" t="s">
        <v>837</v>
      </c>
      <c r="B894" s="196" t="s">
        <v>181</v>
      </c>
      <c r="C894" s="196">
        <v>2014</v>
      </c>
      <c r="D894" s="196">
        <v>55</v>
      </c>
      <c r="E894" s="196" t="s">
        <v>859</v>
      </c>
      <c r="F894" s="196" t="s">
        <v>1366</v>
      </c>
      <c r="G894" s="196">
        <v>53</v>
      </c>
      <c r="H894" s="196">
        <v>38</v>
      </c>
      <c r="I894" s="196">
        <v>60738</v>
      </c>
      <c r="J894" s="196">
        <v>419894</v>
      </c>
      <c r="K894" s="196">
        <v>79.349999999999994</v>
      </c>
      <c r="L894" s="196">
        <v>2.87</v>
      </c>
      <c r="M894" s="196">
        <v>11350</v>
      </c>
      <c r="N894" s="196">
        <v>1164736</v>
      </c>
      <c r="O894" s="196">
        <v>1356</v>
      </c>
      <c r="P894" s="196"/>
      <c r="Q894" s="196"/>
      <c r="R894" s="196"/>
      <c r="S894" s="196"/>
      <c r="T894" s="196"/>
      <c r="U894" s="196"/>
      <c r="V894" s="196"/>
      <c r="W894" s="196"/>
      <c r="X894" s="196"/>
      <c r="Y894" s="196"/>
    </row>
    <row r="895" spans="1:25">
      <c r="A895" s="196" t="s">
        <v>837</v>
      </c>
      <c r="B895" s="196" t="s">
        <v>850</v>
      </c>
      <c r="C895" s="196">
        <v>2014</v>
      </c>
      <c r="D895" s="196">
        <v>30</v>
      </c>
      <c r="E895" s="196" t="s">
        <v>860</v>
      </c>
      <c r="F895" s="196" t="s">
        <v>1366</v>
      </c>
      <c r="G895" s="196">
        <v>6</v>
      </c>
      <c r="H895" s="196">
        <v>6</v>
      </c>
      <c r="I895" s="196">
        <v>4575</v>
      </c>
      <c r="J895" s="196">
        <v>62220</v>
      </c>
      <c r="K895" s="196">
        <v>79.349999999999994</v>
      </c>
      <c r="L895" s="196">
        <v>2.87</v>
      </c>
      <c r="M895" s="196">
        <v>11350</v>
      </c>
      <c r="N895" s="196">
        <v>1164736</v>
      </c>
      <c r="O895" s="196">
        <v>1356</v>
      </c>
      <c r="P895" s="196"/>
      <c r="Q895" s="196"/>
      <c r="R895" s="196"/>
      <c r="S895" s="196"/>
      <c r="T895" s="196"/>
      <c r="U895" s="196"/>
      <c r="V895" s="196"/>
      <c r="W895" s="196"/>
      <c r="X895" s="196"/>
      <c r="Y895" s="196"/>
    </row>
    <row r="896" spans="1:25">
      <c r="A896" s="196" t="s">
        <v>837</v>
      </c>
      <c r="B896" s="196" t="s">
        <v>850</v>
      </c>
      <c r="C896" s="196">
        <v>2014</v>
      </c>
      <c r="D896" s="196">
        <v>30</v>
      </c>
      <c r="E896" s="196" t="s">
        <v>861</v>
      </c>
      <c r="F896" s="196" t="s">
        <v>1366</v>
      </c>
      <c r="G896" s="196">
        <v>2</v>
      </c>
      <c r="H896" s="196">
        <v>2</v>
      </c>
      <c r="I896" s="196">
        <v>647</v>
      </c>
      <c r="J896" s="196">
        <v>18362</v>
      </c>
      <c r="K896" s="196">
        <v>79.349999999999994</v>
      </c>
      <c r="L896" s="196">
        <v>2.87</v>
      </c>
      <c r="M896" s="196">
        <v>11350</v>
      </c>
      <c r="N896" s="196">
        <v>1164736</v>
      </c>
      <c r="O896" s="196">
        <v>1356</v>
      </c>
      <c r="P896" s="196"/>
      <c r="Q896" s="196"/>
      <c r="R896" s="196"/>
      <c r="S896" s="196"/>
      <c r="T896" s="196"/>
      <c r="U896" s="196"/>
      <c r="V896" s="196"/>
      <c r="W896" s="196"/>
      <c r="X896" s="196"/>
      <c r="Y896" s="196"/>
    </row>
    <row r="897" spans="1:25">
      <c r="A897" s="196" t="s">
        <v>837</v>
      </c>
      <c r="B897" s="196" t="s">
        <v>850</v>
      </c>
      <c r="C897" s="196">
        <v>2014</v>
      </c>
      <c r="D897" s="196">
        <v>55</v>
      </c>
      <c r="E897" s="196" t="s">
        <v>862</v>
      </c>
      <c r="F897" s="196" t="s">
        <v>1366</v>
      </c>
      <c r="G897" s="196">
        <v>272</v>
      </c>
      <c r="H897" s="196">
        <v>105</v>
      </c>
      <c r="I897" s="196">
        <v>291297</v>
      </c>
      <c r="J897" s="196">
        <v>949254</v>
      </c>
      <c r="K897" s="196">
        <v>79.349999999999994</v>
      </c>
      <c r="L897" s="196">
        <v>2.87</v>
      </c>
      <c r="M897" s="196">
        <v>11350</v>
      </c>
      <c r="N897" s="196">
        <v>1164736</v>
      </c>
      <c r="O897" s="196">
        <v>1356</v>
      </c>
      <c r="P897" s="196"/>
      <c r="Q897" s="196"/>
      <c r="R897" s="196"/>
      <c r="S897" s="196"/>
      <c r="T897" s="196"/>
      <c r="U897" s="196"/>
      <c r="V897" s="196"/>
      <c r="W897" s="196"/>
      <c r="X897" s="196"/>
      <c r="Y897" s="196"/>
    </row>
    <row r="898" spans="1:25">
      <c r="A898" s="196" t="s">
        <v>837</v>
      </c>
      <c r="B898" s="196" t="s">
        <v>850</v>
      </c>
      <c r="C898" s="196">
        <v>2014</v>
      </c>
      <c r="D898" s="196">
        <v>55</v>
      </c>
      <c r="E898" s="196" t="s">
        <v>863</v>
      </c>
      <c r="F898" s="196" t="s">
        <v>1366</v>
      </c>
      <c r="G898" s="196">
        <v>28</v>
      </c>
      <c r="H898" s="196">
        <v>25</v>
      </c>
      <c r="I898" s="196">
        <v>30645</v>
      </c>
      <c r="J898" s="196">
        <v>385728</v>
      </c>
      <c r="K898" s="196">
        <v>79.349999999999994</v>
      </c>
      <c r="L898" s="196">
        <v>2.87</v>
      </c>
      <c r="M898" s="196">
        <v>11350</v>
      </c>
      <c r="N898" s="196">
        <v>1164736</v>
      </c>
      <c r="O898" s="196">
        <v>1356</v>
      </c>
      <c r="P898" s="196"/>
      <c r="Q898" s="196"/>
      <c r="R898" s="196"/>
      <c r="S898" s="196"/>
      <c r="T898" s="196"/>
      <c r="U898" s="196"/>
      <c r="V898" s="196"/>
      <c r="W898" s="196"/>
      <c r="X898" s="196"/>
      <c r="Y898" s="196"/>
    </row>
    <row r="899" spans="1:25">
      <c r="A899" s="196" t="s">
        <v>837</v>
      </c>
      <c r="B899" s="196" t="s">
        <v>181</v>
      </c>
      <c r="C899" s="196">
        <v>2014</v>
      </c>
      <c r="D899" s="196">
        <v>80</v>
      </c>
      <c r="E899" s="196" t="s">
        <v>874</v>
      </c>
      <c r="F899" s="196" t="s">
        <v>1367</v>
      </c>
      <c r="G899" s="196">
        <v>1</v>
      </c>
      <c r="H899" s="196">
        <v>1</v>
      </c>
      <c r="I899" s="196">
        <v>2313</v>
      </c>
      <c r="J899" s="196">
        <v>7695</v>
      </c>
      <c r="K899" s="196">
        <v>72.010000000000005</v>
      </c>
      <c r="L899" s="196">
        <v>1.89</v>
      </c>
      <c r="M899" s="196">
        <v>5347</v>
      </c>
      <c r="N899" s="196">
        <v>3178862</v>
      </c>
      <c r="O899" s="196">
        <v>2864</v>
      </c>
      <c r="P899" s="196"/>
      <c r="Q899" s="196"/>
      <c r="R899" s="196"/>
      <c r="S899" s="196"/>
      <c r="T899" s="196"/>
      <c r="U899" s="196"/>
      <c r="V899" s="196"/>
      <c r="W899" s="196"/>
      <c r="X899" s="196"/>
      <c r="Y899" s="196"/>
    </row>
    <row r="900" spans="1:25">
      <c r="A900" s="196" t="s">
        <v>837</v>
      </c>
      <c r="B900" s="196" t="s">
        <v>838</v>
      </c>
      <c r="C900" s="196">
        <v>2013</v>
      </c>
      <c r="D900" s="196">
        <v>80</v>
      </c>
      <c r="E900" s="196" t="s">
        <v>908</v>
      </c>
      <c r="F900" s="196" t="s">
        <v>1367</v>
      </c>
      <c r="G900" s="196">
        <v>1</v>
      </c>
      <c r="H900" s="196">
        <v>1</v>
      </c>
      <c r="I900" s="196">
        <v>2109</v>
      </c>
      <c r="J900" s="196">
        <v>12427</v>
      </c>
      <c r="K900" s="196">
        <v>72.010000000000005</v>
      </c>
      <c r="L900" s="196">
        <v>1.89</v>
      </c>
      <c r="M900" s="196">
        <v>5347</v>
      </c>
      <c r="N900" s="196">
        <v>3178862</v>
      </c>
      <c r="O900" s="196">
        <v>2864</v>
      </c>
      <c r="P900" s="196"/>
      <c r="Q900" s="196"/>
      <c r="R900" s="196"/>
      <c r="S900" s="196"/>
      <c r="T900" s="196"/>
      <c r="U900" s="196"/>
      <c r="V900" s="196"/>
      <c r="W900" s="196"/>
      <c r="X900" s="196"/>
      <c r="Y900" s="196"/>
    </row>
    <row r="901" spans="1:25">
      <c r="A901" s="196" t="s">
        <v>837</v>
      </c>
      <c r="B901" s="196" t="s">
        <v>181</v>
      </c>
      <c r="C901" s="196">
        <v>2014</v>
      </c>
      <c r="D901" s="196">
        <v>30</v>
      </c>
      <c r="E901" s="196" t="s">
        <v>856</v>
      </c>
      <c r="F901" s="196" t="s">
        <v>1367</v>
      </c>
      <c r="G901" s="196">
        <v>2</v>
      </c>
      <c r="H901" s="196">
        <v>2</v>
      </c>
      <c r="I901" s="196">
        <v>2735</v>
      </c>
      <c r="J901" s="196">
        <v>8290</v>
      </c>
      <c r="K901" s="196">
        <v>72.010000000000005</v>
      </c>
      <c r="L901" s="196">
        <v>1.89</v>
      </c>
      <c r="M901" s="196">
        <v>5347</v>
      </c>
      <c r="N901" s="196">
        <v>3178862</v>
      </c>
      <c r="O901" s="196">
        <v>2864</v>
      </c>
      <c r="P901" s="196"/>
      <c r="Q901" s="196"/>
      <c r="R901" s="196"/>
      <c r="S901" s="196"/>
      <c r="T901" s="196"/>
      <c r="U901" s="196"/>
      <c r="V901" s="196"/>
      <c r="W901" s="196"/>
      <c r="X901" s="196"/>
      <c r="Y901" s="196"/>
    </row>
    <row r="902" spans="1:25">
      <c r="A902" s="196" t="s">
        <v>837</v>
      </c>
      <c r="B902" s="196" t="s">
        <v>850</v>
      </c>
      <c r="C902" s="196">
        <v>2014</v>
      </c>
      <c r="D902" s="196">
        <v>80</v>
      </c>
      <c r="E902" s="196" t="s">
        <v>875</v>
      </c>
      <c r="F902" s="196" t="s">
        <v>1368</v>
      </c>
      <c r="G902" s="196">
        <v>1</v>
      </c>
      <c r="H902" s="196">
        <v>1</v>
      </c>
      <c r="I902" s="196">
        <v>765</v>
      </c>
      <c r="J902" s="196">
        <v>26481</v>
      </c>
      <c r="K902" s="196">
        <v>82.93</v>
      </c>
      <c r="L902" s="196">
        <v>0.09</v>
      </c>
      <c r="M902" s="196">
        <v>19569</v>
      </c>
      <c r="N902" s="196">
        <v>1245060</v>
      </c>
      <c r="O902" s="196">
        <v>1133</v>
      </c>
      <c r="P902" s="196"/>
      <c r="Q902" s="196"/>
      <c r="R902" s="196"/>
      <c r="S902" s="196"/>
      <c r="T902" s="196"/>
      <c r="U902" s="196"/>
      <c r="V902" s="196"/>
      <c r="W902" s="196"/>
      <c r="X902" s="196"/>
      <c r="Y902" s="196"/>
    </row>
    <row r="903" spans="1:25">
      <c r="A903" s="196" t="s">
        <v>837</v>
      </c>
      <c r="B903" s="196" t="s">
        <v>181</v>
      </c>
      <c r="C903" s="196">
        <v>2013</v>
      </c>
      <c r="D903" s="196">
        <v>80</v>
      </c>
      <c r="E903" s="196" t="s">
        <v>876</v>
      </c>
      <c r="F903" s="196" t="s">
        <v>1368</v>
      </c>
      <c r="G903" s="196">
        <v>1</v>
      </c>
      <c r="H903" s="196">
        <v>1</v>
      </c>
      <c r="I903" s="196">
        <v>813</v>
      </c>
      <c r="J903" s="196">
        <v>6061</v>
      </c>
      <c r="K903" s="196">
        <v>82.93</v>
      </c>
      <c r="L903" s="196">
        <v>0.09</v>
      </c>
      <c r="M903" s="196">
        <v>19569</v>
      </c>
      <c r="N903" s="196">
        <v>1245060</v>
      </c>
      <c r="O903" s="196">
        <v>1133</v>
      </c>
      <c r="P903" s="196"/>
      <c r="Q903" s="196"/>
      <c r="R903" s="196"/>
      <c r="S903" s="196"/>
      <c r="T903" s="196"/>
      <c r="U903" s="196"/>
      <c r="V903" s="196"/>
      <c r="W903" s="196"/>
      <c r="X903" s="196"/>
      <c r="Y903" s="196"/>
    </row>
    <row r="904" spans="1:25">
      <c r="A904" s="196" t="s">
        <v>837</v>
      </c>
      <c r="B904" s="196" t="s">
        <v>181</v>
      </c>
      <c r="C904" s="196">
        <v>2014</v>
      </c>
      <c r="D904" s="196">
        <v>30</v>
      </c>
      <c r="E904" s="196" t="s">
        <v>856</v>
      </c>
      <c r="F904" s="196" t="s">
        <v>1368</v>
      </c>
      <c r="G904" s="196">
        <v>1</v>
      </c>
      <c r="H904" s="196">
        <v>1</v>
      </c>
      <c r="I904" s="196">
        <v>2328</v>
      </c>
      <c r="J904" s="196">
        <v>39611</v>
      </c>
      <c r="K904" s="196">
        <v>82.93</v>
      </c>
      <c r="L904" s="196">
        <v>0.09</v>
      </c>
      <c r="M904" s="196">
        <v>19569</v>
      </c>
      <c r="N904" s="196">
        <v>1245060</v>
      </c>
      <c r="O904" s="196">
        <v>1133</v>
      </c>
      <c r="P904" s="196"/>
      <c r="Q904" s="196"/>
      <c r="R904" s="196"/>
      <c r="S904" s="196"/>
      <c r="T904" s="196"/>
      <c r="U904" s="196"/>
      <c r="V904" s="196"/>
      <c r="W904" s="196"/>
      <c r="X904" s="196"/>
      <c r="Y904" s="196"/>
    </row>
    <row r="905" spans="1:25">
      <c r="A905" s="196" t="s">
        <v>837</v>
      </c>
      <c r="B905" s="196" t="s">
        <v>838</v>
      </c>
      <c r="C905" s="196">
        <v>2013</v>
      </c>
      <c r="D905" s="196">
        <v>55</v>
      </c>
      <c r="E905" s="196" t="s">
        <v>849</v>
      </c>
      <c r="F905" s="196" t="s">
        <v>1369</v>
      </c>
      <c r="G905" s="196">
        <v>1</v>
      </c>
      <c r="H905" s="196">
        <v>1</v>
      </c>
      <c r="I905" s="196">
        <v>825</v>
      </c>
      <c r="J905" s="196">
        <v>2837</v>
      </c>
      <c r="K905" s="196">
        <v>70.7</v>
      </c>
      <c r="L905" s="196">
        <v>18.54</v>
      </c>
      <c r="M905" s="196">
        <v>4766</v>
      </c>
      <c r="N905" s="196">
        <v>3725798</v>
      </c>
      <c r="O905" s="196">
        <v>3750</v>
      </c>
      <c r="P905" s="196"/>
      <c r="Q905" s="196"/>
      <c r="R905" s="196"/>
      <c r="S905" s="196"/>
      <c r="T905" s="196"/>
      <c r="U905" s="196"/>
      <c r="V905" s="196"/>
      <c r="W905" s="196"/>
      <c r="X905" s="196"/>
      <c r="Y905" s="196"/>
    </row>
    <row r="906" spans="1:25">
      <c r="A906" s="196" t="s">
        <v>837</v>
      </c>
      <c r="B906" s="196" t="s">
        <v>850</v>
      </c>
      <c r="C906" s="196">
        <v>2013</v>
      </c>
      <c r="D906" s="196">
        <v>30</v>
      </c>
      <c r="E906" s="196" t="s">
        <v>851</v>
      </c>
      <c r="F906" s="196" t="s">
        <v>1369</v>
      </c>
      <c r="G906" s="196">
        <v>1</v>
      </c>
      <c r="H906" s="196">
        <v>1</v>
      </c>
      <c r="I906" s="196">
        <v>4269</v>
      </c>
      <c r="J906" s="196">
        <v>6156</v>
      </c>
      <c r="K906" s="196">
        <v>70.7</v>
      </c>
      <c r="L906" s="196">
        <v>18.54</v>
      </c>
      <c r="M906" s="196">
        <v>4766</v>
      </c>
      <c r="N906" s="196">
        <v>3725798</v>
      </c>
      <c r="O906" s="196">
        <v>3750</v>
      </c>
      <c r="P906" s="196"/>
      <c r="Q906" s="196"/>
      <c r="R906" s="196"/>
      <c r="S906" s="196"/>
      <c r="T906" s="196"/>
      <c r="U906" s="196"/>
      <c r="V906" s="196"/>
      <c r="W906" s="196"/>
      <c r="X906" s="196"/>
      <c r="Y906" s="196"/>
    </row>
    <row r="907" spans="1:25">
      <c r="A907" s="196" t="s">
        <v>837</v>
      </c>
      <c r="B907" s="196" t="s">
        <v>850</v>
      </c>
      <c r="C907" s="196">
        <v>2013</v>
      </c>
      <c r="D907" s="196">
        <v>55</v>
      </c>
      <c r="E907" s="196" t="s">
        <v>852</v>
      </c>
      <c r="F907" s="196" t="s">
        <v>1369</v>
      </c>
      <c r="G907" s="196">
        <v>1</v>
      </c>
      <c r="H907" s="196">
        <v>1</v>
      </c>
      <c r="I907" s="196">
        <v>1293</v>
      </c>
      <c r="J907" s="196">
        <v>6323</v>
      </c>
      <c r="K907" s="196">
        <v>70.7</v>
      </c>
      <c r="L907" s="196">
        <v>18.54</v>
      </c>
      <c r="M907" s="196">
        <v>4766</v>
      </c>
      <c r="N907" s="196">
        <v>3725798</v>
      </c>
      <c r="O907" s="196">
        <v>3750</v>
      </c>
      <c r="P907" s="196"/>
      <c r="Q907" s="196"/>
      <c r="R907" s="196"/>
      <c r="S907" s="196"/>
      <c r="T907" s="196"/>
      <c r="U907" s="196"/>
      <c r="V907" s="196"/>
      <c r="W907" s="196"/>
      <c r="X907" s="196"/>
      <c r="Y907" s="196"/>
    </row>
    <row r="908" spans="1:25">
      <c r="A908" s="196" t="s">
        <v>837</v>
      </c>
      <c r="B908" s="196" t="s">
        <v>850</v>
      </c>
      <c r="C908" s="196">
        <v>2013</v>
      </c>
      <c r="D908" s="196">
        <v>80</v>
      </c>
      <c r="E908" s="196" t="s">
        <v>917</v>
      </c>
      <c r="F908" s="196" t="s">
        <v>1369</v>
      </c>
      <c r="G908" s="196">
        <v>1</v>
      </c>
      <c r="H908" s="196">
        <v>1</v>
      </c>
      <c r="I908" s="196">
        <v>4269</v>
      </c>
      <c r="J908" s="196">
        <v>6156</v>
      </c>
      <c r="K908" s="196">
        <v>70.7</v>
      </c>
      <c r="L908" s="196">
        <v>18.54</v>
      </c>
      <c r="M908" s="196">
        <v>4766</v>
      </c>
      <c r="N908" s="196">
        <v>3725798</v>
      </c>
      <c r="O908" s="196">
        <v>3750</v>
      </c>
      <c r="P908" s="196"/>
      <c r="Q908" s="196"/>
      <c r="R908" s="196"/>
      <c r="S908" s="196"/>
      <c r="T908" s="196"/>
      <c r="U908" s="196"/>
      <c r="V908" s="196"/>
      <c r="W908" s="196"/>
      <c r="X908" s="196"/>
      <c r="Y908" s="196"/>
    </row>
    <row r="909" spans="1:25">
      <c r="A909" s="196" t="s">
        <v>837</v>
      </c>
      <c r="B909" s="196" t="s">
        <v>181</v>
      </c>
      <c r="C909" s="196">
        <v>2014</v>
      </c>
      <c r="D909" s="196">
        <v>80</v>
      </c>
      <c r="E909" s="196" t="s">
        <v>874</v>
      </c>
      <c r="F909" s="196" t="s">
        <v>1369</v>
      </c>
      <c r="G909" s="196">
        <v>4</v>
      </c>
      <c r="H909" s="196">
        <v>4</v>
      </c>
      <c r="I909" s="196">
        <v>5871</v>
      </c>
      <c r="J909" s="196">
        <v>16882</v>
      </c>
      <c r="K909" s="196">
        <v>70.7</v>
      </c>
      <c r="L909" s="196">
        <v>18.54</v>
      </c>
      <c r="M909" s="196">
        <v>4766</v>
      </c>
      <c r="N909" s="196">
        <v>3725798</v>
      </c>
      <c r="O909" s="196">
        <v>3750</v>
      </c>
      <c r="P909" s="196"/>
      <c r="Q909" s="196"/>
      <c r="R909" s="196"/>
      <c r="S909" s="196"/>
      <c r="T909" s="196"/>
      <c r="U909" s="196"/>
      <c r="V909" s="196"/>
      <c r="W909" s="196"/>
      <c r="X909" s="196"/>
      <c r="Y909" s="196"/>
    </row>
    <row r="910" spans="1:25">
      <c r="A910" s="196" t="s">
        <v>837</v>
      </c>
      <c r="B910" s="196" t="s">
        <v>850</v>
      </c>
      <c r="C910" s="196">
        <v>2014</v>
      </c>
      <c r="D910" s="196">
        <v>80</v>
      </c>
      <c r="E910" s="196" t="s">
        <v>918</v>
      </c>
      <c r="F910" s="196" t="s">
        <v>1369</v>
      </c>
      <c r="G910" s="196">
        <v>1</v>
      </c>
      <c r="H910" s="196">
        <v>1</v>
      </c>
      <c r="I910" s="196">
        <v>1797</v>
      </c>
      <c r="J910" s="196">
        <v>3040</v>
      </c>
      <c r="K910" s="196">
        <v>70.7</v>
      </c>
      <c r="L910" s="196">
        <v>18.54</v>
      </c>
      <c r="M910" s="196">
        <v>4766</v>
      </c>
      <c r="N910" s="196">
        <v>3725798</v>
      </c>
      <c r="O910" s="196">
        <v>3750</v>
      </c>
      <c r="P910" s="196"/>
      <c r="Q910" s="196"/>
      <c r="R910" s="196"/>
      <c r="S910" s="196"/>
      <c r="T910" s="196"/>
      <c r="U910" s="196"/>
      <c r="V910" s="196"/>
      <c r="W910" s="196"/>
      <c r="X910" s="196"/>
      <c r="Y910" s="196"/>
    </row>
    <row r="911" spans="1:25">
      <c r="A911" s="196" t="s">
        <v>837</v>
      </c>
      <c r="B911" s="196" t="s">
        <v>850</v>
      </c>
      <c r="C911" s="196">
        <v>2014</v>
      </c>
      <c r="D911" s="196">
        <v>80</v>
      </c>
      <c r="E911" s="196" t="s">
        <v>875</v>
      </c>
      <c r="F911" s="196" t="s">
        <v>1369</v>
      </c>
      <c r="G911" s="196">
        <v>2</v>
      </c>
      <c r="H911" s="196">
        <v>2</v>
      </c>
      <c r="I911" s="196">
        <v>1596</v>
      </c>
      <c r="J911" s="196">
        <v>12315</v>
      </c>
      <c r="K911" s="196">
        <v>70.7</v>
      </c>
      <c r="L911" s="196">
        <v>18.54</v>
      </c>
      <c r="M911" s="196">
        <v>4766</v>
      </c>
      <c r="N911" s="196">
        <v>3725798</v>
      </c>
      <c r="O911" s="196">
        <v>3750</v>
      </c>
      <c r="P911" s="196"/>
      <c r="Q911" s="196"/>
      <c r="R911" s="196"/>
      <c r="S911" s="196"/>
      <c r="T911" s="196"/>
      <c r="U911" s="196"/>
      <c r="V911" s="196"/>
      <c r="W911" s="196"/>
      <c r="X911" s="196"/>
      <c r="Y911" s="196"/>
    </row>
    <row r="912" spans="1:25">
      <c r="A912" s="196" t="s">
        <v>837</v>
      </c>
      <c r="B912" s="196" t="s">
        <v>181</v>
      </c>
      <c r="C912" s="196">
        <v>2014</v>
      </c>
      <c r="D912" s="196">
        <v>30</v>
      </c>
      <c r="E912" s="196" t="s">
        <v>857</v>
      </c>
      <c r="F912" s="196" t="s">
        <v>1369</v>
      </c>
      <c r="G912" s="196">
        <v>1</v>
      </c>
      <c r="H912" s="196">
        <v>1</v>
      </c>
      <c r="I912" s="196">
        <v>3354</v>
      </c>
      <c r="J912" s="196">
        <v>6825</v>
      </c>
      <c r="K912" s="196">
        <v>70.7</v>
      </c>
      <c r="L912" s="196">
        <v>18.54</v>
      </c>
      <c r="M912" s="196">
        <v>4766</v>
      </c>
      <c r="N912" s="196">
        <v>3725798</v>
      </c>
      <c r="O912" s="196">
        <v>3750</v>
      </c>
      <c r="P912" s="196"/>
      <c r="Q912" s="196"/>
      <c r="R912" s="196"/>
      <c r="S912" s="196"/>
      <c r="T912" s="196"/>
      <c r="U912" s="196"/>
      <c r="V912" s="196"/>
      <c r="W912" s="196"/>
      <c r="X912" s="196"/>
      <c r="Y912" s="196"/>
    </row>
    <row r="913" spans="1:25">
      <c r="A913" s="196" t="s">
        <v>837</v>
      </c>
      <c r="B913" s="196" t="s">
        <v>181</v>
      </c>
      <c r="C913" s="196">
        <v>2014</v>
      </c>
      <c r="D913" s="196">
        <v>55</v>
      </c>
      <c r="E913" s="196" t="s">
        <v>858</v>
      </c>
      <c r="F913" s="196" t="s">
        <v>1369</v>
      </c>
      <c r="G913" s="196">
        <v>1</v>
      </c>
      <c r="H913" s="196">
        <v>1</v>
      </c>
      <c r="I913" s="196">
        <v>4269</v>
      </c>
      <c r="J913" s="196">
        <v>6156</v>
      </c>
      <c r="K913" s="196">
        <v>70.7</v>
      </c>
      <c r="L913" s="196">
        <v>18.54</v>
      </c>
      <c r="M913" s="196">
        <v>4766</v>
      </c>
      <c r="N913" s="196">
        <v>3725798</v>
      </c>
      <c r="O913" s="196">
        <v>3750</v>
      </c>
      <c r="P913" s="196"/>
      <c r="Q913" s="196"/>
      <c r="R913" s="196"/>
      <c r="S913" s="196"/>
      <c r="T913" s="196"/>
      <c r="U913" s="196"/>
      <c r="V913" s="196"/>
      <c r="W913" s="196"/>
      <c r="X913" s="196"/>
      <c r="Y913" s="196"/>
    </row>
    <row r="914" spans="1:25">
      <c r="A914" s="196" t="s">
        <v>837</v>
      </c>
      <c r="B914" s="196" t="s">
        <v>838</v>
      </c>
      <c r="C914" s="196">
        <v>2013</v>
      </c>
      <c r="D914" s="196">
        <v>30</v>
      </c>
      <c r="E914" s="196" t="s">
        <v>839</v>
      </c>
      <c r="F914" s="196" t="s">
        <v>1370</v>
      </c>
      <c r="G914" s="196">
        <v>4</v>
      </c>
      <c r="H914" s="196">
        <v>4</v>
      </c>
      <c r="I914" s="196">
        <v>3873</v>
      </c>
      <c r="J914" s="196">
        <v>20929</v>
      </c>
      <c r="K914" s="196">
        <v>45.61</v>
      </c>
      <c r="L914" s="196">
        <v>0.24</v>
      </c>
      <c r="M914" s="196">
        <v>4712</v>
      </c>
      <c r="N914" s="196">
        <v>1025307</v>
      </c>
      <c r="O914" s="196">
        <v>1191</v>
      </c>
      <c r="P914" s="196"/>
      <c r="Q914" s="196"/>
      <c r="R914" s="196"/>
      <c r="S914" s="196"/>
      <c r="T914" s="196"/>
      <c r="U914" s="196"/>
      <c r="V914" s="196"/>
      <c r="W914" s="196"/>
      <c r="X914" s="196"/>
      <c r="Y914" s="196"/>
    </row>
    <row r="915" spans="1:25">
      <c r="A915" s="196" t="s">
        <v>837</v>
      </c>
      <c r="B915" s="196" t="s">
        <v>838</v>
      </c>
      <c r="C915" s="196">
        <v>2013</v>
      </c>
      <c r="D915" s="196">
        <v>55</v>
      </c>
      <c r="E915" s="196" t="s">
        <v>849</v>
      </c>
      <c r="F915" s="196" t="s">
        <v>1370</v>
      </c>
      <c r="G915" s="196">
        <v>4</v>
      </c>
      <c r="H915" s="196">
        <v>4</v>
      </c>
      <c r="I915" s="196">
        <v>4614</v>
      </c>
      <c r="J915" s="196">
        <v>23255</v>
      </c>
      <c r="K915" s="196">
        <v>45.61</v>
      </c>
      <c r="L915" s="196">
        <v>0.24</v>
      </c>
      <c r="M915" s="196">
        <v>4712</v>
      </c>
      <c r="N915" s="196">
        <v>1025307</v>
      </c>
      <c r="O915" s="196">
        <v>1191</v>
      </c>
      <c r="P915" s="196"/>
      <c r="Q915" s="196"/>
      <c r="R915" s="196"/>
      <c r="S915" s="196"/>
      <c r="T915" s="196"/>
      <c r="U915" s="196"/>
      <c r="V915" s="196"/>
      <c r="W915" s="196"/>
      <c r="X915" s="196"/>
      <c r="Y915" s="196"/>
    </row>
    <row r="916" spans="1:25">
      <c r="A916" s="196" t="s">
        <v>837</v>
      </c>
      <c r="B916" s="196" t="s">
        <v>850</v>
      </c>
      <c r="C916" s="196">
        <v>2013</v>
      </c>
      <c r="D916" s="196">
        <v>30</v>
      </c>
      <c r="E916" s="196" t="s">
        <v>851</v>
      </c>
      <c r="F916" s="196" t="s">
        <v>1370</v>
      </c>
      <c r="G916" s="196">
        <v>10</v>
      </c>
      <c r="H916" s="196">
        <v>10</v>
      </c>
      <c r="I916" s="196">
        <v>11747</v>
      </c>
      <c r="J916" s="196">
        <v>60498</v>
      </c>
      <c r="K916" s="196">
        <v>45.61</v>
      </c>
      <c r="L916" s="196">
        <v>0.24</v>
      </c>
      <c r="M916" s="196">
        <v>4712</v>
      </c>
      <c r="N916" s="196">
        <v>1025307</v>
      </c>
      <c r="O916" s="196">
        <v>1191</v>
      </c>
      <c r="P916" s="196"/>
      <c r="Q916" s="196"/>
      <c r="R916" s="196"/>
      <c r="S916" s="196"/>
      <c r="T916" s="196"/>
      <c r="U916" s="196"/>
      <c r="V916" s="196"/>
      <c r="W916" s="196"/>
      <c r="X916" s="196"/>
      <c r="Y916" s="196"/>
    </row>
    <row r="917" spans="1:25">
      <c r="A917" s="196" t="s">
        <v>837</v>
      </c>
      <c r="B917" s="196" t="s">
        <v>850</v>
      </c>
      <c r="C917" s="196">
        <v>2013</v>
      </c>
      <c r="D917" s="196">
        <v>55</v>
      </c>
      <c r="E917" s="196" t="s">
        <v>852</v>
      </c>
      <c r="F917" s="196" t="s">
        <v>1370</v>
      </c>
      <c r="G917" s="196">
        <v>3</v>
      </c>
      <c r="H917" s="196">
        <v>3</v>
      </c>
      <c r="I917" s="196">
        <v>4527</v>
      </c>
      <c r="J917" s="196">
        <v>10052</v>
      </c>
      <c r="K917" s="196">
        <v>45.61</v>
      </c>
      <c r="L917" s="196">
        <v>0.24</v>
      </c>
      <c r="M917" s="196">
        <v>4712</v>
      </c>
      <c r="N917" s="196">
        <v>1025307</v>
      </c>
      <c r="O917" s="196">
        <v>1191</v>
      </c>
      <c r="P917" s="196"/>
      <c r="Q917" s="196"/>
      <c r="R917" s="196"/>
      <c r="S917" s="196"/>
      <c r="T917" s="196"/>
      <c r="U917" s="196"/>
      <c r="V917" s="196"/>
      <c r="W917" s="196"/>
      <c r="X917" s="196"/>
      <c r="Y917" s="196"/>
    </row>
    <row r="918" spans="1:25">
      <c r="A918" s="196" t="s">
        <v>837</v>
      </c>
      <c r="B918" s="196" t="s">
        <v>838</v>
      </c>
      <c r="C918" s="196">
        <v>2014</v>
      </c>
      <c r="D918" s="196">
        <v>80</v>
      </c>
      <c r="E918" s="196" t="s">
        <v>853</v>
      </c>
      <c r="F918" s="196" t="s">
        <v>1370</v>
      </c>
      <c r="G918" s="196">
        <v>1</v>
      </c>
      <c r="H918" s="196">
        <v>1</v>
      </c>
      <c r="I918" s="196">
        <v>1980</v>
      </c>
      <c r="J918" s="196">
        <v>5462</v>
      </c>
      <c r="K918" s="196">
        <v>45.61</v>
      </c>
      <c r="L918" s="196">
        <v>0.24</v>
      </c>
      <c r="M918" s="196">
        <v>4712</v>
      </c>
      <c r="N918" s="196">
        <v>1025307</v>
      </c>
      <c r="O918" s="196">
        <v>1191</v>
      </c>
      <c r="P918" s="196"/>
      <c r="Q918" s="196"/>
      <c r="R918" s="196"/>
      <c r="S918" s="196"/>
      <c r="T918" s="196"/>
      <c r="U918" s="196"/>
      <c r="V918" s="196"/>
      <c r="W918" s="196"/>
      <c r="X918" s="196"/>
      <c r="Y918" s="196"/>
    </row>
    <row r="919" spans="1:25">
      <c r="A919" s="196" t="s">
        <v>837</v>
      </c>
      <c r="B919" s="196" t="s">
        <v>181</v>
      </c>
      <c r="C919" s="196">
        <v>2013</v>
      </c>
      <c r="D919" s="196">
        <v>80</v>
      </c>
      <c r="E919" s="196" t="s">
        <v>876</v>
      </c>
      <c r="F919" s="196" t="s">
        <v>1370</v>
      </c>
      <c r="G919" s="196">
        <v>1</v>
      </c>
      <c r="H919" s="196">
        <v>1</v>
      </c>
      <c r="I919" s="196">
        <v>3378</v>
      </c>
      <c r="J919" s="196">
        <v>4475</v>
      </c>
      <c r="K919" s="196">
        <v>45.61</v>
      </c>
      <c r="L919" s="196">
        <v>0.24</v>
      </c>
      <c r="M919" s="196">
        <v>4712</v>
      </c>
      <c r="N919" s="196">
        <v>1025307</v>
      </c>
      <c r="O919" s="196">
        <v>1191</v>
      </c>
      <c r="P919" s="196"/>
      <c r="Q919" s="196"/>
      <c r="R919" s="196"/>
      <c r="S919" s="196"/>
      <c r="T919" s="196"/>
      <c r="U919" s="196"/>
      <c r="V919" s="196"/>
      <c r="W919" s="196"/>
      <c r="X919" s="196"/>
      <c r="Y919" s="196"/>
    </row>
    <row r="920" spans="1:25">
      <c r="A920" s="196" t="s">
        <v>837</v>
      </c>
      <c r="B920" s="196" t="s">
        <v>838</v>
      </c>
      <c r="C920" s="196">
        <v>2014</v>
      </c>
      <c r="D920" s="196">
        <v>55</v>
      </c>
      <c r="E920" s="196" t="s">
        <v>854</v>
      </c>
      <c r="F920" s="196" t="s">
        <v>1370</v>
      </c>
      <c r="G920" s="196">
        <v>1</v>
      </c>
      <c r="H920" s="196">
        <v>1</v>
      </c>
      <c r="I920" s="196">
        <v>870</v>
      </c>
      <c r="J920" s="196">
        <v>5153</v>
      </c>
      <c r="K920" s="196">
        <v>45.61</v>
      </c>
      <c r="L920" s="196">
        <v>0.24</v>
      </c>
      <c r="M920" s="196">
        <v>4712</v>
      </c>
      <c r="N920" s="196">
        <v>1025307</v>
      </c>
      <c r="O920" s="196">
        <v>1191</v>
      </c>
      <c r="P920" s="196"/>
      <c r="Q920" s="196"/>
      <c r="R920" s="196"/>
      <c r="S920" s="196"/>
      <c r="T920" s="196"/>
      <c r="U920" s="196"/>
      <c r="V920" s="196"/>
      <c r="W920" s="196"/>
      <c r="X920" s="196"/>
      <c r="Y920" s="196"/>
    </row>
    <row r="921" spans="1:25">
      <c r="A921" s="196" t="s">
        <v>837</v>
      </c>
      <c r="B921" s="196" t="s">
        <v>838</v>
      </c>
      <c r="C921" s="196">
        <v>2014</v>
      </c>
      <c r="D921" s="196">
        <v>55</v>
      </c>
      <c r="E921" s="196" t="s">
        <v>855</v>
      </c>
      <c r="F921" s="196" t="s">
        <v>1370</v>
      </c>
      <c r="G921" s="196">
        <v>1</v>
      </c>
      <c r="H921" s="196">
        <v>1</v>
      </c>
      <c r="I921" s="196">
        <v>1107</v>
      </c>
      <c r="J921" s="196">
        <v>2850</v>
      </c>
      <c r="K921" s="196">
        <v>45.61</v>
      </c>
      <c r="L921" s="196">
        <v>0.24</v>
      </c>
      <c r="M921" s="196">
        <v>4712</v>
      </c>
      <c r="N921" s="196">
        <v>1025307</v>
      </c>
      <c r="O921" s="196">
        <v>1191</v>
      </c>
      <c r="P921" s="196"/>
      <c r="Q921" s="196"/>
      <c r="R921" s="196"/>
      <c r="S921" s="196"/>
      <c r="T921" s="196"/>
      <c r="U921" s="196"/>
      <c r="V921" s="196"/>
      <c r="W921" s="196"/>
      <c r="X921" s="196"/>
      <c r="Y921" s="196"/>
    </row>
    <row r="922" spans="1:25">
      <c r="A922" s="196" t="s">
        <v>837</v>
      </c>
      <c r="B922" s="196" t="s">
        <v>181</v>
      </c>
      <c r="C922" s="196">
        <v>2014</v>
      </c>
      <c r="D922" s="196">
        <v>30</v>
      </c>
      <c r="E922" s="196" t="s">
        <v>856</v>
      </c>
      <c r="F922" s="196" t="s">
        <v>1370</v>
      </c>
      <c r="G922" s="196">
        <v>2</v>
      </c>
      <c r="H922" s="196">
        <v>2</v>
      </c>
      <c r="I922" s="196">
        <v>2721</v>
      </c>
      <c r="J922" s="196">
        <v>7179</v>
      </c>
      <c r="K922" s="196">
        <v>45.61</v>
      </c>
      <c r="L922" s="196">
        <v>0.24</v>
      </c>
      <c r="M922" s="196">
        <v>4712</v>
      </c>
      <c r="N922" s="196">
        <v>1025307</v>
      </c>
      <c r="O922" s="196">
        <v>1191</v>
      </c>
      <c r="P922" s="196"/>
      <c r="Q922" s="196"/>
      <c r="R922" s="196"/>
      <c r="S922" s="196"/>
      <c r="T922" s="196"/>
      <c r="U922" s="196"/>
      <c r="V922" s="196"/>
      <c r="W922" s="196"/>
      <c r="X922" s="196"/>
      <c r="Y922" s="196"/>
    </row>
    <row r="923" spans="1:25">
      <c r="A923" s="196" t="s">
        <v>837</v>
      </c>
      <c r="B923" s="196" t="s">
        <v>181</v>
      </c>
      <c r="C923" s="196">
        <v>2014</v>
      </c>
      <c r="D923" s="196">
        <v>55</v>
      </c>
      <c r="E923" s="196" t="s">
        <v>858</v>
      </c>
      <c r="F923" s="196" t="s">
        <v>1370</v>
      </c>
      <c r="G923" s="196">
        <v>5</v>
      </c>
      <c r="H923" s="196">
        <v>5</v>
      </c>
      <c r="I923" s="196">
        <v>7224</v>
      </c>
      <c r="J923" s="196">
        <v>18879</v>
      </c>
      <c r="K923" s="196">
        <v>45.61</v>
      </c>
      <c r="L923" s="196">
        <v>0.24</v>
      </c>
      <c r="M923" s="196">
        <v>4712</v>
      </c>
      <c r="N923" s="196">
        <v>1025307</v>
      </c>
      <c r="O923" s="196">
        <v>1191</v>
      </c>
      <c r="P923" s="196"/>
      <c r="Q923" s="196"/>
      <c r="R923" s="196"/>
      <c r="S923" s="196"/>
      <c r="T923" s="196"/>
      <c r="U923" s="196"/>
      <c r="V923" s="196"/>
      <c r="W923" s="196"/>
      <c r="X923" s="196"/>
      <c r="Y923" s="196"/>
    </row>
    <row r="924" spans="1:25">
      <c r="A924" s="196" t="s">
        <v>837</v>
      </c>
      <c r="B924" s="196" t="s">
        <v>181</v>
      </c>
      <c r="C924" s="196">
        <v>2014</v>
      </c>
      <c r="D924" s="196">
        <v>55</v>
      </c>
      <c r="E924" s="196" t="s">
        <v>859</v>
      </c>
      <c r="F924" s="196" t="s">
        <v>1370</v>
      </c>
      <c r="G924" s="196">
        <v>3</v>
      </c>
      <c r="H924" s="196">
        <v>3</v>
      </c>
      <c r="I924" s="196">
        <v>2559</v>
      </c>
      <c r="J924" s="196">
        <v>12196</v>
      </c>
      <c r="K924" s="196">
        <v>45.61</v>
      </c>
      <c r="L924" s="196">
        <v>0.24</v>
      </c>
      <c r="M924" s="196">
        <v>4712</v>
      </c>
      <c r="N924" s="196">
        <v>1025307</v>
      </c>
      <c r="O924" s="196">
        <v>1191</v>
      </c>
      <c r="P924" s="196"/>
      <c r="Q924" s="196"/>
      <c r="R924" s="196"/>
      <c r="S924" s="196"/>
      <c r="T924" s="196"/>
      <c r="U924" s="196"/>
      <c r="V924" s="196"/>
      <c r="W924" s="196"/>
      <c r="X924" s="196"/>
      <c r="Y924" s="196"/>
    </row>
    <row r="925" spans="1:25">
      <c r="A925" s="196" t="s">
        <v>837</v>
      </c>
      <c r="B925" s="196" t="s">
        <v>850</v>
      </c>
      <c r="C925" s="196">
        <v>2014</v>
      </c>
      <c r="D925" s="196">
        <v>30</v>
      </c>
      <c r="E925" s="196" t="s">
        <v>860</v>
      </c>
      <c r="F925" s="196" t="s">
        <v>1370</v>
      </c>
      <c r="G925" s="196">
        <v>2</v>
      </c>
      <c r="H925" s="196">
        <v>2</v>
      </c>
      <c r="I925" s="196">
        <v>2397</v>
      </c>
      <c r="J925" s="196">
        <v>15416</v>
      </c>
      <c r="K925" s="196">
        <v>45.61</v>
      </c>
      <c r="L925" s="196">
        <v>0.24</v>
      </c>
      <c r="M925" s="196">
        <v>4712</v>
      </c>
      <c r="N925" s="196">
        <v>1025307</v>
      </c>
      <c r="O925" s="196">
        <v>1191</v>
      </c>
      <c r="P925" s="196"/>
      <c r="Q925" s="196"/>
      <c r="R925" s="196"/>
      <c r="S925" s="196"/>
      <c r="T925" s="196"/>
      <c r="U925" s="196"/>
      <c r="V925" s="196"/>
      <c r="W925" s="196"/>
      <c r="X925" s="196"/>
      <c r="Y925" s="196"/>
    </row>
    <row r="926" spans="1:25">
      <c r="A926" s="196" t="s">
        <v>837</v>
      </c>
      <c r="B926" s="196" t="s">
        <v>850</v>
      </c>
      <c r="C926" s="196">
        <v>2014</v>
      </c>
      <c r="D926" s="196">
        <v>30</v>
      </c>
      <c r="E926" s="196" t="s">
        <v>861</v>
      </c>
      <c r="F926" s="196" t="s">
        <v>1370</v>
      </c>
      <c r="G926" s="196">
        <v>1</v>
      </c>
      <c r="H926" s="196">
        <v>1</v>
      </c>
      <c r="I926" s="196">
        <v>870</v>
      </c>
      <c r="J926" s="196">
        <v>5153</v>
      </c>
      <c r="K926" s="196">
        <v>45.61</v>
      </c>
      <c r="L926" s="196">
        <v>0.24</v>
      </c>
      <c r="M926" s="196">
        <v>4712</v>
      </c>
      <c r="N926" s="196">
        <v>1025307</v>
      </c>
      <c r="O926" s="196">
        <v>1191</v>
      </c>
      <c r="P926" s="196"/>
      <c r="Q926" s="196"/>
      <c r="R926" s="196"/>
      <c r="S926" s="196"/>
      <c r="T926" s="196"/>
      <c r="U926" s="196"/>
      <c r="V926" s="196"/>
      <c r="W926" s="196"/>
      <c r="X926" s="196"/>
      <c r="Y926" s="196"/>
    </row>
    <row r="927" spans="1:25">
      <c r="A927" s="196" t="s">
        <v>837</v>
      </c>
      <c r="B927" s="196" t="s">
        <v>850</v>
      </c>
      <c r="C927" s="196">
        <v>2014</v>
      </c>
      <c r="D927" s="196">
        <v>55</v>
      </c>
      <c r="E927" s="196" t="s">
        <v>862</v>
      </c>
      <c r="F927" s="196" t="s">
        <v>1370</v>
      </c>
      <c r="G927" s="196">
        <v>7</v>
      </c>
      <c r="H927" s="196">
        <v>7</v>
      </c>
      <c r="I927" s="196">
        <v>7377</v>
      </c>
      <c r="J927" s="196">
        <v>27748</v>
      </c>
      <c r="K927" s="196">
        <v>45.61</v>
      </c>
      <c r="L927" s="196">
        <v>0.24</v>
      </c>
      <c r="M927" s="196">
        <v>4712</v>
      </c>
      <c r="N927" s="196">
        <v>1025307</v>
      </c>
      <c r="O927" s="196">
        <v>1191</v>
      </c>
      <c r="P927" s="196"/>
      <c r="Q927" s="196"/>
      <c r="R927" s="196"/>
      <c r="S927" s="196"/>
      <c r="T927" s="196"/>
      <c r="U927" s="196"/>
      <c r="V927" s="196"/>
      <c r="W927" s="196"/>
      <c r="X927" s="196"/>
      <c r="Y927" s="196"/>
    </row>
    <row r="928" spans="1:25">
      <c r="A928" s="196" t="s">
        <v>837</v>
      </c>
      <c r="B928" s="196" t="s">
        <v>838</v>
      </c>
      <c r="C928" s="196">
        <v>2013</v>
      </c>
      <c r="D928" s="196">
        <v>55</v>
      </c>
      <c r="E928" s="196" t="s">
        <v>849</v>
      </c>
      <c r="F928" s="196" t="s">
        <v>1371</v>
      </c>
      <c r="G928" s="196">
        <v>5</v>
      </c>
      <c r="H928" s="196">
        <v>3</v>
      </c>
      <c r="I928" s="196">
        <v>5835</v>
      </c>
      <c r="J928" s="196">
        <v>16845</v>
      </c>
      <c r="K928" s="196">
        <v>61.73</v>
      </c>
      <c r="L928" s="196">
        <v>4.5</v>
      </c>
      <c r="M928" s="196">
        <v>4402</v>
      </c>
      <c r="N928" s="196">
        <v>994341</v>
      </c>
      <c r="O928" s="196">
        <v>1229</v>
      </c>
      <c r="P928" s="196"/>
      <c r="Q928" s="196"/>
      <c r="R928" s="196"/>
      <c r="S928" s="196"/>
      <c r="T928" s="196"/>
      <c r="U928" s="196"/>
      <c r="V928" s="196"/>
      <c r="W928" s="196"/>
      <c r="X928" s="196"/>
      <c r="Y928" s="196"/>
    </row>
    <row r="929" spans="1:25">
      <c r="A929" s="196" t="s">
        <v>837</v>
      </c>
      <c r="B929" s="196" t="s">
        <v>850</v>
      </c>
      <c r="C929" s="196">
        <v>2013</v>
      </c>
      <c r="D929" s="196">
        <v>30</v>
      </c>
      <c r="E929" s="196" t="s">
        <v>851</v>
      </c>
      <c r="F929" s="196" t="s">
        <v>1371</v>
      </c>
      <c r="G929" s="196">
        <v>1</v>
      </c>
      <c r="H929" s="196">
        <v>1</v>
      </c>
      <c r="I929" s="196">
        <v>1272</v>
      </c>
      <c r="J929" s="196">
        <v>2867</v>
      </c>
      <c r="K929" s="196">
        <v>61.73</v>
      </c>
      <c r="L929" s="196">
        <v>4.5</v>
      </c>
      <c r="M929" s="196">
        <v>4402</v>
      </c>
      <c r="N929" s="196">
        <v>994341</v>
      </c>
      <c r="O929" s="196">
        <v>1229</v>
      </c>
      <c r="P929" s="196"/>
      <c r="Q929" s="196"/>
      <c r="R929" s="196"/>
      <c r="S929" s="196"/>
      <c r="T929" s="196"/>
      <c r="U929" s="196"/>
      <c r="V929" s="196"/>
      <c r="W929" s="196"/>
      <c r="X929" s="196"/>
      <c r="Y929" s="196"/>
    </row>
    <row r="930" spans="1:25">
      <c r="A930" s="196" t="s">
        <v>837</v>
      </c>
      <c r="B930" s="196" t="s">
        <v>850</v>
      </c>
      <c r="C930" s="196">
        <v>2013</v>
      </c>
      <c r="D930" s="196">
        <v>55</v>
      </c>
      <c r="E930" s="196" t="s">
        <v>852</v>
      </c>
      <c r="F930" s="196" t="s">
        <v>1371</v>
      </c>
      <c r="G930" s="196">
        <v>5</v>
      </c>
      <c r="H930" s="196">
        <v>1</v>
      </c>
      <c r="I930" s="196">
        <v>6165</v>
      </c>
      <c r="J930" s="196">
        <v>7359</v>
      </c>
      <c r="K930" s="196">
        <v>61.73</v>
      </c>
      <c r="L930" s="196">
        <v>4.5</v>
      </c>
      <c r="M930" s="196">
        <v>4402</v>
      </c>
      <c r="N930" s="196">
        <v>994341</v>
      </c>
      <c r="O930" s="196">
        <v>1229</v>
      </c>
      <c r="P930" s="196"/>
      <c r="Q930" s="196"/>
      <c r="R930" s="196"/>
      <c r="S930" s="196"/>
      <c r="T930" s="196"/>
      <c r="U930" s="196"/>
      <c r="V930" s="196"/>
      <c r="W930" s="196"/>
      <c r="X930" s="196"/>
      <c r="Y930" s="196"/>
    </row>
    <row r="931" spans="1:25">
      <c r="A931" s="196" t="s">
        <v>837</v>
      </c>
      <c r="B931" s="196" t="s">
        <v>850</v>
      </c>
      <c r="C931" s="196">
        <v>2013</v>
      </c>
      <c r="D931" s="196">
        <v>80</v>
      </c>
      <c r="E931" s="196" t="s">
        <v>917</v>
      </c>
      <c r="F931" s="196" t="s">
        <v>1371</v>
      </c>
      <c r="G931" s="196">
        <v>11</v>
      </c>
      <c r="H931" s="196">
        <v>6</v>
      </c>
      <c r="I931" s="196">
        <v>9351</v>
      </c>
      <c r="J931" s="196">
        <v>27486</v>
      </c>
      <c r="K931" s="196">
        <v>61.73</v>
      </c>
      <c r="L931" s="196">
        <v>4.5</v>
      </c>
      <c r="M931" s="196">
        <v>4402</v>
      </c>
      <c r="N931" s="196">
        <v>994341</v>
      </c>
      <c r="O931" s="196">
        <v>1229</v>
      </c>
      <c r="P931" s="196"/>
      <c r="Q931" s="196"/>
      <c r="R931" s="196"/>
      <c r="S931" s="196"/>
      <c r="T931" s="196"/>
      <c r="U931" s="196"/>
      <c r="V931" s="196"/>
      <c r="W931" s="196"/>
      <c r="X931" s="196"/>
      <c r="Y931" s="196"/>
    </row>
    <row r="932" spans="1:25">
      <c r="A932" s="196" t="s">
        <v>837</v>
      </c>
      <c r="B932" s="196" t="s">
        <v>838</v>
      </c>
      <c r="C932" s="196">
        <v>2014</v>
      </c>
      <c r="D932" s="196">
        <v>80</v>
      </c>
      <c r="E932" s="196" t="s">
        <v>853</v>
      </c>
      <c r="F932" s="196" t="s">
        <v>1371</v>
      </c>
      <c r="G932" s="196">
        <v>14</v>
      </c>
      <c r="H932" s="196">
        <v>13</v>
      </c>
      <c r="I932" s="196">
        <v>13209</v>
      </c>
      <c r="J932" s="196">
        <v>66724</v>
      </c>
      <c r="K932" s="196">
        <v>61.73</v>
      </c>
      <c r="L932" s="196">
        <v>4.5</v>
      </c>
      <c r="M932" s="196">
        <v>4402</v>
      </c>
      <c r="N932" s="196">
        <v>994341</v>
      </c>
      <c r="O932" s="196">
        <v>1229</v>
      </c>
      <c r="P932" s="196"/>
      <c r="Q932" s="196"/>
      <c r="R932" s="196"/>
      <c r="S932" s="196"/>
      <c r="T932" s="196"/>
      <c r="U932" s="196"/>
      <c r="V932" s="196"/>
      <c r="W932" s="196"/>
      <c r="X932" s="196"/>
      <c r="Y932" s="196"/>
    </row>
    <row r="933" spans="1:25">
      <c r="A933" s="196" t="s">
        <v>837</v>
      </c>
      <c r="B933" s="196" t="s">
        <v>181</v>
      </c>
      <c r="C933" s="196">
        <v>2014</v>
      </c>
      <c r="D933" s="196">
        <v>80</v>
      </c>
      <c r="E933" s="196" t="s">
        <v>874</v>
      </c>
      <c r="F933" s="196" t="s">
        <v>1371</v>
      </c>
      <c r="G933" s="196">
        <v>4</v>
      </c>
      <c r="H933" s="196">
        <v>4</v>
      </c>
      <c r="I933" s="196">
        <v>3281</v>
      </c>
      <c r="J933" s="196">
        <v>25457</v>
      </c>
      <c r="K933" s="196">
        <v>61.73</v>
      </c>
      <c r="L933" s="196">
        <v>4.5</v>
      </c>
      <c r="M933" s="196">
        <v>4402</v>
      </c>
      <c r="N933" s="196">
        <v>994341</v>
      </c>
      <c r="O933" s="196">
        <v>1229</v>
      </c>
      <c r="P933" s="196"/>
      <c r="Q933" s="196"/>
      <c r="R933" s="196"/>
      <c r="S933" s="196"/>
      <c r="T933" s="196"/>
      <c r="U933" s="196"/>
      <c r="V933" s="196"/>
      <c r="W933" s="196"/>
      <c r="X933" s="196"/>
      <c r="Y933" s="196"/>
    </row>
    <row r="934" spans="1:25">
      <c r="A934" s="196" t="s">
        <v>837</v>
      </c>
      <c r="B934" s="196" t="s">
        <v>850</v>
      </c>
      <c r="C934" s="196">
        <v>2014</v>
      </c>
      <c r="D934" s="196">
        <v>80</v>
      </c>
      <c r="E934" s="196" t="s">
        <v>918</v>
      </c>
      <c r="F934" s="196" t="s">
        <v>1371</v>
      </c>
      <c r="G934" s="196">
        <v>34</v>
      </c>
      <c r="H934" s="196">
        <v>18</v>
      </c>
      <c r="I934" s="196">
        <v>28659</v>
      </c>
      <c r="J934" s="196">
        <v>89466</v>
      </c>
      <c r="K934" s="196">
        <v>61.73</v>
      </c>
      <c r="L934" s="196">
        <v>4.5</v>
      </c>
      <c r="M934" s="196">
        <v>4402</v>
      </c>
      <c r="N934" s="196">
        <v>994341</v>
      </c>
      <c r="O934" s="196">
        <v>1229</v>
      </c>
      <c r="P934" s="196"/>
      <c r="Q934" s="196"/>
      <c r="R934" s="196"/>
      <c r="S934" s="196"/>
      <c r="T934" s="196"/>
      <c r="U934" s="196"/>
      <c r="V934" s="196"/>
      <c r="W934" s="196"/>
      <c r="X934" s="196"/>
      <c r="Y934" s="196"/>
    </row>
    <row r="935" spans="1:25">
      <c r="A935" s="196" t="s">
        <v>837</v>
      </c>
      <c r="B935" s="196" t="s">
        <v>850</v>
      </c>
      <c r="C935" s="196">
        <v>2014</v>
      </c>
      <c r="D935" s="196">
        <v>80</v>
      </c>
      <c r="E935" s="196" t="s">
        <v>875</v>
      </c>
      <c r="F935" s="196" t="s">
        <v>1371</v>
      </c>
      <c r="G935" s="196">
        <v>7</v>
      </c>
      <c r="H935" s="196">
        <v>6</v>
      </c>
      <c r="I935" s="196">
        <v>4797</v>
      </c>
      <c r="J935" s="196">
        <v>23672</v>
      </c>
      <c r="K935" s="196">
        <v>61.73</v>
      </c>
      <c r="L935" s="196">
        <v>4.5</v>
      </c>
      <c r="M935" s="196">
        <v>4402</v>
      </c>
      <c r="N935" s="196">
        <v>994341</v>
      </c>
      <c r="O935" s="196">
        <v>1229</v>
      </c>
      <c r="P935" s="196"/>
      <c r="Q935" s="196"/>
      <c r="R935" s="196"/>
      <c r="S935" s="196"/>
      <c r="T935" s="196"/>
      <c r="U935" s="196"/>
      <c r="V935" s="196"/>
      <c r="W935" s="196"/>
      <c r="X935" s="196"/>
      <c r="Y935" s="196"/>
    </row>
    <row r="936" spans="1:25">
      <c r="A936" s="196" t="s">
        <v>837</v>
      </c>
      <c r="B936" s="196" t="s">
        <v>181</v>
      </c>
      <c r="C936" s="196">
        <v>2013</v>
      </c>
      <c r="D936" s="196">
        <v>80</v>
      </c>
      <c r="E936" s="196" t="s">
        <v>876</v>
      </c>
      <c r="F936" s="196" t="s">
        <v>1371</v>
      </c>
      <c r="G936" s="196">
        <v>6</v>
      </c>
      <c r="H936" s="196">
        <v>6</v>
      </c>
      <c r="I936" s="196">
        <v>3546</v>
      </c>
      <c r="J936" s="196">
        <v>24065</v>
      </c>
      <c r="K936" s="196">
        <v>61.73</v>
      </c>
      <c r="L936" s="196">
        <v>4.5</v>
      </c>
      <c r="M936" s="196">
        <v>4402</v>
      </c>
      <c r="N936" s="196">
        <v>994341</v>
      </c>
      <c r="O936" s="196">
        <v>1229</v>
      </c>
      <c r="P936" s="196"/>
      <c r="Q936" s="196"/>
      <c r="R936" s="196"/>
      <c r="S936" s="196"/>
      <c r="T936" s="196"/>
      <c r="U936" s="196"/>
      <c r="V936" s="196"/>
      <c r="W936" s="196"/>
      <c r="X936" s="196"/>
      <c r="Y936" s="196"/>
    </row>
    <row r="937" spans="1:25">
      <c r="A937" s="196" t="s">
        <v>837</v>
      </c>
      <c r="B937" s="196" t="s">
        <v>838</v>
      </c>
      <c r="C937" s="196">
        <v>2014</v>
      </c>
      <c r="D937" s="196">
        <v>55</v>
      </c>
      <c r="E937" s="196" t="s">
        <v>854</v>
      </c>
      <c r="F937" s="196" t="s">
        <v>1371</v>
      </c>
      <c r="G937" s="196">
        <v>3</v>
      </c>
      <c r="H937" s="196">
        <v>2</v>
      </c>
      <c r="I937" s="196">
        <v>3374</v>
      </c>
      <c r="J937" s="196">
        <v>9973</v>
      </c>
      <c r="K937" s="196">
        <v>61.73</v>
      </c>
      <c r="L937" s="196">
        <v>4.5</v>
      </c>
      <c r="M937" s="196">
        <v>4402</v>
      </c>
      <c r="N937" s="196">
        <v>994341</v>
      </c>
      <c r="O937" s="196">
        <v>1229</v>
      </c>
      <c r="P937" s="196"/>
      <c r="Q937" s="196"/>
      <c r="R937" s="196"/>
      <c r="S937" s="196"/>
      <c r="T937" s="196"/>
      <c r="U937" s="196"/>
      <c r="V937" s="196"/>
      <c r="W937" s="196"/>
      <c r="X937" s="196"/>
      <c r="Y937" s="196"/>
    </row>
    <row r="938" spans="1:25">
      <c r="A938" s="196" t="s">
        <v>837</v>
      </c>
      <c r="B938" s="196" t="s">
        <v>838</v>
      </c>
      <c r="C938" s="196">
        <v>2014</v>
      </c>
      <c r="D938" s="196">
        <v>55</v>
      </c>
      <c r="E938" s="196" t="s">
        <v>855</v>
      </c>
      <c r="F938" s="196" t="s">
        <v>1371</v>
      </c>
      <c r="G938" s="196">
        <v>1</v>
      </c>
      <c r="H938" s="196">
        <v>1</v>
      </c>
      <c r="I938" s="196">
        <v>1425</v>
      </c>
      <c r="J938" s="196">
        <v>11870</v>
      </c>
      <c r="K938" s="196">
        <v>61.73</v>
      </c>
      <c r="L938" s="196">
        <v>4.5</v>
      </c>
      <c r="M938" s="196">
        <v>4402</v>
      </c>
      <c r="N938" s="196">
        <v>994341</v>
      </c>
      <c r="O938" s="196">
        <v>1229</v>
      </c>
      <c r="P938" s="196"/>
      <c r="Q938" s="196"/>
      <c r="R938" s="196"/>
      <c r="S938" s="196"/>
      <c r="T938" s="196"/>
      <c r="U938" s="196"/>
      <c r="V938" s="196"/>
      <c r="W938" s="196"/>
      <c r="X938" s="196"/>
      <c r="Y938" s="196"/>
    </row>
    <row r="939" spans="1:25">
      <c r="A939" s="196" t="s">
        <v>837</v>
      </c>
      <c r="B939" s="196" t="s">
        <v>181</v>
      </c>
      <c r="C939" s="196">
        <v>2014</v>
      </c>
      <c r="D939" s="196">
        <v>30</v>
      </c>
      <c r="E939" s="196" t="s">
        <v>857</v>
      </c>
      <c r="F939" s="196" t="s">
        <v>1371</v>
      </c>
      <c r="G939" s="196">
        <v>1</v>
      </c>
      <c r="H939" s="196">
        <v>1</v>
      </c>
      <c r="I939" s="196">
        <v>1707</v>
      </c>
      <c r="J939" s="196">
        <v>7359</v>
      </c>
      <c r="K939" s="196">
        <v>61.73</v>
      </c>
      <c r="L939" s="196">
        <v>4.5</v>
      </c>
      <c r="M939" s="196">
        <v>4402</v>
      </c>
      <c r="N939" s="196">
        <v>994341</v>
      </c>
      <c r="O939" s="196">
        <v>1229</v>
      </c>
      <c r="P939" s="196"/>
      <c r="Q939" s="196"/>
      <c r="R939" s="196"/>
      <c r="S939" s="196"/>
      <c r="T939" s="196"/>
      <c r="U939" s="196"/>
      <c r="V939" s="196"/>
      <c r="W939" s="196"/>
      <c r="X939" s="196"/>
      <c r="Y939" s="196"/>
    </row>
    <row r="940" spans="1:25">
      <c r="A940" s="196" t="s">
        <v>837</v>
      </c>
      <c r="B940" s="196" t="s">
        <v>181</v>
      </c>
      <c r="C940" s="196">
        <v>2014</v>
      </c>
      <c r="D940" s="196">
        <v>55</v>
      </c>
      <c r="E940" s="196" t="s">
        <v>858</v>
      </c>
      <c r="F940" s="196" t="s">
        <v>1371</v>
      </c>
      <c r="G940" s="196">
        <v>6</v>
      </c>
      <c r="H940" s="196">
        <v>1</v>
      </c>
      <c r="I940" s="196">
        <v>6570</v>
      </c>
      <c r="J940" s="196">
        <v>7359</v>
      </c>
      <c r="K940" s="196">
        <v>61.73</v>
      </c>
      <c r="L940" s="196">
        <v>4.5</v>
      </c>
      <c r="M940" s="196">
        <v>4402</v>
      </c>
      <c r="N940" s="196">
        <v>994341</v>
      </c>
      <c r="O940" s="196">
        <v>1229</v>
      </c>
      <c r="P940" s="196"/>
      <c r="Q940" s="196"/>
      <c r="R940" s="196"/>
      <c r="S940" s="196"/>
      <c r="T940" s="196"/>
      <c r="U940" s="196"/>
      <c r="V940" s="196"/>
      <c r="W940" s="196"/>
      <c r="X940" s="196"/>
      <c r="Y940" s="196"/>
    </row>
    <row r="941" spans="1:25">
      <c r="A941" s="196" t="s">
        <v>837</v>
      </c>
      <c r="B941" s="196" t="s">
        <v>181</v>
      </c>
      <c r="C941" s="196">
        <v>2014</v>
      </c>
      <c r="D941" s="196">
        <v>55</v>
      </c>
      <c r="E941" s="196" t="s">
        <v>859</v>
      </c>
      <c r="F941" s="196" t="s">
        <v>1371</v>
      </c>
      <c r="G941" s="196">
        <v>5</v>
      </c>
      <c r="H941" s="196">
        <v>1</v>
      </c>
      <c r="I941" s="196">
        <v>6057</v>
      </c>
      <c r="J941" s="196">
        <v>7359</v>
      </c>
      <c r="K941" s="196">
        <v>61.73</v>
      </c>
      <c r="L941" s="196">
        <v>4.5</v>
      </c>
      <c r="M941" s="196">
        <v>4402</v>
      </c>
      <c r="N941" s="196">
        <v>994341</v>
      </c>
      <c r="O941" s="196">
        <v>1229</v>
      </c>
      <c r="P941" s="196"/>
      <c r="Q941" s="196"/>
      <c r="R941" s="196"/>
      <c r="S941" s="196"/>
      <c r="T941" s="196"/>
      <c r="U941" s="196"/>
      <c r="V941" s="196"/>
      <c r="W941" s="196"/>
      <c r="X941" s="196"/>
      <c r="Y941" s="196"/>
    </row>
    <row r="942" spans="1:25">
      <c r="A942" s="196" t="s">
        <v>837</v>
      </c>
      <c r="B942" s="196" t="s">
        <v>850</v>
      </c>
      <c r="C942" s="196">
        <v>2014</v>
      </c>
      <c r="D942" s="196">
        <v>55</v>
      </c>
      <c r="E942" s="196" t="s">
        <v>862</v>
      </c>
      <c r="F942" s="196" t="s">
        <v>1371</v>
      </c>
      <c r="G942" s="196">
        <v>6</v>
      </c>
      <c r="H942" s="196">
        <v>2</v>
      </c>
      <c r="I942" s="196">
        <v>6096</v>
      </c>
      <c r="J942" s="196">
        <v>11067</v>
      </c>
      <c r="K942" s="196">
        <v>61.73</v>
      </c>
      <c r="L942" s="196">
        <v>4.5</v>
      </c>
      <c r="M942" s="196">
        <v>4402</v>
      </c>
      <c r="N942" s="196">
        <v>994341</v>
      </c>
      <c r="O942" s="196">
        <v>1229</v>
      </c>
      <c r="P942" s="196"/>
      <c r="Q942" s="196"/>
      <c r="R942" s="196"/>
      <c r="S942" s="196"/>
      <c r="T942" s="196"/>
      <c r="U942" s="196"/>
      <c r="V942" s="196"/>
      <c r="W942" s="196"/>
      <c r="X942" s="196"/>
      <c r="Y942" s="196"/>
    </row>
    <row r="943" spans="1:25">
      <c r="A943" s="196" t="s">
        <v>837</v>
      </c>
      <c r="B943" s="196" t="s">
        <v>838</v>
      </c>
      <c r="C943" s="196">
        <v>2013</v>
      </c>
      <c r="D943" s="196">
        <v>30</v>
      </c>
      <c r="E943" s="196" t="s">
        <v>839</v>
      </c>
      <c r="F943" s="196" t="s">
        <v>1372</v>
      </c>
      <c r="G943" s="196">
        <v>2</v>
      </c>
      <c r="H943" s="196">
        <v>2</v>
      </c>
      <c r="I943" s="196">
        <v>5070</v>
      </c>
      <c r="J943" s="196">
        <v>7329</v>
      </c>
      <c r="K943" s="196">
        <v>52.07</v>
      </c>
      <c r="L943" s="196">
        <v>1.77</v>
      </c>
      <c r="M943" s="196">
        <v>4197</v>
      </c>
      <c r="N943" s="196">
        <v>1280652</v>
      </c>
      <c r="O943" s="196">
        <v>1374</v>
      </c>
      <c r="P943" s="196"/>
      <c r="Q943" s="196"/>
      <c r="R943" s="196"/>
      <c r="S943" s="196"/>
      <c r="T943" s="196"/>
      <c r="U943" s="196"/>
      <c r="V943" s="196"/>
      <c r="W943" s="196"/>
      <c r="X943" s="196"/>
      <c r="Y943" s="196"/>
    </row>
    <row r="944" spans="1:25">
      <c r="A944" s="196" t="s">
        <v>837</v>
      </c>
      <c r="B944" s="196" t="s">
        <v>838</v>
      </c>
      <c r="C944" s="196">
        <v>2013</v>
      </c>
      <c r="D944" s="196">
        <v>55</v>
      </c>
      <c r="E944" s="196" t="s">
        <v>849</v>
      </c>
      <c r="F944" s="196" t="s">
        <v>1372</v>
      </c>
      <c r="G944" s="196">
        <v>3</v>
      </c>
      <c r="H944" s="196">
        <v>3</v>
      </c>
      <c r="I944" s="196">
        <v>3216</v>
      </c>
      <c r="J944" s="196">
        <v>15451</v>
      </c>
      <c r="K944" s="196">
        <v>52.07</v>
      </c>
      <c r="L944" s="196">
        <v>1.77</v>
      </c>
      <c r="M944" s="196">
        <v>4197</v>
      </c>
      <c r="N944" s="196">
        <v>1280652</v>
      </c>
      <c r="O944" s="196">
        <v>1374</v>
      </c>
      <c r="P944" s="196"/>
      <c r="Q944" s="196"/>
      <c r="R944" s="196"/>
      <c r="S944" s="196"/>
      <c r="T944" s="196"/>
      <c r="U944" s="196"/>
      <c r="V944" s="196"/>
      <c r="W944" s="196"/>
      <c r="X944" s="196"/>
      <c r="Y944" s="196"/>
    </row>
    <row r="945" spans="1:25">
      <c r="A945" s="196" t="s">
        <v>837</v>
      </c>
      <c r="B945" s="196" t="s">
        <v>850</v>
      </c>
      <c r="C945" s="196">
        <v>2013</v>
      </c>
      <c r="D945" s="196">
        <v>55</v>
      </c>
      <c r="E945" s="196" t="s">
        <v>852</v>
      </c>
      <c r="F945" s="196" t="s">
        <v>1372</v>
      </c>
      <c r="G945" s="196">
        <v>2</v>
      </c>
      <c r="H945" s="196">
        <v>2</v>
      </c>
      <c r="I945" s="196">
        <v>2310</v>
      </c>
      <c r="J945" s="196">
        <v>5374</v>
      </c>
      <c r="K945" s="196">
        <v>52.07</v>
      </c>
      <c r="L945" s="196">
        <v>1.77</v>
      </c>
      <c r="M945" s="196">
        <v>4197</v>
      </c>
      <c r="N945" s="196">
        <v>1280652</v>
      </c>
      <c r="O945" s="196">
        <v>1374</v>
      </c>
      <c r="P945" s="196"/>
      <c r="Q945" s="196"/>
      <c r="R945" s="196"/>
      <c r="S945" s="196"/>
      <c r="T945" s="196"/>
      <c r="U945" s="196"/>
      <c r="V945" s="196"/>
      <c r="W945" s="196"/>
      <c r="X945" s="196"/>
      <c r="Y945" s="196"/>
    </row>
    <row r="946" spans="1:25">
      <c r="A946" s="196" t="s">
        <v>837</v>
      </c>
      <c r="B946" s="196" t="s">
        <v>850</v>
      </c>
      <c r="C946" s="196">
        <v>2013</v>
      </c>
      <c r="D946" s="196">
        <v>80</v>
      </c>
      <c r="E946" s="196" t="s">
        <v>917</v>
      </c>
      <c r="F946" s="196" t="s">
        <v>1372</v>
      </c>
      <c r="G946" s="196">
        <v>1</v>
      </c>
      <c r="H946" s="196">
        <v>1</v>
      </c>
      <c r="I946" s="196">
        <v>372</v>
      </c>
      <c r="J946" s="196">
        <v>3501</v>
      </c>
      <c r="K946" s="196">
        <v>52.07</v>
      </c>
      <c r="L946" s="196">
        <v>1.77</v>
      </c>
      <c r="M946" s="196">
        <v>4197</v>
      </c>
      <c r="N946" s="196">
        <v>1280652</v>
      </c>
      <c r="O946" s="196">
        <v>1374</v>
      </c>
      <c r="P946" s="196"/>
      <c r="Q946" s="196"/>
      <c r="R946" s="196"/>
      <c r="S946" s="196"/>
      <c r="T946" s="196"/>
      <c r="U946" s="196"/>
      <c r="V946" s="196"/>
      <c r="W946" s="196"/>
      <c r="X946" s="196"/>
      <c r="Y946" s="196"/>
    </row>
    <row r="947" spans="1:25">
      <c r="A947" s="196" t="s">
        <v>837</v>
      </c>
      <c r="B947" s="196" t="s">
        <v>181</v>
      </c>
      <c r="C947" s="196">
        <v>2014</v>
      </c>
      <c r="D947" s="196">
        <v>80</v>
      </c>
      <c r="E947" s="196" t="s">
        <v>874</v>
      </c>
      <c r="F947" s="196" t="s">
        <v>1372</v>
      </c>
      <c r="G947" s="196">
        <v>1</v>
      </c>
      <c r="H947" s="196">
        <v>1</v>
      </c>
      <c r="I947" s="196">
        <v>1581</v>
      </c>
      <c r="J947" s="196">
        <v>3726</v>
      </c>
      <c r="K947" s="196">
        <v>52.07</v>
      </c>
      <c r="L947" s="196">
        <v>1.77</v>
      </c>
      <c r="M947" s="196">
        <v>4197</v>
      </c>
      <c r="N947" s="196">
        <v>1280652</v>
      </c>
      <c r="O947" s="196">
        <v>1374</v>
      </c>
      <c r="P947" s="196"/>
      <c r="Q947" s="196"/>
      <c r="R947" s="196"/>
      <c r="S947" s="196"/>
      <c r="T947" s="196"/>
      <c r="U947" s="196"/>
      <c r="V947" s="196"/>
      <c r="W947" s="196"/>
      <c r="X947" s="196"/>
      <c r="Y947" s="196"/>
    </row>
    <row r="948" spans="1:25">
      <c r="A948" s="196" t="s">
        <v>837</v>
      </c>
      <c r="B948" s="196" t="s">
        <v>850</v>
      </c>
      <c r="C948" s="196">
        <v>2014</v>
      </c>
      <c r="D948" s="196">
        <v>80</v>
      </c>
      <c r="E948" s="196" t="s">
        <v>875</v>
      </c>
      <c r="F948" s="196" t="s">
        <v>1372</v>
      </c>
      <c r="G948" s="196">
        <v>1</v>
      </c>
      <c r="H948" s="196">
        <v>1</v>
      </c>
      <c r="I948" s="196">
        <v>2541</v>
      </c>
      <c r="J948" s="196">
        <v>2694</v>
      </c>
      <c r="K948" s="196">
        <v>52.07</v>
      </c>
      <c r="L948" s="196">
        <v>1.77</v>
      </c>
      <c r="M948" s="196">
        <v>4197</v>
      </c>
      <c r="N948" s="196">
        <v>1280652</v>
      </c>
      <c r="O948" s="196">
        <v>1374</v>
      </c>
      <c r="P948" s="196"/>
      <c r="Q948" s="196"/>
      <c r="R948" s="196"/>
      <c r="S948" s="196"/>
      <c r="T948" s="196"/>
      <c r="U948" s="196"/>
      <c r="V948" s="196"/>
      <c r="W948" s="196"/>
      <c r="X948" s="196"/>
      <c r="Y948" s="196"/>
    </row>
    <row r="949" spans="1:25">
      <c r="A949" s="196" t="s">
        <v>837</v>
      </c>
      <c r="B949" s="196" t="s">
        <v>838</v>
      </c>
      <c r="C949" s="196">
        <v>2013</v>
      </c>
      <c r="D949" s="196">
        <v>80</v>
      </c>
      <c r="E949" s="196" t="s">
        <v>908</v>
      </c>
      <c r="F949" s="196" t="s">
        <v>1372</v>
      </c>
      <c r="G949" s="196">
        <v>2</v>
      </c>
      <c r="H949" s="196">
        <v>2</v>
      </c>
      <c r="I949" s="196">
        <v>4071</v>
      </c>
      <c r="J949" s="196">
        <v>7335</v>
      </c>
      <c r="K949" s="196">
        <v>52.07</v>
      </c>
      <c r="L949" s="196">
        <v>1.77</v>
      </c>
      <c r="M949" s="196">
        <v>4197</v>
      </c>
      <c r="N949" s="196">
        <v>1280652</v>
      </c>
      <c r="O949" s="196">
        <v>1374</v>
      </c>
      <c r="P949" s="196"/>
      <c r="Q949" s="196"/>
      <c r="R949" s="196"/>
      <c r="S949" s="196"/>
      <c r="T949" s="196"/>
      <c r="U949" s="196"/>
      <c r="V949" s="196"/>
      <c r="W949" s="196"/>
      <c r="X949" s="196"/>
      <c r="Y949" s="196"/>
    </row>
    <row r="950" spans="1:25">
      <c r="A950" s="196" t="s">
        <v>837</v>
      </c>
      <c r="B950" s="196" t="s">
        <v>838</v>
      </c>
      <c r="C950" s="196">
        <v>2014</v>
      </c>
      <c r="D950" s="196">
        <v>55</v>
      </c>
      <c r="E950" s="196" t="s">
        <v>854</v>
      </c>
      <c r="F950" s="196" t="s">
        <v>1372</v>
      </c>
      <c r="G950" s="196">
        <v>1</v>
      </c>
      <c r="H950" s="196">
        <v>1</v>
      </c>
      <c r="I950" s="196">
        <v>867</v>
      </c>
      <c r="J950" s="196">
        <v>2674</v>
      </c>
      <c r="K950" s="196">
        <v>52.07</v>
      </c>
      <c r="L950" s="196">
        <v>1.77</v>
      </c>
      <c r="M950" s="196">
        <v>4197</v>
      </c>
      <c r="N950" s="196">
        <v>1280652</v>
      </c>
      <c r="O950" s="196">
        <v>1374</v>
      </c>
      <c r="P950" s="196"/>
      <c r="Q950" s="196"/>
      <c r="R950" s="196"/>
      <c r="S950" s="196"/>
      <c r="T950" s="196"/>
      <c r="U950" s="196"/>
      <c r="V950" s="196"/>
      <c r="W950" s="196"/>
      <c r="X950" s="196"/>
      <c r="Y950" s="196"/>
    </row>
    <row r="951" spans="1:25">
      <c r="A951" s="196" t="s">
        <v>837</v>
      </c>
      <c r="B951" s="196" t="s">
        <v>181</v>
      </c>
      <c r="C951" s="196">
        <v>2014</v>
      </c>
      <c r="D951" s="196">
        <v>55</v>
      </c>
      <c r="E951" s="196" t="s">
        <v>858</v>
      </c>
      <c r="F951" s="196" t="s">
        <v>1372</v>
      </c>
      <c r="G951" s="196">
        <v>1</v>
      </c>
      <c r="H951" s="196">
        <v>1</v>
      </c>
      <c r="I951" s="196">
        <v>729</v>
      </c>
      <c r="J951" s="196">
        <v>3161</v>
      </c>
      <c r="K951" s="196">
        <v>52.07</v>
      </c>
      <c r="L951" s="196">
        <v>1.77</v>
      </c>
      <c r="M951" s="196">
        <v>4197</v>
      </c>
      <c r="N951" s="196">
        <v>1280652</v>
      </c>
      <c r="O951" s="196">
        <v>1374</v>
      </c>
      <c r="P951" s="196"/>
      <c r="Q951" s="196"/>
      <c r="R951" s="196"/>
      <c r="S951" s="196"/>
      <c r="T951" s="196"/>
      <c r="U951" s="196"/>
      <c r="V951" s="196"/>
      <c r="W951" s="196"/>
      <c r="X951" s="196"/>
      <c r="Y951" s="196"/>
    </row>
    <row r="952" spans="1:25">
      <c r="A952" s="196" t="s">
        <v>837</v>
      </c>
      <c r="B952" s="196" t="s">
        <v>850</v>
      </c>
      <c r="C952" s="196">
        <v>2013</v>
      </c>
      <c r="D952" s="196">
        <v>80</v>
      </c>
      <c r="E952" s="196" t="s">
        <v>917</v>
      </c>
      <c r="F952" s="196" t="s">
        <v>1373</v>
      </c>
      <c r="G952" s="196">
        <v>1</v>
      </c>
      <c r="H952" s="196">
        <v>1</v>
      </c>
      <c r="I952" s="196">
        <v>1326</v>
      </c>
      <c r="J952" s="196">
        <v>7406</v>
      </c>
      <c r="K952" s="196">
        <v>77.239999999999995</v>
      </c>
      <c r="L952" s="196">
        <v>0.49</v>
      </c>
      <c r="M952" s="196">
        <v>8219</v>
      </c>
      <c r="N952" s="196">
        <v>625399</v>
      </c>
      <c r="O952" s="196">
        <v>796</v>
      </c>
      <c r="P952" s="196"/>
      <c r="Q952" s="196"/>
      <c r="R952" s="196"/>
      <c r="S952" s="196"/>
      <c r="T952" s="196"/>
      <c r="U952" s="196"/>
      <c r="V952" s="196"/>
      <c r="W952" s="196"/>
      <c r="X952" s="196"/>
      <c r="Y952" s="196"/>
    </row>
    <row r="953" spans="1:25">
      <c r="A953" s="196" t="s">
        <v>837</v>
      </c>
      <c r="B953" s="196" t="s">
        <v>181</v>
      </c>
      <c r="C953" s="196">
        <v>2013</v>
      </c>
      <c r="D953" s="196">
        <v>80</v>
      </c>
      <c r="E953" s="196" t="s">
        <v>876</v>
      </c>
      <c r="F953" s="196" t="s">
        <v>1374</v>
      </c>
      <c r="G953" s="196">
        <v>1</v>
      </c>
      <c r="H953" s="196">
        <v>1</v>
      </c>
      <c r="I953" s="196">
        <v>1469</v>
      </c>
      <c r="J953" s="196">
        <v>16402</v>
      </c>
      <c r="K953" s="196">
        <v>69.25</v>
      </c>
      <c r="L953" s="196">
        <v>0.45</v>
      </c>
      <c r="M953" s="196">
        <v>6269</v>
      </c>
      <c r="N953" s="196">
        <v>873416</v>
      </c>
      <c r="O953" s="196">
        <v>1005</v>
      </c>
      <c r="P953" s="196"/>
      <c r="Q953" s="196"/>
      <c r="R953" s="196"/>
      <c r="S953" s="196"/>
      <c r="T953" s="196"/>
      <c r="U953" s="196"/>
      <c r="V953" s="196"/>
      <c r="W953" s="196"/>
      <c r="X953" s="196"/>
      <c r="Y953" s="196"/>
    </row>
    <row r="954" spans="1:25">
      <c r="A954" s="196" t="s">
        <v>837</v>
      </c>
      <c r="B954" s="196" t="s">
        <v>850</v>
      </c>
      <c r="C954" s="196">
        <v>2013</v>
      </c>
      <c r="D954" s="196">
        <v>30</v>
      </c>
      <c r="E954" s="196" t="s">
        <v>851</v>
      </c>
      <c r="F954" s="196" t="s">
        <v>1375</v>
      </c>
      <c r="G954" s="196">
        <v>1</v>
      </c>
      <c r="H954" s="196">
        <v>1</v>
      </c>
      <c r="I954" s="196">
        <v>666</v>
      </c>
      <c r="J954" s="196">
        <v>7322</v>
      </c>
      <c r="K954" s="196">
        <v>77.540000000000006</v>
      </c>
      <c r="L954" s="196">
        <v>0.38</v>
      </c>
      <c r="M954" s="196">
        <v>12994</v>
      </c>
      <c r="N954" s="196">
        <v>593883</v>
      </c>
      <c r="O954" s="196">
        <v>714</v>
      </c>
      <c r="P954" s="196"/>
      <c r="Q954" s="196"/>
      <c r="R954" s="196"/>
      <c r="S954" s="196"/>
      <c r="T954" s="196"/>
      <c r="U954" s="196"/>
      <c r="V954" s="196"/>
      <c r="W954" s="196"/>
      <c r="X954" s="196"/>
      <c r="Y954" s="196"/>
    </row>
    <row r="955" spans="1:25">
      <c r="A955" s="196" t="s">
        <v>837</v>
      </c>
      <c r="B955" s="196" t="s">
        <v>838</v>
      </c>
      <c r="C955" s="196">
        <v>2014</v>
      </c>
      <c r="D955" s="196">
        <v>80</v>
      </c>
      <c r="E955" s="196" t="s">
        <v>853</v>
      </c>
      <c r="F955" s="196" t="s">
        <v>1376</v>
      </c>
      <c r="G955" s="196">
        <v>1</v>
      </c>
      <c r="H955" s="196">
        <v>1</v>
      </c>
      <c r="I955" s="196">
        <v>1743</v>
      </c>
      <c r="J955" s="196">
        <v>2887</v>
      </c>
      <c r="K955" s="196">
        <v>73.14</v>
      </c>
      <c r="L955" s="196">
        <v>1.2</v>
      </c>
      <c r="M955" s="196">
        <v>5645</v>
      </c>
      <c r="N955" s="196">
        <v>976493</v>
      </c>
      <c r="O955" s="196">
        <v>1139</v>
      </c>
      <c r="P955" s="196"/>
      <c r="Q955" s="196"/>
      <c r="R955" s="196"/>
      <c r="S955" s="196"/>
      <c r="T955" s="196"/>
      <c r="U955" s="196"/>
      <c r="V955" s="196"/>
      <c r="W955" s="196"/>
      <c r="X955" s="196"/>
      <c r="Y955" s="196"/>
    </row>
    <row r="956" spans="1:25">
      <c r="A956" s="196" t="s">
        <v>837</v>
      </c>
      <c r="B956" s="196" t="s">
        <v>838</v>
      </c>
      <c r="C956" s="196">
        <v>2014</v>
      </c>
      <c r="D956" s="196">
        <v>55</v>
      </c>
      <c r="E956" s="196" t="s">
        <v>855</v>
      </c>
      <c r="F956" s="196" t="s">
        <v>1376</v>
      </c>
      <c r="G956" s="196">
        <v>1</v>
      </c>
      <c r="H956" s="196">
        <v>1</v>
      </c>
      <c r="I956" s="196">
        <v>299</v>
      </c>
      <c r="J956" s="196">
        <v>5205</v>
      </c>
      <c r="K956" s="196">
        <v>73.14</v>
      </c>
      <c r="L956" s="196">
        <v>1.2</v>
      </c>
      <c r="M956" s="196">
        <v>5645</v>
      </c>
      <c r="N956" s="196">
        <v>976493</v>
      </c>
      <c r="O956" s="196">
        <v>1139</v>
      </c>
      <c r="P956" s="196"/>
      <c r="Q956" s="196"/>
      <c r="R956" s="196"/>
      <c r="S956" s="196"/>
      <c r="T956" s="196"/>
      <c r="U956" s="196"/>
      <c r="V956" s="196"/>
      <c r="W956" s="196"/>
      <c r="X956" s="196"/>
      <c r="Y956" s="196"/>
    </row>
    <row r="957" spans="1:25">
      <c r="A957" s="196" t="s">
        <v>837</v>
      </c>
      <c r="B957" s="196" t="s">
        <v>850</v>
      </c>
      <c r="C957" s="196">
        <v>2014</v>
      </c>
      <c r="D957" s="196">
        <v>30</v>
      </c>
      <c r="E957" s="196" t="s">
        <v>860</v>
      </c>
      <c r="F957" s="196" t="s">
        <v>1376</v>
      </c>
      <c r="G957" s="196">
        <v>1</v>
      </c>
      <c r="H957" s="196">
        <v>1</v>
      </c>
      <c r="I957" s="196">
        <v>243</v>
      </c>
      <c r="J957" s="196">
        <v>10160</v>
      </c>
      <c r="K957" s="196">
        <v>73.14</v>
      </c>
      <c r="L957" s="196">
        <v>1.2</v>
      </c>
      <c r="M957" s="196">
        <v>5645</v>
      </c>
      <c r="N957" s="196">
        <v>976493</v>
      </c>
      <c r="O957" s="196">
        <v>1139</v>
      </c>
      <c r="P957" s="196"/>
      <c r="Q957" s="196"/>
      <c r="R957" s="196"/>
      <c r="S957" s="196"/>
      <c r="T957" s="196"/>
      <c r="U957" s="196"/>
      <c r="V957" s="196"/>
      <c r="W957" s="196"/>
      <c r="X957" s="196"/>
      <c r="Y957" s="196"/>
    </row>
    <row r="958" spans="1:25">
      <c r="A958" s="196" t="s">
        <v>837</v>
      </c>
      <c r="B958" s="196" t="s">
        <v>838</v>
      </c>
      <c r="C958" s="196">
        <v>2013</v>
      </c>
      <c r="D958" s="196">
        <v>30</v>
      </c>
      <c r="E958" s="196" t="s">
        <v>839</v>
      </c>
      <c r="F958" s="196" t="s">
        <v>1377</v>
      </c>
      <c r="G958" s="196">
        <v>2</v>
      </c>
      <c r="H958" s="196">
        <v>2</v>
      </c>
      <c r="I958" s="196">
        <v>2826</v>
      </c>
      <c r="J958" s="196">
        <v>10458</v>
      </c>
      <c r="K958" s="196">
        <v>92.41</v>
      </c>
      <c r="L958" s="196">
        <v>0.4</v>
      </c>
      <c r="M958" s="196">
        <v>7946</v>
      </c>
      <c r="N958" s="196">
        <v>1914157</v>
      </c>
      <c r="O958" s="196">
        <v>1851</v>
      </c>
      <c r="P958" s="196"/>
      <c r="Q958" s="196"/>
      <c r="R958" s="196"/>
      <c r="S958" s="196"/>
      <c r="T958" s="196"/>
      <c r="U958" s="196"/>
      <c r="V958" s="196"/>
      <c r="W958" s="196"/>
      <c r="X958" s="196"/>
      <c r="Y958" s="196"/>
    </row>
    <row r="959" spans="1:25">
      <c r="A959" s="196" t="s">
        <v>837</v>
      </c>
      <c r="B959" s="196" t="s">
        <v>838</v>
      </c>
      <c r="C959" s="196">
        <v>2013</v>
      </c>
      <c r="D959" s="196">
        <v>55</v>
      </c>
      <c r="E959" s="196" t="s">
        <v>849</v>
      </c>
      <c r="F959" s="196" t="s">
        <v>1377</v>
      </c>
      <c r="G959" s="196">
        <v>1</v>
      </c>
      <c r="H959" s="196">
        <v>1</v>
      </c>
      <c r="I959" s="196">
        <v>2709</v>
      </c>
      <c r="J959" s="196">
        <v>7992</v>
      </c>
      <c r="K959" s="196">
        <v>92.41</v>
      </c>
      <c r="L959" s="196">
        <v>0.4</v>
      </c>
      <c r="M959" s="196">
        <v>7946</v>
      </c>
      <c r="N959" s="196">
        <v>1914157</v>
      </c>
      <c r="O959" s="196">
        <v>1851</v>
      </c>
      <c r="P959" s="196"/>
      <c r="Q959" s="196"/>
      <c r="R959" s="196"/>
      <c r="S959" s="196"/>
      <c r="T959" s="196"/>
      <c r="U959" s="196"/>
      <c r="V959" s="196"/>
      <c r="W959" s="196"/>
      <c r="X959" s="196"/>
      <c r="Y959" s="196"/>
    </row>
    <row r="960" spans="1:25">
      <c r="A960" s="196" t="s">
        <v>837</v>
      </c>
      <c r="B960" s="196" t="s">
        <v>850</v>
      </c>
      <c r="C960" s="196">
        <v>2013</v>
      </c>
      <c r="D960" s="196">
        <v>30</v>
      </c>
      <c r="E960" s="196" t="s">
        <v>851</v>
      </c>
      <c r="F960" s="196" t="s">
        <v>1377</v>
      </c>
      <c r="G960" s="196">
        <v>3</v>
      </c>
      <c r="H960" s="196">
        <v>3</v>
      </c>
      <c r="I960" s="196">
        <v>4072</v>
      </c>
      <c r="J960" s="196">
        <v>33879</v>
      </c>
      <c r="K960" s="196">
        <v>92.41</v>
      </c>
      <c r="L960" s="196">
        <v>0.4</v>
      </c>
      <c r="M960" s="196">
        <v>7946</v>
      </c>
      <c r="N960" s="196">
        <v>1914157</v>
      </c>
      <c r="O960" s="196">
        <v>1851</v>
      </c>
      <c r="P960" s="196"/>
      <c r="Q960" s="196"/>
      <c r="R960" s="196"/>
      <c r="S960" s="196"/>
      <c r="T960" s="196"/>
      <c r="U960" s="196"/>
      <c r="V960" s="196"/>
      <c r="W960" s="196"/>
      <c r="X960" s="196"/>
      <c r="Y960" s="196"/>
    </row>
    <row r="961" spans="1:25">
      <c r="A961" s="196" t="s">
        <v>837</v>
      </c>
      <c r="B961" s="196" t="s">
        <v>850</v>
      </c>
      <c r="C961" s="196">
        <v>2013</v>
      </c>
      <c r="D961" s="196">
        <v>80</v>
      </c>
      <c r="E961" s="196" t="s">
        <v>917</v>
      </c>
      <c r="F961" s="196" t="s">
        <v>1377</v>
      </c>
      <c r="G961" s="196">
        <v>1</v>
      </c>
      <c r="H961" s="196">
        <v>1</v>
      </c>
      <c r="I961" s="196">
        <v>1095</v>
      </c>
      <c r="J961" s="196">
        <v>15830</v>
      </c>
      <c r="K961" s="196">
        <v>92.41</v>
      </c>
      <c r="L961" s="196">
        <v>0.4</v>
      </c>
      <c r="M961" s="196">
        <v>7946</v>
      </c>
      <c r="N961" s="196">
        <v>1914157</v>
      </c>
      <c r="O961" s="196">
        <v>1851</v>
      </c>
      <c r="P961" s="196"/>
      <c r="Q961" s="196"/>
      <c r="R961" s="196"/>
      <c r="S961" s="196"/>
      <c r="T961" s="196"/>
      <c r="U961" s="196"/>
      <c r="V961" s="196"/>
      <c r="W961" s="196"/>
      <c r="X961" s="196"/>
      <c r="Y961" s="196"/>
    </row>
    <row r="962" spans="1:25">
      <c r="A962" s="196" t="s">
        <v>837</v>
      </c>
      <c r="B962" s="196" t="s">
        <v>838</v>
      </c>
      <c r="C962" s="196">
        <v>2014</v>
      </c>
      <c r="D962" s="196">
        <v>80</v>
      </c>
      <c r="E962" s="196" t="s">
        <v>853</v>
      </c>
      <c r="F962" s="196" t="s">
        <v>1377</v>
      </c>
      <c r="G962" s="196">
        <v>1</v>
      </c>
      <c r="H962" s="196">
        <v>1</v>
      </c>
      <c r="I962" s="196">
        <v>1644</v>
      </c>
      <c r="J962" s="196">
        <v>2928</v>
      </c>
      <c r="K962" s="196">
        <v>92.41</v>
      </c>
      <c r="L962" s="196">
        <v>0.4</v>
      </c>
      <c r="M962" s="196">
        <v>7946</v>
      </c>
      <c r="N962" s="196">
        <v>1914157</v>
      </c>
      <c r="O962" s="196">
        <v>1851</v>
      </c>
      <c r="P962" s="196"/>
      <c r="Q962" s="196"/>
      <c r="R962" s="196"/>
      <c r="S962" s="196"/>
      <c r="T962" s="196"/>
      <c r="U962" s="196"/>
      <c r="V962" s="196"/>
      <c r="W962" s="196"/>
      <c r="X962" s="196"/>
      <c r="Y962" s="196"/>
    </row>
    <row r="963" spans="1:25">
      <c r="A963" s="196" t="s">
        <v>837</v>
      </c>
      <c r="B963" s="196" t="s">
        <v>850</v>
      </c>
      <c r="C963" s="196">
        <v>2014</v>
      </c>
      <c r="D963" s="196">
        <v>80</v>
      </c>
      <c r="E963" s="196" t="s">
        <v>918</v>
      </c>
      <c r="F963" s="196" t="s">
        <v>1377</v>
      </c>
      <c r="G963" s="196">
        <v>1</v>
      </c>
      <c r="H963" s="196">
        <v>1</v>
      </c>
      <c r="I963" s="196">
        <v>1644</v>
      </c>
      <c r="J963" s="196">
        <v>2928</v>
      </c>
      <c r="K963" s="196">
        <v>92.41</v>
      </c>
      <c r="L963" s="196">
        <v>0.4</v>
      </c>
      <c r="M963" s="196">
        <v>7946</v>
      </c>
      <c r="N963" s="196">
        <v>1914157</v>
      </c>
      <c r="O963" s="196">
        <v>1851</v>
      </c>
      <c r="P963" s="196"/>
      <c r="Q963" s="196"/>
      <c r="R963" s="196"/>
      <c r="S963" s="196"/>
      <c r="T963" s="196"/>
      <c r="U963" s="196"/>
      <c r="V963" s="196"/>
      <c r="W963" s="196"/>
      <c r="X963" s="196"/>
      <c r="Y963" s="196"/>
    </row>
    <row r="964" spans="1:25">
      <c r="A964" s="196" t="s">
        <v>837</v>
      </c>
      <c r="B964" s="196" t="s">
        <v>838</v>
      </c>
      <c r="C964" s="196">
        <v>2013</v>
      </c>
      <c r="D964" s="196">
        <v>80</v>
      </c>
      <c r="E964" s="196" t="s">
        <v>908</v>
      </c>
      <c r="F964" s="196" t="s">
        <v>1377</v>
      </c>
      <c r="G964" s="196">
        <v>1</v>
      </c>
      <c r="H964" s="196">
        <v>1</v>
      </c>
      <c r="I964" s="196">
        <v>804</v>
      </c>
      <c r="J964" s="196">
        <v>10678</v>
      </c>
      <c r="K964" s="196">
        <v>92.41</v>
      </c>
      <c r="L964" s="196">
        <v>0.4</v>
      </c>
      <c r="M964" s="196">
        <v>7946</v>
      </c>
      <c r="N964" s="196">
        <v>1914157</v>
      </c>
      <c r="O964" s="196">
        <v>1851</v>
      </c>
      <c r="P964" s="196"/>
      <c r="Q964" s="196"/>
      <c r="R964" s="196"/>
      <c r="S964" s="196"/>
      <c r="T964" s="196"/>
      <c r="U964" s="196"/>
      <c r="V964" s="196"/>
      <c r="W964" s="196"/>
      <c r="X964" s="196"/>
      <c r="Y964" s="196"/>
    </row>
    <row r="965" spans="1:25">
      <c r="A965" s="196" t="s">
        <v>837</v>
      </c>
      <c r="B965" s="196" t="s">
        <v>181</v>
      </c>
      <c r="C965" s="196">
        <v>2013</v>
      </c>
      <c r="D965" s="196">
        <v>80</v>
      </c>
      <c r="E965" s="196" t="s">
        <v>876</v>
      </c>
      <c r="F965" s="196" t="s">
        <v>1377</v>
      </c>
      <c r="G965" s="196">
        <v>1</v>
      </c>
      <c r="H965" s="196">
        <v>1</v>
      </c>
      <c r="I965" s="196">
        <v>1444</v>
      </c>
      <c r="J965" s="196">
        <v>4753</v>
      </c>
      <c r="K965" s="196">
        <v>92.41</v>
      </c>
      <c r="L965" s="196">
        <v>0.4</v>
      </c>
      <c r="M965" s="196">
        <v>7946</v>
      </c>
      <c r="N965" s="196">
        <v>1914157</v>
      </c>
      <c r="O965" s="196">
        <v>1851</v>
      </c>
      <c r="P965" s="196"/>
      <c r="Q965" s="196"/>
      <c r="R965" s="196"/>
      <c r="S965" s="196"/>
      <c r="T965" s="196"/>
      <c r="U965" s="196"/>
      <c r="V965" s="196"/>
      <c r="W965" s="196"/>
      <c r="X965" s="196"/>
      <c r="Y965" s="196"/>
    </row>
    <row r="966" spans="1:25">
      <c r="A966" s="196" t="s">
        <v>837</v>
      </c>
      <c r="B966" s="196" t="s">
        <v>181</v>
      </c>
      <c r="C966" s="196">
        <v>2013</v>
      </c>
      <c r="D966" s="196">
        <v>80</v>
      </c>
      <c r="E966" s="196" t="s">
        <v>876</v>
      </c>
      <c r="F966" s="196" t="s">
        <v>1378</v>
      </c>
      <c r="G966" s="196">
        <v>1</v>
      </c>
      <c r="H966" s="196">
        <v>1</v>
      </c>
      <c r="I966" s="196">
        <v>130</v>
      </c>
      <c r="J966" s="196">
        <v>9342</v>
      </c>
      <c r="K966" s="196">
        <v>68.8</v>
      </c>
      <c r="L966" s="196">
        <v>0.03</v>
      </c>
      <c r="M966" s="196">
        <v>5415</v>
      </c>
      <c r="N966" s="196">
        <v>514520</v>
      </c>
      <c r="O966" s="196">
        <v>668</v>
      </c>
      <c r="P966" s="196"/>
      <c r="Q966" s="196"/>
      <c r="R966" s="196"/>
      <c r="S966" s="196"/>
      <c r="T966" s="196"/>
      <c r="U966" s="196"/>
      <c r="V966" s="196"/>
      <c r="W966" s="196"/>
      <c r="X966" s="196"/>
      <c r="Y966" s="196"/>
    </row>
    <row r="967" spans="1:25">
      <c r="A967" s="196" t="s">
        <v>837</v>
      </c>
      <c r="B967" s="196" t="s">
        <v>838</v>
      </c>
      <c r="C967" s="196">
        <v>2013</v>
      </c>
      <c r="D967" s="196">
        <v>30</v>
      </c>
      <c r="E967" s="196" t="s">
        <v>839</v>
      </c>
      <c r="F967" s="196" t="s">
        <v>1379</v>
      </c>
      <c r="G967" s="196">
        <v>1</v>
      </c>
      <c r="H967" s="196">
        <v>1</v>
      </c>
      <c r="I967" s="196">
        <v>1650</v>
      </c>
      <c r="J967" s="196">
        <v>3901</v>
      </c>
      <c r="K967" s="196">
        <v>83.96</v>
      </c>
      <c r="L967" s="196">
        <v>3.16</v>
      </c>
      <c r="M967" s="196">
        <v>7664</v>
      </c>
      <c r="N967" s="196">
        <v>3938538</v>
      </c>
      <c r="O967" s="196">
        <v>3673</v>
      </c>
      <c r="P967" s="196"/>
      <c r="Q967" s="196"/>
      <c r="R967" s="196"/>
      <c r="S967" s="196"/>
      <c r="T967" s="196"/>
      <c r="U967" s="196"/>
      <c r="V967" s="196"/>
      <c r="W967" s="196"/>
      <c r="X967" s="196"/>
      <c r="Y967" s="196"/>
    </row>
    <row r="968" spans="1:25">
      <c r="A968" s="196" t="s">
        <v>837</v>
      </c>
      <c r="B968" s="196" t="s">
        <v>838</v>
      </c>
      <c r="C968" s="196">
        <v>2013</v>
      </c>
      <c r="D968" s="196">
        <v>55</v>
      </c>
      <c r="E968" s="196" t="s">
        <v>849</v>
      </c>
      <c r="F968" s="196" t="s">
        <v>1379</v>
      </c>
      <c r="G968" s="196">
        <v>2</v>
      </c>
      <c r="H968" s="196">
        <v>2</v>
      </c>
      <c r="I968" s="196">
        <v>4143</v>
      </c>
      <c r="J968" s="196">
        <v>17242</v>
      </c>
      <c r="K968" s="196">
        <v>83.96</v>
      </c>
      <c r="L968" s="196">
        <v>3.16</v>
      </c>
      <c r="M968" s="196">
        <v>7664</v>
      </c>
      <c r="N968" s="196">
        <v>3938538</v>
      </c>
      <c r="O968" s="196">
        <v>3673</v>
      </c>
      <c r="P968" s="196"/>
      <c r="Q968" s="196"/>
      <c r="R968" s="196"/>
      <c r="S968" s="196"/>
      <c r="T968" s="196"/>
      <c r="U968" s="196"/>
      <c r="V968" s="196"/>
      <c r="W968" s="196"/>
      <c r="X968" s="196"/>
      <c r="Y968" s="196"/>
    </row>
    <row r="969" spans="1:25">
      <c r="A969" s="196" t="s">
        <v>837</v>
      </c>
      <c r="B969" s="196" t="s">
        <v>850</v>
      </c>
      <c r="C969" s="196">
        <v>2013</v>
      </c>
      <c r="D969" s="196">
        <v>55</v>
      </c>
      <c r="E969" s="196" t="s">
        <v>852</v>
      </c>
      <c r="F969" s="196" t="s">
        <v>1379</v>
      </c>
      <c r="G969" s="196">
        <v>2</v>
      </c>
      <c r="H969" s="196">
        <v>2</v>
      </c>
      <c r="I969" s="196">
        <v>1363</v>
      </c>
      <c r="J969" s="196">
        <v>14903</v>
      </c>
      <c r="K969" s="196">
        <v>83.96</v>
      </c>
      <c r="L969" s="196">
        <v>3.16</v>
      </c>
      <c r="M969" s="196">
        <v>7664</v>
      </c>
      <c r="N969" s="196">
        <v>3938538</v>
      </c>
      <c r="O969" s="196">
        <v>3673</v>
      </c>
      <c r="P969" s="196"/>
      <c r="Q969" s="196"/>
      <c r="R969" s="196"/>
      <c r="S969" s="196"/>
      <c r="T969" s="196"/>
      <c r="U969" s="196"/>
      <c r="V969" s="196"/>
      <c r="W969" s="196"/>
      <c r="X969" s="196"/>
      <c r="Y969" s="196"/>
    </row>
    <row r="970" spans="1:25">
      <c r="A970" s="196" t="s">
        <v>837</v>
      </c>
      <c r="B970" s="196" t="s">
        <v>181</v>
      </c>
      <c r="C970" s="196">
        <v>2014</v>
      </c>
      <c r="D970" s="196">
        <v>80</v>
      </c>
      <c r="E970" s="196" t="s">
        <v>874</v>
      </c>
      <c r="F970" s="196" t="s">
        <v>1379</v>
      </c>
      <c r="G970" s="196">
        <v>2</v>
      </c>
      <c r="H970" s="196">
        <v>2</v>
      </c>
      <c r="I970" s="196">
        <v>1425</v>
      </c>
      <c r="J970" s="196">
        <v>15631</v>
      </c>
      <c r="K970" s="196">
        <v>83.96</v>
      </c>
      <c r="L970" s="196">
        <v>3.16</v>
      </c>
      <c r="M970" s="196">
        <v>7664</v>
      </c>
      <c r="N970" s="196">
        <v>3938538</v>
      </c>
      <c r="O970" s="196">
        <v>3673</v>
      </c>
      <c r="P970" s="196"/>
      <c r="Q970" s="196"/>
      <c r="R970" s="196"/>
      <c r="S970" s="196"/>
      <c r="T970" s="196"/>
      <c r="U970" s="196"/>
      <c r="V970" s="196"/>
      <c r="W970" s="196"/>
      <c r="X970" s="196"/>
      <c r="Y970" s="196"/>
    </row>
    <row r="971" spans="1:25">
      <c r="A971" s="196" t="s">
        <v>837</v>
      </c>
      <c r="B971" s="196" t="s">
        <v>850</v>
      </c>
      <c r="C971" s="196">
        <v>2014</v>
      </c>
      <c r="D971" s="196">
        <v>80</v>
      </c>
      <c r="E971" s="196" t="s">
        <v>875</v>
      </c>
      <c r="F971" s="196" t="s">
        <v>1379</v>
      </c>
      <c r="G971" s="196">
        <v>2</v>
      </c>
      <c r="H971" s="196">
        <v>2</v>
      </c>
      <c r="I971" s="196">
        <v>2313</v>
      </c>
      <c r="J971" s="196">
        <v>15513</v>
      </c>
      <c r="K971" s="196">
        <v>83.96</v>
      </c>
      <c r="L971" s="196">
        <v>3.16</v>
      </c>
      <c r="M971" s="196">
        <v>7664</v>
      </c>
      <c r="N971" s="196">
        <v>3938538</v>
      </c>
      <c r="O971" s="196">
        <v>3673</v>
      </c>
      <c r="P971" s="196"/>
      <c r="Q971" s="196"/>
      <c r="R971" s="196"/>
      <c r="S971" s="196"/>
      <c r="T971" s="196"/>
      <c r="U971" s="196"/>
      <c r="V971" s="196"/>
      <c r="W971" s="196"/>
      <c r="X971" s="196"/>
      <c r="Y971" s="196"/>
    </row>
    <row r="972" spans="1:25">
      <c r="A972" s="196" t="s">
        <v>837</v>
      </c>
      <c r="B972" s="196" t="s">
        <v>838</v>
      </c>
      <c r="C972" s="196">
        <v>2013</v>
      </c>
      <c r="D972" s="196">
        <v>80</v>
      </c>
      <c r="E972" s="196" t="s">
        <v>908</v>
      </c>
      <c r="F972" s="196" t="s">
        <v>1379</v>
      </c>
      <c r="G972" s="196">
        <v>1</v>
      </c>
      <c r="H972" s="196">
        <v>1</v>
      </c>
      <c r="I972" s="196">
        <v>1995</v>
      </c>
      <c r="J972" s="196">
        <v>3643</v>
      </c>
      <c r="K972" s="196">
        <v>83.96</v>
      </c>
      <c r="L972" s="196">
        <v>3.16</v>
      </c>
      <c r="M972" s="196">
        <v>7664</v>
      </c>
      <c r="N972" s="196">
        <v>3938538</v>
      </c>
      <c r="O972" s="196">
        <v>3673</v>
      </c>
      <c r="P972" s="196"/>
      <c r="Q972" s="196"/>
      <c r="R972" s="196"/>
      <c r="S972" s="196"/>
      <c r="T972" s="196"/>
      <c r="U972" s="196"/>
      <c r="V972" s="196"/>
      <c r="W972" s="196"/>
      <c r="X972" s="196"/>
      <c r="Y972" s="196"/>
    </row>
    <row r="973" spans="1:25">
      <c r="A973" s="196" t="s">
        <v>837</v>
      </c>
      <c r="B973" s="196" t="s">
        <v>838</v>
      </c>
      <c r="C973" s="196">
        <v>2014</v>
      </c>
      <c r="D973" s="196">
        <v>55</v>
      </c>
      <c r="E973" s="196" t="s">
        <v>854</v>
      </c>
      <c r="F973" s="196" t="s">
        <v>1379</v>
      </c>
      <c r="G973" s="196">
        <v>1</v>
      </c>
      <c r="H973" s="196">
        <v>1</v>
      </c>
      <c r="I973" s="196">
        <v>867</v>
      </c>
      <c r="J973" s="196">
        <v>7874</v>
      </c>
      <c r="K973" s="196">
        <v>83.96</v>
      </c>
      <c r="L973" s="196">
        <v>3.16</v>
      </c>
      <c r="M973" s="196">
        <v>7664</v>
      </c>
      <c r="N973" s="196">
        <v>3938538</v>
      </c>
      <c r="O973" s="196">
        <v>3673</v>
      </c>
      <c r="P973" s="196"/>
      <c r="Q973" s="196"/>
      <c r="R973" s="196"/>
      <c r="S973" s="196"/>
      <c r="T973" s="196"/>
      <c r="U973" s="196"/>
      <c r="V973" s="196"/>
      <c r="W973" s="196"/>
      <c r="X973" s="196"/>
      <c r="Y973" s="196"/>
    </row>
    <row r="974" spans="1:25">
      <c r="A974" s="196" t="s">
        <v>837</v>
      </c>
      <c r="B974" s="196" t="s">
        <v>181</v>
      </c>
      <c r="C974" s="196">
        <v>2014</v>
      </c>
      <c r="D974" s="196">
        <v>55</v>
      </c>
      <c r="E974" s="196" t="s">
        <v>858</v>
      </c>
      <c r="F974" s="196" t="s">
        <v>1379</v>
      </c>
      <c r="G974" s="196">
        <v>1</v>
      </c>
      <c r="H974" s="196">
        <v>1</v>
      </c>
      <c r="I974" s="196">
        <v>1956</v>
      </c>
      <c r="J974" s="196">
        <v>11085</v>
      </c>
      <c r="K974" s="196">
        <v>83.96</v>
      </c>
      <c r="L974" s="196">
        <v>3.16</v>
      </c>
      <c r="M974" s="196">
        <v>7664</v>
      </c>
      <c r="N974" s="196">
        <v>3938538</v>
      </c>
      <c r="O974" s="196">
        <v>3673</v>
      </c>
      <c r="P974" s="196"/>
      <c r="Q974" s="196"/>
      <c r="R974" s="196"/>
      <c r="S974" s="196"/>
      <c r="T974" s="196"/>
      <c r="U974" s="196"/>
      <c r="V974" s="196"/>
      <c r="W974" s="196"/>
      <c r="X974" s="196"/>
      <c r="Y974" s="196"/>
    </row>
    <row r="975" spans="1:25">
      <c r="A975" s="196" t="s">
        <v>837</v>
      </c>
      <c r="B975" s="196" t="s">
        <v>850</v>
      </c>
      <c r="C975" s="196">
        <v>2013</v>
      </c>
      <c r="D975" s="196">
        <v>30</v>
      </c>
      <c r="E975" s="196" t="s">
        <v>851</v>
      </c>
      <c r="F975" s="196" t="s">
        <v>1380</v>
      </c>
      <c r="G975" s="196">
        <v>1</v>
      </c>
      <c r="H975" s="196">
        <v>1</v>
      </c>
      <c r="I975" s="196">
        <v>1206</v>
      </c>
      <c r="J975" s="196">
        <v>25154</v>
      </c>
      <c r="K975" s="196">
        <v>92.58</v>
      </c>
      <c r="L975" s="196">
        <v>0.72</v>
      </c>
      <c r="M975" s="196">
        <v>26282</v>
      </c>
      <c r="N975" s="196">
        <v>661876</v>
      </c>
      <c r="O975" s="196">
        <v>756</v>
      </c>
      <c r="P975" s="196"/>
      <c r="Q975" s="196"/>
      <c r="R975" s="196"/>
      <c r="S975" s="196"/>
      <c r="T975" s="196"/>
      <c r="U975" s="196"/>
      <c r="V975" s="196"/>
      <c r="W975" s="196"/>
      <c r="X975" s="196"/>
      <c r="Y975" s="196"/>
    </row>
    <row r="976" spans="1:25">
      <c r="A976" s="196" t="s">
        <v>837</v>
      </c>
      <c r="B976" s="196" t="s">
        <v>181</v>
      </c>
      <c r="C976" s="196">
        <v>2013</v>
      </c>
      <c r="D976" s="196">
        <v>80</v>
      </c>
      <c r="E976" s="196" t="s">
        <v>876</v>
      </c>
      <c r="F976" s="196" t="s">
        <v>1380</v>
      </c>
      <c r="G976" s="196">
        <v>2</v>
      </c>
      <c r="H976" s="196">
        <v>2</v>
      </c>
      <c r="I976" s="196">
        <v>1854</v>
      </c>
      <c r="J976" s="196">
        <v>32532</v>
      </c>
      <c r="K976" s="196">
        <v>92.58</v>
      </c>
      <c r="L976" s="196">
        <v>0.72</v>
      </c>
      <c r="M976" s="196">
        <v>26282</v>
      </c>
      <c r="N976" s="196">
        <v>661876</v>
      </c>
      <c r="O976" s="196">
        <v>756</v>
      </c>
      <c r="P976" s="196"/>
      <c r="Q976" s="196"/>
      <c r="R976" s="196"/>
      <c r="S976" s="196"/>
      <c r="T976" s="196"/>
      <c r="U976" s="196"/>
      <c r="V976" s="196"/>
      <c r="W976" s="196"/>
      <c r="X976" s="196"/>
      <c r="Y976" s="196"/>
    </row>
    <row r="977" spans="1:25">
      <c r="A977" s="196" t="s">
        <v>837</v>
      </c>
      <c r="B977" s="196" t="s">
        <v>850</v>
      </c>
      <c r="C977" s="196">
        <v>2014</v>
      </c>
      <c r="D977" s="196">
        <v>30</v>
      </c>
      <c r="E977" s="196" t="s">
        <v>860</v>
      </c>
      <c r="F977" s="196" t="s">
        <v>1380</v>
      </c>
      <c r="G977" s="196">
        <v>1</v>
      </c>
      <c r="H977" s="196">
        <v>1</v>
      </c>
      <c r="I977" s="196">
        <v>1050</v>
      </c>
      <c r="J977" s="196">
        <v>55421</v>
      </c>
      <c r="K977" s="196">
        <v>92.58</v>
      </c>
      <c r="L977" s="196">
        <v>0.72</v>
      </c>
      <c r="M977" s="196">
        <v>26282</v>
      </c>
      <c r="N977" s="196">
        <v>661876</v>
      </c>
      <c r="O977" s="196">
        <v>756</v>
      </c>
      <c r="P977" s="196"/>
      <c r="Q977" s="196"/>
      <c r="R977" s="196"/>
      <c r="S977" s="196"/>
      <c r="T977" s="196"/>
      <c r="U977" s="196"/>
      <c r="V977" s="196"/>
      <c r="W977" s="196"/>
      <c r="X977" s="196"/>
      <c r="Y977" s="196"/>
    </row>
    <row r="978" spans="1:25">
      <c r="A978" s="196" t="s">
        <v>837</v>
      </c>
      <c r="B978" s="196" t="s">
        <v>838</v>
      </c>
      <c r="C978" s="196">
        <v>2013</v>
      </c>
      <c r="D978" s="196">
        <v>30</v>
      </c>
      <c r="E978" s="196" t="s">
        <v>839</v>
      </c>
      <c r="F978" s="196" t="s">
        <v>1381</v>
      </c>
      <c r="G978" s="196">
        <v>3</v>
      </c>
      <c r="H978" s="196">
        <v>3</v>
      </c>
      <c r="I978" s="196">
        <v>3834</v>
      </c>
      <c r="J978" s="196">
        <v>26728</v>
      </c>
      <c r="K978" s="196">
        <v>82.74</v>
      </c>
      <c r="L978" s="196">
        <v>1.1299999999999999</v>
      </c>
      <c r="M978" s="196">
        <v>8348</v>
      </c>
      <c r="N978" s="196">
        <v>2885004</v>
      </c>
      <c r="O978" s="196">
        <v>2874</v>
      </c>
      <c r="P978" s="196"/>
      <c r="Q978" s="196"/>
      <c r="R978" s="196"/>
      <c r="S978" s="196"/>
      <c r="T978" s="196"/>
      <c r="U978" s="196"/>
      <c r="V978" s="196"/>
      <c r="W978" s="196"/>
      <c r="X978" s="196"/>
      <c r="Y978" s="196"/>
    </row>
    <row r="979" spans="1:25">
      <c r="A979" s="196" t="s">
        <v>837</v>
      </c>
      <c r="B979" s="196" t="s">
        <v>850</v>
      </c>
      <c r="C979" s="196">
        <v>2013</v>
      </c>
      <c r="D979" s="196">
        <v>30</v>
      </c>
      <c r="E979" s="196" t="s">
        <v>851</v>
      </c>
      <c r="F979" s="196" t="s">
        <v>1381</v>
      </c>
      <c r="G979" s="196">
        <v>1</v>
      </c>
      <c r="H979" s="196">
        <v>1</v>
      </c>
      <c r="I979" s="196">
        <v>1785</v>
      </c>
      <c r="J979" s="196">
        <v>54936</v>
      </c>
      <c r="K979" s="196">
        <v>82.74</v>
      </c>
      <c r="L979" s="196">
        <v>1.1299999999999999</v>
      </c>
      <c r="M979" s="196">
        <v>8348</v>
      </c>
      <c r="N979" s="196">
        <v>2885004</v>
      </c>
      <c r="O979" s="196">
        <v>2874</v>
      </c>
      <c r="P979" s="196"/>
      <c r="Q979" s="196"/>
      <c r="R979" s="196"/>
      <c r="S979" s="196"/>
      <c r="T979" s="196"/>
      <c r="U979" s="196"/>
      <c r="V979" s="196"/>
      <c r="W979" s="196"/>
      <c r="X979" s="196"/>
      <c r="Y979" s="196"/>
    </row>
    <row r="980" spans="1:25">
      <c r="A980" s="196" t="s">
        <v>837</v>
      </c>
      <c r="B980" s="196" t="s">
        <v>850</v>
      </c>
      <c r="C980" s="196">
        <v>2013</v>
      </c>
      <c r="D980" s="196">
        <v>55</v>
      </c>
      <c r="E980" s="196" t="s">
        <v>852</v>
      </c>
      <c r="F980" s="196" t="s">
        <v>1381</v>
      </c>
      <c r="G980" s="196">
        <v>1</v>
      </c>
      <c r="H980" s="196">
        <v>1</v>
      </c>
      <c r="I980" s="196">
        <v>76</v>
      </c>
      <c r="J980" s="196">
        <v>8094</v>
      </c>
      <c r="K980" s="196">
        <v>82.74</v>
      </c>
      <c r="L980" s="196">
        <v>1.1299999999999999</v>
      </c>
      <c r="M980" s="196">
        <v>8348</v>
      </c>
      <c r="N980" s="196">
        <v>2885004</v>
      </c>
      <c r="O980" s="196">
        <v>2874</v>
      </c>
      <c r="P980" s="196"/>
      <c r="Q980" s="196"/>
      <c r="R980" s="196"/>
      <c r="S980" s="196"/>
      <c r="T980" s="196"/>
      <c r="U980" s="196"/>
      <c r="V980" s="196"/>
      <c r="W980" s="196"/>
      <c r="X980" s="196"/>
      <c r="Y980" s="196"/>
    </row>
    <row r="981" spans="1:25">
      <c r="A981" s="196" t="s">
        <v>837</v>
      </c>
      <c r="B981" s="196" t="s">
        <v>181</v>
      </c>
      <c r="C981" s="196">
        <v>2014</v>
      </c>
      <c r="D981" s="196">
        <v>80</v>
      </c>
      <c r="E981" s="196" t="s">
        <v>874</v>
      </c>
      <c r="F981" s="196" t="s">
        <v>1381</v>
      </c>
      <c r="G981" s="196">
        <v>2</v>
      </c>
      <c r="H981" s="196">
        <v>2</v>
      </c>
      <c r="I981" s="196">
        <v>2720</v>
      </c>
      <c r="J981" s="196">
        <v>17527</v>
      </c>
      <c r="K981" s="196">
        <v>82.74</v>
      </c>
      <c r="L981" s="196">
        <v>1.1299999999999999</v>
      </c>
      <c r="M981" s="196">
        <v>8348</v>
      </c>
      <c r="N981" s="196">
        <v>2885004</v>
      </c>
      <c r="O981" s="196">
        <v>2874</v>
      </c>
      <c r="P981" s="196"/>
      <c r="Q981" s="196"/>
      <c r="R981" s="196"/>
      <c r="S981" s="196"/>
      <c r="T981" s="196"/>
      <c r="U981" s="196"/>
      <c r="V981" s="196"/>
      <c r="W981" s="196"/>
      <c r="X981" s="196"/>
      <c r="Y981" s="196"/>
    </row>
    <row r="982" spans="1:25">
      <c r="A982" s="196" t="s">
        <v>837</v>
      </c>
      <c r="B982" s="196" t="s">
        <v>850</v>
      </c>
      <c r="C982" s="196">
        <v>2014</v>
      </c>
      <c r="D982" s="196">
        <v>80</v>
      </c>
      <c r="E982" s="196" t="s">
        <v>875</v>
      </c>
      <c r="F982" s="196" t="s">
        <v>1381</v>
      </c>
      <c r="G982" s="196">
        <v>1</v>
      </c>
      <c r="H982" s="196">
        <v>1</v>
      </c>
      <c r="I982" s="196">
        <v>2091</v>
      </c>
      <c r="J982" s="196">
        <v>8094</v>
      </c>
      <c r="K982" s="196">
        <v>82.74</v>
      </c>
      <c r="L982" s="196">
        <v>1.1299999999999999</v>
      </c>
      <c r="M982" s="196">
        <v>8348</v>
      </c>
      <c r="N982" s="196">
        <v>2885004</v>
      </c>
      <c r="O982" s="196">
        <v>2874</v>
      </c>
      <c r="P982" s="196"/>
      <c r="Q982" s="196"/>
      <c r="R982" s="196"/>
      <c r="S982" s="196"/>
      <c r="T982" s="196"/>
      <c r="U982" s="196"/>
      <c r="V982" s="196"/>
      <c r="W982" s="196"/>
      <c r="X982" s="196"/>
      <c r="Y982" s="196"/>
    </row>
    <row r="983" spans="1:25">
      <c r="A983" s="196" t="s">
        <v>837</v>
      </c>
      <c r="B983" s="196" t="s">
        <v>181</v>
      </c>
      <c r="C983" s="196">
        <v>2014</v>
      </c>
      <c r="D983" s="196">
        <v>30</v>
      </c>
      <c r="E983" s="196" t="s">
        <v>856</v>
      </c>
      <c r="F983" s="196" t="s">
        <v>1381</v>
      </c>
      <c r="G983" s="196">
        <v>1</v>
      </c>
      <c r="H983" s="196">
        <v>1</v>
      </c>
      <c r="I983" s="196">
        <v>2550</v>
      </c>
      <c r="J983" s="196">
        <v>19620</v>
      </c>
      <c r="K983" s="196">
        <v>82.74</v>
      </c>
      <c r="L983" s="196">
        <v>1.1299999999999999</v>
      </c>
      <c r="M983" s="196">
        <v>8348</v>
      </c>
      <c r="N983" s="196">
        <v>2885004</v>
      </c>
      <c r="O983" s="196">
        <v>2874</v>
      </c>
      <c r="P983" s="196"/>
      <c r="Q983" s="196"/>
      <c r="R983" s="196"/>
      <c r="S983" s="196"/>
      <c r="T983" s="196"/>
      <c r="U983" s="196"/>
      <c r="V983" s="196"/>
      <c r="W983" s="196"/>
      <c r="X983" s="196"/>
      <c r="Y983" s="196"/>
    </row>
    <row r="984" spans="1:25">
      <c r="A984" s="196" t="s">
        <v>837</v>
      </c>
      <c r="B984" s="196" t="s">
        <v>838</v>
      </c>
      <c r="C984" s="196">
        <v>2013</v>
      </c>
      <c r="D984" s="196">
        <v>30</v>
      </c>
      <c r="E984" s="196" t="s">
        <v>839</v>
      </c>
      <c r="F984" s="196" t="s">
        <v>1382</v>
      </c>
      <c r="G984" s="196">
        <v>1</v>
      </c>
      <c r="H984" s="196">
        <v>1</v>
      </c>
      <c r="I984" s="196">
        <v>693</v>
      </c>
      <c r="J984" s="196">
        <v>8186</v>
      </c>
      <c r="K984" s="196">
        <v>56.58</v>
      </c>
      <c r="L984" s="196">
        <v>0.22</v>
      </c>
      <c r="M984" s="196">
        <v>4063</v>
      </c>
      <c r="N984" s="196">
        <v>1559967</v>
      </c>
      <c r="O984" s="196">
        <v>1522</v>
      </c>
      <c r="P984" s="196"/>
      <c r="Q984" s="196"/>
      <c r="R984" s="196"/>
      <c r="S984" s="196"/>
      <c r="T984" s="196"/>
      <c r="U984" s="196"/>
      <c r="V984" s="196"/>
      <c r="W984" s="196"/>
      <c r="X984" s="196"/>
      <c r="Y984" s="196"/>
    </row>
    <row r="985" spans="1:25">
      <c r="A985" s="196" t="s">
        <v>837</v>
      </c>
      <c r="B985" s="196" t="s">
        <v>850</v>
      </c>
      <c r="C985" s="196">
        <v>2013</v>
      </c>
      <c r="D985" s="196">
        <v>55</v>
      </c>
      <c r="E985" s="196" t="s">
        <v>852</v>
      </c>
      <c r="F985" s="196" t="s">
        <v>1382</v>
      </c>
      <c r="G985" s="196">
        <v>1</v>
      </c>
      <c r="H985" s="196">
        <v>1</v>
      </c>
      <c r="I985" s="196">
        <v>390</v>
      </c>
      <c r="J985" s="196">
        <v>16328</v>
      </c>
      <c r="K985" s="196">
        <v>56.58</v>
      </c>
      <c r="L985" s="196">
        <v>0.22</v>
      </c>
      <c r="M985" s="196">
        <v>4063</v>
      </c>
      <c r="N985" s="196">
        <v>1559967</v>
      </c>
      <c r="O985" s="196">
        <v>1522</v>
      </c>
      <c r="P985" s="196"/>
      <c r="Q985" s="196"/>
      <c r="R985" s="196"/>
      <c r="S985" s="196"/>
      <c r="T985" s="196"/>
      <c r="U985" s="196"/>
      <c r="V985" s="196"/>
      <c r="W985" s="196"/>
      <c r="X985" s="196"/>
      <c r="Y985" s="196"/>
    </row>
    <row r="986" spans="1:25">
      <c r="A986" s="196" t="s">
        <v>837</v>
      </c>
      <c r="B986" s="196" t="s">
        <v>850</v>
      </c>
      <c r="C986" s="196">
        <v>2013</v>
      </c>
      <c r="D986" s="196">
        <v>80</v>
      </c>
      <c r="E986" s="196" t="s">
        <v>917</v>
      </c>
      <c r="F986" s="196" t="s">
        <v>1382</v>
      </c>
      <c r="G986" s="196">
        <v>1</v>
      </c>
      <c r="H986" s="196">
        <v>1</v>
      </c>
      <c r="I986" s="196">
        <v>657</v>
      </c>
      <c r="J986" s="196">
        <v>3090</v>
      </c>
      <c r="K986" s="196">
        <v>56.58</v>
      </c>
      <c r="L986" s="196">
        <v>0.22</v>
      </c>
      <c r="M986" s="196">
        <v>4063</v>
      </c>
      <c r="N986" s="196">
        <v>1559967</v>
      </c>
      <c r="O986" s="196">
        <v>1522</v>
      </c>
      <c r="P986" s="196"/>
      <c r="Q986" s="196"/>
      <c r="R986" s="196"/>
      <c r="S986" s="196"/>
      <c r="T986" s="196"/>
      <c r="U986" s="196"/>
      <c r="V986" s="196"/>
      <c r="W986" s="196"/>
      <c r="X986" s="196"/>
      <c r="Y986" s="196"/>
    </row>
    <row r="987" spans="1:25">
      <c r="A987" s="196" t="s">
        <v>837</v>
      </c>
      <c r="B987" s="196" t="s">
        <v>181</v>
      </c>
      <c r="C987" s="196">
        <v>2014</v>
      </c>
      <c r="D987" s="196">
        <v>55</v>
      </c>
      <c r="E987" s="196" t="s">
        <v>858</v>
      </c>
      <c r="F987" s="196" t="s">
        <v>1382</v>
      </c>
      <c r="G987" s="196">
        <v>1</v>
      </c>
      <c r="H987" s="196">
        <v>1</v>
      </c>
      <c r="I987" s="196">
        <v>73</v>
      </c>
      <c r="J987" s="196">
        <v>3013</v>
      </c>
      <c r="K987" s="196">
        <v>56.58</v>
      </c>
      <c r="L987" s="196">
        <v>0.22</v>
      </c>
      <c r="M987" s="196">
        <v>4063</v>
      </c>
      <c r="N987" s="196">
        <v>1559967</v>
      </c>
      <c r="O987" s="196">
        <v>1522</v>
      </c>
      <c r="P987" s="196"/>
      <c r="Q987" s="196"/>
      <c r="R987" s="196"/>
      <c r="S987" s="196"/>
      <c r="T987" s="196"/>
      <c r="U987" s="196"/>
      <c r="V987" s="196"/>
      <c r="W987" s="196"/>
      <c r="X987" s="196"/>
      <c r="Y987" s="196"/>
    </row>
    <row r="988" spans="1:25">
      <c r="A988" s="196" t="s">
        <v>837</v>
      </c>
      <c r="B988" s="196" t="s">
        <v>838</v>
      </c>
      <c r="C988" s="196">
        <v>2014</v>
      </c>
      <c r="D988" s="196">
        <v>80</v>
      </c>
      <c r="E988" s="196" t="s">
        <v>853</v>
      </c>
      <c r="F988" s="196" t="s">
        <v>1383</v>
      </c>
      <c r="G988" s="196">
        <v>96</v>
      </c>
      <c r="H988" s="196">
        <v>52</v>
      </c>
      <c r="I988" s="196">
        <v>101739</v>
      </c>
      <c r="J988" s="196">
        <v>423339</v>
      </c>
      <c r="K988" s="196">
        <v>82.17</v>
      </c>
      <c r="L988" s="196">
        <v>4.24</v>
      </c>
      <c r="M988" s="196">
        <v>7951</v>
      </c>
      <c r="N988" s="196">
        <v>751377</v>
      </c>
      <c r="O988" s="196">
        <v>893</v>
      </c>
      <c r="P988" s="196"/>
      <c r="Q988" s="196"/>
      <c r="R988" s="196"/>
      <c r="S988" s="196"/>
      <c r="T988" s="196"/>
      <c r="U988" s="196"/>
      <c r="V988" s="196"/>
      <c r="W988" s="196"/>
      <c r="X988" s="196"/>
      <c r="Y988" s="196"/>
    </row>
    <row r="989" spans="1:25">
      <c r="A989" s="196" t="s">
        <v>837</v>
      </c>
      <c r="B989" s="196" t="s">
        <v>850</v>
      </c>
      <c r="C989" s="196">
        <v>2013</v>
      </c>
      <c r="D989" s="196">
        <v>30</v>
      </c>
      <c r="E989" s="196" t="s">
        <v>851</v>
      </c>
      <c r="F989" s="196" t="s">
        <v>1384</v>
      </c>
      <c r="G989" s="196">
        <v>3</v>
      </c>
      <c r="H989" s="196">
        <v>3</v>
      </c>
      <c r="I989" s="196">
        <v>2142</v>
      </c>
      <c r="J989" s="196">
        <v>25487</v>
      </c>
      <c r="K989" s="196">
        <v>83.91</v>
      </c>
      <c r="L989" s="196">
        <v>2</v>
      </c>
      <c r="M989" s="196">
        <v>20547</v>
      </c>
      <c r="N989" s="196">
        <v>1472472</v>
      </c>
      <c r="O989" s="196">
        <v>1575</v>
      </c>
      <c r="P989" s="196"/>
      <c r="Q989" s="196"/>
      <c r="R989" s="196"/>
      <c r="S989" s="196"/>
      <c r="T989" s="196"/>
      <c r="U989" s="196"/>
      <c r="V989" s="196"/>
      <c r="W989" s="196"/>
      <c r="X989" s="196"/>
      <c r="Y989" s="196"/>
    </row>
    <row r="990" spans="1:25">
      <c r="A990" s="196" t="s">
        <v>837</v>
      </c>
      <c r="B990" s="196" t="s">
        <v>181</v>
      </c>
      <c r="C990" s="196">
        <v>2014</v>
      </c>
      <c r="D990" s="196">
        <v>80</v>
      </c>
      <c r="E990" s="196" t="s">
        <v>874</v>
      </c>
      <c r="F990" s="196" t="s">
        <v>1384</v>
      </c>
      <c r="G990" s="196">
        <v>1</v>
      </c>
      <c r="H990" s="196">
        <v>1</v>
      </c>
      <c r="I990" s="196">
        <v>219</v>
      </c>
      <c r="J990" s="196">
        <v>22869</v>
      </c>
      <c r="K990" s="196">
        <v>83.91</v>
      </c>
      <c r="L990" s="196">
        <v>2</v>
      </c>
      <c r="M990" s="196">
        <v>20547</v>
      </c>
      <c r="N990" s="196">
        <v>1472472</v>
      </c>
      <c r="O990" s="196">
        <v>1575</v>
      </c>
      <c r="P990" s="196"/>
      <c r="Q990" s="196"/>
      <c r="R990" s="196"/>
      <c r="S990" s="196"/>
      <c r="T990" s="196"/>
      <c r="U990" s="196"/>
      <c r="V990" s="196"/>
      <c r="W990" s="196"/>
      <c r="X990" s="196"/>
      <c r="Y990" s="196"/>
    </row>
    <row r="991" spans="1:25">
      <c r="A991" s="196" t="s">
        <v>837</v>
      </c>
      <c r="B991" s="196" t="s">
        <v>181</v>
      </c>
      <c r="C991" s="196">
        <v>2014</v>
      </c>
      <c r="D991" s="196">
        <v>30</v>
      </c>
      <c r="E991" s="196" t="s">
        <v>856</v>
      </c>
      <c r="F991" s="196" t="s">
        <v>1384</v>
      </c>
      <c r="G991" s="196">
        <v>2</v>
      </c>
      <c r="H991" s="196">
        <v>2</v>
      </c>
      <c r="I991" s="196">
        <v>1176</v>
      </c>
      <c r="J991" s="196">
        <v>56270</v>
      </c>
      <c r="K991" s="196">
        <v>83.91</v>
      </c>
      <c r="L991" s="196">
        <v>2</v>
      </c>
      <c r="M991" s="196">
        <v>20547</v>
      </c>
      <c r="N991" s="196">
        <v>1472472</v>
      </c>
      <c r="O991" s="196">
        <v>1575</v>
      </c>
      <c r="P991" s="196"/>
      <c r="Q991" s="196"/>
      <c r="R991" s="196"/>
      <c r="S991" s="196"/>
      <c r="T991" s="196"/>
      <c r="U991" s="196"/>
      <c r="V991" s="196"/>
      <c r="W991" s="196"/>
      <c r="X991" s="196"/>
      <c r="Y991" s="196"/>
    </row>
    <row r="992" spans="1:25">
      <c r="A992" s="196" t="s">
        <v>837</v>
      </c>
      <c r="B992" s="196" t="s">
        <v>181</v>
      </c>
      <c r="C992" s="196">
        <v>2014</v>
      </c>
      <c r="D992" s="196">
        <v>55</v>
      </c>
      <c r="E992" s="196" t="s">
        <v>859</v>
      </c>
      <c r="F992" s="196" t="s">
        <v>1384</v>
      </c>
      <c r="G992" s="196">
        <v>1</v>
      </c>
      <c r="H992" s="196">
        <v>1</v>
      </c>
      <c r="I992" s="196">
        <v>1116</v>
      </c>
      <c r="J992" s="196">
        <v>20547</v>
      </c>
      <c r="K992" s="196">
        <v>83.91</v>
      </c>
      <c r="L992" s="196">
        <v>2</v>
      </c>
      <c r="M992" s="196">
        <v>20547</v>
      </c>
      <c r="N992" s="196">
        <v>1472472</v>
      </c>
      <c r="O992" s="196">
        <v>1575</v>
      </c>
      <c r="P992" s="196"/>
      <c r="Q992" s="196"/>
      <c r="R992" s="196"/>
      <c r="S992" s="196"/>
      <c r="T992" s="196"/>
      <c r="U992" s="196"/>
      <c r="V992" s="196"/>
      <c r="W992" s="196"/>
      <c r="X992" s="196"/>
      <c r="Y992" s="196"/>
    </row>
    <row r="993" spans="1:25">
      <c r="A993" s="196" t="s">
        <v>837</v>
      </c>
      <c r="B993" s="196" t="s">
        <v>850</v>
      </c>
      <c r="C993" s="196">
        <v>2014</v>
      </c>
      <c r="D993" s="196">
        <v>30</v>
      </c>
      <c r="E993" s="196" t="s">
        <v>860</v>
      </c>
      <c r="F993" s="196" t="s">
        <v>1384</v>
      </c>
      <c r="G993" s="196">
        <v>1</v>
      </c>
      <c r="H993" s="196">
        <v>1</v>
      </c>
      <c r="I993" s="196">
        <v>990</v>
      </c>
      <c r="J993" s="196">
        <v>20581</v>
      </c>
      <c r="K993" s="196">
        <v>83.91</v>
      </c>
      <c r="L993" s="196">
        <v>2</v>
      </c>
      <c r="M993" s="196">
        <v>20547</v>
      </c>
      <c r="N993" s="196">
        <v>1472472</v>
      </c>
      <c r="O993" s="196">
        <v>1575</v>
      </c>
      <c r="P993" s="196"/>
      <c r="Q993" s="196"/>
      <c r="R993" s="196"/>
      <c r="S993" s="196"/>
      <c r="T993" s="196"/>
      <c r="U993" s="196"/>
      <c r="V993" s="196"/>
      <c r="W993" s="196"/>
      <c r="X993" s="196"/>
      <c r="Y993" s="196"/>
    </row>
    <row r="994" spans="1:25">
      <c r="A994" s="196" t="s">
        <v>837</v>
      </c>
      <c r="B994" s="196" t="s">
        <v>850</v>
      </c>
      <c r="C994" s="196">
        <v>2014</v>
      </c>
      <c r="D994" s="196">
        <v>55</v>
      </c>
      <c r="E994" s="196" t="s">
        <v>862</v>
      </c>
      <c r="F994" s="196" t="s">
        <v>1384</v>
      </c>
      <c r="G994" s="196">
        <v>1</v>
      </c>
      <c r="H994" s="196">
        <v>1</v>
      </c>
      <c r="I994" s="196">
        <v>303</v>
      </c>
      <c r="J994" s="196">
        <v>12939</v>
      </c>
      <c r="K994" s="196">
        <v>83.91</v>
      </c>
      <c r="L994" s="196">
        <v>2</v>
      </c>
      <c r="M994" s="196">
        <v>20547</v>
      </c>
      <c r="N994" s="196">
        <v>1472472</v>
      </c>
      <c r="O994" s="196">
        <v>1575</v>
      </c>
      <c r="P994" s="196"/>
      <c r="Q994" s="196"/>
      <c r="R994" s="196"/>
      <c r="S994" s="196"/>
      <c r="T994" s="196"/>
      <c r="U994" s="196"/>
      <c r="V994" s="196"/>
      <c r="W994" s="196"/>
      <c r="X994" s="196"/>
      <c r="Y994" s="196"/>
    </row>
    <row r="995" spans="1:25">
      <c r="A995" s="196" t="s">
        <v>837</v>
      </c>
      <c r="B995" s="196" t="s">
        <v>838</v>
      </c>
      <c r="C995" s="196">
        <v>2013</v>
      </c>
      <c r="D995" s="196">
        <v>30</v>
      </c>
      <c r="E995" s="196" t="s">
        <v>839</v>
      </c>
      <c r="F995" s="196" t="s">
        <v>1385</v>
      </c>
      <c r="G995" s="196">
        <v>1</v>
      </c>
      <c r="H995" s="196">
        <v>1</v>
      </c>
      <c r="I995" s="196">
        <v>2697</v>
      </c>
      <c r="J995" s="196">
        <v>2706</v>
      </c>
      <c r="K995" s="196">
        <v>85.55</v>
      </c>
      <c r="L995" s="196">
        <v>3.31</v>
      </c>
      <c r="M995" s="196">
        <v>6714</v>
      </c>
      <c r="N995" s="196">
        <v>1377670</v>
      </c>
      <c r="O995" s="196">
        <v>1615</v>
      </c>
      <c r="P995" s="196"/>
      <c r="Q995" s="196"/>
      <c r="R995" s="196"/>
      <c r="S995" s="196"/>
      <c r="T995" s="196"/>
      <c r="U995" s="196"/>
      <c r="V995" s="196"/>
      <c r="W995" s="196"/>
      <c r="X995" s="196"/>
      <c r="Y995" s="196"/>
    </row>
    <row r="996" spans="1:25">
      <c r="A996" s="196" t="s">
        <v>837</v>
      </c>
      <c r="B996" s="196" t="s">
        <v>838</v>
      </c>
      <c r="C996" s="196">
        <v>2013</v>
      </c>
      <c r="D996" s="196">
        <v>55</v>
      </c>
      <c r="E996" s="196" t="s">
        <v>849</v>
      </c>
      <c r="F996" s="196" t="s">
        <v>1385</v>
      </c>
      <c r="G996" s="196">
        <v>17</v>
      </c>
      <c r="H996" s="196">
        <v>8</v>
      </c>
      <c r="I996" s="196">
        <v>14196</v>
      </c>
      <c r="J996" s="196">
        <v>23207</v>
      </c>
      <c r="K996" s="196">
        <v>85.55</v>
      </c>
      <c r="L996" s="196">
        <v>3.31</v>
      </c>
      <c r="M996" s="196">
        <v>6714</v>
      </c>
      <c r="N996" s="196">
        <v>1377670</v>
      </c>
      <c r="O996" s="196">
        <v>1615</v>
      </c>
      <c r="P996" s="196"/>
      <c r="Q996" s="196"/>
      <c r="R996" s="196"/>
      <c r="S996" s="196"/>
      <c r="T996" s="196"/>
      <c r="U996" s="196"/>
      <c r="V996" s="196"/>
      <c r="W996" s="196"/>
      <c r="X996" s="196"/>
      <c r="Y996" s="196"/>
    </row>
    <row r="997" spans="1:25">
      <c r="A997" s="196" t="s">
        <v>837</v>
      </c>
      <c r="B997" s="196" t="s">
        <v>850</v>
      </c>
      <c r="C997" s="196">
        <v>2013</v>
      </c>
      <c r="D997" s="196">
        <v>30</v>
      </c>
      <c r="E997" s="196" t="s">
        <v>851</v>
      </c>
      <c r="F997" s="196" t="s">
        <v>1385</v>
      </c>
      <c r="G997" s="196">
        <v>2</v>
      </c>
      <c r="H997" s="196">
        <v>2</v>
      </c>
      <c r="I997" s="196">
        <v>3546</v>
      </c>
      <c r="J997" s="196">
        <v>5633</v>
      </c>
      <c r="K997" s="196">
        <v>85.55</v>
      </c>
      <c r="L997" s="196">
        <v>3.31</v>
      </c>
      <c r="M997" s="196">
        <v>6714</v>
      </c>
      <c r="N997" s="196">
        <v>1377670</v>
      </c>
      <c r="O997" s="196">
        <v>1615</v>
      </c>
      <c r="P997" s="196"/>
      <c r="Q997" s="196"/>
      <c r="R997" s="196"/>
      <c r="S997" s="196"/>
      <c r="T997" s="196"/>
      <c r="U997" s="196"/>
      <c r="V997" s="196"/>
      <c r="W997" s="196"/>
      <c r="X997" s="196"/>
      <c r="Y997" s="196"/>
    </row>
    <row r="998" spans="1:25">
      <c r="A998" s="196" t="s">
        <v>837</v>
      </c>
      <c r="B998" s="196" t="s">
        <v>850</v>
      </c>
      <c r="C998" s="196">
        <v>2013</v>
      </c>
      <c r="D998" s="196">
        <v>55</v>
      </c>
      <c r="E998" s="196" t="s">
        <v>852</v>
      </c>
      <c r="F998" s="196" t="s">
        <v>1385</v>
      </c>
      <c r="G998" s="196">
        <v>29</v>
      </c>
      <c r="H998" s="196">
        <v>10</v>
      </c>
      <c r="I998" s="196">
        <v>24789</v>
      </c>
      <c r="J998" s="196">
        <v>37288</v>
      </c>
      <c r="K998" s="196">
        <v>85.55</v>
      </c>
      <c r="L998" s="196">
        <v>3.31</v>
      </c>
      <c r="M998" s="196">
        <v>6714</v>
      </c>
      <c r="N998" s="196">
        <v>1377670</v>
      </c>
      <c r="O998" s="196">
        <v>1615</v>
      </c>
      <c r="P998" s="196"/>
      <c r="Q998" s="196"/>
      <c r="R998" s="196"/>
      <c r="S998" s="196"/>
      <c r="T998" s="196"/>
      <c r="U998" s="196"/>
      <c r="V998" s="196"/>
      <c r="W998" s="196"/>
      <c r="X998" s="196"/>
      <c r="Y998" s="196"/>
    </row>
    <row r="999" spans="1:25">
      <c r="A999" s="196" t="s">
        <v>837</v>
      </c>
      <c r="B999" s="196" t="s">
        <v>850</v>
      </c>
      <c r="C999" s="196">
        <v>2013</v>
      </c>
      <c r="D999" s="196">
        <v>80</v>
      </c>
      <c r="E999" s="196" t="s">
        <v>917</v>
      </c>
      <c r="F999" s="196" t="s">
        <v>1385</v>
      </c>
      <c r="G999" s="196">
        <v>113</v>
      </c>
      <c r="H999" s="196">
        <v>78</v>
      </c>
      <c r="I999" s="196">
        <v>140391</v>
      </c>
      <c r="J999" s="196">
        <v>665343</v>
      </c>
      <c r="K999" s="196">
        <v>85.55</v>
      </c>
      <c r="L999" s="196">
        <v>3.31</v>
      </c>
      <c r="M999" s="196">
        <v>6714</v>
      </c>
      <c r="N999" s="196">
        <v>1377670</v>
      </c>
      <c r="O999" s="196">
        <v>1615</v>
      </c>
      <c r="P999" s="196"/>
      <c r="Q999" s="196"/>
      <c r="R999" s="196"/>
      <c r="S999" s="196"/>
      <c r="T999" s="196"/>
      <c r="U999" s="196"/>
      <c r="V999" s="196"/>
      <c r="W999" s="196"/>
      <c r="X999" s="196"/>
      <c r="Y999" s="196"/>
    </row>
    <row r="1000" spans="1:25">
      <c r="A1000" s="196" t="s">
        <v>837</v>
      </c>
      <c r="B1000" s="196" t="s">
        <v>838</v>
      </c>
      <c r="C1000" s="196">
        <v>2014</v>
      </c>
      <c r="D1000" s="196">
        <v>80</v>
      </c>
      <c r="E1000" s="196" t="s">
        <v>853</v>
      </c>
      <c r="F1000" s="196" t="s">
        <v>1385</v>
      </c>
      <c r="G1000" s="196">
        <v>450</v>
      </c>
      <c r="H1000" s="196">
        <v>173</v>
      </c>
      <c r="I1000" s="196">
        <v>482734</v>
      </c>
      <c r="J1000" s="196">
        <v>1161131</v>
      </c>
      <c r="K1000" s="196">
        <v>85.55</v>
      </c>
      <c r="L1000" s="196">
        <v>3.31</v>
      </c>
      <c r="M1000" s="196">
        <v>6714</v>
      </c>
      <c r="N1000" s="196">
        <v>1377670</v>
      </c>
      <c r="O1000" s="196">
        <v>1615</v>
      </c>
      <c r="P1000" s="196"/>
      <c r="Q1000" s="196"/>
      <c r="R1000" s="196"/>
      <c r="S1000" s="196"/>
      <c r="T1000" s="196"/>
      <c r="U1000" s="196"/>
      <c r="V1000" s="196"/>
      <c r="W1000" s="196"/>
      <c r="X1000" s="196"/>
      <c r="Y1000" s="196"/>
    </row>
    <row r="1001" spans="1:25">
      <c r="A1001" s="196" t="s">
        <v>837</v>
      </c>
      <c r="B1001" s="196" t="s">
        <v>181</v>
      </c>
      <c r="C1001" s="196">
        <v>2014</v>
      </c>
      <c r="D1001" s="196">
        <v>80</v>
      </c>
      <c r="E1001" s="196" t="s">
        <v>874</v>
      </c>
      <c r="F1001" s="196" t="s">
        <v>1385</v>
      </c>
      <c r="G1001" s="196">
        <v>487</v>
      </c>
      <c r="H1001" s="196">
        <v>181</v>
      </c>
      <c r="I1001" s="196">
        <v>518952</v>
      </c>
      <c r="J1001" s="196">
        <v>1174422</v>
      </c>
      <c r="K1001" s="196">
        <v>85.55</v>
      </c>
      <c r="L1001" s="196">
        <v>3.31</v>
      </c>
      <c r="M1001" s="196">
        <v>6714</v>
      </c>
      <c r="N1001" s="196">
        <v>1377670</v>
      </c>
      <c r="O1001" s="196">
        <v>1615</v>
      </c>
      <c r="P1001" s="196"/>
      <c r="Q1001" s="196"/>
      <c r="R1001" s="196"/>
      <c r="S1001" s="196"/>
      <c r="T1001" s="196"/>
      <c r="U1001" s="196"/>
      <c r="V1001" s="196"/>
      <c r="W1001" s="196"/>
      <c r="X1001" s="196"/>
      <c r="Y1001" s="196"/>
    </row>
    <row r="1002" spans="1:25">
      <c r="A1002" s="196" t="s">
        <v>837</v>
      </c>
      <c r="B1002" s="196" t="s">
        <v>850</v>
      </c>
      <c r="C1002" s="196">
        <v>2014</v>
      </c>
      <c r="D1002" s="196">
        <v>80</v>
      </c>
      <c r="E1002" s="196" t="s">
        <v>918</v>
      </c>
      <c r="F1002" s="196" t="s">
        <v>1385</v>
      </c>
      <c r="G1002" s="196">
        <v>1067</v>
      </c>
      <c r="H1002" s="196">
        <v>209</v>
      </c>
      <c r="I1002" s="196">
        <v>1003955</v>
      </c>
      <c r="J1002" s="196">
        <v>1312172</v>
      </c>
      <c r="K1002" s="196">
        <v>85.55</v>
      </c>
      <c r="L1002" s="196">
        <v>3.31</v>
      </c>
      <c r="M1002" s="196">
        <v>6714</v>
      </c>
      <c r="N1002" s="196">
        <v>1377670</v>
      </c>
      <c r="O1002" s="196">
        <v>1615</v>
      </c>
      <c r="P1002" s="196"/>
      <c r="Q1002" s="196"/>
      <c r="R1002" s="196"/>
      <c r="S1002" s="196"/>
      <c r="T1002" s="196"/>
      <c r="U1002" s="196"/>
      <c r="V1002" s="196"/>
      <c r="W1002" s="196"/>
      <c r="X1002" s="196"/>
      <c r="Y1002" s="196"/>
    </row>
    <row r="1003" spans="1:25">
      <c r="A1003" s="196" t="s">
        <v>837</v>
      </c>
      <c r="B1003" s="196" t="s">
        <v>850</v>
      </c>
      <c r="C1003" s="196">
        <v>2014</v>
      </c>
      <c r="D1003" s="196">
        <v>80</v>
      </c>
      <c r="E1003" s="196" t="s">
        <v>875</v>
      </c>
      <c r="F1003" s="196" t="s">
        <v>1385</v>
      </c>
      <c r="G1003" s="196">
        <v>412</v>
      </c>
      <c r="H1003" s="196">
        <v>164</v>
      </c>
      <c r="I1003" s="196">
        <v>440593</v>
      </c>
      <c r="J1003" s="196">
        <v>1095021</v>
      </c>
      <c r="K1003" s="196">
        <v>85.55</v>
      </c>
      <c r="L1003" s="196">
        <v>3.31</v>
      </c>
      <c r="M1003" s="196">
        <v>6714</v>
      </c>
      <c r="N1003" s="196">
        <v>1377670</v>
      </c>
      <c r="O1003" s="196">
        <v>1615</v>
      </c>
      <c r="P1003" s="196"/>
      <c r="Q1003" s="196"/>
      <c r="R1003" s="196"/>
      <c r="S1003" s="196"/>
      <c r="T1003" s="196"/>
      <c r="U1003" s="196"/>
      <c r="V1003" s="196"/>
      <c r="W1003" s="196"/>
      <c r="X1003" s="196"/>
      <c r="Y1003" s="196"/>
    </row>
    <row r="1004" spans="1:25">
      <c r="A1004" s="196" t="s">
        <v>837</v>
      </c>
      <c r="B1004" s="196" t="s">
        <v>838</v>
      </c>
      <c r="C1004" s="196">
        <v>2013</v>
      </c>
      <c r="D1004" s="196">
        <v>80</v>
      </c>
      <c r="E1004" s="196" t="s">
        <v>908</v>
      </c>
      <c r="F1004" s="196" t="s">
        <v>1385</v>
      </c>
      <c r="G1004" s="196">
        <v>1</v>
      </c>
      <c r="H1004" s="196">
        <v>1</v>
      </c>
      <c r="I1004" s="196">
        <v>726</v>
      </c>
      <c r="J1004" s="196">
        <v>6470</v>
      </c>
      <c r="K1004" s="196">
        <v>85.55</v>
      </c>
      <c r="L1004" s="196">
        <v>3.31</v>
      </c>
      <c r="M1004" s="196">
        <v>6714</v>
      </c>
      <c r="N1004" s="196">
        <v>1377670</v>
      </c>
      <c r="O1004" s="196">
        <v>1615</v>
      </c>
      <c r="P1004" s="196"/>
      <c r="Q1004" s="196"/>
      <c r="R1004" s="196"/>
      <c r="S1004" s="196"/>
      <c r="T1004" s="196"/>
      <c r="U1004" s="196"/>
      <c r="V1004" s="196"/>
      <c r="W1004" s="196"/>
      <c r="X1004" s="196"/>
      <c r="Y1004" s="196"/>
    </row>
    <row r="1005" spans="1:25">
      <c r="A1005" s="196" t="s">
        <v>837</v>
      </c>
      <c r="B1005" s="196" t="s">
        <v>181</v>
      </c>
      <c r="C1005" s="196">
        <v>2013</v>
      </c>
      <c r="D1005" s="196">
        <v>80</v>
      </c>
      <c r="E1005" s="196" t="s">
        <v>876</v>
      </c>
      <c r="F1005" s="196" t="s">
        <v>1385</v>
      </c>
      <c r="G1005" s="196">
        <v>1372</v>
      </c>
      <c r="H1005" s="196">
        <v>213</v>
      </c>
      <c r="I1005" s="196">
        <v>1206222</v>
      </c>
      <c r="J1005" s="196">
        <v>1331577</v>
      </c>
      <c r="K1005" s="196">
        <v>85.55</v>
      </c>
      <c r="L1005" s="196">
        <v>3.31</v>
      </c>
      <c r="M1005" s="196">
        <v>6714</v>
      </c>
      <c r="N1005" s="196">
        <v>1377670</v>
      </c>
      <c r="O1005" s="196">
        <v>1615</v>
      </c>
      <c r="P1005" s="196"/>
      <c r="Q1005" s="196"/>
      <c r="R1005" s="196"/>
      <c r="S1005" s="196"/>
      <c r="T1005" s="196"/>
      <c r="U1005" s="196"/>
      <c r="V1005" s="196"/>
      <c r="W1005" s="196"/>
      <c r="X1005" s="196"/>
      <c r="Y1005" s="196"/>
    </row>
    <row r="1006" spans="1:25">
      <c r="A1006" s="196" t="s">
        <v>837</v>
      </c>
      <c r="B1006" s="196" t="s">
        <v>838</v>
      </c>
      <c r="C1006" s="196">
        <v>2014</v>
      </c>
      <c r="D1006" s="196">
        <v>55</v>
      </c>
      <c r="E1006" s="196" t="s">
        <v>854</v>
      </c>
      <c r="F1006" s="196" t="s">
        <v>1385</v>
      </c>
      <c r="G1006" s="196">
        <v>22</v>
      </c>
      <c r="H1006" s="196">
        <v>8</v>
      </c>
      <c r="I1006" s="196">
        <v>17600</v>
      </c>
      <c r="J1006" s="196">
        <v>23207</v>
      </c>
      <c r="K1006" s="196">
        <v>85.55</v>
      </c>
      <c r="L1006" s="196">
        <v>3.31</v>
      </c>
      <c r="M1006" s="196">
        <v>6714</v>
      </c>
      <c r="N1006" s="196">
        <v>1377670</v>
      </c>
      <c r="O1006" s="196">
        <v>1615</v>
      </c>
      <c r="P1006" s="196"/>
      <c r="Q1006" s="196"/>
      <c r="R1006" s="196"/>
      <c r="S1006" s="196"/>
      <c r="T1006" s="196"/>
      <c r="U1006" s="196"/>
      <c r="V1006" s="196"/>
      <c r="W1006" s="196"/>
      <c r="X1006" s="196"/>
      <c r="Y1006" s="196"/>
    </row>
    <row r="1007" spans="1:25">
      <c r="A1007" s="196" t="s">
        <v>837</v>
      </c>
      <c r="B1007" s="196" t="s">
        <v>838</v>
      </c>
      <c r="C1007" s="196">
        <v>2014</v>
      </c>
      <c r="D1007" s="196">
        <v>55</v>
      </c>
      <c r="E1007" s="196" t="s">
        <v>855</v>
      </c>
      <c r="F1007" s="196" t="s">
        <v>1385</v>
      </c>
      <c r="G1007" s="196">
        <v>10</v>
      </c>
      <c r="H1007" s="196">
        <v>8</v>
      </c>
      <c r="I1007" s="196">
        <v>12969</v>
      </c>
      <c r="J1007" s="196">
        <v>27281</v>
      </c>
      <c r="K1007" s="196">
        <v>85.55</v>
      </c>
      <c r="L1007" s="196">
        <v>3.31</v>
      </c>
      <c r="M1007" s="196">
        <v>6714</v>
      </c>
      <c r="N1007" s="196">
        <v>1377670</v>
      </c>
      <c r="O1007" s="196">
        <v>1615</v>
      </c>
      <c r="P1007" s="196"/>
      <c r="Q1007" s="196"/>
      <c r="R1007" s="196"/>
      <c r="S1007" s="196"/>
      <c r="T1007" s="196"/>
      <c r="U1007" s="196"/>
      <c r="V1007" s="196"/>
      <c r="W1007" s="196"/>
      <c r="X1007" s="196"/>
      <c r="Y1007" s="196"/>
    </row>
    <row r="1008" spans="1:25">
      <c r="A1008" s="196" t="s">
        <v>837</v>
      </c>
      <c r="B1008" s="196" t="s">
        <v>181</v>
      </c>
      <c r="C1008" s="196">
        <v>2014</v>
      </c>
      <c r="D1008" s="196">
        <v>30</v>
      </c>
      <c r="E1008" s="196" t="s">
        <v>856</v>
      </c>
      <c r="F1008" s="196" t="s">
        <v>1385</v>
      </c>
      <c r="G1008" s="196">
        <v>19</v>
      </c>
      <c r="H1008" s="196">
        <v>12</v>
      </c>
      <c r="I1008" s="196">
        <v>17676</v>
      </c>
      <c r="J1008" s="196">
        <v>67184</v>
      </c>
      <c r="K1008" s="196">
        <v>85.55</v>
      </c>
      <c r="L1008" s="196">
        <v>3.31</v>
      </c>
      <c r="M1008" s="196">
        <v>6714</v>
      </c>
      <c r="N1008" s="196">
        <v>1377670</v>
      </c>
      <c r="O1008" s="196">
        <v>1615</v>
      </c>
      <c r="P1008" s="196"/>
      <c r="Q1008" s="196"/>
      <c r="R1008" s="196"/>
      <c r="S1008" s="196"/>
      <c r="T1008" s="196"/>
      <c r="U1008" s="196"/>
      <c r="V1008" s="196"/>
      <c r="W1008" s="196"/>
      <c r="X1008" s="196"/>
      <c r="Y1008" s="196"/>
    </row>
    <row r="1009" spans="1:25">
      <c r="A1009" s="196" t="s">
        <v>837</v>
      </c>
      <c r="B1009" s="196" t="s">
        <v>181</v>
      </c>
      <c r="C1009" s="196">
        <v>2014</v>
      </c>
      <c r="D1009" s="196">
        <v>30</v>
      </c>
      <c r="E1009" s="196" t="s">
        <v>857</v>
      </c>
      <c r="F1009" s="196" t="s">
        <v>1385</v>
      </c>
      <c r="G1009" s="196">
        <v>20</v>
      </c>
      <c r="H1009" s="196">
        <v>11</v>
      </c>
      <c r="I1009" s="196">
        <v>19743</v>
      </c>
      <c r="J1009" s="196">
        <v>46629</v>
      </c>
      <c r="K1009" s="196">
        <v>85.55</v>
      </c>
      <c r="L1009" s="196">
        <v>3.31</v>
      </c>
      <c r="M1009" s="196">
        <v>6714</v>
      </c>
      <c r="N1009" s="196">
        <v>1377670</v>
      </c>
      <c r="O1009" s="196">
        <v>1615</v>
      </c>
      <c r="P1009" s="196"/>
      <c r="Q1009" s="196"/>
      <c r="R1009" s="196"/>
      <c r="S1009" s="196"/>
      <c r="T1009" s="196"/>
      <c r="U1009" s="196"/>
      <c r="V1009" s="196"/>
      <c r="W1009" s="196"/>
      <c r="X1009" s="196"/>
      <c r="Y1009" s="196"/>
    </row>
    <row r="1010" spans="1:25">
      <c r="A1010" s="196" t="s">
        <v>837</v>
      </c>
      <c r="B1010" s="196" t="s">
        <v>181</v>
      </c>
      <c r="C1010" s="196">
        <v>2014</v>
      </c>
      <c r="D1010" s="196">
        <v>55</v>
      </c>
      <c r="E1010" s="196" t="s">
        <v>858</v>
      </c>
      <c r="F1010" s="196" t="s">
        <v>1385</v>
      </c>
      <c r="G1010" s="196">
        <v>30</v>
      </c>
      <c r="H1010" s="196">
        <v>13</v>
      </c>
      <c r="I1010" s="196">
        <v>25907</v>
      </c>
      <c r="J1010" s="196">
        <v>54280</v>
      </c>
      <c r="K1010" s="196">
        <v>85.55</v>
      </c>
      <c r="L1010" s="196">
        <v>3.31</v>
      </c>
      <c r="M1010" s="196">
        <v>6714</v>
      </c>
      <c r="N1010" s="196">
        <v>1377670</v>
      </c>
      <c r="O1010" s="196">
        <v>1615</v>
      </c>
      <c r="P1010" s="196"/>
      <c r="Q1010" s="196"/>
      <c r="R1010" s="196"/>
      <c r="S1010" s="196"/>
      <c r="T1010" s="196"/>
      <c r="U1010" s="196"/>
      <c r="V1010" s="196"/>
      <c r="W1010" s="196"/>
      <c r="X1010" s="196"/>
      <c r="Y1010" s="196"/>
    </row>
    <row r="1011" spans="1:25">
      <c r="A1011" s="196" t="s">
        <v>837</v>
      </c>
      <c r="B1011" s="196" t="s">
        <v>181</v>
      </c>
      <c r="C1011" s="196">
        <v>2014</v>
      </c>
      <c r="D1011" s="196">
        <v>55</v>
      </c>
      <c r="E1011" s="196" t="s">
        <v>859</v>
      </c>
      <c r="F1011" s="196" t="s">
        <v>1385</v>
      </c>
      <c r="G1011" s="196">
        <v>21</v>
      </c>
      <c r="H1011" s="196">
        <v>8</v>
      </c>
      <c r="I1011" s="196">
        <v>17687</v>
      </c>
      <c r="J1011" s="196">
        <v>23207</v>
      </c>
      <c r="K1011" s="196">
        <v>85.55</v>
      </c>
      <c r="L1011" s="196">
        <v>3.31</v>
      </c>
      <c r="M1011" s="196">
        <v>6714</v>
      </c>
      <c r="N1011" s="196">
        <v>1377670</v>
      </c>
      <c r="O1011" s="196">
        <v>1615</v>
      </c>
      <c r="P1011" s="196"/>
      <c r="Q1011" s="196"/>
      <c r="R1011" s="196"/>
      <c r="S1011" s="196"/>
      <c r="T1011" s="196"/>
      <c r="U1011" s="196"/>
      <c r="V1011" s="196"/>
      <c r="W1011" s="196"/>
      <c r="X1011" s="196"/>
      <c r="Y1011" s="196"/>
    </row>
    <row r="1012" spans="1:25">
      <c r="A1012" s="196" t="s">
        <v>837</v>
      </c>
      <c r="B1012" s="196" t="s">
        <v>850</v>
      </c>
      <c r="C1012" s="196">
        <v>2014</v>
      </c>
      <c r="D1012" s="196">
        <v>30</v>
      </c>
      <c r="E1012" s="196" t="s">
        <v>860</v>
      </c>
      <c r="F1012" s="196" t="s">
        <v>1385</v>
      </c>
      <c r="G1012" s="196">
        <v>2</v>
      </c>
      <c r="H1012" s="196">
        <v>2</v>
      </c>
      <c r="I1012" s="196">
        <v>4305</v>
      </c>
      <c r="J1012" s="196">
        <v>5291</v>
      </c>
      <c r="K1012" s="196">
        <v>85.55</v>
      </c>
      <c r="L1012" s="196">
        <v>3.31</v>
      </c>
      <c r="M1012" s="196">
        <v>6714</v>
      </c>
      <c r="N1012" s="196">
        <v>1377670</v>
      </c>
      <c r="O1012" s="196">
        <v>1615</v>
      </c>
      <c r="P1012" s="196"/>
      <c r="Q1012" s="196"/>
      <c r="R1012" s="196"/>
      <c r="S1012" s="196"/>
      <c r="T1012" s="196"/>
      <c r="U1012" s="196"/>
      <c r="V1012" s="196"/>
      <c r="W1012" s="196"/>
      <c r="X1012" s="196"/>
      <c r="Y1012" s="196"/>
    </row>
    <row r="1013" spans="1:25">
      <c r="A1013" s="196" t="s">
        <v>837</v>
      </c>
      <c r="B1013" s="196" t="s">
        <v>850</v>
      </c>
      <c r="C1013" s="196">
        <v>2014</v>
      </c>
      <c r="D1013" s="196">
        <v>30</v>
      </c>
      <c r="E1013" s="196" t="s">
        <v>861</v>
      </c>
      <c r="F1013" s="196" t="s">
        <v>1385</v>
      </c>
      <c r="G1013" s="196">
        <v>4</v>
      </c>
      <c r="H1013" s="196">
        <v>4</v>
      </c>
      <c r="I1013" s="196">
        <v>8091</v>
      </c>
      <c r="J1013" s="196">
        <v>28646</v>
      </c>
      <c r="K1013" s="196">
        <v>85.55</v>
      </c>
      <c r="L1013" s="196">
        <v>3.31</v>
      </c>
      <c r="M1013" s="196">
        <v>6714</v>
      </c>
      <c r="N1013" s="196">
        <v>1377670</v>
      </c>
      <c r="O1013" s="196">
        <v>1615</v>
      </c>
      <c r="P1013" s="196"/>
      <c r="Q1013" s="196"/>
      <c r="R1013" s="196"/>
      <c r="S1013" s="196"/>
      <c r="T1013" s="196"/>
      <c r="U1013" s="196"/>
      <c r="V1013" s="196"/>
      <c r="W1013" s="196"/>
      <c r="X1013" s="196"/>
      <c r="Y1013" s="196"/>
    </row>
    <row r="1014" spans="1:25">
      <c r="A1014" s="196" t="s">
        <v>837</v>
      </c>
      <c r="B1014" s="196" t="s">
        <v>850</v>
      </c>
      <c r="C1014" s="196">
        <v>2014</v>
      </c>
      <c r="D1014" s="196">
        <v>55</v>
      </c>
      <c r="E1014" s="196" t="s">
        <v>862</v>
      </c>
      <c r="F1014" s="196" t="s">
        <v>1385</v>
      </c>
      <c r="G1014" s="196">
        <v>28</v>
      </c>
      <c r="H1014" s="196">
        <v>9</v>
      </c>
      <c r="I1014" s="196">
        <v>21350</v>
      </c>
      <c r="J1014" s="196">
        <v>28332</v>
      </c>
      <c r="K1014" s="196">
        <v>85.55</v>
      </c>
      <c r="L1014" s="196">
        <v>3.31</v>
      </c>
      <c r="M1014" s="196">
        <v>6714</v>
      </c>
      <c r="N1014" s="196">
        <v>1377670</v>
      </c>
      <c r="O1014" s="196">
        <v>1615</v>
      </c>
      <c r="P1014" s="196"/>
      <c r="Q1014" s="196"/>
      <c r="R1014" s="196"/>
      <c r="S1014" s="196"/>
      <c r="T1014" s="196"/>
      <c r="U1014" s="196"/>
      <c r="V1014" s="196"/>
      <c r="W1014" s="196"/>
      <c r="X1014" s="196"/>
      <c r="Y1014" s="196"/>
    </row>
    <row r="1015" spans="1:25">
      <c r="A1015" s="196" t="s">
        <v>837</v>
      </c>
      <c r="B1015" s="196" t="s">
        <v>850</v>
      </c>
      <c r="C1015" s="196">
        <v>2014</v>
      </c>
      <c r="D1015" s="196">
        <v>55</v>
      </c>
      <c r="E1015" s="196" t="s">
        <v>863</v>
      </c>
      <c r="F1015" s="196" t="s">
        <v>1385</v>
      </c>
      <c r="G1015" s="196">
        <v>6</v>
      </c>
      <c r="H1015" s="196">
        <v>4</v>
      </c>
      <c r="I1015" s="196">
        <v>5685</v>
      </c>
      <c r="J1015" s="196">
        <v>11831</v>
      </c>
      <c r="K1015" s="196">
        <v>85.55</v>
      </c>
      <c r="L1015" s="196">
        <v>3.31</v>
      </c>
      <c r="M1015" s="196">
        <v>6714</v>
      </c>
      <c r="N1015" s="196">
        <v>1377670</v>
      </c>
      <c r="O1015" s="196">
        <v>1615</v>
      </c>
      <c r="P1015" s="196"/>
      <c r="Q1015" s="196"/>
      <c r="R1015" s="196"/>
      <c r="S1015" s="196"/>
      <c r="T1015" s="196"/>
      <c r="U1015" s="196"/>
      <c r="V1015" s="196"/>
      <c r="W1015" s="196"/>
      <c r="X1015" s="196"/>
      <c r="Y1015" s="196"/>
    </row>
    <row r="1016" spans="1:25">
      <c r="A1016" s="196" t="s">
        <v>837</v>
      </c>
      <c r="B1016" s="196" t="s">
        <v>838</v>
      </c>
      <c r="C1016" s="196">
        <v>2013</v>
      </c>
      <c r="D1016" s="196">
        <v>30</v>
      </c>
      <c r="E1016" s="196" t="s">
        <v>839</v>
      </c>
      <c r="F1016" s="196" t="s">
        <v>1386</v>
      </c>
      <c r="G1016" s="196">
        <v>2</v>
      </c>
      <c r="H1016" s="196">
        <v>2</v>
      </c>
      <c r="I1016" s="196">
        <v>4440</v>
      </c>
      <c r="J1016" s="196">
        <v>23991</v>
      </c>
      <c r="K1016" s="196">
        <v>94.23</v>
      </c>
      <c r="L1016" s="196">
        <v>2.86</v>
      </c>
      <c r="M1016" s="196">
        <v>23506</v>
      </c>
      <c r="N1016" s="196">
        <v>2201387</v>
      </c>
      <c r="O1016" s="196">
        <v>2271</v>
      </c>
      <c r="P1016" s="196"/>
      <c r="Q1016" s="196"/>
      <c r="R1016" s="196"/>
      <c r="S1016" s="196"/>
      <c r="T1016" s="196"/>
      <c r="U1016" s="196"/>
      <c r="V1016" s="196"/>
      <c r="W1016" s="196"/>
      <c r="X1016" s="196"/>
      <c r="Y1016" s="196"/>
    </row>
    <row r="1017" spans="1:25">
      <c r="A1017" s="196" t="s">
        <v>837</v>
      </c>
      <c r="B1017" s="196" t="s">
        <v>838</v>
      </c>
      <c r="C1017" s="196">
        <v>2013</v>
      </c>
      <c r="D1017" s="196">
        <v>55</v>
      </c>
      <c r="E1017" s="196" t="s">
        <v>849</v>
      </c>
      <c r="F1017" s="196" t="s">
        <v>1386</v>
      </c>
      <c r="G1017" s="196">
        <v>8</v>
      </c>
      <c r="H1017" s="196">
        <v>8</v>
      </c>
      <c r="I1017" s="196">
        <v>16488</v>
      </c>
      <c r="J1017" s="196">
        <v>245722</v>
      </c>
      <c r="K1017" s="196">
        <v>94.23</v>
      </c>
      <c r="L1017" s="196">
        <v>2.86</v>
      </c>
      <c r="M1017" s="196">
        <v>23506</v>
      </c>
      <c r="N1017" s="196">
        <v>2201387</v>
      </c>
      <c r="O1017" s="196">
        <v>2271</v>
      </c>
      <c r="P1017" s="196"/>
      <c r="Q1017" s="196"/>
      <c r="R1017" s="196"/>
      <c r="S1017" s="196"/>
      <c r="T1017" s="196"/>
      <c r="U1017" s="196"/>
      <c r="V1017" s="196"/>
      <c r="W1017" s="196"/>
      <c r="X1017" s="196"/>
      <c r="Y1017" s="196"/>
    </row>
    <row r="1018" spans="1:25">
      <c r="A1018" s="196" t="s">
        <v>837</v>
      </c>
      <c r="B1018" s="196" t="s">
        <v>850</v>
      </c>
      <c r="C1018" s="196">
        <v>2013</v>
      </c>
      <c r="D1018" s="196">
        <v>30</v>
      </c>
      <c r="E1018" s="196" t="s">
        <v>851</v>
      </c>
      <c r="F1018" s="196" t="s">
        <v>1386</v>
      </c>
      <c r="G1018" s="196">
        <v>7</v>
      </c>
      <c r="H1018" s="196">
        <v>7</v>
      </c>
      <c r="I1018" s="196">
        <v>7791</v>
      </c>
      <c r="J1018" s="196">
        <v>176339</v>
      </c>
      <c r="K1018" s="196">
        <v>94.23</v>
      </c>
      <c r="L1018" s="196">
        <v>2.86</v>
      </c>
      <c r="M1018" s="196">
        <v>23506</v>
      </c>
      <c r="N1018" s="196">
        <v>2201387</v>
      </c>
      <c r="O1018" s="196">
        <v>2271</v>
      </c>
      <c r="P1018" s="196"/>
      <c r="Q1018" s="196"/>
      <c r="R1018" s="196"/>
      <c r="S1018" s="196"/>
      <c r="T1018" s="196"/>
      <c r="U1018" s="196"/>
      <c r="V1018" s="196"/>
      <c r="W1018" s="196"/>
      <c r="X1018" s="196"/>
      <c r="Y1018" s="196"/>
    </row>
    <row r="1019" spans="1:25">
      <c r="A1019" s="196" t="s">
        <v>837</v>
      </c>
      <c r="B1019" s="196" t="s">
        <v>850</v>
      </c>
      <c r="C1019" s="196">
        <v>2013</v>
      </c>
      <c r="D1019" s="196">
        <v>55</v>
      </c>
      <c r="E1019" s="196" t="s">
        <v>852</v>
      </c>
      <c r="F1019" s="196" t="s">
        <v>1386</v>
      </c>
      <c r="G1019" s="196">
        <v>11</v>
      </c>
      <c r="H1019" s="196">
        <v>11</v>
      </c>
      <c r="I1019" s="196">
        <v>13981</v>
      </c>
      <c r="J1019" s="196">
        <v>356146</v>
      </c>
      <c r="K1019" s="196">
        <v>94.23</v>
      </c>
      <c r="L1019" s="196">
        <v>2.86</v>
      </c>
      <c r="M1019" s="196">
        <v>23506</v>
      </c>
      <c r="N1019" s="196">
        <v>2201387</v>
      </c>
      <c r="O1019" s="196">
        <v>2271</v>
      </c>
      <c r="P1019" s="196"/>
      <c r="Q1019" s="196"/>
      <c r="R1019" s="196"/>
      <c r="S1019" s="196"/>
      <c r="T1019" s="196"/>
      <c r="U1019" s="196"/>
      <c r="V1019" s="196"/>
      <c r="W1019" s="196"/>
      <c r="X1019" s="196"/>
      <c r="Y1019" s="196"/>
    </row>
    <row r="1020" spans="1:25">
      <c r="A1020" s="196" t="s">
        <v>837</v>
      </c>
      <c r="B1020" s="196" t="s">
        <v>850</v>
      </c>
      <c r="C1020" s="196">
        <v>2013</v>
      </c>
      <c r="D1020" s="196">
        <v>80</v>
      </c>
      <c r="E1020" s="196" t="s">
        <v>917</v>
      </c>
      <c r="F1020" s="196" t="s">
        <v>1386</v>
      </c>
      <c r="G1020" s="196">
        <v>6</v>
      </c>
      <c r="H1020" s="196">
        <v>6</v>
      </c>
      <c r="I1020" s="196">
        <v>5647</v>
      </c>
      <c r="J1020" s="196">
        <v>198525</v>
      </c>
      <c r="K1020" s="196">
        <v>94.23</v>
      </c>
      <c r="L1020" s="196">
        <v>2.86</v>
      </c>
      <c r="M1020" s="196">
        <v>23506</v>
      </c>
      <c r="N1020" s="196">
        <v>2201387</v>
      </c>
      <c r="O1020" s="196">
        <v>2271</v>
      </c>
      <c r="P1020" s="196"/>
      <c r="Q1020" s="196"/>
      <c r="R1020" s="196"/>
      <c r="S1020" s="196"/>
      <c r="T1020" s="196"/>
      <c r="U1020" s="196"/>
      <c r="V1020" s="196"/>
      <c r="W1020" s="196"/>
      <c r="X1020" s="196"/>
      <c r="Y1020" s="196"/>
    </row>
    <row r="1021" spans="1:25">
      <c r="A1021" s="196" t="s">
        <v>837</v>
      </c>
      <c r="B1021" s="196" t="s">
        <v>181</v>
      </c>
      <c r="C1021" s="196">
        <v>2014</v>
      </c>
      <c r="D1021" s="196">
        <v>80</v>
      </c>
      <c r="E1021" s="196" t="s">
        <v>874</v>
      </c>
      <c r="F1021" s="196" t="s">
        <v>1386</v>
      </c>
      <c r="G1021" s="196">
        <v>7</v>
      </c>
      <c r="H1021" s="196">
        <v>6</v>
      </c>
      <c r="I1021" s="196">
        <v>11652</v>
      </c>
      <c r="J1021" s="196">
        <v>112091</v>
      </c>
      <c r="K1021" s="196">
        <v>94.23</v>
      </c>
      <c r="L1021" s="196">
        <v>2.86</v>
      </c>
      <c r="M1021" s="196">
        <v>23506</v>
      </c>
      <c r="N1021" s="196">
        <v>2201387</v>
      </c>
      <c r="O1021" s="196">
        <v>2271</v>
      </c>
      <c r="P1021" s="196"/>
      <c r="Q1021" s="196"/>
      <c r="R1021" s="196"/>
      <c r="S1021" s="196"/>
      <c r="T1021" s="196"/>
      <c r="U1021" s="196"/>
      <c r="V1021" s="196"/>
      <c r="W1021" s="196"/>
      <c r="X1021" s="196"/>
      <c r="Y1021" s="196"/>
    </row>
    <row r="1022" spans="1:25">
      <c r="A1022" s="196" t="s">
        <v>837</v>
      </c>
      <c r="B1022" s="196" t="s">
        <v>850</v>
      </c>
      <c r="C1022" s="196">
        <v>2014</v>
      </c>
      <c r="D1022" s="196">
        <v>80</v>
      </c>
      <c r="E1022" s="196" t="s">
        <v>875</v>
      </c>
      <c r="F1022" s="196" t="s">
        <v>1386</v>
      </c>
      <c r="G1022" s="196">
        <v>3</v>
      </c>
      <c r="H1022" s="196">
        <v>3</v>
      </c>
      <c r="I1022" s="196">
        <v>4146</v>
      </c>
      <c r="J1022" s="196">
        <v>53632</v>
      </c>
      <c r="K1022" s="196">
        <v>94.23</v>
      </c>
      <c r="L1022" s="196">
        <v>2.86</v>
      </c>
      <c r="M1022" s="196">
        <v>23506</v>
      </c>
      <c r="N1022" s="196">
        <v>2201387</v>
      </c>
      <c r="O1022" s="196">
        <v>2271</v>
      </c>
      <c r="P1022" s="196"/>
      <c r="Q1022" s="196"/>
      <c r="R1022" s="196"/>
      <c r="S1022" s="196"/>
      <c r="T1022" s="196"/>
      <c r="U1022" s="196"/>
      <c r="V1022" s="196"/>
      <c r="W1022" s="196"/>
      <c r="X1022" s="196"/>
      <c r="Y1022" s="196"/>
    </row>
    <row r="1023" spans="1:25">
      <c r="A1023" s="196" t="s">
        <v>837</v>
      </c>
      <c r="B1023" s="196" t="s">
        <v>838</v>
      </c>
      <c r="C1023" s="196">
        <v>2013</v>
      </c>
      <c r="D1023" s="196">
        <v>80</v>
      </c>
      <c r="E1023" s="196" t="s">
        <v>908</v>
      </c>
      <c r="F1023" s="196" t="s">
        <v>1386</v>
      </c>
      <c r="G1023" s="196">
        <v>3</v>
      </c>
      <c r="H1023" s="196">
        <v>3</v>
      </c>
      <c r="I1023" s="196">
        <v>5334</v>
      </c>
      <c r="J1023" s="196">
        <v>90368</v>
      </c>
      <c r="K1023" s="196">
        <v>94.23</v>
      </c>
      <c r="L1023" s="196">
        <v>2.86</v>
      </c>
      <c r="M1023" s="196">
        <v>23506</v>
      </c>
      <c r="N1023" s="196">
        <v>2201387</v>
      </c>
      <c r="O1023" s="196">
        <v>2271</v>
      </c>
      <c r="P1023" s="196"/>
      <c r="Q1023" s="196"/>
      <c r="R1023" s="196"/>
      <c r="S1023" s="196"/>
      <c r="T1023" s="196"/>
      <c r="U1023" s="196"/>
      <c r="V1023" s="196"/>
      <c r="W1023" s="196"/>
      <c r="X1023" s="196"/>
      <c r="Y1023" s="196"/>
    </row>
    <row r="1024" spans="1:25">
      <c r="A1024" s="196" t="s">
        <v>837</v>
      </c>
      <c r="B1024" s="196" t="s">
        <v>181</v>
      </c>
      <c r="C1024" s="196">
        <v>2013</v>
      </c>
      <c r="D1024" s="196">
        <v>80</v>
      </c>
      <c r="E1024" s="196" t="s">
        <v>876</v>
      </c>
      <c r="F1024" s="196" t="s">
        <v>1386</v>
      </c>
      <c r="G1024" s="196">
        <v>9</v>
      </c>
      <c r="H1024" s="196">
        <v>8</v>
      </c>
      <c r="I1024" s="196">
        <v>15622</v>
      </c>
      <c r="J1024" s="196">
        <v>243376</v>
      </c>
      <c r="K1024" s="196">
        <v>94.23</v>
      </c>
      <c r="L1024" s="196">
        <v>2.86</v>
      </c>
      <c r="M1024" s="196">
        <v>23506</v>
      </c>
      <c r="N1024" s="196">
        <v>2201387</v>
      </c>
      <c r="O1024" s="196">
        <v>2271</v>
      </c>
      <c r="P1024" s="196"/>
      <c r="Q1024" s="196"/>
      <c r="R1024" s="196"/>
      <c r="S1024" s="196"/>
      <c r="T1024" s="196"/>
      <c r="U1024" s="196"/>
      <c r="V1024" s="196"/>
      <c r="W1024" s="196"/>
      <c r="X1024" s="196"/>
      <c r="Y1024" s="196"/>
    </row>
    <row r="1025" spans="1:25">
      <c r="A1025" s="196" t="s">
        <v>837</v>
      </c>
      <c r="B1025" s="196" t="s">
        <v>838</v>
      </c>
      <c r="C1025" s="196">
        <v>2014</v>
      </c>
      <c r="D1025" s="196">
        <v>55</v>
      </c>
      <c r="E1025" s="196" t="s">
        <v>854</v>
      </c>
      <c r="F1025" s="196" t="s">
        <v>1386</v>
      </c>
      <c r="G1025" s="196">
        <v>2</v>
      </c>
      <c r="H1025" s="196">
        <v>2</v>
      </c>
      <c r="I1025" s="196">
        <v>3474</v>
      </c>
      <c r="J1025" s="196">
        <v>56989</v>
      </c>
      <c r="K1025" s="196">
        <v>94.23</v>
      </c>
      <c r="L1025" s="196">
        <v>2.86</v>
      </c>
      <c r="M1025" s="196">
        <v>23506</v>
      </c>
      <c r="N1025" s="196">
        <v>2201387</v>
      </c>
      <c r="O1025" s="196">
        <v>2271</v>
      </c>
      <c r="P1025" s="196"/>
      <c r="Q1025" s="196"/>
      <c r="R1025" s="196"/>
      <c r="S1025" s="196"/>
      <c r="T1025" s="196"/>
      <c r="U1025" s="196"/>
      <c r="V1025" s="196"/>
      <c r="W1025" s="196"/>
      <c r="X1025" s="196"/>
      <c r="Y1025" s="196"/>
    </row>
    <row r="1026" spans="1:25">
      <c r="A1026" s="196" t="s">
        <v>837</v>
      </c>
      <c r="B1026" s="196" t="s">
        <v>181</v>
      </c>
      <c r="C1026" s="196">
        <v>2014</v>
      </c>
      <c r="D1026" s="196">
        <v>55</v>
      </c>
      <c r="E1026" s="196" t="s">
        <v>858</v>
      </c>
      <c r="F1026" s="196" t="s">
        <v>1386</v>
      </c>
      <c r="G1026" s="196">
        <v>1</v>
      </c>
      <c r="H1026" s="196">
        <v>1</v>
      </c>
      <c r="I1026" s="196">
        <v>1398</v>
      </c>
      <c r="J1026" s="196">
        <v>12324</v>
      </c>
      <c r="K1026" s="196">
        <v>94.23</v>
      </c>
      <c r="L1026" s="196">
        <v>2.86</v>
      </c>
      <c r="M1026" s="196">
        <v>23506</v>
      </c>
      <c r="N1026" s="196">
        <v>2201387</v>
      </c>
      <c r="O1026" s="196">
        <v>2271</v>
      </c>
      <c r="P1026" s="196"/>
      <c r="Q1026" s="196"/>
      <c r="R1026" s="196"/>
      <c r="S1026" s="196"/>
      <c r="T1026" s="196"/>
      <c r="U1026" s="196"/>
      <c r="V1026" s="196"/>
      <c r="W1026" s="196"/>
      <c r="X1026" s="196"/>
      <c r="Y1026" s="196"/>
    </row>
    <row r="1027" spans="1:25">
      <c r="A1027" s="196" t="s">
        <v>837</v>
      </c>
      <c r="B1027" s="196" t="s">
        <v>838</v>
      </c>
      <c r="C1027" s="196">
        <v>2013</v>
      </c>
      <c r="D1027" s="196">
        <v>30</v>
      </c>
      <c r="E1027" s="196" t="s">
        <v>839</v>
      </c>
      <c r="F1027" s="196" t="s">
        <v>1387</v>
      </c>
      <c r="G1027" s="196">
        <v>1</v>
      </c>
      <c r="H1027" s="196">
        <v>1</v>
      </c>
      <c r="I1027" s="196">
        <v>2082</v>
      </c>
      <c r="J1027" s="196">
        <v>6857</v>
      </c>
      <c r="K1027" s="196">
        <v>32.450000000000003</v>
      </c>
      <c r="L1027" s="196">
        <v>0</v>
      </c>
      <c r="M1027" s="196">
        <v>3555</v>
      </c>
      <c r="N1027" s="196">
        <v>650636</v>
      </c>
      <c r="O1027" s="196">
        <v>811</v>
      </c>
      <c r="P1027" s="196"/>
      <c r="Q1027" s="196"/>
      <c r="R1027" s="196"/>
      <c r="S1027" s="196"/>
      <c r="T1027" s="196"/>
      <c r="U1027" s="196"/>
      <c r="V1027" s="196"/>
      <c r="W1027" s="196"/>
      <c r="X1027" s="196"/>
      <c r="Y1027" s="196"/>
    </row>
    <row r="1028" spans="1:25">
      <c r="A1028" s="196" t="s">
        <v>837</v>
      </c>
      <c r="B1028" s="196" t="s">
        <v>850</v>
      </c>
      <c r="C1028" s="196">
        <v>2013</v>
      </c>
      <c r="D1028" s="196">
        <v>30</v>
      </c>
      <c r="E1028" s="196" t="s">
        <v>851</v>
      </c>
      <c r="F1028" s="196" t="s">
        <v>1387</v>
      </c>
      <c r="G1028" s="196">
        <v>1</v>
      </c>
      <c r="H1028" s="196">
        <v>1</v>
      </c>
      <c r="I1028" s="196">
        <v>204</v>
      </c>
      <c r="J1028" s="196">
        <v>3775</v>
      </c>
      <c r="K1028" s="196">
        <v>32.450000000000003</v>
      </c>
      <c r="L1028" s="196">
        <v>0</v>
      </c>
      <c r="M1028" s="196">
        <v>3555</v>
      </c>
      <c r="N1028" s="196">
        <v>650636</v>
      </c>
      <c r="O1028" s="196">
        <v>811</v>
      </c>
      <c r="P1028" s="196"/>
      <c r="Q1028" s="196"/>
      <c r="R1028" s="196"/>
      <c r="S1028" s="196"/>
      <c r="T1028" s="196"/>
      <c r="U1028" s="196"/>
      <c r="V1028" s="196"/>
      <c r="W1028" s="196"/>
      <c r="X1028" s="196"/>
      <c r="Y1028" s="196"/>
    </row>
    <row r="1029" spans="1:25">
      <c r="A1029" s="196" t="s">
        <v>837</v>
      </c>
      <c r="B1029" s="196" t="s">
        <v>838</v>
      </c>
      <c r="C1029" s="196">
        <v>2014</v>
      </c>
      <c r="D1029" s="196">
        <v>55</v>
      </c>
      <c r="E1029" s="196" t="s">
        <v>854</v>
      </c>
      <c r="F1029" s="196" t="s">
        <v>1387</v>
      </c>
      <c r="G1029" s="196">
        <v>1</v>
      </c>
      <c r="H1029" s="196">
        <v>1</v>
      </c>
      <c r="I1029" s="196">
        <v>1653</v>
      </c>
      <c r="J1029" s="196">
        <v>4766</v>
      </c>
      <c r="K1029" s="196">
        <v>32.450000000000003</v>
      </c>
      <c r="L1029" s="196">
        <v>0</v>
      </c>
      <c r="M1029" s="196">
        <v>3555</v>
      </c>
      <c r="N1029" s="196">
        <v>650636</v>
      </c>
      <c r="O1029" s="196">
        <v>811</v>
      </c>
      <c r="P1029" s="196"/>
      <c r="Q1029" s="196"/>
      <c r="R1029" s="196"/>
      <c r="S1029" s="196"/>
      <c r="T1029" s="196"/>
      <c r="U1029" s="196"/>
      <c r="V1029" s="196"/>
      <c r="W1029" s="196"/>
      <c r="X1029" s="196"/>
      <c r="Y1029" s="196"/>
    </row>
    <row r="1030" spans="1:25">
      <c r="A1030" s="196" t="s">
        <v>837</v>
      </c>
      <c r="B1030" s="196" t="s">
        <v>181</v>
      </c>
      <c r="C1030" s="196">
        <v>2014</v>
      </c>
      <c r="D1030" s="196">
        <v>30</v>
      </c>
      <c r="E1030" s="196" t="s">
        <v>856</v>
      </c>
      <c r="F1030" s="196" t="s">
        <v>1387</v>
      </c>
      <c r="G1030" s="196">
        <v>1</v>
      </c>
      <c r="H1030" s="196">
        <v>1</v>
      </c>
      <c r="I1030" s="196">
        <v>1743</v>
      </c>
      <c r="J1030" s="196">
        <v>2824</v>
      </c>
      <c r="K1030" s="196">
        <v>32.450000000000003</v>
      </c>
      <c r="L1030" s="196">
        <v>0</v>
      </c>
      <c r="M1030" s="196">
        <v>3555</v>
      </c>
      <c r="N1030" s="196">
        <v>650636</v>
      </c>
      <c r="O1030" s="196">
        <v>811</v>
      </c>
      <c r="P1030" s="196"/>
      <c r="Q1030" s="196"/>
      <c r="R1030" s="196"/>
      <c r="S1030" s="196"/>
      <c r="T1030" s="196"/>
      <c r="U1030" s="196"/>
      <c r="V1030" s="196"/>
      <c r="W1030" s="196"/>
      <c r="X1030" s="196"/>
      <c r="Y1030" s="196"/>
    </row>
    <row r="1031" spans="1:25">
      <c r="A1031" s="196" t="s">
        <v>837</v>
      </c>
      <c r="B1031" s="196" t="s">
        <v>850</v>
      </c>
      <c r="C1031" s="196">
        <v>2014</v>
      </c>
      <c r="D1031" s="196">
        <v>30</v>
      </c>
      <c r="E1031" s="196" t="s">
        <v>860</v>
      </c>
      <c r="F1031" s="196" t="s">
        <v>1387</v>
      </c>
      <c r="G1031" s="196">
        <v>4</v>
      </c>
      <c r="H1031" s="196">
        <v>4</v>
      </c>
      <c r="I1031" s="196">
        <v>7143</v>
      </c>
      <c r="J1031" s="196">
        <v>31460</v>
      </c>
      <c r="K1031" s="196">
        <v>32.450000000000003</v>
      </c>
      <c r="L1031" s="196">
        <v>0</v>
      </c>
      <c r="M1031" s="196">
        <v>3555</v>
      </c>
      <c r="N1031" s="196">
        <v>650636</v>
      </c>
      <c r="O1031" s="196">
        <v>811</v>
      </c>
      <c r="P1031" s="196"/>
      <c r="Q1031" s="196"/>
      <c r="R1031" s="196"/>
      <c r="S1031" s="196"/>
      <c r="T1031" s="196"/>
      <c r="U1031" s="196"/>
      <c r="V1031" s="196"/>
      <c r="W1031" s="196"/>
      <c r="X1031" s="196"/>
      <c r="Y1031" s="196"/>
    </row>
    <row r="1032" spans="1:25">
      <c r="A1032" s="196" t="s">
        <v>837</v>
      </c>
      <c r="B1032" s="196" t="s">
        <v>850</v>
      </c>
      <c r="C1032" s="196">
        <v>2014</v>
      </c>
      <c r="D1032" s="196">
        <v>30</v>
      </c>
      <c r="E1032" s="196" t="s">
        <v>861</v>
      </c>
      <c r="F1032" s="196" t="s">
        <v>1387</v>
      </c>
      <c r="G1032" s="196">
        <v>1</v>
      </c>
      <c r="H1032" s="196">
        <v>1</v>
      </c>
      <c r="I1032" s="196">
        <v>4179</v>
      </c>
      <c r="J1032" s="196">
        <v>6935</v>
      </c>
      <c r="K1032" s="196">
        <v>32.450000000000003</v>
      </c>
      <c r="L1032" s="196">
        <v>0</v>
      </c>
      <c r="M1032" s="196">
        <v>3555</v>
      </c>
      <c r="N1032" s="196">
        <v>650636</v>
      </c>
      <c r="O1032" s="196">
        <v>811</v>
      </c>
      <c r="P1032" s="196"/>
      <c r="Q1032" s="196"/>
      <c r="R1032" s="196"/>
      <c r="S1032" s="196"/>
      <c r="T1032" s="196"/>
      <c r="U1032" s="196"/>
      <c r="V1032" s="196"/>
      <c r="W1032" s="196"/>
      <c r="X1032" s="196"/>
      <c r="Y1032" s="196"/>
    </row>
    <row r="1033" spans="1:25">
      <c r="A1033" s="196" t="s">
        <v>837</v>
      </c>
      <c r="B1033" s="196" t="s">
        <v>838</v>
      </c>
      <c r="C1033" s="196">
        <v>2013</v>
      </c>
      <c r="D1033" s="196">
        <v>55</v>
      </c>
      <c r="E1033" s="196" t="s">
        <v>849</v>
      </c>
      <c r="F1033" s="196" t="s">
        <v>1388</v>
      </c>
      <c r="G1033" s="196">
        <v>2</v>
      </c>
      <c r="H1033" s="196">
        <v>2</v>
      </c>
      <c r="I1033" s="196">
        <v>1611</v>
      </c>
      <c r="J1033" s="196">
        <v>8211</v>
      </c>
      <c r="K1033" s="196">
        <v>89.13</v>
      </c>
      <c r="L1033" s="196">
        <v>0.33</v>
      </c>
      <c r="M1033" s="196">
        <v>10298</v>
      </c>
      <c r="N1033" s="196">
        <v>2672491</v>
      </c>
      <c r="O1033" s="196">
        <v>2369</v>
      </c>
      <c r="P1033" s="196"/>
      <c r="Q1033" s="196"/>
      <c r="R1033" s="196"/>
      <c r="S1033" s="196"/>
      <c r="T1033" s="196"/>
      <c r="U1033" s="196"/>
      <c r="V1033" s="196"/>
      <c r="W1033" s="196"/>
      <c r="X1033" s="196"/>
      <c r="Y1033" s="196"/>
    </row>
    <row r="1034" spans="1:25">
      <c r="A1034" s="196" t="s">
        <v>837</v>
      </c>
      <c r="B1034" s="196" t="s">
        <v>850</v>
      </c>
      <c r="C1034" s="196">
        <v>2013</v>
      </c>
      <c r="D1034" s="196">
        <v>30</v>
      </c>
      <c r="E1034" s="196" t="s">
        <v>851</v>
      </c>
      <c r="F1034" s="196" t="s">
        <v>1388</v>
      </c>
      <c r="G1034" s="196">
        <v>4</v>
      </c>
      <c r="H1034" s="196">
        <v>4</v>
      </c>
      <c r="I1034" s="196">
        <v>9054</v>
      </c>
      <c r="J1034" s="196">
        <v>56442</v>
      </c>
      <c r="K1034" s="196">
        <v>89.13</v>
      </c>
      <c r="L1034" s="196">
        <v>0.33</v>
      </c>
      <c r="M1034" s="196">
        <v>10298</v>
      </c>
      <c r="N1034" s="196">
        <v>2672491</v>
      </c>
      <c r="O1034" s="196">
        <v>2369</v>
      </c>
      <c r="P1034" s="196"/>
      <c r="Q1034" s="196"/>
      <c r="R1034" s="196"/>
      <c r="S1034" s="196"/>
      <c r="T1034" s="196"/>
      <c r="U1034" s="196"/>
      <c r="V1034" s="196"/>
      <c r="W1034" s="196"/>
      <c r="X1034" s="196"/>
      <c r="Y1034" s="196"/>
    </row>
    <row r="1035" spans="1:25">
      <c r="A1035" s="196" t="s">
        <v>837</v>
      </c>
      <c r="B1035" s="196" t="s">
        <v>850</v>
      </c>
      <c r="C1035" s="196">
        <v>2013</v>
      </c>
      <c r="D1035" s="196">
        <v>55</v>
      </c>
      <c r="E1035" s="196" t="s">
        <v>852</v>
      </c>
      <c r="F1035" s="196" t="s">
        <v>1388</v>
      </c>
      <c r="G1035" s="196">
        <v>1</v>
      </c>
      <c r="H1035" s="196">
        <v>1</v>
      </c>
      <c r="I1035" s="196">
        <v>3153</v>
      </c>
      <c r="J1035" s="196">
        <v>10891</v>
      </c>
      <c r="K1035" s="196">
        <v>89.13</v>
      </c>
      <c r="L1035" s="196">
        <v>0.33</v>
      </c>
      <c r="M1035" s="196">
        <v>10298</v>
      </c>
      <c r="N1035" s="196">
        <v>2672491</v>
      </c>
      <c r="O1035" s="196">
        <v>2369</v>
      </c>
      <c r="P1035" s="196"/>
      <c r="Q1035" s="196"/>
      <c r="R1035" s="196"/>
      <c r="S1035" s="196"/>
      <c r="T1035" s="196"/>
      <c r="U1035" s="196"/>
      <c r="V1035" s="196"/>
      <c r="W1035" s="196"/>
      <c r="X1035" s="196"/>
      <c r="Y1035" s="196"/>
    </row>
    <row r="1036" spans="1:25">
      <c r="A1036" s="196" t="s">
        <v>837</v>
      </c>
      <c r="B1036" s="196" t="s">
        <v>850</v>
      </c>
      <c r="C1036" s="196">
        <v>2014</v>
      </c>
      <c r="D1036" s="196">
        <v>80</v>
      </c>
      <c r="E1036" s="196" t="s">
        <v>918</v>
      </c>
      <c r="F1036" s="196" t="s">
        <v>1388</v>
      </c>
      <c r="G1036" s="196">
        <v>1</v>
      </c>
      <c r="H1036" s="196">
        <v>1</v>
      </c>
      <c r="I1036" s="196">
        <v>3153</v>
      </c>
      <c r="J1036" s="196">
        <v>10891</v>
      </c>
      <c r="K1036" s="196">
        <v>89.13</v>
      </c>
      <c r="L1036" s="196">
        <v>0.33</v>
      </c>
      <c r="M1036" s="196">
        <v>10298</v>
      </c>
      <c r="N1036" s="196">
        <v>2672491</v>
      </c>
      <c r="O1036" s="196">
        <v>2369</v>
      </c>
      <c r="P1036" s="196"/>
      <c r="Q1036" s="196"/>
      <c r="R1036" s="196"/>
      <c r="S1036" s="196"/>
      <c r="T1036" s="196"/>
      <c r="U1036" s="196"/>
      <c r="V1036" s="196"/>
      <c r="W1036" s="196"/>
      <c r="X1036" s="196"/>
      <c r="Y1036" s="196"/>
    </row>
    <row r="1037" spans="1:25">
      <c r="A1037" s="196" t="s">
        <v>837</v>
      </c>
      <c r="B1037" s="196" t="s">
        <v>181</v>
      </c>
      <c r="C1037" s="196">
        <v>2014</v>
      </c>
      <c r="D1037" s="196">
        <v>55</v>
      </c>
      <c r="E1037" s="196" t="s">
        <v>858</v>
      </c>
      <c r="F1037" s="196" t="s">
        <v>1389</v>
      </c>
      <c r="G1037" s="196">
        <v>1</v>
      </c>
      <c r="H1037" s="196">
        <v>1</v>
      </c>
      <c r="I1037" s="196">
        <v>5913</v>
      </c>
      <c r="J1037" s="196">
        <v>34253</v>
      </c>
      <c r="K1037" s="196">
        <v>75.12</v>
      </c>
      <c r="L1037" s="196">
        <v>4.43</v>
      </c>
      <c r="M1037" s="196">
        <v>6203</v>
      </c>
      <c r="N1037" s="196">
        <v>1999261</v>
      </c>
      <c r="O1037" s="196">
        <v>1962</v>
      </c>
      <c r="P1037" s="196"/>
      <c r="Q1037" s="196"/>
      <c r="R1037" s="196"/>
      <c r="S1037" s="196"/>
      <c r="T1037" s="196"/>
      <c r="U1037" s="196"/>
      <c r="V1037" s="196"/>
      <c r="W1037" s="196"/>
      <c r="X1037" s="196"/>
      <c r="Y1037" s="196"/>
    </row>
    <row r="1038" spans="1:25">
      <c r="A1038" s="196" t="s">
        <v>837</v>
      </c>
      <c r="B1038" s="196" t="s">
        <v>838</v>
      </c>
      <c r="C1038" s="196">
        <v>2013</v>
      </c>
      <c r="D1038" s="196">
        <v>30</v>
      </c>
      <c r="E1038" s="196" t="s">
        <v>839</v>
      </c>
      <c r="F1038" s="196" t="s">
        <v>1390</v>
      </c>
      <c r="G1038" s="196">
        <v>1</v>
      </c>
      <c r="H1038" s="196">
        <v>1</v>
      </c>
      <c r="I1038" s="196">
        <v>1842</v>
      </c>
      <c r="J1038" s="196">
        <v>2951</v>
      </c>
      <c r="K1038" s="196">
        <v>76.95</v>
      </c>
      <c r="L1038" s="196">
        <v>6.38</v>
      </c>
      <c r="M1038" s="196">
        <v>6587</v>
      </c>
      <c r="N1038" s="196">
        <v>3721043</v>
      </c>
      <c r="O1038" s="196">
        <v>3702</v>
      </c>
      <c r="P1038" s="196"/>
      <c r="Q1038" s="196"/>
      <c r="R1038" s="196"/>
      <c r="S1038" s="196"/>
      <c r="T1038" s="196"/>
      <c r="U1038" s="196"/>
      <c r="V1038" s="196"/>
      <c r="W1038" s="196"/>
      <c r="X1038" s="196"/>
      <c r="Y1038" s="196"/>
    </row>
    <row r="1039" spans="1:25">
      <c r="A1039" s="196" t="s">
        <v>837</v>
      </c>
      <c r="B1039" s="196" t="s">
        <v>838</v>
      </c>
      <c r="C1039" s="196">
        <v>2013</v>
      </c>
      <c r="D1039" s="196">
        <v>55</v>
      </c>
      <c r="E1039" s="196" t="s">
        <v>849</v>
      </c>
      <c r="F1039" s="196" t="s">
        <v>1390</v>
      </c>
      <c r="G1039" s="196">
        <v>1</v>
      </c>
      <c r="H1039" s="196">
        <v>1</v>
      </c>
      <c r="I1039" s="196">
        <v>1950</v>
      </c>
      <c r="J1039" s="196">
        <v>2653</v>
      </c>
      <c r="K1039" s="196">
        <v>76.95</v>
      </c>
      <c r="L1039" s="196">
        <v>6.38</v>
      </c>
      <c r="M1039" s="196">
        <v>6587</v>
      </c>
      <c r="N1039" s="196">
        <v>3721043</v>
      </c>
      <c r="O1039" s="196">
        <v>3702</v>
      </c>
      <c r="P1039" s="196"/>
      <c r="Q1039" s="196"/>
      <c r="R1039" s="196"/>
      <c r="S1039" s="196"/>
      <c r="T1039" s="196"/>
      <c r="U1039" s="196"/>
      <c r="V1039" s="196"/>
      <c r="W1039" s="196"/>
      <c r="X1039" s="196"/>
      <c r="Y1039" s="196"/>
    </row>
    <row r="1040" spans="1:25">
      <c r="A1040" s="196" t="s">
        <v>837</v>
      </c>
      <c r="B1040" s="196" t="s">
        <v>850</v>
      </c>
      <c r="C1040" s="196">
        <v>2013</v>
      </c>
      <c r="D1040" s="196">
        <v>30</v>
      </c>
      <c r="E1040" s="196" t="s">
        <v>851</v>
      </c>
      <c r="F1040" s="196" t="s">
        <v>1390</v>
      </c>
      <c r="G1040" s="196">
        <v>2</v>
      </c>
      <c r="H1040" s="196">
        <v>2</v>
      </c>
      <c r="I1040" s="196">
        <v>2961</v>
      </c>
      <c r="J1040" s="196">
        <v>17779</v>
      </c>
      <c r="K1040" s="196">
        <v>76.95</v>
      </c>
      <c r="L1040" s="196">
        <v>6.38</v>
      </c>
      <c r="M1040" s="196">
        <v>6587</v>
      </c>
      <c r="N1040" s="196">
        <v>3721043</v>
      </c>
      <c r="O1040" s="196">
        <v>3702</v>
      </c>
      <c r="P1040" s="196"/>
      <c r="Q1040" s="196"/>
      <c r="R1040" s="196"/>
      <c r="S1040" s="196"/>
      <c r="T1040" s="196"/>
      <c r="U1040" s="196"/>
      <c r="V1040" s="196"/>
      <c r="W1040" s="196"/>
      <c r="X1040" s="196"/>
      <c r="Y1040" s="196"/>
    </row>
    <row r="1041" spans="1:25">
      <c r="A1041" s="196" t="s">
        <v>837</v>
      </c>
      <c r="B1041" s="196" t="s">
        <v>850</v>
      </c>
      <c r="C1041" s="196">
        <v>2013</v>
      </c>
      <c r="D1041" s="196">
        <v>55</v>
      </c>
      <c r="E1041" s="196" t="s">
        <v>852</v>
      </c>
      <c r="F1041" s="196" t="s">
        <v>1390</v>
      </c>
      <c r="G1041" s="196">
        <v>3</v>
      </c>
      <c r="H1041" s="196">
        <v>3</v>
      </c>
      <c r="I1041" s="196">
        <v>4183</v>
      </c>
      <c r="J1041" s="196">
        <v>29781</v>
      </c>
      <c r="K1041" s="196">
        <v>76.95</v>
      </c>
      <c r="L1041" s="196">
        <v>6.38</v>
      </c>
      <c r="M1041" s="196">
        <v>6587</v>
      </c>
      <c r="N1041" s="196">
        <v>3721043</v>
      </c>
      <c r="O1041" s="196">
        <v>3702</v>
      </c>
      <c r="P1041" s="196"/>
      <c r="Q1041" s="196"/>
      <c r="R1041" s="196"/>
      <c r="S1041" s="196"/>
      <c r="T1041" s="196"/>
      <c r="U1041" s="196"/>
      <c r="V1041" s="196"/>
      <c r="W1041" s="196"/>
      <c r="X1041" s="196"/>
      <c r="Y1041" s="196"/>
    </row>
    <row r="1042" spans="1:25">
      <c r="A1042" s="196" t="s">
        <v>837</v>
      </c>
      <c r="B1042" s="196" t="s">
        <v>850</v>
      </c>
      <c r="C1042" s="196">
        <v>2013</v>
      </c>
      <c r="D1042" s="196">
        <v>80</v>
      </c>
      <c r="E1042" s="196" t="s">
        <v>917</v>
      </c>
      <c r="F1042" s="196" t="s">
        <v>1390</v>
      </c>
      <c r="G1042" s="196">
        <v>2</v>
      </c>
      <c r="H1042" s="196">
        <v>2</v>
      </c>
      <c r="I1042" s="196">
        <v>1632</v>
      </c>
      <c r="J1042" s="196">
        <v>17324</v>
      </c>
      <c r="K1042" s="196">
        <v>76.95</v>
      </c>
      <c r="L1042" s="196">
        <v>6.38</v>
      </c>
      <c r="M1042" s="196">
        <v>6587</v>
      </c>
      <c r="N1042" s="196">
        <v>3721043</v>
      </c>
      <c r="O1042" s="196">
        <v>3702</v>
      </c>
      <c r="P1042" s="196"/>
      <c r="Q1042" s="196"/>
      <c r="R1042" s="196"/>
      <c r="S1042" s="196"/>
      <c r="T1042" s="196"/>
      <c r="U1042" s="196"/>
      <c r="V1042" s="196"/>
      <c r="W1042" s="196"/>
      <c r="X1042" s="196"/>
      <c r="Y1042" s="196"/>
    </row>
    <row r="1043" spans="1:25">
      <c r="A1043" s="196" t="s">
        <v>837</v>
      </c>
      <c r="B1043" s="196" t="s">
        <v>838</v>
      </c>
      <c r="C1043" s="196">
        <v>2013</v>
      </c>
      <c r="D1043" s="196">
        <v>80</v>
      </c>
      <c r="E1043" s="196" t="s">
        <v>908</v>
      </c>
      <c r="F1043" s="196" t="s">
        <v>1390</v>
      </c>
      <c r="G1043" s="196">
        <v>1</v>
      </c>
      <c r="H1043" s="196">
        <v>1</v>
      </c>
      <c r="I1043" s="196">
        <v>1362</v>
      </c>
      <c r="J1043" s="196">
        <v>7059</v>
      </c>
      <c r="K1043" s="196">
        <v>76.95</v>
      </c>
      <c r="L1043" s="196">
        <v>6.38</v>
      </c>
      <c r="M1043" s="196">
        <v>6587</v>
      </c>
      <c r="N1043" s="196">
        <v>3721043</v>
      </c>
      <c r="O1043" s="196">
        <v>3702</v>
      </c>
      <c r="P1043" s="196"/>
      <c r="Q1043" s="196"/>
      <c r="R1043" s="196"/>
      <c r="S1043" s="196"/>
      <c r="T1043" s="196"/>
      <c r="U1043" s="196"/>
      <c r="V1043" s="196"/>
      <c r="W1043" s="196"/>
      <c r="X1043" s="196"/>
      <c r="Y1043" s="196"/>
    </row>
    <row r="1044" spans="1:25">
      <c r="A1044" s="196" t="s">
        <v>837</v>
      </c>
      <c r="B1044" s="196" t="s">
        <v>838</v>
      </c>
      <c r="C1044" s="196">
        <v>2014</v>
      </c>
      <c r="D1044" s="196">
        <v>55</v>
      </c>
      <c r="E1044" s="196" t="s">
        <v>854</v>
      </c>
      <c r="F1044" s="196" t="s">
        <v>1390</v>
      </c>
      <c r="G1044" s="196">
        <v>2</v>
      </c>
      <c r="H1044" s="196">
        <v>2</v>
      </c>
      <c r="I1044" s="196">
        <v>2487</v>
      </c>
      <c r="J1044" s="196">
        <v>13117</v>
      </c>
      <c r="K1044" s="196">
        <v>76.95</v>
      </c>
      <c r="L1044" s="196">
        <v>6.38</v>
      </c>
      <c r="M1044" s="196">
        <v>6587</v>
      </c>
      <c r="N1044" s="196">
        <v>3721043</v>
      </c>
      <c r="O1044" s="196">
        <v>3702</v>
      </c>
      <c r="P1044" s="196"/>
      <c r="Q1044" s="196"/>
      <c r="R1044" s="196"/>
      <c r="S1044" s="196"/>
      <c r="T1044" s="196"/>
      <c r="U1044" s="196"/>
      <c r="V1044" s="196"/>
      <c r="W1044" s="196"/>
      <c r="X1044" s="196"/>
      <c r="Y1044" s="196"/>
    </row>
    <row r="1045" spans="1:25">
      <c r="A1045" s="196" t="s">
        <v>837</v>
      </c>
      <c r="B1045" s="196" t="s">
        <v>181</v>
      </c>
      <c r="C1045" s="196">
        <v>2014</v>
      </c>
      <c r="D1045" s="196">
        <v>55</v>
      </c>
      <c r="E1045" s="196" t="s">
        <v>858</v>
      </c>
      <c r="F1045" s="196" t="s">
        <v>1390</v>
      </c>
      <c r="G1045" s="196">
        <v>1</v>
      </c>
      <c r="H1045" s="196">
        <v>1</v>
      </c>
      <c r="I1045" s="196">
        <v>804</v>
      </c>
      <c r="J1045" s="196">
        <v>4647</v>
      </c>
      <c r="K1045" s="196">
        <v>76.95</v>
      </c>
      <c r="L1045" s="196">
        <v>6.38</v>
      </c>
      <c r="M1045" s="196">
        <v>6587</v>
      </c>
      <c r="N1045" s="196">
        <v>3721043</v>
      </c>
      <c r="O1045" s="196">
        <v>3702</v>
      </c>
      <c r="P1045" s="196"/>
      <c r="Q1045" s="196"/>
      <c r="R1045" s="196"/>
      <c r="S1045" s="196"/>
      <c r="T1045" s="196"/>
      <c r="U1045" s="196"/>
      <c r="V1045" s="196"/>
      <c r="W1045" s="196"/>
      <c r="X1045" s="196"/>
      <c r="Y1045" s="196"/>
    </row>
    <row r="1046" spans="1:25">
      <c r="A1046" s="196" t="s">
        <v>837</v>
      </c>
      <c r="B1046" s="196" t="s">
        <v>838</v>
      </c>
      <c r="C1046" s="196">
        <v>2013</v>
      </c>
      <c r="D1046" s="196">
        <v>30</v>
      </c>
      <c r="E1046" s="196" t="s">
        <v>839</v>
      </c>
      <c r="F1046" s="196" t="s">
        <v>1391</v>
      </c>
      <c r="G1046" s="196">
        <v>4</v>
      </c>
      <c r="H1046" s="196">
        <v>4</v>
      </c>
      <c r="I1046" s="196">
        <v>6120</v>
      </c>
      <c r="J1046" s="196">
        <v>19329</v>
      </c>
      <c r="K1046" s="196">
        <v>76.010000000000005</v>
      </c>
      <c r="L1046" s="196">
        <v>0.77</v>
      </c>
      <c r="M1046" s="196">
        <v>4823</v>
      </c>
      <c r="N1046" s="196">
        <v>2881998</v>
      </c>
      <c r="O1046" s="196">
        <v>2838</v>
      </c>
      <c r="P1046" s="196"/>
      <c r="Q1046" s="196"/>
      <c r="R1046" s="196"/>
      <c r="S1046" s="196"/>
      <c r="T1046" s="196"/>
      <c r="U1046" s="196"/>
      <c r="V1046" s="196"/>
      <c r="W1046" s="196"/>
      <c r="X1046" s="196"/>
      <c r="Y1046" s="196"/>
    </row>
    <row r="1047" spans="1:25">
      <c r="A1047" s="196" t="s">
        <v>837</v>
      </c>
      <c r="B1047" s="196" t="s">
        <v>838</v>
      </c>
      <c r="C1047" s="196">
        <v>2013</v>
      </c>
      <c r="D1047" s="196">
        <v>55</v>
      </c>
      <c r="E1047" s="196" t="s">
        <v>849</v>
      </c>
      <c r="F1047" s="196" t="s">
        <v>1391</v>
      </c>
      <c r="G1047" s="196">
        <v>9</v>
      </c>
      <c r="H1047" s="196">
        <v>8</v>
      </c>
      <c r="I1047" s="196">
        <v>10962</v>
      </c>
      <c r="J1047" s="196">
        <v>52984</v>
      </c>
      <c r="K1047" s="196">
        <v>76.010000000000005</v>
      </c>
      <c r="L1047" s="196">
        <v>0.77</v>
      </c>
      <c r="M1047" s="196">
        <v>4823</v>
      </c>
      <c r="N1047" s="196">
        <v>2881998</v>
      </c>
      <c r="O1047" s="196">
        <v>2838</v>
      </c>
      <c r="P1047" s="196"/>
      <c r="Q1047" s="196"/>
      <c r="R1047" s="196"/>
      <c r="S1047" s="196"/>
      <c r="T1047" s="196"/>
      <c r="U1047" s="196"/>
      <c r="V1047" s="196"/>
      <c r="W1047" s="196"/>
      <c r="X1047" s="196"/>
      <c r="Y1047" s="196"/>
    </row>
    <row r="1048" spans="1:25">
      <c r="A1048" s="196" t="s">
        <v>837</v>
      </c>
      <c r="B1048" s="196" t="s">
        <v>850</v>
      </c>
      <c r="C1048" s="196">
        <v>2013</v>
      </c>
      <c r="D1048" s="196">
        <v>30</v>
      </c>
      <c r="E1048" s="196" t="s">
        <v>851</v>
      </c>
      <c r="F1048" s="196" t="s">
        <v>1391</v>
      </c>
      <c r="G1048" s="196">
        <v>6</v>
      </c>
      <c r="H1048" s="196">
        <v>6</v>
      </c>
      <c r="I1048" s="196">
        <v>9516</v>
      </c>
      <c r="J1048" s="196">
        <v>36057</v>
      </c>
      <c r="K1048" s="196">
        <v>76.010000000000005</v>
      </c>
      <c r="L1048" s="196">
        <v>0.77</v>
      </c>
      <c r="M1048" s="196">
        <v>4823</v>
      </c>
      <c r="N1048" s="196">
        <v>2881998</v>
      </c>
      <c r="O1048" s="196">
        <v>2838</v>
      </c>
      <c r="P1048" s="196"/>
      <c r="Q1048" s="196"/>
      <c r="R1048" s="196"/>
      <c r="S1048" s="196"/>
      <c r="T1048" s="196"/>
      <c r="U1048" s="196"/>
      <c r="V1048" s="196"/>
      <c r="W1048" s="196"/>
      <c r="X1048" s="196"/>
      <c r="Y1048" s="196"/>
    </row>
    <row r="1049" spans="1:25">
      <c r="A1049" s="196" t="s">
        <v>837</v>
      </c>
      <c r="B1049" s="196" t="s">
        <v>850</v>
      </c>
      <c r="C1049" s="196">
        <v>2013</v>
      </c>
      <c r="D1049" s="196">
        <v>55</v>
      </c>
      <c r="E1049" s="196" t="s">
        <v>852</v>
      </c>
      <c r="F1049" s="196" t="s">
        <v>1391</v>
      </c>
      <c r="G1049" s="196">
        <v>2</v>
      </c>
      <c r="H1049" s="196">
        <v>2</v>
      </c>
      <c r="I1049" s="196">
        <v>2496</v>
      </c>
      <c r="J1049" s="196">
        <v>14503</v>
      </c>
      <c r="K1049" s="196">
        <v>76.010000000000005</v>
      </c>
      <c r="L1049" s="196">
        <v>0.77</v>
      </c>
      <c r="M1049" s="196">
        <v>4823</v>
      </c>
      <c r="N1049" s="196">
        <v>2881998</v>
      </c>
      <c r="O1049" s="196">
        <v>2838</v>
      </c>
      <c r="P1049" s="196"/>
      <c r="Q1049" s="196"/>
      <c r="R1049" s="196"/>
      <c r="S1049" s="196"/>
      <c r="T1049" s="196"/>
      <c r="U1049" s="196"/>
      <c r="V1049" s="196"/>
      <c r="W1049" s="196"/>
      <c r="X1049" s="196"/>
      <c r="Y1049" s="196"/>
    </row>
    <row r="1050" spans="1:25">
      <c r="A1050" s="196" t="s">
        <v>837</v>
      </c>
      <c r="B1050" s="196" t="s">
        <v>850</v>
      </c>
      <c r="C1050" s="196">
        <v>2013</v>
      </c>
      <c r="D1050" s="196">
        <v>80</v>
      </c>
      <c r="E1050" s="196" t="s">
        <v>917</v>
      </c>
      <c r="F1050" s="196" t="s">
        <v>1391</v>
      </c>
      <c r="G1050" s="196">
        <v>2</v>
      </c>
      <c r="H1050" s="196">
        <v>2</v>
      </c>
      <c r="I1050" s="196">
        <v>2400</v>
      </c>
      <c r="J1050" s="196">
        <v>26632</v>
      </c>
      <c r="K1050" s="196">
        <v>76.010000000000005</v>
      </c>
      <c r="L1050" s="196">
        <v>0.77</v>
      </c>
      <c r="M1050" s="196">
        <v>4823</v>
      </c>
      <c r="N1050" s="196">
        <v>2881998</v>
      </c>
      <c r="O1050" s="196">
        <v>2838</v>
      </c>
      <c r="P1050" s="196"/>
      <c r="Q1050" s="196"/>
      <c r="R1050" s="196"/>
      <c r="S1050" s="196"/>
      <c r="T1050" s="196"/>
      <c r="U1050" s="196"/>
      <c r="V1050" s="196"/>
      <c r="W1050" s="196"/>
      <c r="X1050" s="196"/>
      <c r="Y1050" s="196"/>
    </row>
    <row r="1051" spans="1:25">
      <c r="A1051" s="196" t="s">
        <v>837</v>
      </c>
      <c r="B1051" s="196" t="s">
        <v>838</v>
      </c>
      <c r="C1051" s="196">
        <v>2014</v>
      </c>
      <c r="D1051" s="196">
        <v>80</v>
      </c>
      <c r="E1051" s="196" t="s">
        <v>853</v>
      </c>
      <c r="F1051" s="196" t="s">
        <v>1391</v>
      </c>
      <c r="G1051" s="196">
        <v>2</v>
      </c>
      <c r="H1051" s="196">
        <v>2</v>
      </c>
      <c r="I1051" s="196">
        <v>3393</v>
      </c>
      <c r="J1051" s="196">
        <v>10052</v>
      </c>
      <c r="K1051" s="196">
        <v>76.010000000000005</v>
      </c>
      <c r="L1051" s="196">
        <v>0.77</v>
      </c>
      <c r="M1051" s="196">
        <v>4823</v>
      </c>
      <c r="N1051" s="196">
        <v>2881998</v>
      </c>
      <c r="O1051" s="196">
        <v>2838</v>
      </c>
      <c r="P1051" s="196"/>
      <c r="Q1051" s="196"/>
      <c r="R1051" s="196"/>
      <c r="S1051" s="196"/>
      <c r="T1051" s="196"/>
      <c r="U1051" s="196"/>
      <c r="V1051" s="196"/>
      <c r="W1051" s="196"/>
      <c r="X1051" s="196"/>
      <c r="Y1051" s="196"/>
    </row>
    <row r="1052" spans="1:25">
      <c r="A1052" s="196" t="s">
        <v>837</v>
      </c>
      <c r="B1052" s="196" t="s">
        <v>181</v>
      </c>
      <c r="C1052" s="196">
        <v>2014</v>
      </c>
      <c r="D1052" s="196">
        <v>80</v>
      </c>
      <c r="E1052" s="196" t="s">
        <v>874</v>
      </c>
      <c r="F1052" s="196" t="s">
        <v>1391</v>
      </c>
      <c r="G1052" s="196">
        <v>1</v>
      </c>
      <c r="H1052" s="196">
        <v>1</v>
      </c>
      <c r="I1052" s="196">
        <v>1302</v>
      </c>
      <c r="J1052" s="196">
        <v>15951</v>
      </c>
      <c r="K1052" s="196">
        <v>76.010000000000005</v>
      </c>
      <c r="L1052" s="196">
        <v>0.77</v>
      </c>
      <c r="M1052" s="196">
        <v>4823</v>
      </c>
      <c r="N1052" s="196">
        <v>2881998</v>
      </c>
      <c r="O1052" s="196">
        <v>2838</v>
      </c>
      <c r="P1052" s="196"/>
      <c r="Q1052" s="196"/>
      <c r="R1052" s="196"/>
      <c r="S1052" s="196"/>
      <c r="T1052" s="196"/>
      <c r="U1052" s="196"/>
      <c r="V1052" s="196"/>
      <c r="W1052" s="196"/>
      <c r="X1052" s="196"/>
      <c r="Y1052" s="196"/>
    </row>
    <row r="1053" spans="1:25">
      <c r="A1053" s="196" t="s">
        <v>837</v>
      </c>
      <c r="B1053" s="196" t="s">
        <v>850</v>
      </c>
      <c r="C1053" s="196">
        <v>2014</v>
      </c>
      <c r="D1053" s="196">
        <v>80</v>
      </c>
      <c r="E1053" s="196" t="s">
        <v>875</v>
      </c>
      <c r="F1053" s="196" t="s">
        <v>1391</v>
      </c>
      <c r="G1053" s="196">
        <v>1</v>
      </c>
      <c r="H1053" s="196">
        <v>1</v>
      </c>
      <c r="I1053" s="196">
        <v>1674</v>
      </c>
      <c r="J1053" s="196">
        <v>5027</v>
      </c>
      <c r="K1053" s="196">
        <v>76.010000000000005</v>
      </c>
      <c r="L1053" s="196">
        <v>0.77</v>
      </c>
      <c r="M1053" s="196">
        <v>4823</v>
      </c>
      <c r="N1053" s="196">
        <v>2881998</v>
      </c>
      <c r="O1053" s="196">
        <v>2838</v>
      </c>
      <c r="P1053" s="196"/>
      <c r="Q1053" s="196"/>
      <c r="R1053" s="196"/>
      <c r="S1053" s="196"/>
      <c r="T1053" s="196"/>
      <c r="U1053" s="196"/>
      <c r="V1053" s="196"/>
      <c r="W1053" s="196"/>
      <c r="X1053" s="196"/>
      <c r="Y1053" s="196"/>
    </row>
    <row r="1054" spans="1:25">
      <c r="A1054" s="196" t="s">
        <v>837</v>
      </c>
      <c r="B1054" s="196" t="s">
        <v>838</v>
      </c>
      <c r="C1054" s="196">
        <v>2013</v>
      </c>
      <c r="D1054" s="196">
        <v>80</v>
      </c>
      <c r="E1054" s="196" t="s">
        <v>908</v>
      </c>
      <c r="F1054" s="196" t="s">
        <v>1391</v>
      </c>
      <c r="G1054" s="196">
        <v>1</v>
      </c>
      <c r="H1054" s="196">
        <v>1</v>
      </c>
      <c r="I1054" s="196">
        <v>258</v>
      </c>
      <c r="J1054" s="196">
        <v>3204</v>
      </c>
      <c r="K1054" s="196">
        <v>76.010000000000005</v>
      </c>
      <c r="L1054" s="196">
        <v>0.77</v>
      </c>
      <c r="M1054" s="196">
        <v>4823</v>
      </c>
      <c r="N1054" s="196">
        <v>2881998</v>
      </c>
      <c r="O1054" s="196">
        <v>2838</v>
      </c>
      <c r="P1054" s="196"/>
      <c r="Q1054" s="196"/>
      <c r="R1054" s="196"/>
      <c r="S1054" s="196"/>
      <c r="T1054" s="196"/>
      <c r="U1054" s="196"/>
      <c r="V1054" s="196"/>
      <c r="W1054" s="196"/>
      <c r="X1054" s="196"/>
      <c r="Y1054" s="196"/>
    </row>
    <row r="1055" spans="1:25">
      <c r="A1055" s="196" t="s">
        <v>837</v>
      </c>
      <c r="B1055" s="196" t="s">
        <v>181</v>
      </c>
      <c r="C1055" s="196">
        <v>2013</v>
      </c>
      <c r="D1055" s="196">
        <v>80</v>
      </c>
      <c r="E1055" s="196" t="s">
        <v>876</v>
      </c>
      <c r="F1055" s="196" t="s">
        <v>1391</v>
      </c>
      <c r="G1055" s="196">
        <v>4</v>
      </c>
      <c r="H1055" s="196">
        <v>4</v>
      </c>
      <c r="I1055" s="196">
        <v>5889</v>
      </c>
      <c r="J1055" s="196">
        <v>27755</v>
      </c>
      <c r="K1055" s="196">
        <v>76.010000000000005</v>
      </c>
      <c r="L1055" s="196">
        <v>0.77</v>
      </c>
      <c r="M1055" s="196">
        <v>4823</v>
      </c>
      <c r="N1055" s="196">
        <v>2881998</v>
      </c>
      <c r="O1055" s="196">
        <v>2838</v>
      </c>
      <c r="P1055" s="196"/>
      <c r="Q1055" s="196"/>
      <c r="R1055" s="196"/>
      <c r="S1055" s="196"/>
      <c r="T1055" s="196"/>
      <c r="U1055" s="196"/>
      <c r="V1055" s="196"/>
      <c r="W1055" s="196"/>
      <c r="X1055" s="196"/>
      <c r="Y1055" s="196"/>
    </row>
    <row r="1056" spans="1:25">
      <c r="A1056" s="196" t="s">
        <v>837</v>
      </c>
      <c r="B1056" s="196" t="s">
        <v>838</v>
      </c>
      <c r="C1056" s="196">
        <v>2014</v>
      </c>
      <c r="D1056" s="196">
        <v>55</v>
      </c>
      <c r="E1056" s="196" t="s">
        <v>854</v>
      </c>
      <c r="F1056" s="196" t="s">
        <v>1391</v>
      </c>
      <c r="G1056" s="196">
        <v>1</v>
      </c>
      <c r="H1056" s="196">
        <v>1</v>
      </c>
      <c r="I1056" s="196">
        <v>1887</v>
      </c>
      <c r="J1056" s="196">
        <v>3681</v>
      </c>
      <c r="K1056" s="196">
        <v>76.010000000000005</v>
      </c>
      <c r="L1056" s="196">
        <v>0.77</v>
      </c>
      <c r="M1056" s="196">
        <v>4823</v>
      </c>
      <c r="N1056" s="196">
        <v>2881998</v>
      </c>
      <c r="O1056" s="196">
        <v>2838</v>
      </c>
      <c r="P1056" s="196"/>
      <c r="Q1056" s="196"/>
      <c r="R1056" s="196"/>
      <c r="S1056" s="196"/>
      <c r="T1056" s="196"/>
      <c r="U1056" s="196"/>
      <c r="V1056" s="196"/>
      <c r="W1056" s="196"/>
      <c r="X1056" s="196"/>
      <c r="Y1056" s="196"/>
    </row>
    <row r="1057" spans="1:25">
      <c r="A1057" s="196" t="s">
        <v>837</v>
      </c>
      <c r="B1057" s="196" t="s">
        <v>181</v>
      </c>
      <c r="C1057" s="196">
        <v>2014</v>
      </c>
      <c r="D1057" s="196">
        <v>30</v>
      </c>
      <c r="E1057" s="196" t="s">
        <v>856</v>
      </c>
      <c r="F1057" s="196" t="s">
        <v>1391</v>
      </c>
      <c r="G1057" s="196">
        <v>1</v>
      </c>
      <c r="H1057" s="196">
        <v>1</v>
      </c>
      <c r="I1057" s="196">
        <v>1122</v>
      </c>
      <c r="J1057" s="196">
        <v>3385</v>
      </c>
      <c r="K1057" s="196">
        <v>76.010000000000005</v>
      </c>
      <c r="L1057" s="196">
        <v>0.77</v>
      </c>
      <c r="M1057" s="196">
        <v>4823</v>
      </c>
      <c r="N1057" s="196">
        <v>2881998</v>
      </c>
      <c r="O1057" s="196">
        <v>2838</v>
      </c>
      <c r="P1057" s="196"/>
      <c r="Q1057" s="196"/>
      <c r="R1057" s="196"/>
      <c r="S1057" s="196"/>
      <c r="T1057" s="196"/>
      <c r="U1057" s="196"/>
      <c r="V1057" s="196"/>
      <c r="W1057" s="196"/>
      <c r="X1057" s="196"/>
      <c r="Y1057" s="196"/>
    </row>
    <row r="1058" spans="1:25">
      <c r="A1058" s="196" t="s">
        <v>837</v>
      </c>
      <c r="B1058" s="196" t="s">
        <v>181</v>
      </c>
      <c r="C1058" s="196">
        <v>2014</v>
      </c>
      <c r="D1058" s="196">
        <v>30</v>
      </c>
      <c r="E1058" s="196" t="s">
        <v>857</v>
      </c>
      <c r="F1058" s="196" t="s">
        <v>1391</v>
      </c>
      <c r="G1058" s="196">
        <v>1</v>
      </c>
      <c r="H1058" s="196">
        <v>1</v>
      </c>
      <c r="I1058" s="196">
        <v>1146</v>
      </c>
      <c r="J1058" s="196">
        <v>3446</v>
      </c>
      <c r="K1058" s="196">
        <v>76.010000000000005</v>
      </c>
      <c r="L1058" s="196">
        <v>0.77</v>
      </c>
      <c r="M1058" s="196">
        <v>4823</v>
      </c>
      <c r="N1058" s="196">
        <v>2881998</v>
      </c>
      <c r="O1058" s="196">
        <v>2838</v>
      </c>
      <c r="P1058" s="196"/>
      <c r="Q1058" s="196"/>
      <c r="R1058" s="196"/>
      <c r="S1058" s="196"/>
      <c r="T1058" s="196"/>
      <c r="U1058" s="196"/>
      <c r="V1058" s="196"/>
      <c r="W1058" s="196"/>
      <c r="X1058" s="196"/>
      <c r="Y1058" s="196"/>
    </row>
    <row r="1059" spans="1:25">
      <c r="A1059" s="196" t="s">
        <v>837</v>
      </c>
      <c r="B1059" s="196" t="s">
        <v>181</v>
      </c>
      <c r="C1059" s="196">
        <v>2014</v>
      </c>
      <c r="D1059" s="196">
        <v>55</v>
      </c>
      <c r="E1059" s="196" t="s">
        <v>858</v>
      </c>
      <c r="F1059" s="196" t="s">
        <v>1391</v>
      </c>
      <c r="G1059" s="196">
        <v>2</v>
      </c>
      <c r="H1059" s="196">
        <v>2</v>
      </c>
      <c r="I1059" s="196">
        <v>3537</v>
      </c>
      <c r="J1059" s="196">
        <v>19283</v>
      </c>
      <c r="K1059" s="196">
        <v>76.010000000000005</v>
      </c>
      <c r="L1059" s="196">
        <v>0.77</v>
      </c>
      <c r="M1059" s="196">
        <v>4823</v>
      </c>
      <c r="N1059" s="196">
        <v>2881998</v>
      </c>
      <c r="O1059" s="196">
        <v>2838</v>
      </c>
      <c r="P1059" s="196"/>
      <c r="Q1059" s="196"/>
      <c r="R1059" s="196"/>
      <c r="S1059" s="196"/>
      <c r="T1059" s="196"/>
      <c r="U1059" s="196"/>
      <c r="V1059" s="196"/>
      <c r="W1059" s="196"/>
      <c r="X1059" s="196"/>
      <c r="Y1059" s="196"/>
    </row>
    <row r="1060" spans="1:25">
      <c r="A1060" s="196" t="s">
        <v>837</v>
      </c>
      <c r="B1060" s="196" t="s">
        <v>850</v>
      </c>
      <c r="C1060" s="196">
        <v>2013</v>
      </c>
      <c r="D1060" s="196">
        <v>30</v>
      </c>
      <c r="E1060" s="196" t="s">
        <v>851</v>
      </c>
      <c r="F1060" s="196" t="s">
        <v>1392</v>
      </c>
      <c r="G1060" s="196">
        <v>1</v>
      </c>
      <c r="H1060" s="196">
        <v>1</v>
      </c>
      <c r="I1060" s="196">
        <v>3003</v>
      </c>
      <c r="J1060" s="196">
        <v>58932</v>
      </c>
      <c r="K1060" s="196">
        <v>96.09</v>
      </c>
      <c r="L1060" s="196">
        <v>1.89</v>
      </c>
      <c r="M1060" s="196">
        <v>65616</v>
      </c>
      <c r="N1060" s="196">
        <v>3120434</v>
      </c>
      <c r="O1060" s="196">
        <v>2867</v>
      </c>
      <c r="P1060" s="196"/>
      <c r="Q1060" s="196"/>
      <c r="R1060" s="196"/>
      <c r="S1060" s="196"/>
      <c r="T1060" s="196"/>
      <c r="U1060" s="196"/>
      <c r="V1060" s="196"/>
      <c r="W1060" s="196"/>
      <c r="X1060" s="196"/>
      <c r="Y1060" s="196"/>
    </row>
    <row r="1061" spans="1:25">
      <c r="A1061" s="196" t="s">
        <v>837</v>
      </c>
      <c r="B1061" s="196" t="s">
        <v>850</v>
      </c>
      <c r="C1061" s="196">
        <v>2014</v>
      </c>
      <c r="D1061" s="196">
        <v>80</v>
      </c>
      <c r="E1061" s="196" t="s">
        <v>918</v>
      </c>
      <c r="F1061" s="196" t="s">
        <v>1392</v>
      </c>
      <c r="G1061" s="196">
        <v>1</v>
      </c>
      <c r="H1061" s="196">
        <v>1</v>
      </c>
      <c r="I1061" s="196">
        <v>1809</v>
      </c>
      <c r="J1061" s="196">
        <v>58202</v>
      </c>
      <c r="K1061" s="196">
        <v>96.09</v>
      </c>
      <c r="L1061" s="196">
        <v>1.89</v>
      </c>
      <c r="M1061" s="196">
        <v>65616</v>
      </c>
      <c r="N1061" s="196">
        <v>3120434</v>
      </c>
      <c r="O1061" s="196">
        <v>2867</v>
      </c>
      <c r="P1061" s="196"/>
      <c r="Q1061" s="196"/>
      <c r="R1061" s="196"/>
      <c r="S1061" s="196"/>
      <c r="T1061" s="196"/>
      <c r="U1061" s="196"/>
      <c r="V1061" s="196"/>
      <c r="W1061" s="196"/>
      <c r="X1061" s="196"/>
      <c r="Y1061" s="196"/>
    </row>
    <row r="1062" spans="1:25">
      <c r="A1062" s="196" t="s">
        <v>837</v>
      </c>
      <c r="B1062" s="196" t="s">
        <v>838</v>
      </c>
      <c r="C1062" s="196">
        <v>2013</v>
      </c>
      <c r="D1062" s="196">
        <v>55</v>
      </c>
      <c r="E1062" s="196" t="s">
        <v>849</v>
      </c>
      <c r="F1062" s="196" t="s">
        <v>1393</v>
      </c>
      <c r="G1062" s="196">
        <v>1</v>
      </c>
      <c r="H1062" s="196">
        <v>1</v>
      </c>
      <c r="I1062" s="196">
        <v>936</v>
      </c>
      <c r="J1062" s="196">
        <v>6271</v>
      </c>
      <c r="K1062" s="196">
        <v>82.92</v>
      </c>
      <c r="L1062" s="196">
        <v>10.92</v>
      </c>
      <c r="M1062" s="196">
        <v>12484</v>
      </c>
      <c r="N1062" s="196">
        <v>2903525</v>
      </c>
      <c r="O1062" s="196">
        <v>2506</v>
      </c>
      <c r="P1062" s="196"/>
      <c r="Q1062" s="196"/>
      <c r="R1062" s="196"/>
      <c r="S1062" s="196"/>
      <c r="T1062" s="196"/>
      <c r="U1062" s="196"/>
      <c r="V1062" s="196"/>
      <c r="W1062" s="196"/>
      <c r="X1062" s="196"/>
      <c r="Y1062" s="196"/>
    </row>
    <row r="1063" spans="1:25">
      <c r="A1063" s="196" t="s">
        <v>837</v>
      </c>
      <c r="B1063" s="196" t="s">
        <v>850</v>
      </c>
      <c r="C1063" s="196">
        <v>2013</v>
      </c>
      <c r="D1063" s="196">
        <v>30</v>
      </c>
      <c r="E1063" s="196" t="s">
        <v>851</v>
      </c>
      <c r="F1063" s="196" t="s">
        <v>1393</v>
      </c>
      <c r="G1063" s="196">
        <v>1</v>
      </c>
      <c r="H1063" s="196">
        <v>1</v>
      </c>
      <c r="I1063" s="196">
        <v>1464</v>
      </c>
      <c r="J1063" s="196">
        <v>5088</v>
      </c>
      <c r="K1063" s="196">
        <v>82.92</v>
      </c>
      <c r="L1063" s="196">
        <v>10.92</v>
      </c>
      <c r="M1063" s="196">
        <v>12484</v>
      </c>
      <c r="N1063" s="196">
        <v>2903525</v>
      </c>
      <c r="O1063" s="196">
        <v>2506</v>
      </c>
      <c r="P1063" s="196"/>
      <c r="Q1063" s="196"/>
      <c r="R1063" s="196"/>
      <c r="S1063" s="196"/>
      <c r="T1063" s="196"/>
      <c r="U1063" s="196"/>
      <c r="V1063" s="196"/>
      <c r="W1063" s="196"/>
      <c r="X1063" s="196"/>
      <c r="Y1063" s="196"/>
    </row>
    <row r="1064" spans="1:25">
      <c r="A1064" s="196" t="s">
        <v>837</v>
      </c>
      <c r="B1064" s="196" t="s">
        <v>850</v>
      </c>
      <c r="C1064" s="196">
        <v>2014</v>
      </c>
      <c r="D1064" s="196">
        <v>80</v>
      </c>
      <c r="E1064" s="196" t="s">
        <v>875</v>
      </c>
      <c r="F1064" s="196" t="s">
        <v>1393</v>
      </c>
      <c r="G1064" s="196">
        <v>1</v>
      </c>
      <c r="H1064" s="196">
        <v>1</v>
      </c>
      <c r="I1064" s="196">
        <v>2691</v>
      </c>
      <c r="J1064" s="196">
        <v>18720</v>
      </c>
      <c r="K1064" s="196">
        <v>82.92</v>
      </c>
      <c r="L1064" s="196">
        <v>10.92</v>
      </c>
      <c r="M1064" s="196">
        <v>12484</v>
      </c>
      <c r="N1064" s="196">
        <v>2903525</v>
      </c>
      <c r="O1064" s="196">
        <v>2506</v>
      </c>
      <c r="P1064" s="196"/>
      <c r="Q1064" s="196"/>
      <c r="R1064" s="196"/>
      <c r="S1064" s="196"/>
      <c r="T1064" s="196"/>
      <c r="U1064" s="196"/>
      <c r="V1064" s="196"/>
      <c r="W1064" s="196"/>
      <c r="X1064" s="196"/>
      <c r="Y1064" s="196"/>
    </row>
    <row r="1065" spans="1:25">
      <c r="A1065" s="196" t="s">
        <v>837</v>
      </c>
      <c r="B1065" s="196" t="s">
        <v>838</v>
      </c>
      <c r="C1065" s="196">
        <v>2013</v>
      </c>
      <c r="D1065" s="196">
        <v>55</v>
      </c>
      <c r="E1065" s="196" t="s">
        <v>849</v>
      </c>
      <c r="F1065" s="196" t="s">
        <v>1394</v>
      </c>
      <c r="G1065" s="196">
        <v>2</v>
      </c>
      <c r="H1065" s="196">
        <v>2</v>
      </c>
      <c r="I1065" s="196">
        <v>3048</v>
      </c>
      <c r="J1065" s="196">
        <v>10695</v>
      </c>
      <c r="K1065" s="196">
        <v>51.41</v>
      </c>
      <c r="L1065" s="196">
        <v>2.68</v>
      </c>
      <c r="M1065" s="196">
        <v>5083</v>
      </c>
      <c r="N1065" s="196">
        <v>1817836</v>
      </c>
      <c r="O1065" s="196">
        <v>1763</v>
      </c>
      <c r="P1065" s="196"/>
      <c r="Q1065" s="196"/>
      <c r="R1065" s="196"/>
      <c r="S1065" s="196"/>
      <c r="T1065" s="196"/>
      <c r="U1065" s="196"/>
      <c r="V1065" s="196"/>
      <c r="W1065" s="196"/>
      <c r="X1065" s="196"/>
      <c r="Y1065" s="196"/>
    </row>
    <row r="1066" spans="1:25">
      <c r="A1066" s="196" t="s">
        <v>837</v>
      </c>
      <c r="B1066" s="196" t="s">
        <v>850</v>
      </c>
      <c r="C1066" s="196">
        <v>2013</v>
      </c>
      <c r="D1066" s="196">
        <v>80</v>
      </c>
      <c r="E1066" s="196" t="s">
        <v>917</v>
      </c>
      <c r="F1066" s="196" t="s">
        <v>1394</v>
      </c>
      <c r="G1066" s="196">
        <v>1</v>
      </c>
      <c r="H1066" s="196">
        <v>1</v>
      </c>
      <c r="I1066" s="196">
        <v>2958</v>
      </c>
      <c r="J1066" s="196">
        <v>5567</v>
      </c>
      <c r="K1066" s="196">
        <v>51.41</v>
      </c>
      <c r="L1066" s="196">
        <v>2.68</v>
      </c>
      <c r="M1066" s="196">
        <v>5083</v>
      </c>
      <c r="N1066" s="196">
        <v>1817836</v>
      </c>
      <c r="O1066" s="196">
        <v>1763</v>
      </c>
      <c r="P1066" s="196"/>
      <c r="Q1066" s="196"/>
      <c r="R1066" s="196"/>
      <c r="S1066" s="196"/>
      <c r="T1066" s="196"/>
      <c r="U1066" s="196"/>
      <c r="V1066" s="196"/>
      <c r="W1066" s="196"/>
      <c r="X1066" s="196"/>
      <c r="Y1066" s="196"/>
    </row>
    <row r="1067" spans="1:25">
      <c r="A1067" s="196" t="s">
        <v>837</v>
      </c>
      <c r="B1067" s="196" t="s">
        <v>838</v>
      </c>
      <c r="C1067" s="196">
        <v>2013</v>
      </c>
      <c r="D1067" s="196">
        <v>80</v>
      </c>
      <c r="E1067" s="196" t="s">
        <v>908</v>
      </c>
      <c r="F1067" s="196" t="s">
        <v>1394</v>
      </c>
      <c r="G1067" s="196">
        <v>2</v>
      </c>
      <c r="H1067" s="196">
        <v>2</v>
      </c>
      <c r="I1067" s="196">
        <v>2325</v>
      </c>
      <c r="J1067" s="196">
        <v>8465</v>
      </c>
      <c r="K1067" s="196">
        <v>51.41</v>
      </c>
      <c r="L1067" s="196">
        <v>2.68</v>
      </c>
      <c r="M1067" s="196">
        <v>5083</v>
      </c>
      <c r="N1067" s="196">
        <v>1817836</v>
      </c>
      <c r="O1067" s="196">
        <v>1763</v>
      </c>
      <c r="P1067" s="196"/>
      <c r="Q1067" s="196"/>
      <c r="R1067" s="196"/>
      <c r="S1067" s="196"/>
      <c r="T1067" s="196"/>
      <c r="U1067" s="196"/>
      <c r="V1067" s="196"/>
      <c r="W1067" s="196"/>
      <c r="X1067" s="196"/>
      <c r="Y1067" s="196"/>
    </row>
    <row r="1068" spans="1:25">
      <c r="A1068" s="196" t="s">
        <v>837</v>
      </c>
      <c r="B1068" s="196" t="s">
        <v>181</v>
      </c>
      <c r="C1068" s="196">
        <v>2013</v>
      </c>
      <c r="D1068" s="196">
        <v>80</v>
      </c>
      <c r="E1068" s="196" t="s">
        <v>876</v>
      </c>
      <c r="F1068" s="196" t="s">
        <v>1394</v>
      </c>
      <c r="G1068" s="196">
        <v>2</v>
      </c>
      <c r="H1068" s="196">
        <v>2</v>
      </c>
      <c r="I1068" s="196">
        <v>2223</v>
      </c>
      <c r="J1068" s="196">
        <v>6563</v>
      </c>
      <c r="K1068" s="196">
        <v>51.41</v>
      </c>
      <c r="L1068" s="196">
        <v>2.68</v>
      </c>
      <c r="M1068" s="196">
        <v>5083</v>
      </c>
      <c r="N1068" s="196">
        <v>1817836</v>
      </c>
      <c r="O1068" s="196">
        <v>1763</v>
      </c>
      <c r="P1068" s="196"/>
      <c r="Q1068" s="196"/>
      <c r="R1068" s="196"/>
      <c r="S1068" s="196"/>
      <c r="T1068" s="196"/>
      <c r="U1068" s="196"/>
      <c r="V1068" s="196"/>
      <c r="W1068" s="196"/>
      <c r="X1068" s="196"/>
      <c r="Y1068" s="196"/>
    </row>
    <row r="1069" spans="1:25">
      <c r="A1069" s="196" t="s">
        <v>837</v>
      </c>
      <c r="B1069" s="196" t="s">
        <v>838</v>
      </c>
      <c r="C1069" s="196">
        <v>2013</v>
      </c>
      <c r="D1069" s="196">
        <v>30</v>
      </c>
      <c r="E1069" s="196" t="s">
        <v>839</v>
      </c>
      <c r="F1069" s="196" t="s">
        <v>1395</v>
      </c>
      <c r="G1069" s="196">
        <v>93</v>
      </c>
      <c r="H1069" s="196">
        <v>57</v>
      </c>
      <c r="I1069" s="196">
        <v>104169</v>
      </c>
      <c r="J1069" s="196">
        <v>743333</v>
      </c>
      <c r="K1069" s="196">
        <v>95.35</v>
      </c>
      <c r="L1069" s="196">
        <v>5.83</v>
      </c>
      <c r="M1069" s="196">
        <v>14124</v>
      </c>
      <c r="N1069" s="196">
        <v>2241569</v>
      </c>
      <c r="O1069" s="196">
        <v>2452</v>
      </c>
      <c r="P1069" s="196"/>
      <c r="Q1069" s="196"/>
      <c r="R1069" s="196"/>
      <c r="S1069" s="196"/>
      <c r="T1069" s="196"/>
      <c r="U1069" s="196"/>
      <c r="V1069" s="196"/>
      <c r="W1069" s="196"/>
      <c r="X1069" s="196"/>
      <c r="Y1069" s="196"/>
    </row>
    <row r="1070" spans="1:25">
      <c r="A1070" s="196" t="s">
        <v>837</v>
      </c>
      <c r="B1070" s="196" t="s">
        <v>850</v>
      </c>
      <c r="C1070" s="196">
        <v>2013</v>
      </c>
      <c r="D1070" s="196">
        <v>30</v>
      </c>
      <c r="E1070" s="196" t="s">
        <v>851</v>
      </c>
      <c r="F1070" s="196" t="s">
        <v>1395</v>
      </c>
      <c r="G1070" s="196">
        <v>102</v>
      </c>
      <c r="H1070" s="196">
        <v>63</v>
      </c>
      <c r="I1070" s="196">
        <v>105911</v>
      </c>
      <c r="J1070" s="196">
        <v>816341</v>
      </c>
      <c r="K1070" s="196">
        <v>95.35</v>
      </c>
      <c r="L1070" s="196">
        <v>5.83</v>
      </c>
      <c r="M1070" s="196">
        <v>14124</v>
      </c>
      <c r="N1070" s="196">
        <v>2241569</v>
      </c>
      <c r="O1070" s="196">
        <v>2452</v>
      </c>
      <c r="P1070" s="196"/>
      <c r="Q1070" s="196"/>
      <c r="R1070" s="196"/>
      <c r="S1070" s="196"/>
      <c r="T1070" s="196"/>
      <c r="U1070" s="196"/>
      <c r="V1070" s="196"/>
      <c r="W1070" s="196"/>
      <c r="X1070" s="196"/>
      <c r="Y1070" s="196"/>
    </row>
    <row r="1071" spans="1:25">
      <c r="A1071" s="196" t="s">
        <v>837</v>
      </c>
      <c r="B1071" s="196" t="s">
        <v>850</v>
      </c>
      <c r="C1071" s="196">
        <v>2013</v>
      </c>
      <c r="D1071" s="196">
        <v>55</v>
      </c>
      <c r="E1071" s="196" t="s">
        <v>852</v>
      </c>
      <c r="F1071" s="196" t="s">
        <v>1395</v>
      </c>
      <c r="G1071" s="196">
        <v>3</v>
      </c>
      <c r="H1071" s="196">
        <v>3</v>
      </c>
      <c r="I1071" s="196">
        <v>3771</v>
      </c>
      <c r="J1071" s="196">
        <v>45986</v>
      </c>
      <c r="K1071" s="196">
        <v>95.35</v>
      </c>
      <c r="L1071" s="196">
        <v>5.83</v>
      </c>
      <c r="M1071" s="196">
        <v>14124</v>
      </c>
      <c r="N1071" s="196">
        <v>2241569</v>
      </c>
      <c r="O1071" s="196">
        <v>2452</v>
      </c>
      <c r="P1071" s="196"/>
      <c r="Q1071" s="196"/>
      <c r="R1071" s="196"/>
      <c r="S1071" s="196"/>
      <c r="T1071" s="196"/>
      <c r="U1071" s="196"/>
      <c r="V1071" s="196"/>
      <c r="W1071" s="196"/>
      <c r="X1071" s="196"/>
      <c r="Y1071" s="196"/>
    </row>
    <row r="1072" spans="1:25">
      <c r="A1072" s="196" t="s">
        <v>837</v>
      </c>
      <c r="B1072" s="196" t="s">
        <v>850</v>
      </c>
      <c r="C1072" s="196">
        <v>2014</v>
      </c>
      <c r="D1072" s="196">
        <v>80</v>
      </c>
      <c r="E1072" s="196" t="s">
        <v>875</v>
      </c>
      <c r="F1072" s="196" t="s">
        <v>1395</v>
      </c>
      <c r="G1072" s="196">
        <v>1</v>
      </c>
      <c r="H1072" s="196">
        <v>1</v>
      </c>
      <c r="I1072" s="196">
        <v>1809</v>
      </c>
      <c r="J1072" s="196">
        <v>22248</v>
      </c>
      <c r="K1072" s="196">
        <v>95.35</v>
      </c>
      <c r="L1072" s="196">
        <v>5.83</v>
      </c>
      <c r="M1072" s="196">
        <v>14124</v>
      </c>
      <c r="N1072" s="196">
        <v>2241569</v>
      </c>
      <c r="O1072" s="196">
        <v>2452</v>
      </c>
      <c r="P1072" s="196"/>
      <c r="Q1072" s="196"/>
      <c r="R1072" s="196"/>
      <c r="S1072" s="196"/>
      <c r="T1072" s="196"/>
      <c r="U1072" s="196"/>
      <c r="V1072" s="196"/>
      <c r="W1072" s="196"/>
      <c r="X1072" s="196"/>
      <c r="Y1072" s="196"/>
    </row>
    <row r="1073" spans="1:25">
      <c r="A1073" s="196" t="s">
        <v>837</v>
      </c>
      <c r="B1073" s="196" t="s">
        <v>838</v>
      </c>
      <c r="C1073" s="196">
        <v>2014</v>
      </c>
      <c r="D1073" s="196">
        <v>55</v>
      </c>
      <c r="E1073" s="196" t="s">
        <v>854</v>
      </c>
      <c r="F1073" s="196" t="s">
        <v>1395</v>
      </c>
      <c r="G1073" s="196">
        <v>4</v>
      </c>
      <c r="H1073" s="196">
        <v>4</v>
      </c>
      <c r="I1073" s="196">
        <v>4026</v>
      </c>
      <c r="J1073" s="196">
        <v>88502</v>
      </c>
      <c r="K1073" s="196">
        <v>95.35</v>
      </c>
      <c r="L1073" s="196">
        <v>5.83</v>
      </c>
      <c r="M1073" s="196">
        <v>14124</v>
      </c>
      <c r="N1073" s="196">
        <v>2241569</v>
      </c>
      <c r="O1073" s="196">
        <v>2452</v>
      </c>
      <c r="P1073" s="196"/>
      <c r="Q1073" s="196"/>
      <c r="R1073" s="196"/>
      <c r="S1073" s="196"/>
      <c r="T1073" s="196"/>
      <c r="U1073" s="196"/>
      <c r="V1073" s="196"/>
      <c r="W1073" s="196"/>
      <c r="X1073" s="196"/>
      <c r="Y1073" s="196"/>
    </row>
    <row r="1074" spans="1:25">
      <c r="A1074" s="196" t="s">
        <v>837</v>
      </c>
      <c r="B1074" s="196" t="s">
        <v>181</v>
      </c>
      <c r="C1074" s="196">
        <v>2014</v>
      </c>
      <c r="D1074" s="196">
        <v>30</v>
      </c>
      <c r="E1074" s="196" t="s">
        <v>856</v>
      </c>
      <c r="F1074" s="196" t="s">
        <v>1395</v>
      </c>
      <c r="G1074" s="196">
        <v>24</v>
      </c>
      <c r="H1074" s="196">
        <v>17</v>
      </c>
      <c r="I1074" s="196">
        <v>25989</v>
      </c>
      <c r="J1074" s="196">
        <v>182640</v>
      </c>
      <c r="K1074" s="196">
        <v>95.35</v>
      </c>
      <c r="L1074" s="196">
        <v>5.83</v>
      </c>
      <c r="M1074" s="196">
        <v>14124</v>
      </c>
      <c r="N1074" s="196">
        <v>2241569</v>
      </c>
      <c r="O1074" s="196">
        <v>2452</v>
      </c>
      <c r="P1074" s="196"/>
      <c r="Q1074" s="196"/>
      <c r="R1074" s="196"/>
      <c r="S1074" s="196"/>
      <c r="T1074" s="196"/>
      <c r="U1074" s="196"/>
      <c r="V1074" s="196"/>
      <c r="W1074" s="196"/>
      <c r="X1074" s="196"/>
      <c r="Y1074" s="196"/>
    </row>
    <row r="1075" spans="1:25">
      <c r="A1075" s="196" t="s">
        <v>837</v>
      </c>
      <c r="B1075" s="196" t="s">
        <v>181</v>
      </c>
      <c r="C1075" s="196">
        <v>2014</v>
      </c>
      <c r="D1075" s="196">
        <v>30</v>
      </c>
      <c r="E1075" s="196" t="s">
        <v>857</v>
      </c>
      <c r="F1075" s="196" t="s">
        <v>1395</v>
      </c>
      <c r="G1075" s="196">
        <v>1</v>
      </c>
      <c r="H1075" s="196">
        <v>1</v>
      </c>
      <c r="I1075" s="196">
        <v>2571</v>
      </c>
      <c r="J1075" s="196">
        <v>3088</v>
      </c>
      <c r="K1075" s="196">
        <v>95.35</v>
      </c>
      <c r="L1075" s="196">
        <v>5.83</v>
      </c>
      <c r="M1075" s="196">
        <v>14124</v>
      </c>
      <c r="N1075" s="196">
        <v>2241569</v>
      </c>
      <c r="O1075" s="196">
        <v>2452</v>
      </c>
      <c r="P1075" s="196"/>
      <c r="Q1075" s="196"/>
      <c r="R1075" s="196"/>
      <c r="S1075" s="196"/>
      <c r="T1075" s="196"/>
      <c r="U1075" s="196"/>
      <c r="V1075" s="196"/>
      <c r="W1075" s="196"/>
      <c r="X1075" s="196"/>
      <c r="Y1075" s="196"/>
    </row>
    <row r="1076" spans="1:25">
      <c r="A1076" s="196" t="s">
        <v>837</v>
      </c>
      <c r="B1076" s="196" t="s">
        <v>181</v>
      </c>
      <c r="C1076" s="196">
        <v>2014</v>
      </c>
      <c r="D1076" s="196">
        <v>55</v>
      </c>
      <c r="E1076" s="196" t="s">
        <v>858</v>
      </c>
      <c r="F1076" s="196" t="s">
        <v>1395</v>
      </c>
      <c r="G1076" s="196">
        <v>5</v>
      </c>
      <c r="H1076" s="196">
        <v>5</v>
      </c>
      <c r="I1076" s="196">
        <v>2265</v>
      </c>
      <c r="J1076" s="196">
        <v>62596</v>
      </c>
      <c r="K1076" s="196">
        <v>95.35</v>
      </c>
      <c r="L1076" s="196">
        <v>5.83</v>
      </c>
      <c r="M1076" s="196">
        <v>14124</v>
      </c>
      <c r="N1076" s="196">
        <v>2241569</v>
      </c>
      <c r="O1076" s="196">
        <v>2452</v>
      </c>
      <c r="P1076" s="196"/>
      <c r="Q1076" s="196"/>
      <c r="R1076" s="196"/>
      <c r="S1076" s="196"/>
      <c r="T1076" s="196"/>
      <c r="U1076" s="196"/>
      <c r="V1076" s="196"/>
      <c r="W1076" s="196"/>
      <c r="X1076" s="196"/>
      <c r="Y1076" s="196"/>
    </row>
    <row r="1077" spans="1:25">
      <c r="A1077" s="196" t="s">
        <v>837</v>
      </c>
      <c r="B1077" s="196" t="s">
        <v>181</v>
      </c>
      <c r="C1077" s="196">
        <v>2014</v>
      </c>
      <c r="D1077" s="196">
        <v>55</v>
      </c>
      <c r="E1077" s="196" t="s">
        <v>859</v>
      </c>
      <c r="F1077" s="196" t="s">
        <v>1395</v>
      </c>
      <c r="G1077" s="196">
        <v>3</v>
      </c>
      <c r="H1077" s="196">
        <v>3</v>
      </c>
      <c r="I1077" s="196">
        <v>3996</v>
      </c>
      <c r="J1077" s="196">
        <v>52693</v>
      </c>
      <c r="K1077" s="196">
        <v>95.35</v>
      </c>
      <c r="L1077" s="196">
        <v>5.83</v>
      </c>
      <c r="M1077" s="196">
        <v>14124</v>
      </c>
      <c r="N1077" s="196">
        <v>2241569</v>
      </c>
      <c r="O1077" s="196">
        <v>2452</v>
      </c>
      <c r="P1077" s="196"/>
      <c r="Q1077" s="196"/>
      <c r="R1077" s="196"/>
      <c r="S1077" s="196"/>
      <c r="T1077" s="196"/>
      <c r="U1077" s="196"/>
      <c r="V1077" s="196"/>
      <c r="W1077" s="196"/>
      <c r="X1077" s="196"/>
      <c r="Y1077" s="196"/>
    </row>
    <row r="1078" spans="1:25">
      <c r="A1078" s="196" t="s">
        <v>837</v>
      </c>
      <c r="B1078" s="196" t="s">
        <v>850</v>
      </c>
      <c r="C1078" s="196">
        <v>2014</v>
      </c>
      <c r="D1078" s="196">
        <v>30</v>
      </c>
      <c r="E1078" s="196" t="s">
        <v>860</v>
      </c>
      <c r="F1078" s="196" t="s">
        <v>1395</v>
      </c>
      <c r="G1078" s="196">
        <v>47</v>
      </c>
      <c r="H1078" s="196">
        <v>26</v>
      </c>
      <c r="I1078" s="196">
        <v>47595</v>
      </c>
      <c r="J1078" s="196">
        <v>330875</v>
      </c>
      <c r="K1078" s="196">
        <v>95.35</v>
      </c>
      <c r="L1078" s="196">
        <v>5.83</v>
      </c>
      <c r="M1078" s="196">
        <v>14124</v>
      </c>
      <c r="N1078" s="196">
        <v>2241569</v>
      </c>
      <c r="O1078" s="196">
        <v>2452</v>
      </c>
      <c r="P1078" s="196"/>
      <c r="Q1078" s="196"/>
      <c r="R1078" s="196"/>
      <c r="S1078" s="196"/>
      <c r="T1078" s="196"/>
      <c r="U1078" s="196"/>
      <c r="V1078" s="196"/>
      <c r="W1078" s="196"/>
      <c r="X1078" s="196"/>
      <c r="Y1078" s="196"/>
    </row>
    <row r="1079" spans="1:25">
      <c r="A1079" s="196" t="s">
        <v>837</v>
      </c>
      <c r="B1079" s="196" t="s">
        <v>850</v>
      </c>
      <c r="C1079" s="196">
        <v>2014</v>
      </c>
      <c r="D1079" s="196">
        <v>30</v>
      </c>
      <c r="E1079" s="196" t="s">
        <v>861</v>
      </c>
      <c r="F1079" s="196" t="s">
        <v>1395</v>
      </c>
      <c r="G1079" s="196">
        <v>22</v>
      </c>
      <c r="H1079" s="196">
        <v>16</v>
      </c>
      <c r="I1079" s="196">
        <v>24243</v>
      </c>
      <c r="J1079" s="196">
        <v>129342</v>
      </c>
      <c r="K1079" s="196">
        <v>95.35</v>
      </c>
      <c r="L1079" s="196">
        <v>5.83</v>
      </c>
      <c r="M1079" s="196">
        <v>14124</v>
      </c>
      <c r="N1079" s="196">
        <v>2241569</v>
      </c>
      <c r="O1079" s="196">
        <v>2452</v>
      </c>
      <c r="P1079" s="196"/>
      <c r="Q1079" s="196"/>
      <c r="R1079" s="196"/>
      <c r="S1079" s="196"/>
      <c r="T1079" s="196"/>
      <c r="U1079" s="196"/>
      <c r="V1079" s="196"/>
      <c r="W1079" s="196"/>
      <c r="X1079" s="196"/>
      <c r="Y1079" s="196"/>
    </row>
    <row r="1080" spans="1:25">
      <c r="A1080" s="196" t="s">
        <v>837</v>
      </c>
      <c r="B1080" s="196" t="s">
        <v>850</v>
      </c>
      <c r="C1080" s="196">
        <v>2014</v>
      </c>
      <c r="D1080" s="196">
        <v>55</v>
      </c>
      <c r="E1080" s="196" t="s">
        <v>862</v>
      </c>
      <c r="F1080" s="196" t="s">
        <v>1395</v>
      </c>
      <c r="G1080" s="196">
        <v>7</v>
      </c>
      <c r="H1080" s="196">
        <v>7</v>
      </c>
      <c r="I1080" s="196">
        <v>5055</v>
      </c>
      <c r="J1080" s="196">
        <v>98682</v>
      </c>
      <c r="K1080" s="196">
        <v>95.35</v>
      </c>
      <c r="L1080" s="196">
        <v>5.83</v>
      </c>
      <c r="M1080" s="196">
        <v>14124</v>
      </c>
      <c r="N1080" s="196">
        <v>2241569</v>
      </c>
      <c r="O1080" s="196">
        <v>2452</v>
      </c>
      <c r="P1080" s="196"/>
      <c r="Q1080" s="196"/>
      <c r="R1080" s="196"/>
      <c r="S1080" s="196"/>
      <c r="T1080" s="196"/>
      <c r="U1080" s="196"/>
      <c r="V1080" s="196"/>
      <c r="W1080" s="196"/>
      <c r="X1080" s="196"/>
      <c r="Y1080" s="196"/>
    </row>
    <row r="1081" spans="1:25">
      <c r="A1081" s="196" t="s">
        <v>837</v>
      </c>
      <c r="B1081" s="196" t="s">
        <v>850</v>
      </c>
      <c r="C1081" s="196">
        <v>2013</v>
      </c>
      <c r="D1081" s="196">
        <v>30</v>
      </c>
      <c r="E1081" s="196" t="s">
        <v>851</v>
      </c>
      <c r="F1081" s="196" t="s">
        <v>1396</v>
      </c>
      <c r="G1081" s="196">
        <v>1</v>
      </c>
      <c r="H1081" s="196">
        <v>1</v>
      </c>
      <c r="I1081" s="196">
        <v>755</v>
      </c>
      <c r="J1081" s="196">
        <v>3558</v>
      </c>
      <c r="K1081" s="196">
        <v>64.319999999999993</v>
      </c>
      <c r="L1081" s="196">
        <v>0.4</v>
      </c>
      <c r="M1081" s="196">
        <v>6304</v>
      </c>
      <c r="N1081" s="196">
        <v>1180590</v>
      </c>
      <c r="O1081" s="196">
        <v>1343</v>
      </c>
      <c r="P1081" s="196"/>
      <c r="Q1081" s="196"/>
      <c r="R1081" s="196"/>
      <c r="S1081" s="196"/>
      <c r="T1081" s="196"/>
      <c r="U1081" s="196"/>
      <c r="V1081" s="196"/>
      <c r="W1081" s="196"/>
      <c r="X1081" s="196"/>
      <c r="Y1081" s="196"/>
    </row>
    <row r="1082" spans="1:25">
      <c r="A1082" s="196" t="s">
        <v>837</v>
      </c>
      <c r="B1082" s="196" t="s">
        <v>850</v>
      </c>
      <c r="C1082" s="196">
        <v>2013</v>
      </c>
      <c r="D1082" s="196">
        <v>55</v>
      </c>
      <c r="E1082" s="196" t="s">
        <v>852</v>
      </c>
      <c r="F1082" s="196" t="s">
        <v>1396</v>
      </c>
      <c r="G1082" s="196">
        <v>1</v>
      </c>
      <c r="H1082" s="196">
        <v>1</v>
      </c>
      <c r="I1082" s="196">
        <v>1266</v>
      </c>
      <c r="J1082" s="196">
        <v>3585</v>
      </c>
      <c r="K1082" s="196">
        <v>64.319999999999993</v>
      </c>
      <c r="L1082" s="196">
        <v>0.4</v>
      </c>
      <c r="M1082" s="196">
        <v>6304</v>
      </c>
      <c r="N1082" s="196">
        <v>1180590</v>
      </c>
      <c r="O1082" s="196">
        <v>1343</v>
      </c>
      <c r="P1082" s="196"/>
      <c r="Q1082" s="196"/>
      <c r="R1082" s="196"/>
      <c r="S1082" s="196"/>
      <c r="T1082" s="196"/>
      <c r="U1082" s="196"/>
      <c r="V1082" s="196"/>
      <c r="W1082" s="196"/>
      <c r="X1082" s="196"/>
      <c r="Y1082" s="196"/>
    </row>
    <row r="1083" spans="1:25">
      <c r="A1083" s="196" t="s">
        <v>837</v>
      </c>
      <c r="B1083" s="196" t="s">
        <v>850</v>
      </c>
      <c r="C1083" s="196">
        <v>2013</v>
      </c>
      <c r="D1083" s="196">
        <v>80</v>
      </c>
      <c r="E1083" s="196" t="s">
        <v>917</v>
      </c>
      <c r="F1083" s="196" t="s">
        <v>1396</v>
      </c>
      <c r="G1083" s="196">
        <v>1</v>
      </c>
      <c r="H1083" s="196">
        <v>1</v>
      </c>
      <c r="I1083" s="196">
        <v>1266</v>
      </c>
      <c r="J1083" s="196">
        <v>3585</v>
      </c>
      <c r="K1083" s="196">
        <v>64.319999999999993</v>
      </c>
      <c r="L1083" s="196">
        <v>0.4</v>
      </c>
      <c r="M1083" s="196">
        <v>6304</v>
      </c>
      <c r="N1083" s="196">
        <v>1180590</v>
      </c>
      <c r="O1083" s="196">
        <v>1343</v>
      </c>
      <c r="P1083" s="196"/>
      <c r="Q1083" s="196"/>
      <c r="R1083" s="196"/>
      <c r="S1083" s="196"/>
      <c r="T1083" s="196"/>
      <c r="U1083" s="196"/>
      <c r="V1083" s="196"/>
      <c r="W1083" s="196"/>
      <c r="X1083" s="196"/>
      <c r="Y1083" s="196"/>
    </row>
    <row r="1084" spans="1:25">
      <c r="A1084" s="196" t="s">
        <v>837</v>
      </c>
      <c r="B1084" s="196" t="s">
        <v>181</v>
      </c>
      <c r="C1084" s="196">
        <v>2013</v>
      </c>
      <c r="D1084" s="196">
        <v>80</v>
      </c>
      <c r="E1084" s="196" t="s">
        <v>876</v>
      </c>
      <c r="F1084" s="196" t="s">
        <v>1396</v>
      </c>
      <c r="G1084" s="196">
        <v>1</v>
      </c>
      <c r="H1084" s="196">
        <v>1</v>
      </c>
      <c r="I1084" s="196">
        <v>165</v>
      </c>
      <c r="J1084" s="196">
        <v>3558</v>
      </c>
      <c r="K1084" s="196">
        <v>64.319999999999993</v>
      </c>
      <c r="L1084" s="196">
        <v>0.4</v>
      </c>
      <c r="M1084" s="196">
        <v>6304</v>
      </c>
      <c r="N1084" s="196">
        <v>1180590</v>
      </c>
      <c r="O1084" s="196">
        <v>1343</v>
      </c>
      <c r="P1084" s="196"/>
      <c r="Q1084" s="196"/>
      <c r="R1084" s="196"/>
      <c r="S1084" s="196"/>
      <c r="T1084" s="196"/>
      <c r="U1084" s="196"/>
      <c r="V1084" s="196"/>
      <c r="W1084" s="196"/>
      <c r="X1084" s="196"/>
      <c r="Y1084" s="196"/>
    </row>
    <row r="1085" spans="1:25">
      <c r="A1085" s="196" t="s">
        <v>837</v>
      </c>
      <c r="B1085" s="196" t="s">
        <v>850</v>
      </c>
      <c r="C1085" s="196">
        <v>2013</v>
      </c>
      <c r="D1085" s="196">
        <v>80</v>
      </c>
      <c r="E1085" s="196" t="s">
        <v>917</v>
      </c>
      <c r="F1085" s="196" t="s">
        <v>1397</v>
      </c>
      <c r="G1085" s="196">
        <v>5</v>
      </c>
      <c r="H1085" s="196">
        <v>5</v>
      </c>
      <c r="I1085" s="196">
        <v>3737</v>
      </c>
      <c r="J1085" s="196">
        <v>30347</v>
      </c>
      <c r="K1085" s="196">
        <v>62.06</v>
      </c>
      <c r="L1085" s="196">
        <v>0.95</v>
      </c>
      <c r="M1085" s="196">
        <v>4884</v>
      </c>
      <c r="N1085" s="196">
        <v>1120141</v>
      </c>
      <c r="O1085" s="196">
        <v>1402</v>
      </c>
      <c r="P1085" s="196"/>
      <c r="Q1085" s="196"/>
      <c r="R1085" s="196"/>
      <c r="S1085" s="196"/>
      <c r="T1085" s="196"/>
      <c r="U1085" s="196"/>
      <c r="V1085" s="196"/>
      <c r="W1085" s="196"/>
      <c r="X1085" s="196"/>
      <c r="Y1085" s="196"/>
    </row>
    <row r="1086" spans="1:25">
      <c r="A1086" s="196" t="s">
        <v>837</v>
      </c>
      <c r="B1086" s="196" t="s">
        <v>850</v>
      </c>
      <c r="C1086" s="196">
        <v>2014</v>
      </c>
      <c r="D1086" s="196">
        <v>80</v>
      </c>
      <c r="E1086" s="196" t="s">
        <v>918</v>
      </c>
      <c r="F1086" s="196" t="s">
        <v>1397</v>
      </c>
      <c r="G1086" s="196">
        <v>1</v>
      </c>
      <c r="H1086" s="196">
        <v>1</v>
      </c>
      <c r="I1086" s="196">
        <v>1986</v>
      </c>
      <c r="J1086" s="196">
        <v>3075</v>
      </c>
      <c r="K1086" s="196">
        <v>62.06</v>
      </c>
      <c r="L1086" s="196">
        <v>0.95</v>
      </c>
      <c r="M1086" s="196">
        <v>4884</v>
      </c>
      <c r="N1086" s="196">
        <v>1120141</v>
      </c>
      <c r="O1086" s="196">
        <v>1402</v>
      </c>
      <c r="P1086" s="196"/>
      <c r="Q1086" s="196"/>
      <c r="R1086" s="196"/>
      <c r="S1086" s="196"/>
      <c r="T1086" s="196"/>
      <c r="U1086" s="196"/>
      <c r="V1086" s="196"/>
      <c r="W1086" s="196"/>
      <c r="X1086" s="196"/>
      <c r="Y1086" s="196"/>
    </row>
    <row r="1087" spans="1:25">
      <c r="A1087" s="196" t="s">
        <v>837</v>
      </c>
      <c r="B1087" s="196" t="s">
        <v>838</v>
      </c>
      <c r="C1087" s="196">
        <v>2013</v>
      </c>
      <c r="D1087" s="196">
        <v>80</v>
      </c>
      <c r="E1087" s="196" t="s">
        <v>908</v>
      </c>
      <c r="F1087" s="196" t="s">
        <v>1397</v>
      </c>
      <c r="G1087" s="196">
        <v>1</v>
      </c>
      <c r="H1087" s="196">
        <v>1</v>
      </c>
      <c r="I1087" s="196">
        <v>222</v>
      </c>
      <c r="J1087" s="196">
        <v>3473</v>
      </c>
      <c r="K1087" s="196">
        <v>62.06</v>
      </c>
      <c r="L1087" s="196">
        <v>0.95</v>
      </c>
      <c r="M1087" s="196">
        <v>4884</v>
      </c>
      <c r="N1087" s="196">
        <v>1120141</v>
      </c>
      <c r="O1087" s="196">
        <v>1402</v>
      </c>
      <c r="P1087" s="196"/>
      <c r="Q1087" s="196"/>
      <c r="R1087" s="196"/>
      <c r="S1087" s="196"/>
      <c r="T1087" s="196"/>
      <c r="U1087" s="196"/>
      <c r="V1087" s="196"/>
      <c r="W1087" s="196"/>
      <c r="X1087" s="196"/>
      <c r="Y1087" s="196"/>
    </row>
    <row r="1088" spans="1:25">
      <c r="A1088" s="196" t="s">
        <v>837</v>
      </c>
      <c r="B1088" s="196" t="s">
        <v>181</v>
      </c>
      <c r="C1088" s="196">
        <v>2013</v>
      </c>
      <c r="D1088" s="196">
        <v>80</v>
      </c>
      <c r="E1088" s="196" t="s">
        <v>876</v>
      </c>
      <c r="F1088" s="196" t="s">
        <v>1397</v>
      </c>
      <c r="G1088" s="196">
        <v>1</v>
      </c>
      <c r="H1088" s="196">
        <v>1</v>
      </c>
      <c r="I1088" s="196">
        <v>222</v>
      </c>
      <c r="J1088" s="196">
        <v>3473</v>
      </c>
      <c r="K1088" s="196">
        <v>62.06</v>
      </c>
      <c r="L1088" s="196">
        <v>0.95</v>
      </c>
      <c r="M1088" s="196">
        <v>4884</v>
      </c>
      <c r="N1088" s="196">
        <v>1120141</v>
      </c>
      <c r="O1088" s="196">
        <v>1402</v>
      </c>
      <c r="P1088" s="196"/>
      <c r="Q1088" s="196"/>
      <c r="R1088" s="196"/>
      <c r="S1088" s="196"/>
      <c r="T1088" s="196"/>
      <c r="U1088" s="196"/>
      <c r="V1088" s="196"/>
      <c r="W1088" s="196"/>
      <c r="X1088" s="196"/>
      <c r="Y1088" s="196"/>
    </row>
    <row r="1089" spans="1:25">
      <c r="A1089" s="196" t="s">
        <v>837</v>
      </c>
      <c r="B1089" s="196" t="s">
        <v>850</v>
      </c>
      <c r="C1089" s="196">
        <v>2014</v>
      </c>
      <c r="D1089" s="196">
        <v>55</v>
      </c>
      <c r="E1089" s="196" t="s">
        <v>862</v>
      </c>
      <c r="F1089" s="196" t="s">
        <v>1397</v>
      </c>
      <c r="G1089" s="196">
        <v>2</v>
      </c>
      <c r="H1089" s="196">
        <v>2</v>
      </c>
      <c r="I1089" s="196">
        <v>2583</v>
      </c>
      <c r="J1089" s="196">
        <v>6206</v>
      </c>
      <c r="K1089" s="196">
        <v>62.06</v>
      </c>
      <c r="L1089" s="196">
        <v>0.95</v>
      </c>
      <c r="M1089" s="196">
        <v>4884</v>
      </c>
      <c r="N1089" s="196">
        <v>1120141</v>
      </c>
      <c r="O1089" s="196">
        <v>1402</v>
      </c>
      <c r="P1089" s="196"/>
      <c r="Q1089" s="196"/>
      <c r="R1089" s="196"/>
      <c r="S1089" s="196"/>
      <c r="T1089" s="196"/>
      <c r="U1089" s="196"/>
      <c r="V1089" s="196"/>
      <c r="W1089" s="196"/>
      <c r="X1089" s="196"/>
      <c r="Y1089" s="196"/>
    </row>
    <row r="1090" spans="1:25">
      <c r="A1090" s="196" t="s">
        <v>837</v>
      </c>
      <c r="B1090" s="196" t="s">
        <v>838</v>
      </c>
      <c r="C1090" s="196">
        <v>2013</v>
      </c>
      <c r="D1090" s="196">
        <v>30</v>
      </c>
      <c r="E1090" s="196" t="s">
        <v>839</v>
      </c>
      <c r="F1090" s="196" t="s">
        <v>1398</v>
      </c>
      <c r="G1090" s="196">
        <v>5</v>
      </c>
      <c r="H1090" s="196">
        <v>4</v>
      </c>
      <c r="I1090" s="196">
        <v>4721</v>
      </c>
      <c r="J1090" s="196">
        <v>27346</v>
      </c>
      <c r="K1090" s="196">
        <v>63.98</v>
      </c>
      <c r="L1090" s="196">
        <v>0.52</v>
      </c>
      <c r="M1090" s="196">
        <v>4779</v>
      </c>
      <c r="N1090" s="196">
        <v>1061576</v>
      </c>
      <c r="O1090" s="196">
        <v>1213</v>
      </c>
      <c r="P1090" s="196"/>
      <c r="Q1090" s="196"/>
      <c r="R1090" s="196"/>
      <c r="S1090" s="196"/>
      <c r="T1090" s="196"/>
      <c r="U1090" s="196"/>
      <c r="V1090" s="196"/>
      <c r="W1090" s="196"/>
      <c r="X1090" s="196"/>
      <c r="Y1090" s="196"/>
    </row>
    <row r="1091" spans="1:25">
      <c r="A1091" s="196" t="s">
        <v>837</v>
      </c>
      <c r="B1091" s="196" t="s">
        <v>838</v>
      </c>
      <c r="C1091" s="196">
        <v>2013</v>
      </c>
      <c r="D1091" s="196">
        <v>55</v>
      </c>
      <c r="E1091" s="196" t="s">
        <v>849</v>
      </c>
      <c r="F1091" s="196" t="s">
        <v>1398</v>
      </c>
      <c r="G1091" s="196">
        <v>2</v>
      </c>
      <c r="H1091" s="196">
        <v>2</v>
      </c>
      <c r="I1091" s="196">
        <v>2646</v>
      </c>
      <c r="J1091" s="196">
        <v>7976</v>
      </c>
      <c r="K1091" s="196">
        <v>63.98</v>
      </c>
      <c r="L1091" s="196">
        <v>0.52</v>
      </c>
      <c r="M1091" s="196">
        <v>4779</v>
      </c>
      <c r="N1091" s="196">
        <v>1061576</v>
      </c>
      <c r="O1091" s="196">
        <v>1213</v>
      </c>
      <c r="P1091" s="196"/>
      <c r="Q1091" s="196"/>
      <c r="R1091" s="196"/>
      <c r="S1091" s="196"/>
      <c r="T1091" s="196"/>
      <c r="U1091" s="196"/>
      <c r="V1091" s="196"/>
      <c r="W1091" s="196"/>
      <c r="X1091" s="196"/>
      <c r="Y1091" s="196"/>
    </row>
    <row r="1092" spans="1:25">
      <c r="A1092" s="196" t="s">
        <v>837</v>
      </c>
      <c r="B1092" s="196" t="s">
        <v>850</v>
      </c>
      <c r="C1092" s="196">
        <v>2013</v>
      </c>
      <c r="D1092" s="196">
        <v>55</v>
      </c>
      <c r="E1092" s="196" t="s">
        <v>852</v>
      </c>
      <c r="F1092" s="196" t="s">
        <v>1398</v>
      </c>
      <c r="G1092" s="196">
        <v>3</v>
      </c>
      <c r="H1092" s="196">
        <v>3</v>
      </c>
      <c r="I1092" s="196">
        <v>4764</v>
      </c>
      <c r="J1092" s="196">
        <v>12573</v>
      </c>
      <c r="K1092" s="196">
        <v>63.98</v>
      </c>
      <c r="L1092" s="196">
        <v>0.52</v>
      </c>
      <c r="M1092" s="196">
        <v>4779</v>
      </c>
      <c r="N1092" s="196">
        <v>1061576</v>
      </c>
      <c r="O1092" s="196">
        <v>1213</v>
      </c>
      <c r="P1092" s="196"/>
      <c r="Q1092" s="196"/>
      <c r="R1092" s="196"/>
      <c r="S1092" s="196"/>
      <c r="T1092" s="196"/>
      <c r="U1092" s="196"/>
      <c r="V1092" s="196"/>
      <c r="W1092" s="196"/>
      <c r="X1092" s="196"/>
      <c r="Y1092" s="196"/>
    </row>
    <row r="1093" spans="1:25">
      <c r="A1093" s="196" t="s">
        <v>837</v>
      </c>
      <c r="B1093" s="196" t="s">
        <v>850</v>
      </c>
      <c r="C1093" s="196">
        <v>2013</v>
      </c>
      <c r="D1093" s="196">
        <v>80</v>
      </c>
      <c r="E1093" s="196" t="s">
        <v>917</v>
      </c>
      <c r="F1093" s="196" t="s">
        <v>1398</v>
      </c>
      <c r="G1093" s="196">
        <v>6</v>
      </c>
      <c r="H1093" s="196">
        <v>6</v>
      </c>
      <c r="I1093" s="196">
        <v>5676</v>
      </c>
      <c r="J1093" s="196">
        <v>42164</v>
      </c>
      <c r="K1093" s="196">
        <v>63.98</v>
      </c>
      <c r="L1093" s="196">
        <v>0.52</v>
      </c>
      <c r="M1093" s="196">
        <v>4779</v>
      </c>
      <c r="N1093" s="196">
        <v>1061576</v>
      </c>
      <c r="O1093" s="196">
        <v>1213</v>
      </c>
      <c r="P1093" s="196"/>
      <c r="Q1093" s="196"/>
      <c r="R1093" s="196"/>
      <c r="S1093" s="196"/>
      <c r="T1093" s="196"/>
      <c r="U1093" s="196"/>
      <c r="V1093" s="196"/>
      <c r="W1093" s="196"/>
      <c r="X1093" s="196"/>
      <c r="Y1093" s="196"/>
    </row>
    <row r="1094" spans="1:25">
      <c r="A1094" s="196" t="s">
        <v>837</v>
      </c>
      <c r="B1094" s="196" t="s">
        <v>838</v>
      </c>
      <c r="C1094" s="196">
        <v>2014</v>
      </c>
      <c r="D1094" s="196">
        <v>80</v>
      </c>
      <c r="E1094" s="196" t="s">
        <v>853</v>
      </c>
      <c r="F1094" s="196" t="s">
        <v>1398</v>
      </c>
      <c r="G1094" s="196">
        <v>1</v>
      </c>
      <c r="H1094" s="196">
        <v>1</v>
      </c>
      <c r="I1094" s="196">
        <v>624</v>
      </c>
      <c r="J1094" s="196">
        <v>5824</v>
      </c>
      <c r="K1094" s="196">
        <v>63.98</v>
      </c>
      <c r="L1094" s="196">
        <v>0.52</v>
      </c>
      <c r="M1094" s="196">
        <v>4779</v>
      </c>
      <c r="N1094" s="196">
        <v>1061576</v>
      </c>
      <c r="O1094" s="196">
        <v>1213</v>
      </c>
      <c r="P1094" s="196"/>
      <c r="Q1094" s="196"/>
      <c r="R1094" s="196"/>
      <c r="S1094" s="196"/>
      <c r="T1094" s="196"/>
      <c r="U1094" s="196"/>
      <c r="V1094" s="196"/>
      <c r="W1094" s="196"/>
      <c r="X1094" s="196"/>
      <c r="Y1094" s="196"/>
    </row>
    <row r="1095" spans="1:25">
      <c r="A1095" s="196" t="s">
        <v>837</v>
      </c>
      <c r="B1095" s="196" t="s">
        <v>850</v>
      </c>
      <c r="C1095" s="196">
        <v>2014</v>
      </c>
      <c r="D1095" s="196">
        <v>80</v>
      </c>
      <c r="E1095" s="196" t="s">
        <v>918</v>
      </c>
      <c r="F1095" s="196" t="s">
        <v>1398</v>
      </c>
      <c r="G1095" s="196">
        <v>241</v>
      </c>
      <c r="H1095" s="196">
        <v>136</v>
      </c>
      <c r="I1095" s="196">
        <v>250717</v>
      </c>
      <c r="J1095" s="196">
        <v>686712</v>
      </c>
      <c r="K1095" s="196">
        <v>63.98</v>
      </c>
      <c r="L1095" s="196">
        <v>0.52</v>
      </c>
      <c r="M1095" s="196">
        <v>4779</v>
      </c>
      <c r="N1095" s="196">
        <v>1061576</v>
      </c>
      <c r="O1095" s="196">
        <v>1213</v>
      </c>
      <c r="P1095" s="196"/>
      <c r="Q1095" s="196"/>
      <c r="R1095" s="196"/>
      <c r="S1095" s="196"/>
      <c r="T1095" s="196"/>
      <c r="U1095" s="196"/>
      <c r="V1095" s="196"/>
      <c r="W1095" s="196"/>
      <c r="X1095" s="196"/>
      <c r="Y1095" s="196"/>
    </row>
    <row r="1096" spans="1:25">
      <c r="A1096" s="196" t="s">
        <v>837</v>
      </c>
      <c r="B1096" s="196" t="s">
        <v>850</v>
      </c>
      <c r="C1096" s="196">
        <v>2014</v>
      </c>
      <c r="D1096" s="196">
        <v>80</v>
      </c>
      <c r="E1096" s="196" t="s">
        <v>875</v>
      </c>
      <c r="F1096" s="196" t="s">
        <v>1398</v>
      </c>
      <c r="G1096" s="196">
        <v>312</v>
      </c>
      <c r="H1096" s="196">
        <v>160</v>
      </c>
      <c r="I1096" s="196">
        <v>311541</v>
      </c>
      <c r="J1096" s="196">
        <v>775085</v>
      </c>
      <c r="K1096" s="196">
        <v>63.98</v>
      </c>
      <c r="L1096" s="196">
        <v>0.52</v>
      </c>
      <c r="M1096" s="196">
        <v>4779</v>
      </c>
      <c r="N1096" s="196">
        <v>1061576</v>
      </c>
      <c r="O1096" s="196">
        <v>1213</v>
      </c>
      <c r="P1096" s="196"/>
      <c r="Q1096" s="196"/>
      <c r="R1096" s="196"/>
      <c r="S1096" s="196"/>
      <c r="T1096" s="196"/>
      <c r="U1096" s="196"/>
      <c r="V1096" s="196"/>
      <c r="W1096" s="196"/>
      <c r="X1096" s="196"/>
      <c r="Y1096" s="196"/>
    </row>
    <row r="1097" spans="1:25">
      <c r="A1097" s="196" t="s">
        <v>837</v>
      </c>
      <c r="B1097" s="196" t="s">
        <v>838</v>
      </c>
      <c r="C1097" s="196">
        <v>2013</v>
      </c>
      <c r="D1097" s="196">
        <v>80</v>
      </c>
      <c r="E1097" s="196" t="s">
        <v>908</v>
      </c>
      <c r="F1097" s="196" t="s">
        <v>1398</v>
      </c>
      <c r="G1097" s="196">
        <v>8</v>
      </c>
      <c r="H1097" s="196">
        <v>8</v>
      </c>
      <c r="I1097" s="196">
        <v>9888</v>
      </c>
      <c r="J1097" s="196">
        <v>34897</v>
      </c>
      <c r="K1097" s="196">
        <v>63.98</v>
      </c>
      <c r="L1097" s="196">
        <v>0.52</v>
      </c>
      <c r="M1097" s="196">
        <v>4779</v>
      </c>
      <c r="N1097" s="196">
        <v>1061576</v>
      </c>
      <c r="O1097" s="196">
        <v>1213</v>
      </c>
      <c r="P1097" s="196"/>
      <c r="Q1097" s="196"/>
      <c r="R1097" s="196"/>
      <c r="S1097" s="196"/>
      <c r="T1097" s="196"/>
      <c r="U1097" s="196"/>
      <c r="V1097" s="196"/>
      <c r="W1097" s="196"/>
      <c r="X1097" s="196"/>
      <c r="Y1097" s="196"/>
    </row>
    <row r="1098" spans="1:25">
      <c r="A1098" s="196" t="s">
        <v>837</v>
      </c>
      <c r="B1098" s="196" t="s">
        <v>181</v>
      </c>
      <c r="C1098" s="196">
        <v>2013</v>
      </c>
      <c r="D1098" s="196">
        <v>80</v>
      </c>
      <c r="E1098" s="196" t="s">
        <v>876</v>
      </c>
      <c r="F1098" s="196" t="s">
        <v>1398</v>
      </c>
      <c r="G1098" s="196">
        <v>7</v>
      </c>
      <c r="H1098" s="196">
        <v>6</v>
      </c>
      <c r="I1098" s="196">
        <v>9960</v>
      </c>
      <c r="J1098" s="196">
        <v>23961</v>
      </c>
      <c r="K1098" s="196">
        <v>63.98</v>
      </c>
      <c r="L1098" s="196">
        <v>0.52</v>
      </c>
      <c r="M1098" s="196">
        <v>4779</v>
      </c>
      <c r="N1098" s="196">
        <v>1061576</v>
      </c>
      <c r="O1098" s="196">
        <v>1213</v>
      </c>
      <c r="P1098" s="196"/>
      <c r="Q1098" s="196"/>
      <c r="R1098" s="196"/>
      <c r="S1098" s="196"/>
      <c r="T1098" s="196"/>
      <c r="U1098" s="196"/>
      <c r="V1098" s="196"/>
      <c r="W1098" s="196"/>
      <c r="X1098" s="196"/>
      <c r="Y1098" s="196"/>
    </row>
    <row r="1099" spans="1:25">
      <c r="A1099" s="196" t="s">
        <v>837</v>
      </c>
      <c r="B1099" s="196" t="s">
        <v>838</v>
      </c>
      <c r="C1099" s="196">
        <v>2014</v>
      </c>
      <c r="D1099" s="196">
        <v>55</v>
      </c>
      <c r="E1099" s="196" t="s">
        <v>855</v>
      </c>
      <c r="F1099" s="196" t="s">
        <v>1398</v>
      </c>
      <c r="G1099" s="196">
        <v>1</v>
      </c>
      <c r="H1099" s="196">
        <v>1</v>
      </c>
      <c r="I1099" s="196">
        <v>297</v>
      </c>
      <c r="J1099" s="196">
        <v>2513</v>
      </c>
      <c r="K1099" s="196">
        <v>63.98</v>
      </c>
      <c r="L1099" s="196">
        <v>0.52</v>
      </c>
      <c r="M1099" s="196">
        <v>4779</v>
      </c>
      <c r="N1099" s="196">
        <v>1061576</v>
      </c>
      <c r="O1099" s="196">
        <v>1213</v>
      </c>
      <c r="P1099" s="196"/>
      <c r="Q1099" s="196"/>
      <c r="R1099" s="196"/>
      <c r="S1099" s="196"/>
      <c r="T1099" s="196"/>
      <c r="U1099" s="196"/>
      <c r="V1099" s="196"/>
      <c r="W1099" s="196"/>
      <c r="X1099" s="196"/>
      <c r="Y1099" s="196"/>
    </row>
    <row r="1100" spans="1:25">
      <c r="A1100" s="196" t="s">
        <v>837</v>
      </c>
      <c r="B1100" s="196" t="s">
        <v>850</v>
      </c>
      <c r="C1100" s="196">
        <v>2014</v>
      </c>
      <c r="D1100" s="196">
        <v>30</v>
      </c>
      <c r="E1100" s="196" t="s">
        <v>861</v>
      </c>
      <c r="F1100" s="196" t="s">
        <v>1398</v>
      </c>
      <c r="G1100" s="196">
        <v>3</v>
      </c>
      <c r="H1100" s="196">
        <v>3</v>
      </c>
      <c r="I1100" s="196">
        <v>2480</v>
      </c>
      <c r="J1100" s="196">
        <v>17116</v>
      </c>
      <c r="K1100" s="196">
        <v>63.98</v>
      </c>
      <c r="L1100" s="196">
        <v>0.52</v>
      </c>
      <c r="M1100" s="196">
        <v>4779</v>
      </c>
      <c r="N1100" s="196">
        <v>1061576</v>
      </c>
      <c r="O1100" s="196">
        <v>1213</v>
      </c>
      <c r="P1100" s="196"/>
      <c r="Q1100" s="196"/>
      <c r="R1100" s="196"/>
      <c r="S1100" s="196"/>
      <c r="T1100" s="196"/>
      <c r="U1100" s="196"/>
      <c r="V1100" s="196"/>
      <c r="W1100" s="196"/>
      <c r="X1100" s="196"/>
      <c r="Y1100" s="196"/>
    </row>
    <row r="1101" spans="1:25">
      <c r="A1101" s="196" t="s">
        <v>837</v>
      </c>
      <c r="B1101" s="196" t="s">
        <v>850</v>
      </c>
      <c r="C1101" s="196">
        <v>2014</v>
      </c>
      <c r="D1101" s="196">
        <v>55</v>
      </c>
      <c r="E1101" s="196" t="s">
        <v>862</v>
      </c>
      <c r="F1101" s="196" t="s">
        <v>1398</v>
      </c>
      <c r="G1101" s="196">
        <v>1</v>
      </c>
      <c r="H1101" s="196">
        <v>1</v>
      </c>
      <c r="I1101" s="196">
        <v>297</v>
      </c>
      <c r="J1101" s="196">
        <v>2513</v>
      </c>
      <c r="K1101" s="196">
        <v>63.98</v>
      </c>
      <c r="L1101" s="196">
        <v>0.52</v>
      </c>
      <c r="M1101" s="196">
        <v>4779</v>
      </c>
      <c r="N1101" s="196">
        <v>1061576</v>
      </c>
      <c r="O1101" s="196">
        <v>1213</v>
      </c>
      <c r="P1101" s="196"/>
      <c r="Q1101" s="196"/>
      <c r="R1101" s="196"/>
      <c r="S1101" s="196"/>
      <c r="T1101" s="196"/>
      <c r="U1101" s="196"/>
      <c r="V1101" s="196"/>
      <c r="W1101" s="196"/>
      <c r="X1101" s="196"/>
      <c r="Y1101" s="196"/>
    </row>
    <row r="1102" spans="1:25">
      <c r="A1102" s="196" t="s">
        <v>837</v>
      </c>
      <c r="B1102" s="196" t="s">
        <v>850</v>
      </c>
      <c r="C1102" s="196">
        <v>2014</v>
      </c>
      <c r="D1102" s="196">
        <v>55</v>
      </c>
      <c r="E1102" s="196" t="s">
        <v>863</v>
      </c>
      <c r="F1102" s="196" t="s">
        <v>1398</v>
      </c>
      <c r="G1102" s="196">
        <v>1</v>
      </c>
      <c r="H1102" s="196">
        <v>1</v>
      </c>
      <c r="I1102" s="196">
        <v>317</v>
      </c>
      <c r="J1102" s="196">
        <v>9433</v>
      </c>
      <c r="K1102" s="196">
        <v>63.98</v>
      </c>
      <c r="L1102" s="196">
        <v>0.52</v>
      </c>
      <c r="M1102" s="196">
        <v>4779</v>
      </c>
      <c r="N1102" s="196">
        <v>1061576</v>
      </c>
      <c r="O1102" s="196">
        <v>1213</v>
      </c>
      <c r="P1102" s="196"/>
      <c r="Q1102" s="196"/>
      <c r="R1102" s="196"/>
      <c r="S1102" s="196"/>
      <c r="T1102" s="196"/>
      <c r="U1102" s="196"/>
      <c r="V1102" s="196"/>
      <c r="W1102" s="196"/>
      <c r="X1102" s="196"/>
      <c r="Y1102" s="196"/>
    </row>
    <row r="1103" spans="1:25">
      <c r="A1103" s="196" t="s">
        <v>837</v>
      </c>
      <c r="B1103" s="196" t="s">
        <v>838</v>
      </c>
      <c r="C1103" s="196">
        <v>2013</v>
      </c>
      <c r="D1103" s="196">
        <v>30</v>
      </c>
      <c r="E1103" s="196" t="s">
        <v>839</v>
      </c>
      <c r="F1103" s="196" t="s">
        <v>1399</v>
      </c>
      <c r="G1103" s="196">
        <v>1</v>
      </c>
      <c r="H1103" s="196">
        <v>1</v>
      </c>
      <c r="I1103" s="196">
        <v>495</v>
      </c>
      <c r="J1103" s="196">
        <v>4004</v>
      </c>
      <c r="K1103" s="196">
        <v>92.01</v>
      </c>
      <c r="L1103" s="196">
        <v>4.0599999999999996</v>
      </c>
      <c r="M1103" s="196">
        <v>69567</v>
      </c>
      <c r="N1103" s="196">
        <v>1858628</v>
      </c>
      <c r="O1103" s="196">
        <v>1814</v>
      </c>
      <c r="P1103" s="196"/>
      <c r="Q1103" s="196"/>
      <c r="R1103" s="196"/>
      <c r="S1103" s="196"/>
      <c r="T1103" s="196"/>
      <c r="U1103" s="196"/>
      <c r="V1103" s="196"/>
      <c r="W1103" s="196"/>
      <c r="X1103" s="196"/>
      <c r="Y1103" s="196"/>
    </row>
    <row r="1104" spans="1:25">
      <c r="A1104" s="196" t="s">
        <v>837</v>
      </c>
      <c r="B1104" s="196" t="s">
        <v>838</v>
      </c>
      <c r="C1104" s="196">
        <v>2013</v>
      </c>
      <c r="D1104" s="196">
        <v>55</v>
      </c>
      <c r="E1104" s="196" t="s">
        <v>849</v>
      </c>
      <c r="F1104" s="196" t="s">
        <v>1399</v>
      </c>
      <c r="G1104" s="196">
        <v>1</v>
      </c>
      <c r="H1104" s="196">
        <v>1</v>
      </c>
      <c r="I1104" s="196">
        <v>86</v>
      </c>
      <c r="J1104" s="196">
        <v>97158</v>
      </c>
      <c r="K1104" s="196">
        <v>92.01</v>
      </c>
      <c r="L1104" s="196">
        <v>4.0599999999999996</v>
      </c>
      <c r="M1104" s="196">
        <v>69567</v>
      </c>
      <c r="N1104" s="196">
        <v>1858628</v>
      </c>
      <c r="O1104" s="196">
        <v>1814</v>
      </c>
      <c r="P1104" s="196"/>
      <c r="Q1104" s="196"/>
      <c r="R1104" s="196"/>
      <c r="S1104" s="196"/>
      <c r="T1104" s="196"/>
      <c r="U1104" s="196"/>
      <c r="V1104" s="196"/>
      <c r="W1104" s="196"/>
      <c r="X1104" s="196"/>
      <c r="Y1104" s="196"/>
    </row>
    <row r="1105" spans="1:25">
      <c r="A1105" s="196" t="s">
        <v>837</v>
      </c>
      <c r="B1105" s="196" t="s">
        <v>850</v>
      </c>
      <c r="C1105" s="196">
        <v>2013</v>
      </c>
      <c r="D1105" s="196">
        <v>55</v>
      </c>
      <c r="E1105" s="196" t="s">
        <v>852</v>
      </c>
      <c r="F1105" s="196" t="s">
        <v>1399</v>
      </c>
      <c r="G1105" s="196">
        <v>1</v>
      </c>
      <c r="H1105" s="196">
        <v>1</v>
      </c>
      <c r="I1105" s="196">
        <v>93</v>
      </c>
      <c r="J1105" s="196">
        <v>58679</v>
      </c>
      <c r="K1105" s="196">
        <v>92.01</v>
      </c>
      <c r="L1105" s="196">
        <v>4.0599999999999996</v>
      </c>
      <c r="M1105" s="196">
        <v>69567</v>
      </c>
      <c r="N1105" s="196">
        <v>1858628</v>
      </c>
      <c r="O1105" s="196">
        <v>1814</v>
      </c>
      <c r="P1105" s="196"/>
      <c r="Q1105" s="196"/>
      <c r="R1105" s="196"/>
      <c r="S1105" s="196"/>
      <c r="T1105" s="196"/>
      <c r="U1105" s="196"/>
      <c r="V1105" s="196"/>
      <c r="W1105" s="196"/>
      <c r="X1105" s="196"/>
      <c r="Y1105" s="196"/>
    </row>
    <row r="1106" spans="1:25">
      <c r="A1106" s="196" t="s">
        <v>837</v>
      </c>
      <c r="B1106" s="196" t="s">
        <v>850</v>
      </c>
      <c r="C1106" s="196">
        <v>2013</v>
      </c>
      <c r="D1106" s="196">
        <v>80</v>
      </c>
      <c r="E1106" s="196" t="s">
        <v>917</v>
      </c>
      <c r="F1106" s="196" t="s">
        <v>1399</v>
      </c>
      <c r="G1106" s="196">
        <v>1</v>
      </c>
      <c r="H1106" s="196">
        <v>1</v>
      </c>
      <c r="I1106" s="196">
        <v>2181</v>
      </c>
      <c r="J1106" s="196">
        <v>60095</v>
      </c>
      <c r="K1106" s="196">
        <v>92.01</v>
      </c>
      <c r="L1106" s="196">
        <v>4.0599999999999996</v>
      </c>
      <c r="M1106" s="196">
        <v>69567</v>
      </c>
      <c r="N1106" s="196">
        <v>1858628</v>
      </c>
      <c r="O1106" s="196">
        <v>1814</v>
      </c>
      <c r="P1106" s="196"/>
      <c r="Q1106" s="196"/>
      <c r="R1106" s="196"/>
      <c r="S1106" s="196"/>
      <c r="T1106" s="196"/>
      <c r="U1106" s="196"/>
      <c r="V1106" s="196"/>
      <c r="W1106" s="196"/>
      <c r="X1106" s="196"/>
      <c r="Y1106" s="196"/>
    </row>
    <row r="1107" spans="1:25">
      <c r="A1107" s="196" t="s">
        <v>837</v>
      </c>
      <c r="B1107" s="196" t="s">
        <v>181</v>
      </c>
      <c r="C1107" s="196">
        <v>2014</v>
      </c>
      <c r="D1107" s="196">
        <v>80</v>
      </c>
      <c r="E1107" s="196" t="s">
        <v>874</v>
      </c>
      <c r="F1107" s="196" t="s">
        <v>1399</v>
      </c>
      <c r="G1107" s="196">
        <v>1</v>
      </c>
      <c r="H1107" s="196">
        <v>1</v>
      </c>
      <c r="I1107" s="196">
        <v>77</v>
      </c>
      <c r="J1107" s="196">
        <v>2645</v>
      </c>
      <c r="K1107" s="196">
        <v>92.01</v>
      </c>
      <c r="L1107" s="196">
        <v>4.0599999999999996</v>
      </c>
      <c r="M1107" s="196">
        <v>69567</v>
      </c>
      <c r="N1107" s="196">
        <v>1858628</v>
      </c>
      <c r="O1107" s="196">
        <v>1814</v>
      </c>
      <c r="P1107" s="196"/>
      <c r="Q1107" s="196"/>
      <c r="R1107" s="196"/>
      <c r="S1107" s="196"/>
      <c r="T1107" s="196"/>
      <c r="U1107" s="196"/>
      <c r="V1107" s="196"/>
      <c r="W1107" s="196"/>
      <c r="X1107" s="196"/>
      <c r="Y1107" s="196"/>
    </row>
    <row r="1108" spans="1:25">
      <c r="A1108" s="196" t="s">
        <v>837</v>
      </c>
      <c r="B1108" s="196" t="s">
        <v>181</v>
      </c>
      <c r="C1108" s="196">
        <v>2013</v>
      </c>
      <c r="D1108" s="196">
        <v>80</v>
      </c>
      <c r="E1108" s="196" t="s">
        <v>876</v>
      </c>
      <c r="F1108" s="196" t="s">
        <v>1399</v>
      </c>
      <c r="G1108" s="196">
        <v>1</v>
      </c>
      <c r="H1108" s="196">
        <v>1</v>
      </c>
      <c r="I1108" s="196">
        <v>1559</v>
      </c>
      <c r="J1108" s="196">
        <v>2821</v>
      </c>
      <c r="K1108" s="196">
        <v>92.01</v>
      </c>
      <c r="L1108" s="196">
        <v>4.0599999999999996</v>
      </c>
      <c r="M1108" s="196">
        <v>69567</v>
      </c>
      <c r="N1108" s="196">
        <v>1858628</v>
      </c>
      <c r="O1108" s="196">
        <v>1814</v>
      </c>
      <c r="P1108" s="196"/>
      <c r="Q1108" s="196"/>
      <c r="R1108" s="196"/>
      <c r="S1108" s="196"/>
      <c r="T1108" s="196"/>
      <c r="U1108" s="196"/>
      <c r="V1108" s="196"/>
      <c r="W1108" s="196"/>
      <c r="X1108" s="196"/>
      <c r="Y1108" s="196"/>
    </row>
    <row r="1109" spans="1:25">
      <c r="A1109" s="196" t="s">
        <v>837</v>
      </c>
      <c r="B1109" s="196" t="s">
        <v>850</v>
      </c>
      <c r="C1109" s="196">
        <v>2014</v>
      </c>
      <c r="D1109" s="196">
        <v>30</v>
      </c>
      <c r="E1109" s="196" t="s">
        <v>861</v>
      </c>
      <c r="F1109" s="196" t="s">
        <v>1399</v>
      </c>
      <c r="G1109" s="196">
        <v>1</v>
      </c>
      <c r="H1109" s="196">
        <v>1</v>
      </c>
      <c r="I1109" s="196">
        <v>1296</v>
      </c>
      <c r="J1109" s="196">
        <v>175094</v>
      </c>
      <c r="K1109" s="196">
        <v>92.01</v>
      </c>
      <c r="L1109" s="196">
        <v>4.0599999999999996</v>
      </c>
      <c r="M1109" s="196">
        <v>69567</v>
      </c>
      <c r="N1109" s="196">
        <v>1858628</v>
      </c>
      <c r="O1109" s="196">
        <v>1814</v>
      </c>
      <c r="P1109" s="196"/>
      <c r="Q1109" s="196"/>
      <c r="R1109" s="196"/>
      <c r="S1109" s="196"/>
      <c r="T1109" s="196"/>
      <c r="U1109" s="196"/>
      <c r="V1109" s="196"/>
      <c r="W1109" s="196"/>
      <c r="X1109" s="196"/>
      <c r="Y1109" s="196"/>
    </row>
    <row r="1110" spans="1:25">
      <c r="A1110" s="196" t="s">
        <v>837</v>
      </c>
      <c r="B1110" s="196" t="s">
        <v>850</v>
      </c>
      <c r="C1110" s="196">
        <v>2013</v>
      </c>
      <c r="D1110" s="196">
        <v>30</v>
      </c>
      <c r="E1110" s="196" t="s">
        <v>851</v>
      </c>
      <c r="F1110" s="196" t="s">
        <v>1400</v>
      </c>
      <c r="G1110" s="196">
        <v>1</v>
      </c>
      <c r="H1110" s="196">
        <v>1</v>
      </c>
      <c r="I1110" s="196">
        <v>543</v>
      </c>
      <c r="J1110" s="196">
        <v>13738</v>
      </c>
      <c r="K1110" s="196">
        <v>94</v>
      </c>
      <c r="L1110" s="196">
        <v>2</v>
      </c>
      <c r="M1110" s="196">
        <v>14437</v>
      </c>
      <c r="N1110" s="196">
        <v>1831648</v>
      </c>
      <c r="O1110" s="196">
        <v>1920</v>
      </c>
      <c r="P1110" s="196"/>
      <c r="Q1110" s="196"/>
      <c r="R1110" s="196"/>
      <c r="S1110" s="196"/>
      <c r="T1110" s="196"/>
      <c r="U1110" s="196"/>
      <c r="V1110" s="196"/>
      <c r="W1110" s="196"/>
      <c r="X1110" s="196"/>
      <c r="Y1110" s="196"/>
    </row>
    <row r="1111" spans="1:25">
      <c r="A1111" s="196" t="s">
        <v>837</v>
      </c>
      <c r="B1111" s="196" t="s">
        <v>850</v>
      </c>
      <c r="C1111" s="196">
        <v>2014</v>
      </c>
      <c r="D1111" s="196">
        <v>55</v>
      </c>
      <c r="E1111" s="196" t="s">
        <v>862</v>
      </c>
      <c r="F1111" s="196" t="s">
        <v>1400</v>
      </c>
      <c r="G1111" s="196">
        <v>1</v>
      </c>
      <c r="H1111" s="196">
        <v>1</v>
      </c>
      <c r="I1111" s="196">
        <v>342</v>
      </c>
      <c r="J1111" s="196">
        <v>12520</v>
      </c>
      <c r="K1111" s="196">
        <v>94</v>
      </c>
      <c r="L1111" s="196">
        <v>2</v>
      </c>
      <c r="M1111" s="196">
        <v>14437</v>
      </c>
      <c r="N1111" s="196">
        <v>1831648</v>
      </c>
      <c r="O1111" s="196">
        <v>1920</v>
      </c>
      <c r="P1111" s="196"/>
      <c r="Q1111" s="196"/>
      <c r="R1111" s="196"/>
      <c r="S1111" s="196"/>
      <c r="T1111" s="196"/>
      <c r="U1111" s="196"/>
      <c r="V1111" s="196"/>
      <c r="W1111" s="196"/>
      <c r="X1111" s="196"/>
      <c r="Y1111" s="196"/>
    </row>
    <row r="1112" spans="1:25">
      <c r="A1112" s="196" t="s">
        <v>837</v>
      </c>
      <c r="B1112" s="196" t="s">
        <v>850</v>
      </c>
      <c r="C1112" s="196">
        <v>2013</v>
      </c>
      <c r="D1112" s="196">
        <v>30</v>
      </c>
      <c r="E1112" s="196" t="s">
        <v>851</v>
      </c>
      <c r="F1112" s="196" t="s">
        <v>1401</v>
      </c>
      <c r="G1112" s="196">
        <v>3</v>
      </c>
      <c r="H1112" s="196">
        <v>1</v>
      </c>
      <c r="I1112" s="196">
        <v>4411</v>
      </c>
      <c r="J1112" s="196">
        <v>15626</v>
      </c>
      <c r="K1112" s="196">
        <v>77.22</v>
      </c>
      <c r="L1112" s="196">
        <v>2.5099999999999998</v>
      </c>
      <c r="M1112" s="196">
        <v>8820</v>
      </c>
      <c r="N1112" s="196">
        <v>1400467</v>
      </c>
      <c r="O1112" s="196">
        <v>1494</v>
      </c>
      <c r="P1112" s="196"/>
      <c r="Q1112" s="196"/>
      <c r="R1112" s="196"/>
      <c r="S1112" s="196"/>
      <c r="T1112" s="196"/>
      <c r="U1112" s="196"/>
      <c r="V1112" s="196"/>
      <c r="W1112" s="196"/>
      <c r="X1112" s="196"/>
      <c r="Y1112" s="196"/>
    </row>
    <row r="1113" spans="1:25">
      <c r="A1113" s="196" t="s">
        <v>837</v>
      </c>
      <c r="B1113" s="196" t="s">
        <v>181</v>
      </c>
      <c r="C1113" s="196">
        <v>2013</v>
      </c>
      <c r="D1113" s="196">
        <v>80</v>
      </c>
      <c r="E1113" s="196" t="s">
        <v>876</v>
      </c>
      <c r="F1113" s="196" t="s">
        <v>1401</v>
      </c>
      <c r="G1113" s="196">
        <v>1</v>
      </c>
      <c r="H1113" s="196">
        <v>1</v>
      </c>
      <c r="I1113" s="196">
        <v>1558</v>
      </c>
      <c r="J1113" s="196">
        <v>15626</v>
      </c>
      <c r="K1113" s="196">
        <v>77.22</v>
      </c>
      <c r="L1113" s="196">
        <v>2.5099999999999998</v>
      </c>
      <c r="M1113" s="196">
        <v>8820</v>
      </c>
      <c r="N1113" s="196">
        <v>1400467</v>
      </c>
      <c r="O1113" s="196">
        <v>1494</v>
      </c>
      <c r="P1113" s="196"/>
      <c r="Q1113" s="196"/>
      <c r="R1113" s="196"/>
      <c r="S1113" s="196"/>
      <c r="T1113" s="196"/>
      <c r="U1113" s="196"/>
      <c r="V1113" s="196"/>
      <c r="W1113" s="196"/>
      <c r="X1113" s="196"/>
      <c r="Y1113" s="196"/>
    </row>
    <row r="1114" spans="1:25">
      <c r="A1114" s="196" t="s">
        <v>837</v>
      </c>
      <c r="B1114" s="196" t="s">
        <v>838</v>
      </c>
      <c r="C1114" s="196">
        <v>2013</v>
      </c>
      <c r="D1114" s="196">
        <v>30</v>
      </c>
      <c r="E1114" s="196" t="s">
        <v>839</v>
      </c>
      <c r="F1114" s="196" t="s">
        <v>1402</v>
      </c>
      <c r="G1114" s="196">
        <v>5</v>
      </c>
      <c r="H1114" s="196">
        <v>5</v>
      </c>
      <c r="I1114" s="196">
        <v>4617</v>
      </c>
      <c r="J1114" s="196">
        <v>31936</v>
      </c>
      <c r="K1114" s="196">
        <v>38.81</v>
      </c>
      <c r="L1114" s="196">
        <v>2.48</v>
      </c>
      <c r="M1114" s="196">
        <v>4149</v>
      </c>
      <c r="N1114" s="196">
        <v>721497</v>
      </c>
      <c r="O1114" s="196">
        <v>895</v>
      </c>
      <c r="P1114" s="196"/>
      <c r="Q1114" s="196"/>
      <c r="R1114" s="196"/>
      <c r="S1114" s="196"/>
      <c r="T1114" s="196"/>
      <c r="U1114" s="196"/>
      <c r="V1114" s="196"/>
      <c r="W1114" s="196"/>
      <c r="X1114" s="196"/>
      <c r="Y1114" s="196"/>
    </row>
    <row r="1115" spans="1:25">
      <c r="A1115" s="196" t="s">
        <v>837</v>
      </c>
      <c r="B1115" s="196" t="s">
        <v>838</v>
      </c>
      <c r="C1115" s="196">
        <v>2013</v>
      </c>
      <c r="D1115" s="196">
        <v>55</v>
      </c>
      <c r="E1115" s="196" t="s">
        <v>849</v>
      </c>
      <c r="F1115" s="196" t="s">
        <v>1402</v>
      </c>
      <c r="G1115" s="196">
        <v>1</v>
      </c>
      <c r="H1115" s="196">
        <v>1</v>
      </c>
      <c r="I1115" s="196">
        <v>471</v>
      </c>
      <c r="J1115" s="196">
        <v>5549</v>
      </c>
      <c r="K1115" s="196">
        <v>38.81</v>
      </c>
      <c r="L1115" s="196">
        <v>2.48</v>
      </c>
      <c r="M1115" s="196">
        <v>4149</v>
      </c>
      <c r="N1115" s="196">
        <v>721497</v>
      </c>
      <c r="O1115" s="196">
        <v>895</v>
      </c>
      <c r="P1115" s="196"/>
      <c r="Q1115" s="196"/>
      <c r="R1115" s="196"/>
      <c r="S1115" s="196"/>
      <c r="T1115" s="196"/>
      <c r="U1115" s="196"/>
      <c r="V1115" s="196"/>
      <c r="W1115" s="196"/>
      <c r="X1115" s="196"/>
      <c r="Y1115" s="196"/>
    </row>
    <row r="1116" spans="1:25">
      <c r="A1116" s="196" t="s">
        <v>837</v>
      </c>
      <c r="B1116" s="196" t="s">
        <v>850</v>
      </c>
      <c r="C1116" s="196">
        <v>2013</v>
      </c>
      <c r="D1116" s="196">
        <v>30</v>
      </c>
      <c r="E1116" s="196" t="s">
        <v>851</v>
      </c>
      <c r="F1116" s="196" t="s">
        <v>1402</v>
      </c>
      <c r="G1116" s="196">
        <v>9</v>
      </c>
      <c r="H1116" s="196">
        <v>9</v>
      </c>
      <c r="I1116" s="196">
        <v>6015</v>
      </c>
      <c r="J1116" s="196">
        <v>55758</v>
      </c>
      <c r="K1116" s="196">
        <v>38.81</v>
      </c>
      <c r="L1116" s="196">
        <v>2.48</v>
      </c>
      <c r="M1116" s="196">
        <v>4149</v>
      </c>
      <c r="N1116" s="196">
        <v>721497</v>
      </c>
      <c r="O1116" s="196">
        <v>895</v>
      </c>
      <c r="P1116" s="196"/>
      <c r="Q1116" s="196"/>
      <c r="R1116" s="196"/>
      <c r="S1116" s="196"/>
      <c r="T1116" s="196"/>
      <c r="U1116" s="196"/>
      <c r="V1116" s="196"/>
      <c r="W1116" s="196"/>
      <c r="X1116" s="196"/>
      <c r="Y1116" s="196"/>
    </row>
    <row r="1117" spans="1:25">
      <c r="A1117" s="196" t="s">
        <v>837</v>
      </c>
      <c r="B1117" s="196" t="s">
        <v>850</v>
      </c>
      <c r="C1117" s="196">
        <v>2013</v>
      </c>
      <c r="D1117" s="196">
        <v>55</v>
      </c>
      <c r="E1117" s="196" t="s">
        <v>852</v>
      </c>
      <c r="F1117" s="196" t="s">
        <v>1402</v>
      </c>
      <c r="G1117" s="196">
        <v>1</v>
      </c>
      <c r="H1117" s="196">
        <v>1</v>
      </c>
      <c r="I1117" s="196">
        <v>537</v>
      </c>
      <c r="J1117" s="196">
        <v>9197</v>
      </c>
      <c r="K1117" s="196">
        <v>38.81</v>
      </c>
      <c r="L1117" s="196">
        <v>2.48</v>
      </c>
      <c r="M1117" s="196">
        <v>4149</v>
      </c>
      <c r="N1117" s="196">
        <v>721497</v>
      </c>
      <c r="O1117" s="196">
        <v>895</v>
      </c>
      <c r="P1117" s="196"/>
      <c r="Q1117" s="196"/>
      <c r="R1117" s="196"/>
      <c r="S1117" s="196"/>
      <c r="T1117" s="196"/>
      <c r="U1117" s="196"/>
      <c r="V1117" s="196"/>
      <c r="W1117" s="196"/>
      <c r="X1117" s="196"/>
      <c r="Y1117" s="196"/>
    </row>
    <row r="1118" spans="1:25">
      <c r="A1118" s="196" t="s">
        <v>837</v>
      </c>
      <c r="B1118" s="196" t="s">
        <v>850</v>
      </c>
      <c r="C1118" s="196">
        <v>2014</v>
      </c>
      <c r="D1118" s="196">
        <v>80</v>
      </c>
      <c r="E1118" s="196" t="s">
        <v>918</v>
      </c>
      <c r="F1118" s="196" t="s">
        <v>1402</v>
      </c>
      <c r="G1118" s="196">
        <v>1</v>
      </c>
      <c r="H1118" s="196">
        <v>1</v>
      </c>
      <c r="I1118" s="196">
        <v>1059</v>
      </c>
      <c r="J1118" s="196">
        <v>3533</v>
      </c>
      <c r="K1118" s="196">
        <v>38.81</v>
      </c>
      <c r="L1118" s="196">
        <v>2.48</v>
      </c>
      <c r="M1118" s="196">
        <v>4149</v>
      </c>
      <c r="N1118" s="196">
        <v>721497</v>
      </c>
      <c r="O1118" s="196">
        <v>895</v>
      </c>
      <c r="P1118" s="196"/>
      <c r="Q1118" s="196"/>
      <c r="R1118" s="196"/>
      <c r="S1118" s="196"/>
      <c r="T1118" s="196"/>
      <c r="U1118" s="196"/>
      <c r="V1118" s="196"/>
      <c r="W1118" s="196"/>
      <c r="X1118" s="196"/>
      <c r="Y1118" s="196"/>
    </row>
    <row r="1119" spans="1:25">
      <c r="A1119" s="196" t="s">
        <v>837</v>
      </c>
      <c r="B1119" s="196" t="s">
        <v>838</v>
      </c>
      <c r="C1119" s="196">
        <v>2014</v>
      </c>
      <c r="D1119" s="196">
        <v>55</v>
      </c>
      <c r="E1119" s="196" t="s">
        <v>854</v>
      </c>
      <c r="F1119" s="196" t="s">
        <v>1402</v>
      </c>
      <c r="G1119" s="196">
        <v>1</v>
      </c>
      <c r="H1119" s="196">
        <v>1</v>
      </c>
      <c r="I1119" s="196">
        <v>369</v>
      </c>
      <c r="J1119" s="196">
        <v>9197</v>
      </c>
      <c r="K1119" s="196">
        <v>38.81</v>
      </c>
      <c r="L1119" s="196">
        <v>2.48</v>
      </c>
      <c r="M1119" s="196">
        <v>4149</v>
      </c>
      <c r="N1119" s="196">
        <v>721497</v>
      </c>
      <c r="O1119" s="196">
        <v>895</v>
      </c>
      <c r="P1119" s="196"/>
      <c r="Q1119" s="196"/>
      <c r="R1119" s="196"/>
      <c r="S1119" s="196"/>
      <c r="T1119" s="196"/>
      <c r="U1119" s="196"/>
      <c r="V1119" s="196"/>
      <c r="W1119" s="196"/>
      <c r="X1119" s="196"/>
      <c r="Y1119" s="196"/>
    </row>
    <row r="1120" spans="1:25">
      <c r="A1120" s="196" t="s">
        <v>837</v>
      </c>
      <c r="B1120" s="196" t="s">
        <v>181</v>
      </c>
      <c r="C1120" s="196">
        <v>2014</v>
      </c>
      <c r="D1120" s="196">
        <v>30</v>
      </c>
      <c r="E1120" s="196" t="s">
        <v>856</v>
      </c>
      <c r="F1120" s="196" t="s">
        <v>1402</v>
      </c>
      <c r="G1120" s="196">
        <v>1</v>
      </c>
      <c r="H1120" s="196">
        <v>1</v>
      </c>
      <c r="I1120" s="196">
        <v>510</v>
      </c>
      <c r="J1120" s="196">
        <v>4749</v>
      </c>
      <c r="K1120" s="196">
        <v>38.81</v>
      </c>
      <c r="L1120" s="196">
        <v>2.48</v>
      </c>
      <c r="M1120" s="196">
        <v>4149</v>
      </c>
      <c r="N1120" s="196">
        <v>721497</v>
      </c>
      <c r="O1120" s="196">
        <v>895</v>
      </c>
      <c r="P1120" s="196"/>
      <c r="Q1120" s="196"/>
      <c r="R1120" s="196"/>
      <c r="S1120" s="196"/>
      <c r="T1120" s="196"/>
      <c r="U1120" s="196"/>
      <c r="V1120" s="196"/>
      <c r="W1120" s="196"/>
      <c r="X1120" s="196"/>
      <c r="Y1120" s="196"/>
    </row>
    <row r="1121" spans="1:25">
      <c r="A1121" s="196" t="s">
        <v>837</v>
      </c>
      <c r="B1121" s="196" t="s">
        <v>181</v>
      </c>
      <c r="C1121" s="196">
        <v>2014</v>
      </c>
      <c r="D1121" s="196">
        <v>55</v>
      </c>
      <c r="E1121" s="196" t="s">
        <v>858</v>
      </c>
      <c r="F1121" s="196" t="s">
        <v>1402</v>
      </c>
      <c r="G1121" s="196">
        <v>2</v>
      </c>
      <c r="H1121" s="196">
        <v>2</v>
      </c>
      <c r="I1121" s="196">
        <v>903</v>
      </c>
      <c r="J1121" s="196">
        <v>9973</v>
      </c>
      <c r="K1121" s="196">
        <v>38.81</v>
      </c>
      <c r="L1121" s="196">
        <v>2.48</v>
      </c>
      <c r="M1121" s="196">
        <v>4149</v>
      </c>
      <c r="N1121" s="196">
        <v>721497</v>
      </c>
      <c r="O1121" s="196">
        <v>895</v>
      </c>
      <c r="P1121" s="196"/>
      <c r="Q1121" s="196"/>
      <c r="R1121" s="196"/>
      <c r="S1121" s="196"/>
      <c r="T1121" s="196"/>
      <c r="U1121" s="196"/>
      <c r="V1121" s="196"/>
      <c r="W1121" s="196"/>
      <c r="X1121" s="196"/>
      <c r="Y1121" s="196"/>
    </row>
    <row r="1122" spans="1:25">
      <c r="A1122" s="196" t="s">
        <v>837</v>
      </c>
      <c r="B1122" s="196" t="s">
        <v>850</v>
      </c>
      <c r="C1122" s="196">
        <v>2014</v>
      </c>
      <c r="D1122" s="196">
        <v>30</v>
      </c>
      <c r="E1122" s="196" t="s">
        <v>860</v>
      </c>
      <c r="F1122" s="196" t="s">
        <v>1402</v>
      </c>
      <c r="G1122" s="196">
        <v>2</v>
      </c>
      <c r="H1122" s="196">
        <v>2</v>
      </c>
      <c r="I1122" s="196">
        <v>1062</v>
      </c>
      <c r="J1122" s="196">
        <v>14190</v>
      </c>
      <c r="K1122" s="196">
        <v>38.81</v>
      </c>
      <c r="L1122" s="196">
        <v>2.48</v>
      </c>
      <c r="M1122" s="196">
        <v>4149</v>
      </c>
      <c r="N1122" s="196">
        <v>721497</v>
      </c>
      <c r="O1122" s="196">
        <v>895</v>
      </c>
      <c r="P1122" s="196"/>
      <c r="Q1122" s="196"/>
      <c r="R1122" s="196"/>
      <c r="S1122" s="196"/>
      <c r="T1122" s="196"/>
      <c r="U1122" s="196"/>
      <c r="V1122" s="196"/>
      <c r="W1122" s="196"/>
      <c r="X1122" s="196"/>
      <c r="Y1122" s="196"/>
    </row>
    <row r="1123" spans="1:25">
      <c r="A1123" s="196" t="s">
        <v>837</v>
      </c>
      <c r="B1123" s="196" t="s">
        <v>850</v>
      </c>
      <c r="C1123" s="196">
        <v>2014</v>
      </c>
      <c r="D1123" s="196">
        <v>30</v>
      </c>
      <c r="E1123" s="196" t="s">
        <v>861</v>
      </c>
      <c r="F1123" s="196" t="s">
        <v>1402</v>
      </c>
      <c r="G1123" s="196">
        <v>2</v>
      </c>
      <c r="H1123" s="196">
        <v>2</v>
      </c>
      <c r="I1123" s="196">
        <v>2067</v>
      </c>
      <c r="J1123" s="196">
        <v>18703</v>
      </c>
      <c r="K1123" s="196">
        <v>38.81</v>
      </c>
      <c r="L1123" s="196">
        <v>2.48</v>
      </c>
      <c r="M1123" s="196">
        <v>4149</v>
      </c>
      <c r="N1123" s="196">
        <v>721497</v>
      </c>
      <c r="O1123" s="196">
        <v>895</v>
      </c>
      <c r="P1123" s="196"/>
      <c r="Q1123" s="196"/>
      <c r="R1123" s="196"/>
      <c r="S1123" s="196"/>
      <c r="T1123" s="196"/>
      <c r="U1123" s="196"/>
      <c r="V1123" s="196"/>
      <c r="W1123" s="196"/>
      <c r="X1123" s="196"/>
      <c r="Y1123" s="196"/>
    </row>
    <row r="1124" spans="1:25">
      <c r="A1124" s="196" t="s">
        <v>837</v>
      </c>
      <c r="B1124" s="196" t="s">
        <v>850</v>
      </c>
      <c r="C1124" s="196">
        <v>2014</v>
      </c>
      <c r="D1124" s="196">
        <v>55</v>
      </c>
      <c r="E1124" s="196" t="s">
        <v>862</v>
      </c>
      <c r="F1124" s="196" t="s">
        <v>1402</v>
      </c>
      <c r="G1124" s="196">
        <v>4</v>
      </c>
      <c r="H1124" s="196">
        <v>4</v>
      </c>
      <c r="I1124" s="196">
        <v>4434</v>
      </c>
      <c r="J1124" s="196">
        <v>21927</v>
      </c>
      <c r="K1124" s="196">
        <v>38.81</v>
      </c>
      <c r="L1124" s="196">
        <v>2.48</v>
      </c>
      <c r="M1124" s="196">
        <v>4149</v>
      </c>
      <c r="N1124" s="196">
        <v>721497</v>
      </c>
      <c r="O1124" s="196">
        <v>895</v>
      </c>
      <c r="P1124" s="196"/>
      <c r="Q1124" s="196"/>
      <c r="R1124" s="196"/>
      <c r="S1124" s="196"/>
      <c r="T1124" s="196"/>
      <c r="U1124" s="196"/>
      <c r="V1124" s="196"/>
      <c r="W1124" s="196"/>
      <c r="X1124" s="196"/>
      <c r="Y1124" s="196"/>
    </row>
    <row r="1125" spans="1:25">
      <c r="A1125" s="196" t="s">
        <v>837</v>
      </c>
      <c r="B1125" s="196" t="s">
        <v>838</v>
      </c>
      <c r="C1125" s="196">
        <v>2013</v>
      </c>
      <c r="D1125" s="196">
        <v>30</v>
      </c>
      <c r="E1125" s="196" t="s">
        <v>839</v>
      </c>
      <c r="F1125" s="196" t="s">
        <v>1403</v>
      </c>
      <c r="G1125" s="196">
        <v>7</v>
      </c>
      <c r="H1125" s="196">
        <v>6</v>
      </c>
      <c r="I1125" s="196">
        <v>9243</v>
      </c>
      <c r="J1125" s="196">
        <v>62162</v>
      </c>
      <c r="K1125" s="196">
        <v>79.87</v>
      </c>
      <c r="L1125" s="196">
        <v>8.4700000000000006</v>
      </c>
      <c r="M1125" s="196">
        <v>6768</v>
      </c>
      <c r="N1125" s="196">
        <v>1520200</v>
      </c>
      <c r="O1125" s="196">
        <v>1652</v>
      </c>
      <c r="P1125" s="196"/>
      <c r="Q1125" s="196"/>
      <c r="R1125" s="196"/>
      <c r="S1125" s="196"/>
      <c r="T1125" s="196"/>
      <c r="U1125" s="196"/>
      <c r="V1125" s="196"/>
      <c r="W1125" s="196"/>
      <c r="X1125" s="196"/>
      <c r="Y1125" s="196"/>
    </row>
    <row r="1126" spans="1:25">
      <c r="A1126" s="196" t="s">
        <v>837</v>
      </c>
      <c r="B1126" s="196" t="s">
        <v>838</v>
      </c>
      <c r="C1126" s="196">
        <v>2013</v>
      </c>
      <c r="D1126" s="196">
        <v>55</v>
      </c>
      <c r="E1126" s="196" t="s">
        <v>849</v>
      </c>
      <c r="F1126" s="196" t="s">
        <v>1403</v>
      </c>
      <c r="G1126" s="196">
        <v>8</v>
      </c>
      <c r="H1126" s="196">
        <v>8</v>
      </c>
      <c r="I1126" s="196">
        <v>11496</v>
      </c>
      <c r="J1126" s="196">
        <v>82483</v>
      </c>
      <c r="K1126" s="196">
        <v>79.87</v>
      </c>
      <c r="L1126" s="196">
        <v>8.4700000000000006</v>
      </c>
      <c r="M1126" s="196">
        <v>6768</v>
      </c>
      <c r="N1126" s="196">
        <v>1520200</v>
      </c>
      <c r="O1126" s="196">
        <v>1652</v>
      </c>
      <c r="P1126" s="196"/>
      <c r="Q1126" s="196"/>
      <c r="R1126" s="196"/>
      <c r="S1126" s="196"/>
      <c r="T1126" s="196"/>
      <c r="U1126" s="196"/>
      <c r="V1126" s="196"/>
      <c r="W1126" s="196"/>
      <c r="X1126" s="196"/>
      <c r="Y1126" s="196"/>
    </row>
    <row r="1127" spans="1:25">
      <c r="A1127" s="196" t="s">
        <v>837</v>
      </c>
      <c r="B1127" s="196" t="s">
        <v>850</v>
      </c>
      <c r="C1127" s="196">
        <v>2013</v>
      </c>
      <c r="D1127" s="196">
        <v>30</v>
      </c>
      <c r="E1127" s="196" t="s">
        <v>851</v>
      </c>
      <c r="F1127" s="196" t="s">
        <v>1403</v>
      </c>
      <c r="G1127" s="196">
        <v>15</v>
      </c>
      <c r="H1127" s="196">
        <v>14</v>
      </c>
      <c r="I1127" s="196">
        <v>16086</v>
      </c>
      <c r="J1127" s="196">
        <v>159845</v>
      </c>
      <c r="K1127" s="196">
        <v>79.87</v>
      </c>
      <c r="L1127" s="196">
        <v>8.4700000000000006</v>
      </c>
      <c r="M1127" s="196">
        <v>6768</v>
      </c>
      <c r="N1127" s="196">
        <v>1520200</v>
      </c>
      <c r="O1127" s="196">
        <v>1652</v>
      </c>
      <c r="P1127" s="196"/>
      <c r="Q1127" s="196"/>
      <c r="R1127" s="196"/>
      <c r="S1127" s="196"/>
      <c r="T1127" s="196"/>
      <c r="U1127" s="196"/>
      <c r="V1127" s="196"/>
      <c r="W1127" s="196"/>
      <c r="X1127" s="196"/>
      <c r="Y1127" s="196"/>
    </row>
    <row r="1128" spans="1:25">
      <c r="A1128" s="196" t="s">
        <v>837</v>
      </c>
      <c r="B1128" s="196" t="s">
        <v>850</v>
      </c>
      <c r="C1128" s="196">
        <v>2013</v>
      </c>
      <c r="D1128" s="196">
        <v>55</v>
      </c>
      <c r="E1128" s="196" t="s">
        <v>852</v>
      </c>
      <c r="F1128" s="196" t="s">
        <v>1403</v>
      </c>
      <c r="G1128" s="196">
        <v>4</v>
      </c>
      <c r="H1128" s="196">
        <v>4</v>
      </c>
      <c r="I1128" s="196">
        <v>5274</v>
      </c>
      <c r="J1128" s="196">
        <v>15894</v>
      </c>
      <c r="K1128" s="196">
        <v>79.87</v>
      </c>
      <c r="L1128" s="196">
        <v>8.4700000000000006</v>
      </c>
      <c r="M1128" s="196">
        <v>6768</v>
      </c>
      <c r="N1128" s="196">
        <v>1520200</v>
      </c>
      <c r="O1128" s="196">
        <v>1652</v>
      </c>
      <c r="P1128" s="196"/>
      <c r="Q1128" s="196"/>
      <c r="R1128" s="196"/>
      <c r="S1128" s="196"/>
      <c r="T1128" s="196"/>
      <c r="U1128" s="196"/>
      <c r="V1128" s="196"/>
      <c r="W1128" s="196"/>
      <c r="X1128" s="196"/>
      <c r="Y1128" s="196"/>
    </row>
    <row r="1129" spans="1:25">
      <c r="A1129" s="196" t="s">
        <v>837</v>
      </c>
      <c r="B1129" s="196" t="s">
        <v>181</v>
      </c>
      <c r="C1129" s="196">
        <v>2014</v>
      </c>
      <c r="D1129" s="196">
        <v>80</v>
      </c>
      <c r="E1129" s="196" t="s">
        <v>874</v>
      </c>
      <c r="F1129" s="196" t="s">
        <v>1403</v>
      </c>
      <c r="G1129" s="196">
        <v>1</v>
      </c>
      <c r="H1129" s="196">
        <v>1</v>
      </c>
      <c r="I1129" s="196">
        <v>77</v>
      </c>
      <c r="J1129" s="196">
        <v>6202</v>
      </c>
      <c r="K1129" s="196">
        <v>79.87</v>
      </c>
      <c r="L1129" s="196">
        <v>8.4700000000000006</v>
      </c>
      <c r="M1129" s="196">
        <v>6768</v>
      </c>
      <c r="N1129" s="196">
        <v>1520200</v>
      </c>
      <c r="O1129" s="196">
        <v>1652</v>
      </c>
      <c r="P1129" s="196"/>
      <c r="Q1129" s="196"/>
      <c r="R1129" s="196"/>
      <c r="S1129" s="196"/>
      <c r="T1129" s="196"/>
      <c r="U1129" s="196"/>
      <c r="V1129" s="196"/>
      <c r="W1129" s="196"/>
      <c r="X1129" s="196"/>
      <c r="Y1129" s="196"/>
    </row>
    <row r="1130" spans="1:25">
      <c r="A1130" s="196" t="s">
        <v>837</v>
      </c>
      <c r="B1130" s="196" t="s">
        <v>850</v>
      </c>
      <c r="C1130" s="196">
        <v>2014</v>
      </c>
      <c r="D1130" s="196">
        <v>80</v>
      </c>
      <c r="E1130" s="196" t="s">
        <v>875</v>
      </c>
      <c r="F1130" s="196" t="s">
        <v>1403</v>
      </c>
      <c r="G1130" s="196">
        <v>1</v>
      </c>
      <c r="H1130" s="196">
        <v>1</v>
      </c>
      <c r="I1130" s="196">
        <v>777</v>
      </c>
      <c r="J1130" s="196">
        <v>10244</v>
      </c>
      <c r="K1130" s="196">
        <v>79.87</v>
      </c>
      <c r="L1130" s="196">
        <v>8.4700000000000006</v>
      </c>
      <c r="M1130" s="196">
        <v>6768</v>
      </c>
      <c r="N1130" s="196">
        <v>1520200</v>
      </c>
      <c r="O1130" s="196">
        <v>1652</v>
      </c>
      <c r="P1130" s="196"/>
      <c r="Q1130" s="196"/>
      <c r="R1130" s="196"/>
      <c r="S1130" s="196"/>
      <c r="T1130" s="196"/>
      <c r="U1130" s="196"/>
      <c r="V1130" s="196"/>
      <c r="W1130" s="196"/>
      <c r="X1130" s="196"/>
      <c r="Y1130" s="196"/>
    </row>
    <row r="1131" spans="1:25">
      <c r="A1131" s="196" t="s">
        <v>837</v>
      </c>
      <c r="B1131" s="196" t="s">
        <v>838</v>
      </c>
      <c r="C1131" s="196">
        <v>2014</v>
      </c>
      <c r="D1131" s="196">
        <v>55</v>
      </c>
      <c r="E1131" s="196" t="s">
        <v>854</v>
      </c>
      <c r="F1131" s="196" t="s">
        <v>1403</v>
      </c>
      <c r="G1131" s="196">
        <v>4</v>
      </c>
      <c r="H1131" s="196">
        <v>4</v>
      </c>
      <c r="I1131" s="196">
        <v>4074</v>
      </c>
      <c r="J1131" s="196">
        <v>75350</v>
      </c>
      <c r="K1131" s="196">
        <v>79.87</v>
      </c>
      <c r="L1131" s="196">
        <v>8.4700000000000006</v>
      </c>
      <c r="M1131" s="196">
        <v>6768</v>
      </c>
      <c r="N1131" s="196">
        <v>1520200</v>
      </c>
      <c r="O1131" s="196">
        <v>1652</v>
      </c>
      <c r="P1131" s="196"/>
      <c r="Q1131" s="196"/>
      <c r="R1131" s="196"/>
      <c r="S1131" s="196"/>
      <c r="T1131" s="196"/>
      <c r="U1131" s="196"/>
      <c r="V1131" s="196"/>
      <c r="W1131" s="196"/>
      <c r="X1131" s="196"/>
      <c r="Y1131" s="196"/>
    </row>
    <row r="1132" spans="1:25">
      <c r="A1132" s="196" t="s">
        <v>837</v>
      </c>
      <c r="B1132" s="196" t="s">
        <v>838</v>
      </c>
      <c r="C1132" s="196">
        <v>2014</v>
      </c>
      <c r="D1132" s="196">
        <v>55</v>
      </c>
      <c r="E1132" s="196" t="s">
        <v>855</v>
      </c>
      <c r="F1132" s="196" t="s">
        <v>1403</v>
      </c>
      <c r="G1132" s="196">
        <v>5</v>
      </c>
      <c r="H1132" s="196">
        <v>5</v>
      </c>
      <c r="I1132" s="196">
        <v>5610</v>
      </c>
      <c r="J1132" s="196">
        <v>34400</v>
      </c>
      <c r="K1132" s="196">
        <v>79.87</v>
      </c>
      <c r="L1132" s="196">
        <v>8.4700000000000006</v>
      </c>
      <c r="M1132" s="196">
        <v>6768</v>
      </c>
      <c r="N1132" s="196">
        <v>1520200</v>
      </c>
      <c r="O1132" s="196">
        <v>1652</v>
      </c>
      <c r="P1132" s="196"/>
      <c r="Q1132" s="196"/>
      <c r="R1132" s="196"/>
      <c r="S1132" s="196"/>
      <c r="T1132" s="196"/>
      <c r="U1132" s="196"/>
      <c r="V1132" s="196"/>
      <c r="W1132" s="196"/>
      <c r="X1132" s="196"/>
      <c r="Y1132" s="196"/>
    </row>
    <row r="1133" spans="1:25">
      <c r="A1133" s="196" t="s">
        <v>837</v>
      </c>
      <c r="B1133" s="196" t="s">
        <v>181</v>
      </c>
      <c r="C1133" s="196">
        <v>2014</v>
      </c>
      <c r="D1133" s="196">
        <v>30</v>
      </c>
      <c r="E1133" s="196" t="s">
        <v>856</v>
      </c>
      <c r="F1133" s="196" t="s">
        <v>1403</v>
      </c>
      <c r="G1133" s="196">
        <v>1</v>
      </c>
      <c r="H1133" s="196">
        <v>1</v>
      </c>
      <c r="I1133" s="196">
        <v>1050</v>
      </c>
      <c r="J1133" s="196">
        <v>6934</v>
      </c>
      <c r="K1133" s="196">
        <v>79.87</v>
      </c>
      <c r="L1133" s="196">
        <v>8.4700000000000006</v>
      </c>
      <c r="M1133" s="196">
        <v>6768</v>
      </c>
      <c r="N1133" s="196">
        <v>1520200</v>
      </c>
      <c r="O1133" s="196">
        <v>1652</v>
      </c>
      <c r="P1133" s="196"/>
      <c r="Q1133" s="196"/>
      <c r="R1133" s="196"/>
      <c r="S1133" s="196"/>
      <c r="T1133" s="196"/>
      <c r="U1133" s="196"/>
      <c r="V1133" s="196"/>
      <c r="W1133" s="196"/>
      <c r="X1133" s="196"/>
      <c r="Y1133" s="196"/>
    </row>
    <row r="1134" spans="1:25">
      <c r="A1134" s="196" t="s">
        <v>837</v>
      </c>
      <c r="B1134" s="196" t="s">
        <v>181</v>
      </c>
      <c r="C1134" s="196">
        <v>2014</v>
      </c>
      <c r="D1134" s="196">
        <v>55</v>
      </c>
      <c r="E1134" s="196" t="s">
        <v>858</v>
      </c>
      <c r="F1134" s="196" t="s">
        <v>1403</v>
      </c>
      <c r="G1134" s="196">
        <v>6</v>
      </c>
      <c r="H1134" s="196">
        <v>6</v>
      </c>
      <c r="I1134" s="196">
        <v>4490</v>
      </c>
      <c r="J1134" s="196">
        <v>46275</v>
      </c>
      <c r="K1134" s="196">
        <v>79.87</v>
      </c>
      <c r="L1134" s="196">
        <v>8.4700000000000006</v>
      </c>
      <c r="M1134" s="196">
        <v>6768</v>
      </c>
      <c r="N1134" s="196">
        <v>1520200</v>
      </c>
      <c r="O1134" s="196">
        <v>1652</v>
      </c>
      <c r="P1134" s="196"/>
      <c r="Q1134" s="196"/>
      <c r="R1134" s="196"/>
      <c r="S1134" s="196"/>
      <c r="T1134" s="196"/>
      <c r="U1134" s="196"/>
      <c r="V1134" s="196"/>
      <c r="W1134" s="196"/>
      <c r="X1134" s="196"/>
      <c r="Y1134" s="196"/>
    </row>
    <row r="1135" spans="1:25">
      <c r="A1135" s="196" t="s">
        <v>837</v>
      </c>
      <c r="B1135" s="196" t="s">
        <v>181</v>
      </c>
      <c r="C1135" s="196">
        <v>2014</v>
      </c>
      <c r="D1135" s="196">
        <v>55</v>
      </c>
      <c r="E1135" s="196" t="s">
        <v>859</v>
      </c>
      <c r="F1135" s="196" t="s">
        <v>1403</v>
      </c>
      <c r="G1135" s="196">
        <v>2</v>
      </c>
      <c r="H1135" s="196">
        <v>2</v>
      </c>
      <c r="I1135" s="196">
        <v>2535</v>
      </c>
      <c r="J1135" s="196">
        <v>27894</v>
      </c>
      <c r="K1135" s="196">
        <v>79.87</v>
      </c>
      <c r="L1135" s="196">
        <v>8.4700000000000006</v>
      </c>
      <c r="M1135" s="196">
        <v>6768</v>
      </c>
      <c r="N1135" s="196">
        <v>1520200</v>
      </c>
      <c r="O1135" s="196">
        <v>1652</v>
      </c>
      <c r="P1135" s="196"/>
      <c r="Q1135" s="196"/>
      <c r="R1135" s="196"/>
      <c r="S1135" s="196"/>
      <c r="T1135" s="196"/>
      <c r="U1135" s="196"/>
      <c r="V1135" s="196"/>
      <c r="W1135" s="196"/>
      <c r="X1135" s="196"/>
      <c r="Y1135" s="196"/>
    </row>
    <row r="1136" spans="1:25">
      <c r="A1136" s="196" t="s">
        <v>837</v>
      </c>
      <c r="B1136" s="196" t="s">
        <v>850</v>
      </c>
      <c r="C1136" s="196">
        <v>2014</v>
      </c>
      <c r="D1136" s="196">
        <v>30</v>
      </c>
      <c r="E1136" s="196" t="s">
        <v>860</v>
      </c>
      <c r="F1136" s="196" t="s">
        <v>1403</v>
      </c>
      <c r="G1136" s="196">
        <v>6</v>
      </c>
      <c r="H1136" s="196">
        <v>6</v>
      </c>
      <c r="I1136" s="196">
        <v>6489</v>
      </c>
      <c r="J1136" s="196">
        <v>97178</v>
      </c>
      <c r="K1136" s="196">
        <v>79.87</v>
      </c>
      <c r="L1136" s="196">
        <v>8.4700000000000006</v>
      </c>
      <c r="M1136" s="196">
        <v>6768</v>
      </c>
      <c r="N1136" s="196">
        <v>1520200</v>
      </c>
      <c r="O1136" s="196">
        <v>1652</v>
      </c>
      <c r="P1136" s="196"/>
      <c r="Q1136" s="196"/>
      <c r="R1136" s="196"/>
      <c r="S1136" s="196"/>
      <c r="T1136" s="196"/>
      <c r="U1136" s="196"/>
      <c r="V1136" s="196"/>
      <c r="W1136" s="196"/>
      <c r="X1136" s="196"/>
      <c r="Y1136" s="196"/>
    </row>
    <row r="1137" spans="1:25">
      <c r="A1137" s="196" t="s">
        <v>837</v>
      </c>
      <c r="B1137" s="196" t="s">
        <v>850</v>
      </c>
      <c r="C1137" s="196">
        <v>2014</v>
      </c>
      <c r="D1137" s="196">
        <v>30</v>
      </c>
      <c r="E1137" s="196" t="s">
        <v>861</v>
      </c>
      <c r="F1137" s="196" t="s">
        <v>1403</v>
      </c>
      <c r="G1137" s="196">
        <v>1</v>
      </c>
      <c r="H1137" s="196">
        <v>1</v>
      </c>
      <c r="I1137" s="196">
        <v>678</v>
      </c>
      <c r="J1137" s="196">
        <v>14890</v>
      </c>
      <c r="K1137" s="196">
        <v>79.87</v>
      </c>
      <c r="L1137" s="196">
        <v>8.4700000000000006</v>
      </c>
      <c r="M1137" s="196">
        <v>6768</v>
      </c>
      <c r="N1137" s="196">
        <v>1520200</v>
      </c>
      <c r="O1137" s="196">
        <v>1652</v>
      </c>
      <c r="P1137" s="196"/>
      <c r="Q1137" s="196"/>
      <c r="R1137" s="196"/>
      <c r="S1137" s="196"/>
      <c r="T1137" s="196"/>
      <c r="U1137" s="196"/>
      <c r="V1137" s="196"/>
      <c r="W1137" s="196"/>
      <c r="X1137" s="196"/>
      <c r="Y1137" s="196"/>
    </row>
    <row r="1138" spans="1:25">
      <c r="A1138" s="196" t="s">
        <v>837</v>
      </c>
      <c r="B1138" s="196" t="s">
        <v>850</v>
      </c>
      <c r="C1138" s="196">
        <v>2014</v>
      </c>
      <c r="D1138" s="196">
        <v>55</v>
      </c>
      <c r="E1138" s="196" t="s">
        <v>862</v>
      </c>
      <c r="F1138" s="196" t="s">
        <v>1403</v>
      </c>
      <c r="G1138" s="196">
        <v>13</v>
      </c>
      <c r="H1138" s="196">
        <v>13</v>
      </c>
      <c r="I1138" s="196">
        <v>14646</v>
      </c>
      <c r="J1138" s="196">
        <v>138157</v>
      </c>
      <c r="K1138" s="196">
        <v>79.87</v>
      </c>
      <c r="L1138" s="196">
        <v>8.4700000000000006</v>
      </c>
      <c r="M1138" s="196">
        <v>6768</v>
      </c>
      <c r="N1138" s="196">
        <v>1520200</v>
      </c>
      <c r="O1138" s="196">
        <v>1652</v>
      </c>
      <c r="P1138" s="196"/>
      <c r="Q1138" s="196"/>
      <c r="R1138" s="196"/>
      <c r="S1138" s="196"/>
      <c r="T1138" s="196"/>
      <c r="U1138" s="196"/>
      <c r="V1138" s="196"/>
      <c r="W1138" s="196"/>
      <c r="X1138" s="196"/>
      <c r="Y1138" s="196"/>
    </row>
    <row r="1139" spans="1:25">
      <c r="A1139" s="196" t="s">
        <v>837</v>
      </c>
      <c r="B1139" s="196" t="s">
        <v>850</v>
      </c>
      <c r="C1139" s="196">
        <v>2014</v>
      </c>
      <c r="D1139" s="196">
        <v>55</v>
      </c>
      <c r="E1139" s="196" t="s">
        <v>863</v>
      </c>
      <c r="F1139" s="196" t="s">
        <v>1403</v>
      </c>
      <c r="G1139" s="196">
        <v>1</v>
      </c>
      <c r="H1139" s="196">
        <v>1</v>
      </c>
      <c r="I1139" s="196">
        <v>1719</v>
      </c>
      <c r="J1139" s="196">
        <v>7825</v>
      </c>
      <c r="K1139" s="196">
        <v>79.87</v>
      </c>
      <c r="L1139" s="196">
        <v>8.4700000000000006</v>
      </c>
      <c r="M1139" s="196">
        <v>6768</v>
      </c>
      <c r="N1139" s="196">
        <v>1520200</v>
      </c>
      <c r="O1139" s="196">
        <v>1652</v>
      </c>
      <c r="P1139" s="196"/>
      <c r="Q1139" s="196"/>
      <c r="R1139" s="196"/>
      <c r="S1139" s="196"/>
      <c r="T1139" s="196"/>
      <c r="U1139" s="196"/>
      <c r="V1139" s="196"/>
      <c r="W1139" s="196"/>
      <c r="X1139" s="196"/>
      <c r="Y1139" s="196"/>
    </row>
    <row r="1140" spans="1:25">
      <c r="A1140" s="196" t="s">
        <v>837</v>
      </c>
      <c r="B1140" s="196" t="s">
        <v>838</v>
      </c>
      <c r="C1140" s="196">
        <v>2013</v>
      </c>
      <c r="D1140" s="196">
        <v>55</v>
      </c>
      <c r="E1140" s="196" t="s">
        <v>849</v>
      </c>
      <c r="F1140" s="196" t="s">
        <v>1404</v>
      </c>
      <c r="G1140" s="196">
        <v>1</v>
      </c>
      <c r="H1140" s="196">
        <v>1</v>
      </c>
      <c r="I1140" s="196">
        <v>927</v>
      </c>
      <c r="J1140" s="196">
        <v>11318</v>
      </c>
      <c r="K1140" s="196">
        <v>91.18</v>
      </c>
      <c r="L1140" s="196">
        <v>2.4300000000000002</v>
      </c>
      <c r="M1140" s="196">
        <v>10001</v>
      </c>
      <c r="N1140" s="196">
        <v>2140740</v>
      </c>
      <c r="O1140" s="196">
        <v>2197</v>
      </c>
      <c r="P1140" s="196"/>
      <c r="Q1140" s="196"/>
      <c r="R1140" s="196"/>
      <c r="S1140" s="196"/>
      <c r="T1140" s="196"/>
      <c r="U1140" s="196"/>
      <c r="V1140" s="196"/>
      <c r="W1140" s="196"/>
      <c r="X1140" s="196"/>
      <c r="Y1140" s="196"/>
    </row>
    <row r="1141" spans="1:25">
      <c r="A1141" s="196" t="s">
        <v>837</v>
      </c>
      <c r="B1141" s="196" t="s">
        <v>850</v>
      </c>
      <c r="C1141" s="196">
        <v>2013</v>
      </c>
      <c r="D1141" s="196">
        <v>30</v>
      </c>
      <c r="E1141" s="196" t="s">
        <v>851</v>
      </c>
      <c r="F1141" s="196" t="s">
        <v>1404</v>
      </c>
      <c r="G1141" s="196">
        <v>1</v>
      </c>
      <c r="H1141" s="196">
        <v>1</v>
      </c>
      <c r="I1141" s="196">
        <v>825</v>
      </c>
      <c r="J1141" s="196">
        <v>5651</v>
      </c>
      <c r="K1141" s="196">
        <v>91.18</v>
      </c>
      <c r="L1141" s="196">
        <v>2.4300000000000002</v>
      </c>
      <c r="M1141" s="196">
        <v>10001</v>
      </c>
      <c r="N1141" s="196">
        <v>2140740</v>
      </c>
      <c r="O1141" s="196">
        <v>2197</v>
      </c>
      <c r="P1141" s="196"/>
      <c r="Q1141" s="196"/>
      <c r="R1141" s="196"/>
      <c r="S1141" s="196"/>
      <c r="T1141" s="196"/>
      <c r="U1141" s="196"/>
      <c r="V1141" s="196"/>
      <c r="W1141" s="196"/>
      <c r="X1141" s="196"/>
      <c r="Y1141" s="196"/>
    </row>
    <row r="1142" spans="1:25">
      <c r="A1142" s="196" t="s">
        <v>837</v>
      </c>
      <c r="B1142" s="196" t="s">
        <v>850</v>
      </c>
      <c r="C1142" s="196">
        <v>2013</v>
      </c>
      <c r="D1142" s="196">
        <v>55</v>
      </c>
      <c r="E1142" s="196" t="s">
        <v>852</v>
      </c>
      <c r="F1142" s="196" t="s">
        <v>1404</v>
      </c>
      <c r="G1142" s="196">
        <v>5</v>
      </c>
      <c r="H1142" s="196">
        <v>3</v>
      </c>
      <c r="I1142" s="196">
        <v>5853</v>
      </c>
      <c r="J1142" s="196">
        <v>21626</v>
      </c>
      <c r="K1142" s="196">
        <v>91.18</v>
      </c>
      <c r="L1142" s="196">
        <v>2.4300000000000002</v>
      </c>
      <c r="M1142" s="196">
        <v>10001</v>
      </c>
      <c r="N1142" s="196">
        <v>2140740</v>
      </c>
      <c r="O1142" s="196">
        <v>2197</v>
      </c>
      <c r="P1142" s="196"/>
      <c r="Q1142" s="196"/>
      <c r="R1142" s="196"/>
      <c r="S1142" s="196"/>
      <c r="T1142" s="196"/>
      <c r="U1142" s="196"/>
      <c r="V1142" s="196"/>
      <c r="W1142" s="196"/>
      <c r="X1142" s="196"/>
      <c r="Y1142" s="196"/>
    </row>
    <row r="1143" spans="1:25">
      <c r="A1143" s="196" t="s">
        <v>837</v>
      </c>
      <c r="B1143" s="196" t="s">
        <v>838</v>
      </c>
      <c r="C1143" s="196">
        <v>2014</v>
      </c>
      <c r="D1143" s="196">
        <v>80</v>
      </c>
      <c r="E1143" s="196" t="s">
        <v>853</v>
      </c>
      <c r="F1143" s="196" t="s">
        <v>1404</v>
      </c>
      <c r="G1143" s="196">
        <v>1</v>
      </c>
      <c r="H1143" s="196">
        <v>1</v>
      </c>
      <c r="I1143" s="196">
        <v>3192</v>
      </c>
      <c r="J1143" s="196">
        <v>6740</v>
      </c>
      <c r="K1143" s="196">
        <v>91.18</v>
      </c>
      <c r="L1143" s="196">
        <v>2.4300000000000002</v>
      </c>
      <c r="M1143" s="196">
        <v>10001</v>
      </c>
      <c r="N1143" s="196">
        <v>2140740</v>
      </c>
      <c r="O1143" s="196">
        <v>2197</v>
      </c>
      <c r="P1143" s="196"/>
      <c r="Q1143" s="196"/>
      <c r="R1143" s="196"/>
      <c r="S1143" s="196"/>
      <c r="T1143" s="196"/>
      <c r="U1143" s="196"/>
      <c r="V1143" s="196"/>
      <c r="W1143" s="196"/>
      <c r="X1143" s="196"/>
      <c r="Y1143" s="196"/>
    </row>
    <row r="1144" spans="1:25">
      <c r="A1144" s="196" t="s">
        <v>837</v>
      </c>
      <c r="B1144" s="196" t="s">
        <v>181</v>
      </c>
      <c r="C1144" s="196">
        <v>2014</v>
      </c>
      <c r="D1144" s="196">
        <v>55</v>
      </c>
      <c r="E1144" s="196" t="s">
        <v>858</v>
      </c>
      <c r="F1144" s="196" t="s">
        <v>1404</v>
      </c>
      <c r="G1144" s="196">
        <v>1</v>
      </c>
      <c r="H1144" s="196">
        <v>1</v>
      </c>
      <c r="I1144" s="196">
        <v>927</v>
      </c>
      <c r="J1144" s="196">
        <v>11318</v>
      </c>
      <c r="K1144" s="196">
        <v>91.18</v>
      </c>
      <c r="L1144" s="196">
        <v>2.4300000000000002</v>
      </c>
      <c r="M1144" s="196">
        <v>10001</v>
      </c>
      <c r="N1144" s="196">
        <v>2140740</v>
      </c>
      <c r="O1144" s="196">
        <v>2197</v>
      </c>
      <c r="P1144" s="196"/>
      <c r="Q1144" s="196"/>
      <c r="R1144" s="196"/>
      <c r="S1144" s="196"/>
      <c r="T1144" s="196"/>
      <c r="U1144" s="196"/>
      <c r="V1144" s="196"/>
      <c r="W1144" s="196"/>
      <c r="X1144" s="196"/>
      <c r="Y1144" s="196"/>
    </row>
    <row r="1145" spans="1:25">
      <c r="A1145" s="196" t="s">
        <v>837</v>
      </c>
      <c r="B1145" s="196" t="s">
        <v>838</v>
      </c>
      <c r="C1145" s="196">
        <v>2013</v>
      </c>
      <c r="D1145" s="196">
        <v>80</v>
      </c>
      <c r="E1145" s="196" t="s">
        <v>908</v>
      </c>
      <c r="F1145" s="196" t="s">
        <v>1405</v>
      </c>
      <c r="G1145" s="196">
        <v>1</v>
      </c>
      <c r="H1145" s="196">
        <v>1</v>
      </c>
      <c r="I1145" s="196">
        <v>4263</v>
      </c>
      <c r="J1145" s="196">
        <v>5898</v>
      </c>
      <c r="K1145" s="196">
        <v>71.510000000000005</v>
      </c>
      <c r="L1145" s="196">
        <v>3.01</v>
      </c>
      <c r="M1145" s="196">
        <v>7461</v>
      </c>
      <c r="N1145" s="196">
        <v>2104151</v>
      </c>
      <c r="O1145" s="196">
        <v>2023</v>
      </c>
      <c r="P1145" s="196"/>
      <c r="Q1145" s="196"/>
      <c r="R1145" s="196"/>
      <c r="S1145" s="196"/>
      <c r="T1145" s="196"/>
      <c r="U1145" s="196"/>
      <c r="V1145" s="196"/>
      <c r="W1145" s="196"/>
      <c r="X1145" s="196"/>
      <c r="Y1145" s="196"/>
    </row>
    <row r="1146" spans="1:25">
      <c r="A1146" s="196" t="s">
        <v>837</v>
      </c>
      <c r="B1146" s="196" t="s">
        <v>838</v>
      </c>
      <c r="C1146" s="196">
        <v>2013</v>
      </c>
      <c r="D1146" s="196">
        <v>55</v>
      </c>
      <c r="E1146" s="196" t="s">
        <v>849</v>
      </c>
      <c r="F1146" s="196" t="s">
        <v>1406</v>
      </c>
      <c r="G1146" s="196">
        <v>1</v>
      </c>
      <c r="H1146" s="196">
        <v>1</v>
      </c>
      <c r="I1146" s="196">
        <v>1191</v>
      </c>
      <c r="J1146" s="196">
        <v>7317</v>
      </c>
      <c r="K1146" s="196">
        <v>71.02</v>
      </c>
      <c r="L1146" s="196">
        <v>6.69</v>
      </c>
      <c r="M1146" s="196">
        <v>5643</v>
      </c>
      <c r="N1146" s="196">
        <v>1070853</v>
      </c>
      <c r="O1146" s="196">
        <v>1147</v>
      </c>
      <c r="P1146" s="196"/>
      <c r="Q1146" s="196"/>
      <c r="R1146" s="196"/>
      <c r="S1146" s="196"/>
      <c r="T1146" s="196"/>
      <c r="U1146" s="196"/>
      <c r="V1146" s="196"/>
      <c r="W1146" s="196"/>
      <c r="X1146" s="196"/>
      <c r="Y1146" s="196"/>
    </row>
    <row r="1147" spans="1:25">
      <c r="A1147" s="196" t="s">
        <v>837</v>
      </c>
      <c r="B1147" s="196" t="s">
        <v>850</v>
      </c>
      <c r="C1147" s="196">
        <v>2013</v>
      </c>
      <c r="D1147" s="196">
        <v>30</v>
      </c>
      <c r="E1147" s="196" t="s">
        <v>851</v>
      </c>
      <c r="F1147" s="196" t="s">
        <v>1406</v>
      </c>
      <c r="G1147" s="196">
        <v>1</v>
      </c>
      <c r="H1147" s="196">
        <v>1</v>
      </c>
      <c r="I1147" s="196">
        <v>525</v>
      </c>
      <c r="J1147" s="196">
        <v>5210</v>
      </c>
      <c r="K1147" s="196">
        <v>71.02</v>
      </c>
      <c r="L1147" s="196">
        <v>6.69</v>
      </c>
      <c r="M1147" s="196">
        <v>5643</v>
      </c>
      <c r="N1147" s="196">
        <v>1070853</v>
      </c>
      <c r="O1147" s="196">
        <v>1147</v>
      </c>
      <c r="P1147" s="196"/>
      <c r="Q1147" s="196"/>
      <c r="R1147" s="196"/>
      <c r="S1147" s="196"/>
      <c r="T1147" s="196"/>
      <c r="U1147" s="196"/>
      <c r="V1147" s="196"/>
      <c r="W1147" s="196"/>
      <c r="X1147" s="196"/>
      <c r="Y1147" s="196"/>
    </row>
    <row r="1148" spans="1:25">
      <c r="A1148" s="196" t="s">
        <v>837</v>
      </c>
      <c r="B1148" s="196" t="s">
        <v>850</v>
      </c>
      <c r="C1148" s="196">
        <v>2013</v>
      </c>
      <c r="D1148" s="196">
        <v>55</v>
      </c>
      <c r="E1148" s="196" t="s">
        <v>852</v>
      </c>
      <c r="F1148" s="196" t="s">
        <v>1406</v>
      </c>
      <c r="G1148" s="196">
        <v>1</v>
      </c>
      <c r="H1148" s="196">
        <v>1</v>
      </c>
      <c r="I1148" s="196">
        <v>1191</v>
      </c>
      <c r="J1148" s="196">
        <v>7317</v>
      </c>
      <c r="K1148" s="196">
        <v>71.02</v>
      </c>
      <c r="L1148" s="196">
        <v>6.69</v>
      </c>
      <c r="M1148" s="196">
        <v>5643</v>
      </c>
      <c r="N1148" s="196">
        <v>1070853</v>
      </c>
      <c r="O1148" s="196">
        <v>1147</v>
      </c>
      <c r="P1148" s="196"/>
      <c r="Q1148" s="196"/>
      <c r="R1148" s="196"/>
      <c r="S1148" s="196"/>
      <c r="T1148" s="196"/>
      <c r="U1148" s="196"/>
      <c r="V1148" s="196"/>
      <c r="W1148" s="196"/>
      <c r="X1148" s="196"/>
      <c r="Y1148" s="196"/>
    </row>
    <row r="1149" spans="1:25">
      <c r="A1149" s="196" t="s">
        <v>837</v>
      </c>
      <c r="B1149" s="196" t="s">
        <v>838</v>
      </c>
      <c r="C1149" s="196">
        <v>2014</v>
      </c>
      <c r="D1149" s="196">
        <v>80</v>
      </c>
      <c r="E1149" s="196" t="s">
        <v>853</v>
      </c>
      <c r="F1149" s="196" t="s">
        <v>1406</v>
      </c>
      <c r="G1149" s="196">
        <v>1</v>
      </c>
      <c r="H1149" s="196">
        <v>1</v>
      </c>
      <c r="I1149" s="196">
        <v>1050</v>
      </c>
      <c r="J1149" s="196">
        <v>7993</v>
      </c>
      <c r="K1149" s="196">
        <v>71.02</v>
      </c>
      <c r="L1149" s="196">
        <v>6.69</v>
      </c>
      <c r="M1149" s="196">
        <v>5643</v>
      </c>
      <c r="N1149" s="196">
        <v>1070853</v>
      </c>
      <c r="O1149" s="196">
        <v>1147</v>
      </c>
      <c r="P1149" s="196"/>
      <c r="Q1149" s="196"/>
      <c r="R1149" s="196"/>
      <c r="S1149" s="196"/>
      <c r="T1149" s="196"/>
      <c r="U1149" s="196"/>
      <c r="V1149" s="196"/>
      <c r="W1149" s="196"/>
      <c r="X1149" s="196"/>
      <c r="Y1149" s="196"/>
    </row>
    <row r="1150" spans="1:25">
      <c r="A1150" s="196" t="s">
        <v>837</v>
      </c>
      <c r="B1150" s="196" t="s">
        <v>181</v>
      </c>
      <c r="C1150" s="196">
        <v>2014</v>
      </c>
      <c r="D1150" s="196">
        <v>80</v>
      </c>
      <c r="E1150" s="196" t="s">
        <v>874</v>
      </c>
      <c r="F1150" s="196" t="s">
        <v>1406</v>
      </c>
      <c r="G1150" s="196">
        <v>1</v>
      </c>
      <c r="H1150" s="196">
        <v>1</v>
      </c>
      <c r="I1150" s="196">
        <v>1134</v>
      </c>
      <c r="J1150" s="196">
        <v>7460</v>
      </c>
      <c r="K1150" s="196">
        <v>71.02</v>
      </c>
      <c r="L1150" s="196">
        <v>6.69</v>
      </c>
      <c r="M1150" s="196">
        <v>5643</v>
      </c>
      <c r="N1150" s="196">
        <v>1070853</v>
      </c>
      <c r="O1150" s="196">
        <v>1147</v>
      </c>
      <c r="P1150" s="196"/>
      <c r="Q1150" s="196"/>
      <c r="R1150" s="196"/>
      <c r="S1150" s="196"/>
      <c r="T1150" s="196"/>
      <c r="U1150" s="196"/>
      <c r="V1150" s="196"/>
      <c r="W1150" s="196"/>
      <c r="X1150" s="196"/>
      <c r="Y1150" s="196"/>
    </row>
    <row r="1151" spans="1:25">
      <c r="A1151" s="196" t="s">
        <v>837</v>
      </c>
      <c r="B1151" s="196" t="s">
        <v>181</v>
      </c>
      <c r="C1151" s="196">
        <v>2014</v>
      </c>
      <c r="D1151" s="196">
        <v>55</v>
      </c>
      <c r="E1151" s="196" t="s">
        <v>858</v>
      </c>
      <c r="F1151" s="196" t="s">
        <v>1406</v>
      </c>
      <c r="G1151" s="196">
        <v>1</v>
      </c>
      <c r="H1151" s="196">
        <v>1</v>
      </c>
      <c r="I1151" s="196">
        <v>1344</v>
      </c>
      <c r="J1151" s="196">
        <v>7323</v>
      </c>
      <c r="K1151" s="196">
        <v>71.02</v>
      </c>
      <c r="L1151" s="196">
        <v>6.69</v>
      </c>
      <c r="M1151" s="196">
        <v>5643</v>
      </c>
      <c r="N1151" s="196">
        <v>1070853</v>
      </c>
      <c r="O1151" s="196">
        <v>1147</v>
      </c>
      <c r="P1151" s="196"/>
      <c r="Q1151" s="196"/>
      <c r="R1151" s="196"/>
      <c r="S1151" s="196"/>
      <c r="T1151" s="196"/>
      <c r="U1151" s="196"/>
      <c r="V1151" s="196"/>
      <c r="W1151" s="196"/>
      <c r="X1151" s="196"/>
      <c r="Y1151" s="196"/>
    </row>
    <row r="1152" spans="1:25">
      <c r="A1152" s="196" t="s">
        <v>837</v>
      </c>
      <c r="B1152" s="196" t="s">
        <v>838</v>
      </c>
      <c r="C1152" s="196">
        <v>2013</v>
      </c>
      <c r="D1152" s="196">
        <v>55</v>
      </c>
      <c r="E1152" s="196" t="s">
        <v>849</v>
      </c>
      <c r="F1152" s="196" t="s">
        <v>1407</v>
      </c>
      <c r="G1152" s="196">
        <v>1</v>
      </c>
      <c r="H1152" s="196">
        <v>1</v>
      </c>
      <c r="I1152" s="196">
        <v>285</v>
      </c>
      <c r="J1152" s="196">
        <v>26004</v>
      </c>
      <c r="K1152" s="196">
        <v>81.349999999999994</v>
      </c>
      <c r="L1152" s="196">
        <v>0</v>
      </c>
      <c r="M1152" s="196">
        <v>5836</v>
      </c>
      <c r="N1152" s="196">
        <v>945173</v>
      </c>
      <c r="O1152" s="196">
        <v>1094</v>
      </c>
      <c r="P1152" s="196"/>
      <c r="Q1152" s="196"/>
      <c r="R1152" s="196"/>
      <c r="S1152" s="196"/>
      <c r="T1152" s="196"/>
      <c r="U1152" s="196"/>
      <c r="V1152" s="196"/>
      <c r="W1152" s="196"/>
      <c r="X1152" s="196"/>
      <c r="Y1152" s="196"/>
    </row>
    <row r="1153" spans="1:25">
      <c r="A1153" s="196" t="s">
        <v>837</v>
      </c>
      <c r="B1153" s="196" t="s">
        <v>850</v>
      </c>
      <c r="C1153" s="196">
        <v>2013</v>
      </c>
      <c r="D1153" s="196">
        <v>30</v>
      </c>
      <c r="E1153" s="196" t="s">
        <v>851</v>
      </c>
      <c r="F1153" s="196" t="s">
        <v>1407</v>
      </c>
      <c r="G1153" s="196">
        <v>1</v>
      </c>
      <c r="H1153" s="196">
        <v>1</v>
      </c>
      <c r="I1153" s="196">
        <v>1830</v>
      </c>
      <c r="J1153" s="196">
        <v>9455</v>
      </c>
      <c r="K1153" s="196">
        <v>81.349999999999994</v>
      </c>
      <c r="L1153" s="196">
        <v>0</v>
      </c>
      <c r="M1153" s="196">
        <v>5836</v>
      </c>
      <c r="N1153" s="196">
        <v>945173</v>
      </c>
      <c r="O1153" s="196">
        <v>1094</v>
      </c>
      <c r="P1153" s="196"/>
      <c r="Q1153" s="196"/>
      <c r="R1153" s="196"/>
      <c r="S1153" s="196"/>
      <c r="T1153" s="196"/>
      <c r="U1153" s="196"/>
      <c r="V1153" s="196"/>
      <c r="W1153" s="196"/>
      <c r="X1153" s="196"/>
      <c r="Y1153" s="196"/>
    </row>
    <row r="1154" spans="1:25">
      <c r="A1154" s="196" t="s">
        <v>837</v>
      </c>
      <c r="B1154" s="196" t="s">
        <v>850</v>
      </c>
      <c r="C1154" s="196">
        <v>2013</v>
      </c>
      <c r="D1154" s="196">
        <v>55</v>
      </c>
      <c r="E1154" s="196" t="s">
        <v>852</v>
      </c>
      <c r="F1154" s="196" t="s">
        <v>1407</v>
      </c>
      <c r="G1154" s="196">
        <v>2</v>
      </c>
      <c r="H1154" s="196">
        <v>2</v>
      </c>
      <c r="I1154" s="196">
        <v>1211</v>
      </c>
      <c r="J1154" s="196">
        <v>13714</v>
      </c>
      <c r="K1154" s="196">
        <v>81.349999999999994</v>
      </c>
      <c r="L1154" s="196">
        <v>0</v>
      </c>
      <c r="M1154" s="196">
        <v>5836</v>
      </c>
      <c r="N1154" s="196">
        <v>945173</v>
      </c>
      <c r="O1154" s="196">
        <v>1094</v>
      </c>
      <c r="P1154" s="196"/>
      <c r="Q1154" s="196"/>
      <c r="R1154" s="196"/>
      <c r="S1154" s="196"/>
      <c r="T1154" s="196"/>
      <c r="U1154" s="196"/>
      <c r="V1154" s="196"/>
      <c r="W1154" s="196"/>
      <c r="X1154" s="196"/>
      <c r="Y1154" s="196"/>
    </row>
    <row r="1155" spans="1:25">
      <c r="A1155" s="196" t="s">
        <v>837</v>
      </c>
      <c r="B1155" s="196" t="s">
        <v>838</v>
      </c>
      <c r="C1155" s="196">
        <v>2014</v>
      </c>
      <c r="D1155" s="196">
        <v>80</v>
      </c>
      <c r="E1155" s="196" t="s">
        <v>853</v>
      </c>
      <c r="F1155" s="196" t="s">
        <v>1407</v>
      </c>
      <c r="G1155" s="196">
        <v>1</v>
      </c>
      <c r="H1155" s="196">
        <v>1</v>
      </c>
      <c r="I1155" s="196">
        <v>1656</v>
      </c>
      <c r="J1155" s="196">
        <v>6113</v>
      </c>
      <c r="K1155" s="196">
        <v>81.349999999999994</v>
      </c>
      <c r="L1155" s="196">
        <v>0</v>
      </c>
      <c r="M1155" s="196">
        <v>5836</v>
      </c>
      <c r="N1155" s="196">
        <v>945173</v>
      </c>
      <c r="O1155" s="196">
        <v>1094</v>
      </c>
      <c r="P1155" s="196"/>
      <c r="Q1155" s="196"/>
      <c r="R1155" s="196"/>
      <c r="S1155" s="196"/>
      <c r="T1155" s="196"/>
      <c r="U1155" s="196"/>
      <c r="V1155" s="196"/>
      <c r="W1155" s="196"/>
      <c r="X1155" s="196"/>
      <c r="Y1155" s="196"/>
    </row>
    <row r="1156" spans="1:25">
      <c r="A1156" s="196" t="s">
        <v>837</v>
      </c>
      <c r="B1156" s="196" t="s">
        <v>181</v>
      </c>
      <c r="C1156" s="196">
        <v>2014</v>
      </c>
      <c r="D1156" s="196">
        <v>80</v>
      </c>
      <c r="E1156" s="196" t="s">
        <v>874</v>
      </c>
      <c r="F1156" s="196" t="s">
        <v>1407</v>
      </c>
      <c r="G1156" s="196">
        <v>1</v>
      </c>
      <c r="H1156" s="196">
        <v>1</v>
      </c>
      <c r="I1156" s="196">
        <v>77</v>
      </c>
      <c r="J1156" s="196">
        <v>8966</v>
      </c>
      <c r="K1156" s="196">
        <v>81.349999999999994</v>
      </c>
      <c r="L1156" s="196">
        <v>0</v>
      </c>
      <c r="M1156" s="196">
        <v>5836</v>
      </c>
      <c r="N1156" s="196">
        <v>945173</v>
      </c>
      <c r="O1156" s="196">
        <v>1094</v>
      </c>
      <c r="P1156" s="196"/>
      <c r="Q1156" s="196"/>
      <c r="R1156" s="196"/>
      <c r="S1156" s="196"/>
      <c r="T1156" s="196"/>
      <c r="U1156" s="196"/>
      <c r="V1156" s="196"/>
      <c r="W1156" s="196"/>
      <c r="X1156" s="196"/>
      <c r="Y1156" s="196"/>
    </row>
    <row r="1157" spans="1:25">
      <c r="A1157" s="196" t="s">
        <v>837</v>
      </c>
      <c r="B1157" s="196" t="s">
        <v>850</v>
      </c>
      <c r="C1157" s="196">
        <v>2014</v>
      </c>
      <c r="D1157" s="196">
        <v>80</v>
      </c>
      <c r="E1157" s="196" t="s">
        <v>918</v>
      </c>
      <c r="F1157" s="196" t="s">
        <v>1407</v>
      </c>
      <c r="G1157" s="196">
        <v>1</v>
      </c>
      <c r="H1157" s="196">
        <v>1</v>
      </c>
      <c r="I1157" s="196">
        <v>1656</v>
      </c>
      <c r="J1157" s="196">
        <v>6113</v>
      </c>
      <c r="K1157" s="196">
        <v>81.349999999999994</v>
      </c>
      <c r="L1157" s="196">
        <v>0</v>
      </c>
      <c r="M1157" s="196">
        <v>5836</v>
      </c>
      <c r="N1157" s="196">
        <v>945173</v>
      </c>
      <c r="O1157" s="196">
        <v>1094</v>
      </c>
      <c r="P1157" s="196"/>
      <c r="Q1157" s="196"/>
      <c r="R1157" s="196"/>
      <c r="S1157" s="196"/>
      <c r="T1157" s="196"/>
      <c r="U1157" s="196"/>
      <c r="V1157" s="196"/>
      <c r="W1157" s="196"/>
      <c r="X1157" s="196"/>
      <c r="Y1157" s="196"/>
    </row>
    <row r="1158" spans="1:25">
      <c r="A1158" s="196" t="s">
        <v>837</v>
      </c>
      <c r="B1158" s="196" t="s">
        <v>838</v>
      </c>
      <c r="C1158" s="196">
        <v>2014</v>
      </c>
      <c r="D1158" s="196">
        <v>55</v>
      </c>
      <c r="E1158" s="196" t="s">
        <v>854</v>
      </c>
      <c r="F1158" s="196" t="s">
        <v>1407</v>
      </c>
      <c r="G1158" s="196">
        <v>1</v>
      </c>
      <c r="H1158" s="196">
        <v>1</v>
      </c>
      <c r="I1158" s="196">
        <v>77</v>
      </c>
      <c r="J1158" s="196">
        <v>9560</v>
      </c>
      <c r="K1158" s="196">
        <v>81.349999999999994</v>
      </c>
      <c r="L1158" s="196">
        <v>0</v>
      </c>
      <c r="M1158" s="196">
        <v>5836</v>
      </c>
      <c r="N1158" s="196">
        <v>945173</v>
      </c>
      <c r="O1158" s="196">
        <v>1094</v>
      </c>
      <c r="P1158" s="196"/>
      <c r="Q1158" s="196"/>
      <c r="R1158" s="196"/>
      <c r="S1158" s="196"/>
      <c r="T1158" s="196"/>
      <c r="U1158" s="196"/>
      <c r="V1158" s="196"/>
      <c r="W1158" s="196"/>
      <c r="X1158" s="196"/>
      <c r="Y1158" s="196"/>
    </row>
    <row r="1159" spans="1:25">
      <c r="A1159" s="196" t="s">
        <v>837</v>
      </c>
      <c r="B1159" s="196" t="s">
        <v>850</v>
      </c>
      <c r="C1159" s="196">
        <v>2014</v>
      </c>
      <c r="D1159" s="196">
        <v>55</v>
      </c>
      <c r="E1159" s="196" t="s">
        <v>862</v>
      </c>
      <c r="F1159" s="196" t="s">
        <v>1407</v>
      </c>
      <c r="G1159" s="196">
        <v>1</v>
      </c>
      <c r="H1159" s="196">
        <v>1</v>
      </c>
      <c r="I1159" s="196">
        <v>3399</v>
      </c>
      <c r="J1159" s="196">
        <v>4870</v>
      </c>
      <c r="K1159" s="196">
        <v>81.349999999999994</v>
      </c>
      <c r="L1159" s="196">
        <v>0</v>
      </c>
      <c r="M1159" s="196">
        <v>5836</v>
      </c>
      <c r="N1159" s="196">
        <v>945173</v>
      </c>
      <c r="O1159" s="196">
        <v>1094</v>
      </c>
      <c r="P1159" s="196"/>
      <c r="Q1159" s="196"/>
      <c r="R1159" s="196"/>
      <c r="S1159" s="196"/>
      <c r="T1159" s="196"/>
      <c r="U1159" s="196"/>
      <c r="V1159" s="196"/>
      <c r="W1159" s="196"/>
      <c r="X1159" s="196"/>
      <c r="Y1159" s="196"/>
    </row>
    <row r="1160" spans="1:25">
      <c r="A1160" s="196" t="s">
        <v>837</v>
      </c>
      <c r="B1160" s="196" t="s">
        <v>838</v>
      </c>
      <c r="C1160" s="196">
        <v>2013</v>
      </c>
      <c r="D1160" s="196">
        <v>30</v>
      </c>
      <c r="E1160" s="196" t="s">
        <v>839</v>
      </c>
      <c r="F1160" s="196" t="s">
        <v>1408</v>
      </c>
      <c r="G1160" s="196">
        <v>1</v>
      </c>
      <c r="H1160" s="196">
        <v>1</v>
      </c>
      <c r="I1160" s="196">
        <v>711</v>
      </c>
      <c r="J1160" s="196">
        <v>13916</v>
      </c>
      <c r="K1160" s="196">
        <v>91.51</v>
      </c>
      <c r="L1160" s="196">
        <v>0.73</v>
      </c>
      <c r="M1160" s="196">
        <v>13123</v>
      </c>
      <c r="N1160" s="196">
        <v>600504</v>
      </c>
      <c r="O1160" s="196">
        <v>592</v>
      </c>
      <c r="P1160" s="196"/>
      <c r="Q1160" s="196"/>
      <c r="R1160" s="196"/>
      <c r="S1160" s="196"/>
      <c r="T1160" s="196"/>
      <c r="U1160" s="196"/>
      <c r="V1160" s="196"/>
      <c r="W1160" s="196"/>
      <c r="X1160" s="196"/>
      <c r="Y1160" s="196"/>
    </row>
    <row r="1161" spans="1:25">
      <c r="A1161" s="196" t="s">
        <v>837</v>
      </c>
      <c r="B1161" s="196" t="s">
        <v>850</v>
      </c>
      <c r="C1161" s="196">
        <v>2013</v>
      </c>
      <c r="D1161" s="196">
        <v>30</v>
      </c>
      <c r="E1161" s="196" t="s">
        <v>851</v>
      </c>
      <c r="F1161" s="196" t="s">
        <v>1408</v>
      </c>
      <c r="G1161" s="196">
        <v>1</v>
      </c>
      <c r="H1161" s="196">
        <v>1</v>
      </c>
      <c r="I1161" s="196">
        <v>963</v>
      </c>
      <c r="J1161" s="196">
        <v>22204</v>
      </c>
      <c r="K1161" s="196">
        <v>91.51</v>
      </c>
      <c r="L1161" s="196">
        <v>0.73</v>
      </c>
      <c r="M1161" s="196">
        <v>13123</v>
      </c>
      <c r="N1161" s="196">
        <v>600504</v>
      </c>
      <c r="O1161" s="196">
        <v>592</v>
      </c>
      <c r="P1161" s="196"/>
      <c r="Q1161" s="196"/>
      <c r="R1161" s="196"/>
      <c r="S1161" s="196"/>
      <c r="T1161" s="196"/>
      <c r="U1161" s="196"/>
      <c r="V1161" s="196"/>
      <c r="W1161" s="196"/>
      <c r="X1161" s="196"/>
      <c r="Y1161" s="196"/>
    </row>
    <row r="1162" spans="1:25">
      <c r="A1162" s="196" t="s">
        <v>837</v>
      </c>
      <c r="B1162" s="196" t="s">
        <v>850</v>
      </c>
      <c r="C1162" s="196">
        <v>2013</v>
      </c>
      <c r="D1162" s="196">
        <v>80</v>
      </c>
      <c r="E1162" s="196" t="s">
        <v>917</v>
      </c>
      <c r="F1162" s="196" t="s">
        <v>1408</v>
      </c>
      <c r="G1162" s="196">
        <v>2</v>
      </c>
      <c r="H1162" s="196">
        <v>2</v>
      </c>
      <c r="I1162" s="196">
        <v>2412</v>
      </c>
      <c r="J1162" s="196">
        <v>57928</v>
      </c>
      <c r="K1162" s="196">
        <v>91.51</v>
      </c>
      <c r="L1162" s="196">
        <v>0.73</v>
      </c>
      <c r="M1162" s="196">
        <v>13123</v>
      </c>
      <c r="N1162" s="196">
        <v>600504</v>
      </c>
      <c r="O1162" s="196">
        <v>592</v>
      </c>
      <c r="P1162" s="196"/>
      <c r="Q1162" s="196"/>
      <c r="R1162" s="196"/>
      <c r="S1162" s="196"/>
      <c r="T1162" s="196"/>
      <c r="U1162" s="196"/>
      <c r="V1162" s="196"/>
      <c r="W1162" s="196"/>
      <c r="X1162" s="196"/>
      <c r="Y1162" s="196"/>
    </row>
    <row r="1163" spans="1:25">
      <c r="A1163" s="196" t="s">
        <v>837</v>
      </c>
      <c r="B1163" s="196" t="s">
        <v>838</v>
      </c>
      <c r="C1163" s="196">
        <v>2014</v>
      </c>
      <c r="D1163" s="196">
        <v>55</v>
      </c>
      <c r="E1163" s="196" t="s">
        <v>854</v>
      </c>
      <c r="F1163" s="196" t="s">
        <v>1408</v>
      </c>
      <c r="G1163" s="196">
        <v>1</v>
      </c>
      <c r="H1163" s="196">
        <v>1</v>
      </c>
      <c r="I1163" s="196">
        <v>963</v>
      </c>
      <c r="J1163" s="196">
        <v>22204</v>
      </c>
      <c r="K1163" s="196">
        <v>91.51</v>
      </c>
      <c r="L1163" s="196">
        <v>0.73</v>
      </c>
      <c r="M1163" s="196">
        <v>13123</v>
      </c>
      <c r="N1163" s="196">
        <v>600504</v>
      </c>
      <c r="O1163" s="196">
        <v>592</v>
      </c>
      <c r="P1163" s="196"/>
      <c r="Q1163" s="196"/>
      <c r="R1163" s="196"/>
      <c r="S1163" s="196"/>
      <c r="T1163" s="196"/>
      <c r="U1163" s="196"/>
      <c r="V1163" s="196"/>
      <c r="W1163" s="196"/>
      <c r="X1163" s="196"/>
      <c r="Y1163" s="196"/>
    </row>
    <row r="1164" spans="1:25">
      <c r="A1164" s="196" t="s">
        <v>837</v>
      </c>
      <c r="B1164" s="196" t="s">
        <v>181</v>
      </c>
      <c r="C1164" s="196">
        <v>2013</v>
      </c>
      <c r="D1164" s="196">
        <v>80</v>
      </c>
      <c r="E1164" s="196" t="s">
        <v>876</v>
      </c>
      <c r="F1164" s="196" t="s">
        <v>1409</v>
      </c>
      <c r="G1164" s="196">
        <v>1</v>
      </c>
      <c r="H1164" s="196">
        <v>1</v>
      </c>
      <c r="I1164" s="196">
        <v>333</v>
      </c>
      <c r="J1164" s="196">
        <v>3608</v>
      </c>
      <c r="K1164" s="196">
        <v>66.28</v>
      </c>
      <c r="L1164" s="196">
        <v>0</v>
      </c>
      <c r="M1164" s="196">
        <v>3598</v>
      </c>
      <c r="N1164" s="196">
        <v>355854</v>
      </c>
      <c r="O1164" s="196">
        <v>349</v>
      </c>
      <c r="P1164" s="196"/>
      <c r="Q1164" s="196"/>
      <c r="R1164" s="196"/>
      <c r="S1164" s="196"/>
      <c r="T1164" s="196"/>
      <c r="U1164" s="196"/>
      <c r="V1164" s="196"/>
      <c r="W1164" s="196"/>
      <c r="X1164" s="196"/>
      <c r="Y1164" s="196"/>
    </row>
    <row r="1165" spans="1:25">
      <c r="A1165" s="196" t="s">
        <v>837</v>
      </c>
      <c r="B1165" s="196" t="s">
        <v>838</v>
      </c>
      <c r="C1165" s="196">
        <v>2013</v>
      </c>
      <c r="D1165" s="196">
        <v>30</v>
      </c>
      <c r="E1165" s="196" t="s">
        <v>839</v>
      </c>
      <c r="F1165" s="196" t="s">
        <v>1410</v>
      </c>
      <c r="G1165" s="196">
        <v>1</v>
      </c>
      <c r="H1165" s="196">
        <v>1</v>
      </c>
      <c r="I1165" s="196">
        <v>507</v>
      </c>
      <c r="J1165" s="196">
        <v>3414</v>
      </c>
      <c r="K1165" s="196">
        <v>78.88</v>
      </c>
      <c r="L1165" s="196">
        <v>6.63</v>
      </c>
      <c r="M1165" s="196">
        <v>5585</v>
      </c>
      <c r="N1165" s="196">
        <v>2653427</v>
      </c>
      <c r="O1165" s="196">
        <v>2999</v>
      </c>
      <c r="P1165" s="196"/>
      <c r="Q1165" s="196"/>
      <c r="R1165" s="196"/>
      <c r="S1165" s="196"/>
      <c r="T1165" s="196"/>
      <c r="U1165" s="196"/>
      <c r="V1165" s="196"/>
      <c r="W1165" s="196"/>
      <c r="X1165" s="196"/>
      <c r="Y1165" s="196"/>
    </row>
    <row r="1166" spans="1:25">
      <c r="A1166" s="196" t="s">
        <v>837</v>
      </c>
      <c r="B1166" s="196" t="s">
        <v>850</v>
      </c>
      <c r="C1166" s="196">
        <v>2013</v>
      </c>
      <c r="D1166" s="196">
        <v>30</v>
      </c>
      <c r="E1166" s="196" t="s">
        <v>851</v>
      </c>
      <c r="F1166" s="196" t="s">
        <v>1410</v>
      </c>
      <c r="G1166" s="196">
        <v>3</v>
      </c>
      <c r="H1166" s="196">
        <v>3</v>
      </c>
      <c r="I1166" s="196">
        <v>5082</v>
      </c>
      <c r="J1166" s="196">
        <v>10509</v>
      </c>
      <c r="K1166" s="196">
        <v>78.88</v>
      </c>
      <c r="L1166" s="196">
        <v>6.63</v>
      </c>
      <c r="M1166" s="196">
        <v>5585</v>
      </c>
      <c r="N1166" s="196">
        <v>2653427</v>
      </c>
      <c r="O1166" s="196">
        <v>2999</v>
      </c>
      <c r="P1166" s="196"/>
      <c r="Q1166" s="196"/>
      <c r="R1166" s="196"/>
      <c r="S1166" s="196"/>
      <c r="T1166" s="196"/>
      <c r="U1166" s="196"/>
      <c r="V1166" s="196"/>
      <c r="W1166" s="196"/>
      <c r="X1166" s="196"/>
      <c r="Y1166" s="196"/>
    </row>
    <row r="1167" spans="1:25">
      <c r="A1167" s="196" t="s">
        <v>837</v>
      </c>
      <c r="B1167" s="196" t="s">
        <v>181</v>
      </c>
      <c r="C1167" s="196">
        <v>2013</v>
      </c>
      <c r="D1167" s="196">
        <v>80</v>
      </c>
      <c r="E1167" s="196" t="s">
        <v>876</v>
      </c>
      <c r="F1167" s="196" t="s">
        <v>1410</v>
      </c>
      <c r="G1167" s="196">
        <v>2</v>
      </c>
      <c r="H1167" s="196">
        <v>2</v>
      </c>
      <c r="I1167" s="196">
        <v>314</v>
      </c>
      <c r="J1167" s="196">
        <v>25635</v>
      </c>
      <c r="K1167" s="196">
        <v>78.88</v>
      </c>
      <c r="L1167" s="196">
        <v>6.63</v>
      </c>
      <c r="M1167" s="196">
        <v>5585</v>
      </c>
      <c r="N1167" s="196">
        <v>2653427</v>
      </c>
      <c r="O1167" s="196">
        <v>2999</v>
      </c>
      <c r="P1167" s="196"/>
      <c r="Q1167" s="196"/>
      <c r="R1167" s="196"/>
      <c r="S1167" s="196"/>
      <c r="T1167" s="196"/>
      <c r="U1167" s="196"/>
      <c r="V1167" s="196"/>
      <c r="W1167" s="196"/>
      <c r="X1167" s="196"/>
      <c r="Y1167" s="196"/>
    </row>
    <row r="1168" spans="1:25">
      <c r="A1168" s="196" t="s">
        <v>837</v>
      </c>
      <c r="B1168" s="196" t="s">
        <v>850</v>
      </c>
      <c r="C1168" s="196">
        <v>2014</v>
      </c>
      <c r="D1168" s="196">
        <v>30</v>
      </c>
      <c r="E1168" s="196" t="s">
        <v>860</v>
      </c>
      <c r="F1168" s="196" t="s">
        <v>1410</v>
      </c>
      <c r="G1168" s="196">
        <v>3</v>
      </c>
      <c r="H1168" s="196">
        <v>2</v>
      </c>
      <c r="I1168" s="196">
        <v>6000</v>
      </c>
      <c r="J1168" s="196">
        <v>9428</v>
      </c>
      <c r="K1168" s="196">
        <v>78.88</v>
      </c>
      <c r="L1168" s="196">
        <v>6.63</v>
      </c>
      <c r="M1168" s="196">
        <v>5585</v>
      </c>
      <c r="N1168" s="196">
        <v>2653427</v>
      </c>
      <c r="O1168" s="196">
        <v>2999</v>
      </c>
      <c r="P1168" s="196"/>
      <c r="Q1168" s="196"/>
      <c r="R1168" s="196"/>
      <c r="S1168" s="196"/>
      <c r="T1168" s="196"/>
      <c r="U1168" s="196"/>
      <c r="V1168" s="196"/>
      <c r="W1168" s="196"/>
      <c r="X1168" s="196"/>
      <c r="Y1168" s="196"/>
    </row>
    <row r="1169" spans="1:25">
      <c r="A1169" s="196" t="s">
        <v>837</v>
      </c>
      <c r="B1169" s="196" t="s">
        <v>838</v>
      </c>
      <c r="C1169" s="196">
        <v>2013</v>
      </c>
      <c r="D1169" s="196">
        <v>30</v>
      </c>
      <c r="E1169" s="196" t="s">
        <v>839</v>
      </c>
      <c r="F1169" s="196" t="s">
        <v>1411</v>
      </c>
      <c r="G1169" s="196">
        <v>1</v>
      </c>
      <c r="H1169" s="196">
        <v>1</v>
      </c>
      <c r="I1169" s="196">
        <v>1224</v>
      </c>
      <c r="J1169" s="196">
        <v>3132</v>
      </c>
      <c r="K1169" s="196">
        <v>82.51</v>
      </c>
      <c r="L1169" s="196">
        <v>3.17</v>
      </c>
      <c r="M1169" s="196">
        <v>7126</v>
      </c>
      <c r="N1169" s="196">
        <v>2093004</v>
      </c>
      <c r="O1169" s="196">
        <v>2284</v>
      </c>
      <c r="P1169" s="196"/>
      <c r="Q1169" s="196"/>
      <c r="R1169" s="196"/>
      <c r="S1169" s="196"/>
      <c r="T1169" s="196"/>
      <c r="U1169" s="196"/>
      <c r="V1169" s="196"/>
      <c r="W1169" s="196"/>
      <c r="X1169" s="196"/>
      <c r="Y1169" s="196"/>
    </row>
    <row r="1170" spans="1:25">
      <c r="A1170" s="196" t="s">
        <v>837</v>
      </c>
      <c r="B1170" s="196" t="s">
        <v>838</v>
      </c>
      <c r="C1170" s="196">
        <v>2013</v>
      </c>
      <c r="D1170" s="196">
        <v>55</v>
      </c>
      <c r="E1170" s="196" t="s">
        <v>849</v>
      </c>
      <c r="F1170" s="196" t="s">
        <v>1411</v>
      </c>
      <c r="G1170" s="196">
        <v>1</v>
      </c>
      <c r="H1170" s="196">
        <v>1</v>
      </c>
      <c r="I1170" s="196">
        <v>1224</v>
      </c>
      <c r="J1170" s="196">
        <v>3132</v>
      </c>
      <c r="K1170" s="196">
        <v>82.51</v>
      </c>
      <c r="L1170" s="196">
        <v>3.17</v>
      </c>
      <c r="M1170" s="196">
        <v>7126</v>
      </c>
      <c r="N1170" s="196">
        <v>2093004</v>
      </c>
      <c r="O1170" s="196">
        <v>2284</v>
      </c>
      <c r="P1170" s="196"/>
      <c r="Q1170" s="196"/>
      <c r="R1170" s="196"/>
      <c r="S1170" s="196"/>
      <c r="T1170" s="196"/>
      <c r="U1170" s="196"/>
      <c r="V1170" s="196"/>
      <c r="W1170" s="196"/>
      <c r="X1170" s="196"/>
      <c r="Y1170" s="196"/>
    </row>
    <row r="1171" spans="1:25">
      <c r="A1171" s="196" t="s">
        <v>837</v>
      </c>
      <c r="B1171" s="196" t="s">
        <v>850</v>
      </c>
      <c r="C1171" s="196">
        <v>2013</v>
      </c>
      <c r="D1171" s="196">
        <v>30</v>
      </c>
      <c r="E1171" s="196" t="s">
        <v>851</v>
      </c>
      <c r="F1171" s="196" t="s">
        <v>1412</v>
      </c>
      <c r="G1171" s="196">
        <v>1</v>
      </c>
      <c r="H1171" s="196">
        <v>1</v>
      </c>
      <c r="I1171" s="196">
        <v>1539</v>
      </c>
      <c r="J1171" s="196">
        <v>2863</v>
      </c>
      <c r="K1171" s="196">
        <v>67.06</v>
      </c>
      <c r="L1171" s="196">
        <v>7.61</v>
      </c>
      <c r="M1171" s="196">
        <v>6134</v>
      </c>
      <c r="N1171" s="196">
        <v>2588891</v>
      </c>
      <c r="O1171" s="196">
        <v>2532</v>
      </c>
      <c r="P1171" s="196"/>
      <c r="Q1171" s="196"/>
      <c r="R1171" s="196"/>
      <c r="S1171" s="196"/>
      <c r="T1171" s="196"/>
      <c r="U1171" s="196"/>
      <c r="V1171" s="196"/>
      <c r="W1171" s="196"/>
      <c r="X1171" s="196"/>
      <c r="Y1171" s="196"/>
    </row>
    <row r="1172" spans="1:25">
      <c r="A1172" s="196" t="s">
        <v>837</v>
      </c>
      <c r="B1172" s="196" t="s">
        <v>850</v>
      </c>
      <c r="C1172" s="196">
        <v>2013</v>
      </c>
      <c r="D1172" s="196">
        <v>55</v>
      </c>
      <c r="E1172" s="196" t="s">
        <v>852</v>
      </c>
      <c r="F1172" s="196" t="s">
        <v>1412</v>
      </c>
      <c r="G1172" s="196">
        <v>4</v>
      </c>
      <c r="H1172" s="196">
        <v>4</v>
      </c>
      <c r="I1172" s="196">
        <v>5070</v>
      </c>
      <c r="J1172" s="196">
        <v>32138</v>
      </c>
      <c r="K1172" s="196">
        <v>67.06</v>
      </c>
      <c r="L1172" s="196">
        <v>7.61</v>
      </c>
      <c r="M1172" s="196">
        <v>6134</v>
      </c>
      <c r="N1172" s="196">
        <v>2588891</v>
      </c>
      <c r="O1172" s="196">
        <v>2532</v>
      </c>
      <c r="P1172" s="196"/>
      <c r="Q1172" s="196"/>
      <c r="R1172" s="196"/>
      <c r="S1172" s="196"/>
      <c r="T1172" s="196"/>
      <c r="U1172" s="196"/>
      <c r="V1172" s="196"/>
      <c r="W1172" s="196"/>
      <c r="X1172" s="196"/>
      <c r="Y1172" s="196"/>
    </row>
    <row r="1173" spans="1:25">
      <c r="A1173" s="196" t="s">
        <v>837</v>
      </c>
      <c r="B1173" s="196" t="s">
        <v>850</v>
      </c>
      <c r="C1173" s="196">
        <v>2013</v>
      </c>
      <c r="D1173" s="196">
        <v>80</v>
      </c>
      <c r="E1173" s="196" t="s">
        <v>917</v>
      </c>
      <c r="F1173" s="196" t="s">
        <v>1412</v>
      </c>
      <c r="G1173" s="196">
        <v>1</v>
      </c>
      <c r="H1173" s="196">
        <v>1</v>
      </c>
      <c r="I1173" s="196">
        <v>1350</v>
      </c>
      <c r="J1173" s="196">
        <v>8211</v>
      </c>
      <c r="K1173" s="196">
        <v>67.06</v>
      </c>
      <c r="L1173" s="196">
        <v>7.61</v>
      </c>
      <c r="M1173" s="196">
        <v>6134</v>
      </c>
      <c r="N1173" s="196">
        <v>2588891</v>
      </c>
      <c r="O1173" s="196">
        <v>2532</v>
      </c>
      <c r="P1173" s="196"/>
      <c r="Q1173" s="196"/>
      <c r="R1173" s="196"/>
      <c r="S1173" s="196"/>
      <c r="T1173" s="196"/>
      <c r="U1173" s="196"/>
      <c r="V1173" s="196"/>
      <c r="W1173" s="196"/>
      <c r="X1173" s="196"/>
      <c r="Y1173" s="196"/>
    </row>
    <row r="1174" spans="1:25">
      <c r="A1174" s="196" t="s">
        <v>837</v>
      </c>
      <c r="B1174" s="196" t="s">
        <v>838</v>
      </c>
      <c r="C1174" s="196">
        <v>2013</v>
      </c>
      <c r="D1174" s="196">
        <v>80</v>
      </c>
      <c r="E1174" s="196" t="s">
        <v>908</v>
      </c>
      <c r="F1174" s="196" t="s">
        <v>1412</v>
      </c>
      <c r="G1174" s="196">
        <v>1</v>
      </c>
      <c r="H1174" s="196">
        <v>1</v>
      </c>
      <c r="I1174" s="196">
        <v>1350</v>
      </c>
      <c r="J1174" s="196">
        <v>8211</v>
      </c>
      <c r="K1174" s="196">
        <v>67.06</v>
      </c>
      <c r="L1174" s="196">
        <v>7.61</v>
      </c>
      <c r="M1174" s="196">
        <v>6134</v>
      </c>
      <c r="N1174" s="196">
        <v>2588891</v>
      </c>
      <c r="O1174" s="196">
        <v>2532</v>
      </c>
      <c r="P1174" s="196"/>
      <c r="Q1174" s="196"/>
      <c r="R1174" s="196"/>
      <c r="S1174" s="196"/>
      <c r="T1174" s="196"/>
      <c r="U1174" s="196"/>
      <c r="V1174" s="196"/>
      <c r="W1174" s="196"/>
      <c r="X1174" s="196"/>
      <c r="Y1174" s="196"/>
    </row>
    <row r="1175" spans="1:25">
      <c r="A1175" s="196" t="s">
        <v>837</v>
      </c>
      <c r="B1175" s="196" t="s">
        <v>850</v>
      </c>
      <c r="C1175" s="196">
        <v>2014</v>
      </c>
      <c r="D1175" s="196">
        <v>30</v>
      </c>
      <c r="E1175" s="196" t="s">
        <v>861</v>
      </c>
      <c r="F1175" s="196" t="s">
        <v>1412</v>
      </c>
      <c r="G1175" s="196">
        <v>1</v>
      </c>
      <c r="H1175" s="196">
        <v>1</v>
      </c>
      <c r="I1175" s="196">
        <v>2028</v>
      </c>
      <c r="J1175" s="196">
        <v>18608</v>
      </c>
      <c r="K1175" s="196">
        <v>67.06</v>
      </c>
      <c r="L1175" s="196">
        <v>7.61</v>
      </c>
      <c r="M1175" s="196">
        <v>6134</v>
      </c>
      <c r="N1175" s="196">
        <v>2588891</v>
      </c>
      <c r="O1175" s="196">
        <v>2532</v>
      </c>
      <c r="P1175" s="196"/>
      <c r="Q1175" s="196"/>
      <c r="R1175" s="196"/>
      <c r="S1175" s="196"/>
      <c r="T1175" s="196"/>
      <c r="U1175" s="196"/>
      <c r="V1175" s="196"/>
      <c r="W1175" s="196"/>
      <c r="X1175" s="196"/>
      <c r="Y1175" s="196"/>
    </row>
    <row r="1176" spans="1:25">
      <c r="A1176" s="196" t="s">
        <v>837</v>
      </c>
      <c r="B1176" s="196" t="s">
        <v>838</v>
      </c>
      <c r="C1176" s="196">
        <v>2013</v>
      </c>
      <c r="D1176" s="196">
        <v>55</v>
      </c>
      <c r="E1176" s="196" t="s">
        <v>849</v>
      </c>
      <c r="F1176" s="196" t="s">
        <v>1413</v>
      </c>
      <c r="G1176" s="196">
        <v>2</v>
      </c>
      <c r="H1176" s="196">
        <v>2</v>
      </c>
      <c r="I1176" s="196">
        <v>5283</v>
      </c>
      <c r="J1176" s="196">
        <v>25664</v>
      </c>
      <c r="K1176" s="196">
        <v>86.39</v>
      </c>
      <c r="L1176" s="196">
        <v>1.42</v>
      </c>
      <c r="M1176" s="196">
        <v>6323</v>
      </c>
      <c r="N1176" s="196">
        <v>2304252</v>
      </c>
      <c r="O1176" s="196">
        <v>2505</v>
      </c>
      <c r="P1176" s="196"/>
      <c r="Q1176" s="196"/>
      <c r="R1176" s="196"/>
      <c r="S1176" s="196"/>
      <c r="T1176" s="196"/>
      <c r="U1176" s="196"/>
      <c r="V1176" s="196"/>
      <c r="W1176" s="196"/>
      <c r="X1176" s="196"/>
      <c r="Y1176" s="196"/>
    </row>
    <row r="1177" spans="1:25">
      <c r="A1177" s="196" t="s">
        <v>837</v>
      </c>
      <c r="B1177" s="196" t="s">
        <v>850</v>
      </c>
      <c r="C1177" s="196">
        <v>2013</v>
      </c>
      <c r="D1177" s="196">
        <v>80</v>
      </c>
      <c r="E1177" s="196" t="s">
        <v>917</v>
      </c>
      <c r="F1177" s="196" t="s">
        <v>1413</v>
      </c>
      <c r="G1177" s="196">
        <v>1</v>
      </c>
      <c r="H1177" s="196">
        <v>1</v>
      </c>
      <c r="I1177" s="196">
        <v>2622</v>
      </c>
      <c r="J1177" s="196">
        <v>15032</v>
      </c>
      <c r="K1177" s="196">
        <v>86.39</v>
      </c>
      <c r="L1177" s="196">
        <v>1.42</v>
      </c>
      <c r="M1177" s="196">
        <v>6323</v>
      </c>
      <c r="N1177" s="196">
        <v>2304252</v>
      </c>
      <c r="O1177" s="196">
        <v>2505</v>
      </c>
      <c r="P1177" s="196"/>
      <c r="Q1177" s="196"/>
      <c r="R1177" s="196"/>
      <c r="S1177" s="196"/>
      <c r="T1177" s="196"/>
      <c r="U1177" s="196"/>
      <c r="V1177" s="196"/>
      <c r="W1177" s="196"/>
      <c r="X1177" s="196"/>
      <c r="Y1177" s="196"/>
    </row>
    <row r="1178" spans="1:25">
      <c r="A1178" s="196" t="s">
        <v>837</v>
      </c>
      <c r="B1178" s="196" t="s">
        <v>838</v>
      </c>
      <c r="C1178" s="196">
        <v>2014</v>
      </c>
      <c r="D1178" s="196">
        <v>55</v>
      </c>
      <c r="E1178" s="196" t="s">
        <v>854</v>
      </c>
      <c r="F1178" s="196" t="s">
        <v>1413</v>
      </c>
      <c r="G1178" s="196">
        <v>1</v>
      </c>
      <c r="H1178" s="196">
        <v>1</v>
      </c>
      <c r="I1178" s="196">
        <v>906</v>
      </c>
      <c r="J1178" s="196">
        <v>14188</v>
      </c>
      <c r="K1178" s="196">
        <v>86.39</v>
      </c>
      <c r="L1178" s="196">
        <v>1.42</v>
      </c>
      <c r="M1178" s="196">
        <v>6323</v>
      </c>
      <c r="N1178" s="196">
        <v>2304252</v>
      </c>
      <c r="O1178" s="196">
        <v>2505</v>
      </c>
      <c r="P1178" s="196"/>
      <c r="Q1178" s="196"/>
      <c r="R1178" s="196"/>
      <c r="S1178" s="196"/>
      <c r="T1178" s="196"/>
      <c r="U1178" s="196"/>
      <c r="V1178" s="196"/>
      <c r="W1178" s="196"/>
      <c r="X1178" s="196"/>
      <c r="Y1178" s="196"/>
    </row>
    <row r="1179" spans="1:25">
      <c r="A1179" s="196" t="s">
        <v>837</v>
      </c>
      <c r="B1179" s="196" t="s">
        <v>838</v>
      </c>
      <c r="C1179" s="196">
        <v>2013</v>
      </c>
      <c r="D1179" s="196">
        <v>30</v>
      </c>
      <c r="E1179" s="196" t="s">
        <v>839</v>
      </c>
      <c r="F1179" s="196" t="s">
        <v>1414</v>
      </c>
      <c r="G1179" s="196">
        <v>6</v>
      </c>
      <c r="H1179" s="196">
        <v>6</v>
      </c>
      <c r="I1179" s="196">
        <v>10173</v>
      </c>
      <c r="J1179" s="196">
        <v>27366</v>
      </c>
      <c r="K1179" s="196">
        <v>54.87</v>
      </c>
      <c r="L1179" s="196">
        <v>5.98</v>
      </c>
      <c r="M1179" s="196">
        <v>3702</v>
      </c>
      <c r="N1179" s="196">
        <v>896427</v>
      </c>
      <c r="O1179" s="196">
        <v>977</v>
      </c>
      <c r="P1179" s="196"/>
      <c r="Q1179" s="196"/>
      <c r="R1179" s="196"/>
      <c r="S1179" s="196"/>
      <c r="T1179" s="196"/>
      <c r="U1179" s="196"/>
      <c r="V1179" s="196"/>
      <c r="W1179" s="196"/>
      <c r="X1179" s="196"/>
      <c r="Y1179" s="196"/>
    </row>
    <row r="1180" spans="1:25">
      <c r="A1180" s="196" t="s">
        <v>837</v>
      </c>
      <c r="B1180" s="196" t="s">
        <v>838</v>
      </c>
      <c r="C1180" s="196">
        <v>2013</v>
      </c>
      <c r="D1180" s="196">
        <v>55</v>
      </c>
      <c r="E1180" s="196" t="s">
        <v>849</v>
      </c>
      <c r="F1180" s="196" t="s">
        <v>1414</v>
      </c>
      <c r="G1180" s="196">
        <v>6</v>
      </c>
      <c r="H1180" s="196">
        <v>5</v>
      </c>
      <c r="I1180" s="196">
        <v>8490</v>
      </c>
      <c r="J1180" s="196">
        <v>24649</v>
      </c>
      <c r="K1180" s="196">
        <v>54.87</v>
      </c>
      <c r="L1180" s="196">
        <v>5.98</v>
      </c>
      <c r="M1180" s="196">
        <v>3702</v>
      </c>
      <c r="N1180" s="196">
        <v>896427</v>
      </c>
      <c r="O1180" s="196">
        <v>977</v>
      </c>
      <c r="P1180" s="196"/>
      <c r="Q1180" s="196"/>
      <c r="R1180" s="196"/>
      <c r="S1180" s="196"/>
      <c r="T1180" s="196"/>
      <c r="U1180" s="196"/>
      <c r="V1180" s="196"/>
      <c r="W1180" s="196"/>
      <c r="X1180" s="196"/>
      <c r="Y1180" s="196"/>
    </row>
    <row r="1181" spans="1:25">
      <c r="A1181" s="196" t="s">
        <v>837</v>
      </c>
      <c r="B1181" s="196" t="s">
        <v>850</v>
      </c>
      <c r="C1181" s="196">
        <v>2013</v>
      </c>
      <c r="D1181" s="196">
        <v>30</v>
      </c>
      <c r="E1181" s="196" t="s">
        <v>851</v>
      </c>
      <c r="F1181" s="196" t="s">
        <v>1414</v>
      </c>
      <c r="G1181" s="196">
        <v>5</v>
      </c>
      <c r="H1181" s="196">
        <v>5</v>
      </c>
      <c r="I1181" s="196">
        <v>8550</v>
      </c>
      <c r="J1181" s="196">
        <v>20089</v>
      </c>
      <c r="K1181" s="196">
        <v>54.87</v>
      </c>
      <c r="L1181" s="196">
        <v>5.98</v>
      </c>
      <c r="M1181" s="196">
        <v>3702</v>
      </c>
      <c r="N1181" s="196">
        <v>896427</v>
      </c>
      <c r="O1181" s="196">
        <v>977</v>
      </c>
      <c r="P1181" s="196"/>
      <c r="Q1181" s="196"/>
      <c r="R1181" s="196"/>
      <c r="S1181" s="196"/>
      <c r="T1181" s="196"/>
      <c r="U1181" s="196"/>
      <c r="V1181" s="196"/>
      <c r="W1181" s="196"/>
      <c r="X1181" s="196"/>
      <c r="Y1181" s="196"/>
    </row>
    <row r="1182" spans="1:25">
      <c r="A1182" s="196" t="s">
        <v>837</v>
      </c>
      <c r="B1182" s="196" t="s">
        <v>850</v>
      </c>
      <c r="C1182" s="196">
        <v>2013</v>
      </c>
      <c r="D1182" s="196">
        <v>55</v>
      </c>
      <c r="E1182" s="196" t="s">
        <v>852</v>
      </c>
      <c r="F1182" s="196" t="s">
        <v>1414</v>
      </c>
      <c r="G1182" s="196">
        <v>3</v>
      </c>
      <c r="H1182" s="196">
        <v>3</v>
      </c>
      <c r="I1182" s="196">
        <v>3825</v>
      </c>
      <c r="J1182" s="196">
        <v>11904</v>
      </c>
      <c r="K1182" s="196">
        <v>54.87</v>
      </c>
      <c r="L1182" s="196">
        <v>5.98</v>
      </c>
      <c r="M1182" s="196">
        <v>3702</v>
      </c>
      <c r="N1182" s="196">
        <v>896427</v>
      </c>
      <c r="O1182" s="196">
        <v>977</v>
      </c>
      <c r="P1182" s="196"/>
      <c r="Q1182" s="196"/>
      <c r="R1182" s="196"/>
      <c r="S1182" s="196"/>
      <c r="T1182" s="196"/>
      <c r="U1182" s="196"/>
      <c r="V1182" s="196"/>
      <c r="W1182" s="196"/>
      <c r="X1182" s="196"/>
      <c r="Y1182" s="196"/>
    </row>
    <row r="1183" spans="1:25">
      <c r="A1183" s="196" t="s">
        <v>837</v>
      </c>
      <c r="B1183" s="196" t="s">
        <v>181</v>
      </c>
      <c r="C1183" s="196">
        <v>2014</v>
      </c>
      <c r="D1183" s="196">
        <v>80</v>
      </c>
      <c r="E1183" s="196" t="s">
        <v>874</v>
      </c>
      <c r="F1183" s="196" t="s">
        <v>1414</v>
      </c>
      <c r="G1183" s="196">
        <v>1</v>
      </c>
      <c r="H1183" s="196">
        <v>1</v>
      </c>
      <c r="I1183" s="196">
        <v>77</v>
      </c>
      <c r="J1183" s="196">
        <v>3431</v>
      </c>
      <c r="K1183" s="196">
        <v>54.87</v>
      </c>
      <c r="L1183" s="196">
        <v>5.98</v>
      </c>
      <c r="M1183" s="196">
        <v>3702</v>
      </c>
      <c r="N1183" s="196">
        <v>896427</v>
      </c>
      <c r="O1183" s="196">
        <v>977</v>
      </c>
      <c r="P1183" s="196"/>
      <c r="Q1183" s="196"/>
      <c r="R1183" s="196"/>
      <c r="S1183" s="196"/>
      <c r="T1183" s="196"/>
      <c r="U1183" s="196"/>
      <c r="V1183" s="196"/>
      <c r="W1183" s="196"/>
      <c r="X1183" s="196"/>
      <c r="Y1183" s="196"/>
    </row>
    <row r="1184" spans="1:25">
      <c r="A1184" s="196" t="s">
        <v>837</v>
      </c>
      <c r="B1184" s="196" t="s">
        <v>850</v>
      </c>
      <c r="C1184" s="196">
        <v>2014</v>
      </c>
      <c r="D1184" s="196">
        <v>80</v>
      </c>
      <c r="E1184" s="196" t="s">
        <v>918</v>
      </c>
      <c r="F1184" s="196" t="s">
        <v>1414</v>
      </c>
      <c r="G1184" s="196">
        <v>5</v>
      </c>
      <c r="H1184" s="196">
        <v>4</v>
      </c>
      <c r="I1184" s="196">
        <v>5385</v>
      </c>
      <c r="J1184" s="196">
        <v>15785</v>
      </c>
      <c r="K1184" s="196">
        <v>54.87</v>
      </c>
      <c r="L1184" s="196">
        <v>5.98</v>
      </c>
      <c r="M1184" s="196">
        <v>3702</v>
      </c>
      <c r="N1184" s="196">
        <v>896427</v>
      </c>
      <c r="O1184" s="196">
        <v>977</v>
      </c>
      <c r="P1184" s="196"/>
      <c r="Q1184" s="196"/>
      <c r="R1184" s="196"/>
      <c r="S1184" s="196"/>
      <c r="T1184" s="196"/>
      <c r="U1184" s="196"/>
      <c r="V1184" s="196"/>
      <c r="W1184" s="196"/>
      <c r="X1184" s="196"/>
      <c r="Y1184" s="196"/>
    </row>
    <row r="1185" spans="1:25">
      <c r="A1185" s="196" t="s">
        <v>837</v>
      </c>
      <c r="B1185" s="196" t="s">
        <v>850</v>
      </c>
      <c r="C1185" s="196">
        <v>2014</v>
      </c>
      <c r="D1185" s="196">
        <v>80</v>
      </c>
      <c r="E1185" s="196" t="s">
        <v>875</v>
      </c>
      <c r="F1185" s="196" t="s">
        <v>1414</v>
      </c>
      <c r="G1185" s="196">
        <v>6</v>
      </c>
      <c r="H1185" s="196">
        <v>5</v>
      </c>
      <c r="I1185" s="196">
        <v>8778</v>
      </c>
      <c r="J1185" s="196">
        <v>27676</v>
      </c>
      <c r="K1185" s="196">
        <v>54.87</v>
      </c>
      <c r="L1185" s="196">
        <v>5.98</v>
      </c>
      <c r="M1185" s="196">
        <v>3702</v>
      </c>
      <c r="N1185" s="196">
        <v>896427</v>
      </c>
      <c r="O1185" s="196">
        <v>977</v>
      </c>
      <c r="P1185" s="196"/>
      <c r="Q1185" s="196"/>
      <c r="R1185" s="196"/>
      <c r="S1185" s="196"/>
      <c r="T1185" s="196"/>
      <c r="U1185" s="196"/>
      <c r="V1185" s="196"/>
      <c r="W1185" s="196"/>
      <c r="X1185" s="196"/>
      <c r="Y1185" s="196"/>
    </row>
    <row r="1186" spans="1:25">
      <c r="A1186" s="196" t="s">
        <v>837</v>
      </c>
      <c r="B1186" s="196" t="s">
        <v>838</v>
      </c>
      <c r="C1186" s="196">
        <v>2013</v>
      </c>
      <c r="D1186" s="196">
        <v>80</v>
      </c>
      <c r="E1186" s="196" t="s">
        <v>908</v>
      </c>
      <c r="F1186" s="196" t="s">
        <v>1414</v>
      </c>
      <c r="G1186" s="196">
        <v>1</v>
      </c>
      <c r="H1186" s="196">
        <v>1</v>
      </c>
      <c r="I1186" s="196">
        <v>1407</v>
      </c>
      <c r="J1186" s="196">
        <v>4195</v>
      </c>
      <c r="K1186" s="196">
        <v>54.87</v>
      </c>
      <c r="L1186" s="196">
        <v>5.98</v>
      </c>
      <c r="M1186" s="196">
        <v>3702</v>
      </c>
      <c r="N1186" s="196">
        <v>896427</v>
      </c>
      <c r="O1186" s="196">
        <v>977</v>
      </c>
      <c r="P1186" s="196"/>
      <c r="Q1186" s="196"/>
      <c r="R1186" s="196"/>
      <c r="S1186" s="196"/>
      <c r="T1186" s="196"/>
      <c r="U1186" s="196"/>
      <c r="V1186" s="196"/>
      <c r="W1186" s="196"/>
      <c r="X1186" s="196"/>
      <c r="Y1186" s="196"/>
    </row>
    <row r="1187" spans="1:25">
      <c r="A1187" s="196" t="s">
        <v>837</v>
      </c>
      <c r="B1187" s="196" t="s">
        <v>181</v>
      </c>
      <c r="C1187" s="196">
        <v>2013</v>
      </c>
      <c r="D1187" s="196">
        <v>80</v>
      </c>
      <c r="E1187" s="196" t="s">
        <v>876</v>
      </c>
      <c r="F1187" s="196" t="s">
        <v>1414</v>
      </c>
      <c r="G1187" s="196">
        <v>5</v>
      </c>
      <c r="H1187" s="196">
        <v>3</v>
      </c>
      <c r="I1187" s="196">
        <v>5386</v>
      </c>
      <c r="J1187" s="196">
        <v>11763</v>
      </c>
      <c r="K1187" s="196">
        <v>54.87</v>
      </c>
      <c r="L1187" s="196">
        <v>5.98</v>
      </c>
      <c r="M1187" s="196">
        <v>3702</v>
      </c>
      <c r="N1187" s="196">
        <v>896427</v>
      </c>
      <c r="O1187" s="196">
        <v>977</v>
      </c>
      <c r="P1187" s="196"/>
      <c r="Q1187" s="196"/>
      <c r="R1187" s="196"/>
      <c r="S1187" s="196"/>
      <c r="T1187" s="196"/>
      <c r="U1187" s="196"/>
      <c r="V1187" s="196"/>
      <c r="W1187" s="196"/>
      <c r="X1187" s="196"/>
      <c r="Y1187" s="196"/>
    </row>
    <row r="1188" spans="1:25">
      <c r="A1188" s="196" t="s">
        <v>837</v>
      </c>
      <c r="B1188" s="196" t="s">
        <v>838</v>
      </c>
      <c r="C1188" s="196">
        <v>2014</v>
      </c>
      <c r="D1188" s="196">
        <v>55</v>
      </c>
      <c r="E1188" s="196" t="s">
        <v>854</v>
      </c>
      <c r="F1188" s="196" t="s">
        <v>1414</v>
      </c>
      <c r="G1188" s="196">
        <v>6</v>
      </c>
      <c r="H1188" s="196">
        <v>4</v>
      </c>
      <c r="I1188" s="196">
        <v>6828</v>
      </c>
      <c r="J1188" s="196">
        <v>18035</v>
      </c>
      <c r="K1188" s="196">
        <v>54.87</v>
      </c>
      <c r="L1188" s="196">
        <v>5.98</v>
      </c>
      <c r="M1188" s="196">
        <v>3702</v>
      </c>
      <c r="N1188" s="196">
        <v>896427</v>
      </c>
      <c r="O1188" s="196">
        <v>977</v>
      </c>
      <c r="P1188" s="196"/>
      <c r="Q1188" s="196"/>
      <c r="R1188" s="196"/>
      <c r="S1188" s="196"/>
      <c r="T1188" s="196"/>
      <c r="U1188" s="196"/>
      <c r="V1188" s="196"/>
      <c r="W1188" s="196"/>
      <c r="X1188" s="196"/>
      <c r="Y1188" s="196"/>
    </row>
    <row r="1189" spans="1:25">
      <c r="A1189" s="196" t="s">
        <v>837</v>
      </c>
      <c r="B1189" s="196" t="s">
        <v>838</v>
      </c>
      <c r="C1189" s="196">
        <v>2014</v>
      </c>
      <c r="D1189" s="196">
        <v>55</v>
      </c>
      <c r="E1189" s="196" t="s">
        <v>855</v>
      </c>
      <c r="F1189" s="196" t="s">
        <v>1414</v>
      </c>
      <c r="G1189" s="196">
        <v>2</v>
      </c>
      <c r="H1189" s="196">
        <v>2</v>
      </c>
      <c r="I1189" s="196">
        <v>4197</v>
      </c>
      <c r="J1189" s="196">
        <v>12702</v>
      </c>
      <c r="K1189" s="196">
        <v>54.87</v>
      </c>
      <c r="L1189" s="196">
        <v>5.98</v>
      </c>
      <c r="M1189" s="196">
        <v>3702</v>
      </c>
      <c r="N1189" s="196">
        <v>896427</v>
      </c>
      <c r="O1189" s="196">
        <v>977</v>
      </c>
      <c r="P1189" s="196"/>
      <c r="Q1189" s="196"/>
      <c r="R1189" s="196"/>
      <c r="S1189" s="196"/>
      <c r="T1189" s="196"/>
      <c r="U1189" s="196"/>
      <c r="V1189" s="196"/>
      <c r="W1189" s="196"/>
      <c r="X1189" s="196"/>
      <c r="Y1189" s="196"/>
    </row>
    <row r="1190" spans="1:25">
      <c r="A1190" s="196" t="s">
        <v>837</v>
      </c>
      <c r="B1190" s="196" t="s">
        <v>181</v>
      </c>
      <c r="C1190" s="196">
        <v>2014</v>
      </c>
      <c r="D1190" s="196">
        <v>30</v>
      </c>
      <c r="E1190" s="196" t="s">
        <v>856</v>
      </c>
      <c r="F1190" s="196" t="s">
        <v>1414</v>
      </c>
      <c r="G1190" s="196">
        <v>2</v>
      </c>
      <c r="H1190" s="196">
        <v>2</v>
      </c>
      <c r="I1190" s="196">
        <v>1929</v>
      </c>
      <c r="J1190" s="196">
        <v>8678</v>
      </c>
      <c r="K1190" s="196">
        <v>54.87</v>
      </c>
      <c r="L1190" s="196">
        <v>5.98</v>
      </c>
      <c r="M1190" s="196">
        <v>3702</v>
      </c>
      <c r="N1190" s="196">
        <v>896427</v>
      </c>
      <c r="O1190" s="196">
        <v>977</v>
      </c>
      <c r="P1190" s="196"/>
      <c r="Q1190" s="196"/>
      <c r="R1190" s="196"/>
      <c r="S1190" s="196"/>
      <c r="T1190" s="196"/>
      <c r="U1190" s="196"/>
      <c r="V1190" s="196"/>
      <c r="W1190" s="196"/>
      <c r="X1190" s="196"/>
      <c r="Y1190" s="196"/>
    </row>
    <row r="1191" spans="1:25">
      <c r="A1191" s="196" t="s">
        <v>837</v>
      </c>
      <c r="B1191" s="196" t="s">
        <v>181</v>
      </c>
      <c r="C1191" s="196">
        <v>2014</v>
      </c>
      <c r="D1191" s="196">
        <v>55</v>
      </c>
      <c r="E1191" s="196" t="s">
        <v>858</v>
      </c>
      <c r="F1191" s="196" t="s">
        <v>1414</v>
      </c>
      <c r="G1191" s="196">
        <v>3</v>
      </c>
      <c r="H1191" s="196">
        <v>3</v>
      </c>
      <c r="I1191" s="196">
        <v>3660</v>
      </c>
      <c r="J1191" s="196">
        <v>16161</v>
      </c>
      <c r="K1191" s="196">
        <v>54.87</v>
      </c>
      <c r="L1191" s="196">
        <v>5.98</v>
      </c>
      <c r="M1191" s="196">
        <v>3702</v>
      </c>
      <c r="N1191" s="196">
        <v>896427</v>
      </c>
      <c r="O1191" s="196">
        <v>977</v>
      </c>
      <c r="P1191" s="196"/>
      <c r="Q1191" s="196"/>
      <c r="R1191" s="196"/>
      <c r="S1191" s="196"/>
      <c r="T1191" s="196"/>
      <c r="U1191" s="196"/>
      <c r="V1191" s="196"/>
      <c r="W1191" s="196"/>
      <c r="X1191" s="196"/>
      <c r="Y1191" s="196"/>
    </row>
    <row r="1192" spans="1:25">
      <c r="A1192" s="196" t="s">
        <v>837</v>
      </c>
      <c r="B1192" s="196" t="s">
        <v>181</v>
      </c>
      <c r="C1192" s="196">
        <v>2014</v>
      </c>
      <c r="D1192" s="196">
        <v>55</v>
      </c>
      <c r="E1192" s="196" t="s">
        <v>859</v>
      </c>
      <c r="F1192" s="196" t="s">
        <v>1414</v>
      </c>
      <c r="G1192" s="196">
        <v>1</v>
      </c>
      <c r="H1192" s="196">
        <v>1</v>
      </c>
      <c r="I1192" s="196">
        <v>1788</v>
      </c>
      <c r="J1192" s="196">
        <v>5855</v>
      </c>
      <c r="K1192" s="196">
        <v>54.87</v>
      </c>
      <c r="L1192" s="196">
        <v>5.98</v>
      </c>
      <c r="M1192" s="196">
        <v>3702</v>
      </c>
      <c r="N1192" s="196">
        <v>896427</v>
      </c>
      <c r="O1192" s="196">
        <v>977</v>
      </c>
      <c r="P1192" s="196"/>
      <c r="Q1192" s="196"/>
      <c r="R1192" s="196"/>
      <c r="S1192" s="196"/>
      <c r="T1192" s="196"/>
      <c r="U1192" s="196"/>
      <c r="V1192" s="196"/>
      <c r="W1192" s="196"/>
      <c r="X1192" s="196"/>
      <c r="Y1192" s="196"/>
    </row>
    <row r="1193" spans="1:25">
      <c r="A1193" s="196" t="s">
        <v>837</v>
      </c>
      <c r="B1193" s="196" t="s">
        <v>850</v>
      </c>
      <c r="C1193" s="196">
        <v>2014</v>
      </c>
      <c r="D1193" s="196">
        <v>30</v>
      </c>
      <c r="E1193" s="196" t="s">
        <v>860</v>
      </c>
      <c r="F1193" s="196" t="s">
        <v>1414</v>
      </c>
      <c r="G1193" s="196">
        <v>4</v>
      </c>
      <c r="H1193" s="196">
        <v>4</v>
      </c>
      <c r="I1193" s="196">
        <v>5454</v>
      </c>
      <c r="J1193" s="196">
        <v>16572</v>
      </c>
      <c r="K1193" s="196">
        <v>54.87</v>
      </c>
      <c r="L1193" s="196">
        <v>5.98</v>
      </c>
      <c r="M1193" s="196">
        <v>3702</v>
      </c>
      <c r="N1193" s="196">
        <v>896427</v>
      </c>
      <c r="O1193" s="196">
        <v>977</v>
      </c>
      <c r="P1193" s="196"/>
      <c r="Q1193" s="196"/>
      <c r="R1193" s="196"/>
      <c r="S1193" s="196"/>
      <c r="T1193" s="196"/>
      <c r="U1193" s="196"/>
      <c r="V1193" s="196"/>
      <c r="W1193" s="196"/>
      <c r="X1193" s="196"/>
      <c r="Y1193" s="196"/>
    </row>
    <row r="1194" spans="1:25">
      <c r="A1194" s="196" t="s">
        <v>837</v>
      </c>
      <c r="B1194" s="196" t="s">
        <v>850</v>
      </c>
      <c r="C1194" s="196">
        <v>2014</v>
      </c>
      <c r="D1194" s="196">
        <v>55</v>
      </c>
      <c r="E1194" s="196" t="s">
        <v>862</v>
      </c>
      <c r="F1194" s="196" t="s">
        <v>1414</v>
      </c>
      <c r="G1194" s="196">
        <v>7</v>
      </c>
      <c r="H1194" s="196">
        <v>7</v>
      </c>
      <c r="I1194" s="196">
        <v>11535</v>
      </c>
      <c r="J1194" s="196">
        <v>32100</v>
      </c>
      <c r="K1194" s="196">
        <v>54.87</v>
      </c>
      <c r="L1194" s="196">
        <v>5.98</v>
      </c>
      <c r="M1194" s="196">
        <v>3702</v>
      </c>
      <c r="N1194" s="196">
        <v>896427</v>
      </c>
      <c r="O1194" s="196">
        <v>977</v>
      </c>
      <c r="P1194" s="196"/>
      <c r="Q1194" s="196"/>
      <c r="R1194" s="196"/>
      <c r="S1194" s="196"/>
      <c r="T1194" s="196"/>
      <c r="U1194" s="196"/>
      <c r="V1194" s="196"/>
      <c r="W1194" s="196"/>
      <c r="X1194" s="196"/>
      <c r="Y1194" s="196"/>
    </row>
    <row r="1195" spans="1:25">
      <c r="A1195" s="196" t="s">
        <v>837</v>
      </c>
      <c r="B1195" s="196" t="s">
        <v>850</v>
      </c>
      <c r="C1195" s="196">
        <v>2014</v>
      </c>
      <c r="D1195" s="196">
        <v>55</v>
      </c>
      <c r="E1195" s="196" t="s">
        <v>863</v>
      </c>
      <c r="F1195" s="196" t="s">
        <v>1414</v>
      </c>
      <c r="G1195" s="196">
        <v>1</v>
      </c>
      <c r="H1195" s="196">
        <v>1</v>
      </c>
      <c r="I1195" s="196">
        <v>936</v>
      </c>
      <c r="J1195" s="196">
        <v>8830</v>
      </c>
      <c r="K1195" s="196">
        <v>54.87</v>
      </c>
      <c r="L1195" s="196">
        <v>5.98</v>
      </c>
      <c r="M1195" s="196">
        <v>3702</v>
      </c>
      <c r="N1195" s="196">
        <v>896427</v>
      </c>
      <c r="O1195" s="196">
        <v>977</v>
      </c>
      <c r="P1195" s="196"/>
      <c r="Q1195" s="196"/>
      <c r="R1195" s="196"/>
      <c r="S1195" s="196"/>
      <c r="T1195" s="196"/>
      <c r="U1195" s="196"/>
      <c r="V1195" s="196"/>
      <c r="W1195" s="196"/>
      <c r="X1195" s="196"/>
      <c r="Y1195" s="196"/>
    </row>
    <row r="1196" spans="1:25">
      <c r="A1196" s="196" t="s">
        <v>837</v>
      </c>
      <c r="B1196" s="196" t="s">
        <v>181</v>
      </c>
      <c r="C1196" s="196">
        <v>2014</v>
      </c>
      <c r="D1196" s="196">
        <v>80</v>
      </c>
      <c r="E1196" s="196" t="s">
        <v>874</v>
      </c>
      <c r="F1196" s="196" t="s">
        <v>1415</v>
      </c>
      <c r="G1196" s="196">
        <v>1</v>
      </c>
      <c r="H1196" s="196">
        <v>1</v>
      </c>
      <c r="I1196" s="196">
        <v>2277</v>
      </c>
      <c r="J1196" s="196">
        <v>18494</v>
      </c>
      <c r="K1196" s="196">
        <v>85.85</v>
      </c>
      <c r="L1196" s="196">
        <v>3.12</v>
      </c>
      <c r="M1196" s="196">
        <v>19161</v>
      </c>
      <c r="N1196" s="196">
        <v>1426596</v>
      </c>
      <c r="O1196" s="196">
        <v>1308</v>
      </c>
      <c r="P1196" s="196"/>
      <c r="Q1196" s="196"/>
      <c r="R1196" s="196"/>
      <c r="S1196" s="196"/>
      <c r="T1196" s="196"/>
      <c r="U1196" s="196"/>
      <c r="V1196" s="196"/>
      <c r="W1196" s="196"/>
      <c r="X1196" s="196"/>
      <c r="Y1196" s="196"/>
    </row>
    <row r="1197" spans="1:25">
      <c r="A1197" s="196" t="s">
        <v>837</v>
      </c>
      <c r="B1197" s="196" t="s">
        <v>838</v>
      </c>
      <c r="C1197" s="196">
        <v>2013</v>
      </c>
      <c r="D1197" s="196">
        <v>55</v>
      </c>
      <c r="E1197" s="196" t="s">
        <v>849</v>
      </c>
      <c r="F1197" s="196" t="s">
        <v>1416</v>
      </c>
      <c r="G1197" s="196">
        <v>1</v>
      </c>
      <c r="H1197" s="196">
        <v>1</v>
      </c>
      <c r="I1197" s="196">
        <v>543</v>
      </c>
      <c r="J1197" s="196">
        <v>7527</v>
      </c>
      <c r="K1197" s="196">
        <v>80.62</v>
      </c>
      <c r="L1197" s="196">
        <v>4.04</v>
      </c>
      <c r="M1197" s="196">
        <v>5164</v>
      </c>
      <c r="N1197" s="196">
        <v>3167472</v>
      </c>
      <c r="O1197" s="196">
        <v>3044</v>
      </c>
      <c r="P1197" s="196"/>
      <c r="Q1197" s="196"/>
      <c r="R1197" s="196"/>
      <c r="S1197" s="196"/>
      <c r="T1197" s="196"/>
      <c r="U1197" s="196"/>
      <c r="V1197" s="196"/>
      <c r="W1197" s="196"/>
      <c r="X1197" s="196"/>
      <c r="Y1197" s="196"/>
    </row>
    <row r="1198" spans="1:25">
      <c r="A1198" s="196" t="s">
        <v>837</v>
      </c>
      <c r="B1198" s="196" t="s">
        <v>850</v>
      </c>
      <c r="C1198" s="196">
        <v>2013</v>
      </c>
      <c r="D1198" s="196">
        <v>55</v>
      </c>
      <c r="E1198" s="196" t="s">
        <v>852</v>
      </c>
      <c r="F1198" s="196" t="s">
        <v>1416</v>
      </c>
      <c r="G1198" s="196">
        <v>3</v>
      </c>
      <c r="H1198" s="196">
        <v>3</v>
      </c>
      <c r="I1198" s="196">
        <v>3783</v>
      </c>
      <c r="J1198" s="196">
        <v>29464</v>
      </c>
      <c r="K1198" s="196">
        <v>80.62</v>
      </c>
      <c r="L1198" s="196">
        <v>4.04</v>
      </c>
      <c r="M1198" s="196">
        <v>5164</v>
      </c>
      <c r="N1198" s="196">
        <v>3167472</v>
      </c>
      <c r="O1198" s="196">
        <v>3044</v>
      </c>
      <c r="P1198" s="196"/>
      <c r="Q1198" s="196"/>
      <c r="R1198" s="196"/>
      <c r="S1198" s="196"/>
      <c r="T1198" s="196"/>
      <c r="U1198" s="196"/>
      <c r="V1198" s="196"/>
      <c r="W1198" s="196"/>
      <c r="X1198" s="196"/>
      <c r="Y1198" s="196"/>
    </row>
    <row r="1199" spans="1:25">
      <c r="A1199" s="196" t="s">
        <v>837</v>
      </c>
      <c r="B1199" s="196" t="s">
        <v>838</v>
      </c>
      <c r="C1199" s="196">
        <v>2014</v>
      </c>
      <c r="D1199" s="196">
        <v>55</v>
      </c>
      <c r="E1199" s="196" t="s">
        <v>854</v>
      </c>
      <c r="F1199" s="196" t="s">
        <v>1416</v>
      </c>
      <c r="G1199" s="196">
        <v>1</v>
      </c>
      <c r="H1199" s="196">
        <v>1</v>
      </c>
      <c r="I1199" s="196">
        <v>480</v>
      </c>
      <c r="J1199" s="196">
        <v>5978</v>
      </c>
      <c r="K1199" s="196">
        <v>80.62</v>
      </c>
      <c r="L1199" s="196">
        <v>4.04</v>
      </c>
      <c r="M1199" s="196">
        <v>5164</v>
      </c>
      <c r="N1199" s="196">
        <v>3167472</v>
      </c>
      <c r="O1199" s="196">
        <v>3044</v>
      </c>
      <c r="P1199" s="196"/>
      <c r="Q1199" s="196"/>
      <c r="R1199" s="196"/>
      <c r="S1199" s="196"/>
      <c r="T1199" s="196"/>
      <c r="U1199" s="196"/>
      <c r="V1199" s="196"/>
      <c r="W1199" s="196"/>
      <c r="X1199" s="196"/>
      <c r="Y1199" s="196"/>
    </row>
    <row r="1200" spans="1:25">
      <c r="A1200" s="196" t="s">
        <v>837</v>
      </c>
      <c r="B1200" s="196" t="s">
        <v>181</v>
      </c>
      <c r="C1200" s="196">
        <v>2014</v>
      </c>
      <c r="D1200" s="196">
        <v>55</v>
      </c>
      <c r="E1200" s="196" t="s">
        <v>858</v>
      </c>
      <c r="F1200" s="196" t="s">
        <v>1416</v>
      </c>
      <c r="G1200" s="196">
        <v>2</v>
      </c>
      <c r="H1200" s="196">
        <v>2</v>
      </c>
      <c r="I1200" s="196">
        <v>2094</v>
      </c>
      <c r="J1200" s="196">
        <v>12691</v>
      </c>
      <c r="K1200" s="196">
        <v>80.62</v>
      </c>
      <c r="L1200" s="196">
        <v>4.04</v>
      </c>
      <c r="M1200" s="196">
        <v>5164</v>
      </c>
      <c r="N1200" s="196">
        <v>3167472</v>
      </c>
      <c r="O1200" s="196">
        <v>3044</v>
      </c>
      <c r="P1200" s="196"/>
      <c r="Q1200" s="196"/>
      <c r="R1200" s="196"/>
      <c r="S1200" s="196"/>
      <c r="T1200" s="196"/>
      <c r="U1200" s="196"/>
      <c r="V1200" s="196"/>
      <c r="W1200" s="196"/>
      <c r="X1200" s="196"/>
      <c r="Y1200" s="196"/>
    </row>
    <row r="1201" spans="1:25">
      <c r="A1201" s="196" t="s">
        <v>837</v>
      </c>
      <c r="B1201" s="196" t="s">
        <v>838</v>
      </c>
      <c r="C1201" s="196">
        <v>2013</v>
      </c>
      <c r="D1201" s="196">
        <v>30</v>
      </c>
      <c r="E1201" s="196" t="s">
        <v>839</v>
      </c>
      <c r="F1201" s="196" t="s">
        <v>1417</v>
      </c>
      <c r="G1201" s="196">
        <v>3</v>
      </c>
      <c r="H1201" s="196">
        <v>2</v>
      </c>
      <c r="I1201" s="196">
        <v>5823</v>
      </c>
      <c r="J1201" s="196">
        <v>7636</v>
      </c>
      <c r="K1201" s="196">
        <v>94.66</v>
      </c>
      <c r="L1201" s="196">
        <v>36.32</v>
      </c>
      <c r="M1201" s="196">
        <v>6276</v>
      </c>
      <c r="N1201" s="196">
        <v>3411458</v>
      </c>
      <c r="O1201" s="196">
        <v>3873</v>
      </c>
      <c r="P1201" s="196"/>
      <c r="Q1201" s="196"/>
      <c r="R1201" s="196"/>
      <c r="S1201" s="196"/>
      <c r="T1201" s="196"/>
      <c r="U1201" s="196"/>
      <c r="V1201" s="196"/>
      <c r="W1201" s="196"/>
      <c r="X1201" s="196"/>
      <c r="Y1201" s="196"/>
    </row>
    <row r="1202" spans="1:25">
      <c r="A1202" s="196" t="s">
        <v>837</v>
      </c>
      <c r="B1202" s="196" t="s">
        <v>838</v>
      </c>
      <c r="C1202" s="196">
        <v>2013</v>
      </c>
      <c r="D1202" s="196">
        <v>55</v>
      </c>
      <c r="E1202" s="196" t="s">
        <v>849</v>
      </c>
      <c r="F1202" s="196" t="s">
        <v>1417</v>
      </c>
      <c r="G1202" s="196">
        <v>1</v>
      </c>
      <c r="H1202" s="196">
        <v>1</v>
      </c>
      <c r="I1202" s="196">
        <v>156</v>
      </c>
      <c r="J1202" s="196">
        <v>18980</v>
      </c>
      <c r="K1202" s="196">
        <v>94.66</v>
      </c>
      <c r="L1202" s="196">
        <v>36.32</v>
      </c>
      <c r="M1202" s="196">
        <v>6276</v>
      </c>
      <c r="N1202" s="196">
        <v>3411458</v>
      </c>
      <c r="O1202" s="196">
        <v>3873</v>
      </c>
      <c r="P1202" s="196"/>
      <c r="Q1202" s="196"/>
      <c r="R1202" s="196"/>
      <c r="S1202" s="196"/>
      <c r="T1202" s="196"/>
      <c r="U1202" s="196"/>
      <c r="V1202" s="196"/>
      <c r="W1202" s="196"/>
      <c r="X1202" s="196"/>
      <c r="Y1202" s="196"/>
    </row>
    <row r="1203" spans="1:25">
      <c r="A1203" s="196" t="s">
        <v>837</v>
      </c>
      <c r="B1203" s="196" t="s">
        <v>850</v>
      </c>
      <c r="C1203" s="196">
        <v>2013</v>
      </c>
      <c r="D1203" s="196">
        <v>30</v>
      </c>
      <c r="E1203" s="196" t="s">
        <v>851</v>
      </c>
      <c r="F1203" s="196" t="s">
        <v>1417</v>
      </c>
      <c r="G1203" s="196">
        <v>8</v>
      </c>
      <c r="H1203" s="196">
        <v>5</v>
      </c>
      <c r="I1203" s="196">
        <v>8692</v>
      </c>
      <c r="J1203" s="196">
        <v>36849</v>
      </c>
      <c r="K1203" s="196">
        <v>94.66</v>
      </c>
      <c r="L1203" s="196">
        <v>36.32</v>
      </c>
      <c r="M1203" s="196">
        <v>6276</v>
      </c>
      <c r="N1203" s="196">
        <v>3411458</v>
      </c>
      <c r="O1203" s="196">
        <v>3873</v>
      </c>
      <c r="P1203" s="196"/>
      <c r="Q1203" s="196"/>
      <c r="R1203" s="196"/>
      <c r="S1203" s="196"/>
      <c r="T1203" s="196"/>
      <c r="U1203" s="196"/>
      <c r="V1203" s="196"/>
      <c r="W1203" s="196"/>
      <c r="X1203" s="196"/>
      <c r="Y1203" s="196"/>
    </row>
    <row r="1204" spans="1:25">
      <c r="A1204" s="196" t="s">
        <v>837</v>
      </c>
      <c r="B1204" s="196" t="s">
        <v>850</v>
      </c>
      <c r="C1204" s="196">
        <v>2013</v>
      </c>
      <c r="D1204" s="196">
        <v>80</v>
      </c>
      <c r="E1204" s="196" t="s">
        <v>917</v>
      </c>
      <c r="F1204" s="196" t="s">
        <v>1417</v>
      </c>
      <c r="G1204" s="196">
        <v>2</v>
      </c>
      <c r="H1204" s="196">
        <v>2</v>
      </c>
      <c r="I1204" s="196">
        <v>2577</v>
      </c>
      <c r="J1204" s="196">
        <v>21392</v>
      </c>
      <c r="K1204" s="196">
        <v>94.66</v>
      </c>
      <c r="L1204" s="196">
        <v>36.32</v>
      </c>
      <c r="M1204" s="196">
        <v>6276</v>
      </c>
      <c r="N1204" s="196">
        <v>3411458</v>
      </c>
      <c r="O1204" s="196">
        <v>3873</v>
      </c>
      <c r="P1204" s="196"/>
      <c r="Q1204" s="196"/>
      <c r="R1204" s="196"/>
      <c r="S1204" s="196"/>
      <c r="T1204" s="196"/>
      <c r="U1204" s="196"/>
      <c r="V1204" s="196"/>
      <c r="W1204" s="196"/>
      <c r="X1204" s="196"/>
      <c r="Y1204" s="196"/>
    </row>
    <row r="1205" spans="1:25">
      <c r="A1205" s="196" t="s">
        <v>837</v>
      </c>
      <c r="B1205" s="196" t="s">
        <v>181</v>
      </c>
      <c r="C1205" s="196">
        <v>2014</v>
      </c>
      <c r="D1205" s="196">
        <v>80</v>
      </c>
      <c r="E1205" s="196" t="s">
        <v>874</v>
      </c>
      <c r="F1205" s="196" t="s">
        <v>1417</v>
      </c>
      <c r="G1205" s="196">
        <v>1</v>
      </c>
      <c r="H1205" s="196">
        <v>1</v>
      </c>
      <c r="I1205" s="196">
        <v>636</v>
      </c>
      <c r="J1205" s="196">
        <v>11580</v>
      </c>
      <c r="K1205" s="196">
        <v>94.66</v>
      </c>
      <c r="L1205" s="196">
        <v>36.32</v>
      </c>
      <c r="M1205" s="196">
        <v>6276</v>
      </c>
      <c r="N1205" s="196">
        <v>3411458</v>
      </c>
      <c r="O1205" s="196">
        <v>3873</v>
      </c>
      <c r="P1205" s="196"/>
      <c r="Q1205" s="196"/>
      <c r="R1205" s="196"/>
      <c r="S1205" s="196"/>
      <c r="T1205" s="196"/>
      <c r="U1205" s="196"/>
      <c r="V1205" s="196"/>
      <c r="W1205" s="196"/>
      <c r="X1205" s="196"/>
      <c r="Y1205" s="196"/>
    </row>
    <row r="1206" spans="1:25">
      <c r="A1206" s="196" t="s">
        <v>837</v>
      </c>
      <c r="B1206" s="196" t="s">
        <v>838</v>
      </c>
      <c r="C1206" s="196">
        <v>2013</v>
      </c>
      <c r="D1206" s="196">
        <v>80</v>
      </c>
      <c r="E1206" s="196" t="s">
        <v>908</v>
      </c>
      <c r="F1206" s="196" t="s">
        <v>1417</v>
      </c>
      <c r="G1206" s="196">
        <v>1</v>
      </c>
      <c r="H1206" s="196">
        <v>1</v>
      </c>
      <c r="I1206" s="196">
        <v>76</v>
      </c>
      <c r="J1206" s="196">
        <v>7764</v>
      </c>
      <c r="K1206" s="196">
        <v>94.66</v>
      </c>
      <c r="L1206" s="196">
        <v>36.32</v>
      </c>
      <c r="M1206" s="196">
        <v>6276</v>
      </c>
      <c r="N1206" s="196">
        <v>3411458</v>
      </c>
      <c r="O1206" s="196">
        <v>3873</v>
      </c>
      <c r="P1206" s="196"/>
      <c r="Q1206" s="196"/>
      <c r="R1206" s="196"/>
      <c r="S1206" s="196"/>
      <c r="T1206" s="196"/>
      <c r="U1206" s="196"/>
      <c r="V1206" s="196"/>
      <c r="W1206" s="196"/>
      <c r="X1206" s="196"/>
      <c r="Y1206" s="196"/>
    </row>
    <row r="1207" spans="1:25">
      <c r="A1207" s="196" t="s">
        <v>837</v>
      </c>
      <c r="B1207" s="196" t="s">
        <v>838</v>
      </c>
      <c r="C1207" s="196">
        <v>2014</v>
      </c>
      <c r="D1207" s="196">
        <v>55</v>
      </c>
      <c r="E1207" s="196" t="s">
        <v>854</v>
      </c>
      <c r="F1207" s="196" t="s">
        <v>1417</v>
      </c>
      <c r="G1207" s="196">
        <v>1</v>
      </c>
      <c r="H1207" s="196">
        <v>1</v>
      </c>
      <c r="I1207" s="196">
        <v>1191</v>
      </c>
      <c r="J1207" s="196">
        <v>19731</v>
      </c>
      <c r="K1207" s="196">
        <v>94.66</v>
      </c>
      <c r="L1207" s="196">
        <v>36.32</v>
      </c>
      <c r="M1207" s="196">
        <v>6276</v>
      </c>
      <c r="N1207" s="196">
        <v>3411458</v>
      </c>
      <c r="O1207" s="196">
        <v>3873</v>
      </c>
      <c r="P1207" s="196"/>
      <c r="Q1207" s="196"/>
      <c r="R1207" s="196"/>
      <c r="S1207" s="196"/>
      <c r="T1207" s="196"/>
      <c r="U1207" s="196"/>
      <c r="V1207" s="196"/>
      <c r="W1207" s="196"/>
      <c r="X1207" s="196"/>
      <c r="Y1207" s="196"/>
    </row>
    <row r="1208" spans="1:25">
      <c r="A1208" s="196" t="s">
        <v>837</v>
      </c>
      <c r="B1208" s="196" t="s">
        <v>181</v>
      </c>
      <c r="C1208" s="196">
        <v>2014</v>
      </c>
      <c r="D1208" s="196">
        <v>30</v>
      </c>
      <c r="E1208" s="196" t="s">
        <v>856</v>
      </c>
      <c r="F1208" s="196" t="s">
        <v>1417</v>
      </c>
      <c r="G1208" s="196">
        <v>2</v>
      </c>
      <c r="H1208" s="196">
        <v>1</v>
      </c>
      <c r="I1208" s="196">
        <v>4086</v>
      </c>
      <c r="J1208" s="196">
        <v>4373</v>
      </c>
      <c r="K1208" s="196">
        <v>94.66</v>
      </c>
      <c r="L1208" s="196">
        <v>36.32</v>
      </c>
      <c r="M1208" s="196">
        <v>6276</v>
      </c>
      <c r="N1208" s="196">
        <v>3411458</v>
      </c>
      <c r="O1208" s="196">
        <v>3873</v>
      </c>
      <c r="P1208" s="196"/>
      <c r="Q1208" s="196"/>
      <c r="R1208" s="196"/>
      <c r="S1208" s="196"/>
      <c r="T1208" s="196"/>
      <c r="U1208" s="196"/>
      <c r="V1208" s="196"/>
      <c r="W1208" s="196"/>
      <c r="X1208" s="196"/>
      <c r="Y1208" s="196"/>
    </row>
    <row r="1209" spans="1:25">
      <c r="A1209" s="196" t="s">
        <v>837</v>
      </c>
      <c r="B1209" s="196" t="s">
        <v>850</v>
      </c>
      <c r="C1209" s="196">
        <v>2014</v>
      </c>
      <c r="D1209" s="196">
        <v>30</v>
      </c>
      <c r="E1209" s="196" t="s">
        <v>860</v>
      </c>
      <c r="F1209" s="196" t="s">
        <v>1417</v>
      </c>
      <c r="G1209" s="196">
        <v>6</v>
      </c>
      <c r="H1209" s="196">
        <v>3</v>
      </c>
      <c r="I1209" s="196">
        <v>8235</v>
      </c>
      <c r="J1209" s="196">
        <v>27367</v>
      </c>
      <c r="K1209" s="196">
        <v>94.66</v>
      </c>
      <c r="L1209" s="196">
        <v>36.32</v>
      </c>
      <c r="M1209" s="196">
        <v>6276</v>
      </c>
      <c r="N1209" s="196">
        <v>3411458</v>
      </c>
      <c r="O1209" s="196">
        <v>3873</v>
      </c>
      <c r="P1209" s="196"/>
      <c r="Q1209" s="196"/>
      <c r="R1209" s="196"/>
      <c r="S1209" s="196"/>
      <c r="T1209" s="196"/>
      <c r="U1209" s="196"/>
      <c r="V1209" s="196"/>
      <c r="W1209" s="196"/>
      <c r="X1209" s="196"/>
      <c r="Y1209" s="196"/>
    </row>
    <row r="1210" spans="1:25">
      <c r="A1210" s="196" t="s">
        <v>837</v>
      </c>
      <c r="B1210" s="196" t="s">
        <v>850</v>
      </c>
      <c r="C1210" s="196">
        <v>2014</v>
      </c>
      <c r="D1210" s="196">
        <v>30</v>
      </c>
      <c r="E1210" s="196" t="s">
        <v>861</v>
      </c>
      <c r="F1210" s="196" t="s">
        <v>1417</v>
      </c>
      <c r="G1210" s="196">
        <v>3</v>
      </c>
      <c r="H1210" s="196">
        <v>3</v>
      </c>
      <c r="I1210" s="196">
        <v>5967</v>
      </c>
      <c r="J1210" s="196">
        <v>27367</v>
      </c>
      <c r="K1210" s="196">
        <v>94.66</v>
      </c>
      <c r="L1210" s="196">
        <v>36.32</v>
      </c>
      <c r="M1210" s="196">
        <v>6276</v>
      </c>
      <c r="N1210" s="196">
        <v>3411458</v>
      </c>
      <c r="O1210" s="196">
        <v>3873</v>
      </c>
      <c r="P1210" s="196"/>
      <c r="Q1210" s="196"/>
      <c r="R1210" s="196"/>
      <c r="S1210" s="196"/>
      <c r="T1210" s="196"/>
      <c r="U1210" s="196"/>
      <c r="V1210" s="196"/>
      <c r="W1210" s="196"/>
      <c r="X1210" s="196"/>
      <c r="Y1210" s="196"/>
    </row>
    <row r="1211" spans="1:25">
      <c r="A1211" s="196" t="s">
        <v>837</v>
      </c>
      <c r="B1211" s="196" t="s">
        <v>850</v>
      </c>
      <c r="C1211" s="196">
        <v>2014</v>
      </c>
      <c r="D1211" s="196">
        <v>55</v>
      </c>
      <c r="E1211" s="196" t="s">
        <v>862</v>
      </c>
      <c r="F1211" s="196" t="s">
        <v>1417</v>
      </c>
      <c r="G1211" s="196">
        <v>1</v>
      </c>
      <c r="H1211" s="196">
        <v>1</v>
      </c>
      <c r="I1211" s="196">
        <v>1191</v>
      </c>
      <c r="J1211" s="196">
        <v>19731</v>
      </c>
      <c r="K1211" s="196">
        <v>94.66</v>
      </c>
      <c r="L1211" s="196">
        <v>36.32</v>
      </c>
      <c r="M1211" s="196">
        <v>6276</v>
      </c>
      <c r="N1211" s="196">
        <v>3411458</v>
      </c>
      <c r="O1211" s="196">
        <v>3873</v>
      </c>
      <c r="P1211" s="196"/>
      <c r="Q1211" s="196"/>
      <c r="R1211" s="196"/>
      <c r="S1211" s="196"/>
      <c r="T1211" s="196"/>
      <c r="U1211" s="196"/>
      <c r="V1211" s="196"/>
      <c r="W1211" s="196"/>
      <c r="X1211" s="196"/>
      <c r="Y1211" s="196"/>
    </row>
    <row r="1212" spans="1:25">
      <c r="A1212" s="196" t="s">
        <v>837</v>
      </c>
      <c r="B1212" s="196" t="s">
        <v>838</v>
      </c>
      <c r="C1212" s="196">
        <v>2013</v>
      </c>
      <c r="D1212" s="196">
        <v>30</v>
      </c>
      <c r="E1212" s="196" t="s">
        <v>839</v>
      </c>
      <c r="F1212" s="196" t="s">
        <v>1418</v>
      </c>
      <c r="G1212" s="196">
        <v>1</v>
      </c>
      <c r="H1212" s="196">
        <v>1</v>
      </c>
      <c r="I1212" s="196">
        <v>1551</v>
      </c>
      <c r="J1212" s="196">
        <v>11028</v>
      </c>
      <c r="K1212" s="196">
        <v>98.6</v>
      </c>
      <c r="L1212" s="196">
        <v>4.5599999999999996</v>
      </c>
      <c r="M1212" s="196">
        <v>20572</v>
      </c>
      <c r="N1212" s="196">
        <v>3283668</v>
      </c>
      <c r="O1212" s="196">
        <v>3171</v>
      </c>
      <c r="P1212" s="196"/>
      <c r="Q1212" s="196"/>
      <c r="R1212" s="196"/>
      <c r="S1212" s="196"/>
      <c r="T1212" s="196"/>
      <c r="U1212" s="196"/>
      <c r="V1212" s="196"/>
      <c r="W1212" s="196"/>
      <c r="X1212" s="196"/>
      <c r="Y1212" s="196"/>
    </row>
    <row r="1213" spans="1:25">
      <c r="A1213" s="196" t="s">
        <v>837</v>
      </c>
      <c r="B1213" s="196" t="s">
        <v>838</v>
      </c>
      <c r="C1213" s="196">
        <v>2013</v>
      </c>
      <c r="D1213" s="196">
        <v>55</v>
      </c>
      <c r="E1213" s="196" t="s">
        <v>849</v>
      </c>
      <c r="F1213" s="196" t="s">
        <v>1418</v>
      </c>
      <c r="G1213" s="196">
        <v>1</v>
      </c>
      <c r="H1213" s="196">
        <v>1</v>
      </c>
      <c r="I1213" s="196">
        <v>368</v>
      </c>
      <c r="J1213" s="196">
        <v>36550</v>
      </c>
      <c r="K1213" s="196">
        <v>98.6</v>
      </c>
      <c r="L1213" s="196">
        <v>4.5599999999999996</v>
      </c>
      <c r="M1213" s="196">
        <v>20572</v>
      </c>
      <c r="N1213" s="196">
        <v>3283668</v>
      </c>
      <c r="O1213" s="196">
        <v>3171</v>
      </c>
      <c r="P1213" s="196"/>
      <c r="Q1213" s="196"/>
      <c r="R1213" s="196"/>
      <c r="S1213" s="196"/>
      <c r="T1213" s="196"/>
      <c r="U1213" s="196"/>
      <c r="V1213" s="196"/>
      <c r="W1213" s="196"/>
      <c r="X1213" s="196"/>
      <c r="Y1213" s="196"/>
    </row>
    <row r="1214" spans="1:25">
      <c r="A1214" s="196" t="s">
        <v>837</v>
      </c>
      <c r="B1214" s="196" t="s">
        <v>850</v>
      </c>
      <c r="C1214" s="196">
        <v>2013</v>
      </c>
      <c r="D1214" s="196">
        <v>30</v>
      </c>
      <c r="E1214" s="196" t="s">
        <v>851</v>
      </c>
      <c r="F1214" s="196" t="s">
        <v>1418</v>
      </c>
      <c r="G1214" s="196">
        <v>1</v>
      </c>
      <c r="H1214" s="196">
        <v>1</v>
      </c>
      <c r="I1214" s="196">
        <v>1560</v>
      </c>
      <c r="J1214" s="196">
        <v>16377</v>
      </c>
      <c r="K1214" s="196">
        <v>98.6</v>
      </c>
      <c r="L1214" s="196">
        <v>4.5599999999999996</v>
      </c>
      <c r="M1214" s="196">
        <v>20572</v>
      </c>
      <c r="N1214" s="196">
        <v>3283668</v>
      </c>
      <c r="O1214" s="196">
        <v>3171</v>
      </c>
      <c r="P1214" s="196"/>
      <c r="Q1214" s="196"/>
      <c r="R1214" s="196"/>
      <c r="S1214" s="196"/>
      <c r="T1214" s="196"/>
      <c r="U1214" s="196"/>
      <c r="V1214" s="196"/>
      <c r="W1214" s="196"/>
      <c r="X1214" s="196"/>
      <c r="Y1214" s="196"/>
    </row>
    <row r="1215" spans="1:25">
      <c r="A1215" s="196" t="s">
        <v>837</v>
      </c>
      <c r="B1215" s="196" t="s">
        <v>181</v>
      </c>
      <c r="C1215" s="196">
        <v>2014</v>
      </c>
      <c r="D1215" s="196">
        <v>80</v>
      </c>
      <c r="E1215" s="196" t="s">
        <v>874</v>
      </c>
      <c r="F1215" s="196" t="s">
        <v>1418</v>
      </c>
      <c r="G1215" s="196">
        <v>1</v>
      </c>
      <c r="H1215" s="196">
        <v>1</v>
      </c>
      <c r="I1215" s="196">
        <v>1287</v>
      </c>
      <c r="J1215" s="196">
        <v>21700</v>
      </c>
      <c r="K1215" s="196">
        <v>98.6</v>
      </c>
      <c r="L1215" s="196">
        <v>4.5599999999999996</v>
      </c>
      <c r="M1215" s="196">
        <v>20572</v>
      </c>
      <c r="N1215" s="196">
        <v>3283668</v>
      </c>
      <c r="O1215" s="196">
        <v>3171</v>
      </c>
      <c r="P1215" s="196"/>
      <c r="Q1215" s="196"/>
      <c r="R1215" s="196"/>
      <c r="S1215" s="196"/>
      <c r="T1215" s="196"/>
      <c r="U1215" s="196"/>
      <c r="V1215" s="196"/>
      <c r="W1215" s="196"/>
      <c r="X1215" s="196"/>
      <c r="Y1215" s="196"/>
    </row>
    <row r="1216" spans="1:25">
      <c r="A1216" s="196" t="s">
        <v>837</v>
      </c>
      <c r="B1216" s="196" t="s">
        <v>850</v>
      </c>
      <c r="C1216" s="196">
        <v>2014</v>
      </c>
      <c r="D1216" s="196">
        <v>80</v>
      </c>
      <c r="E1216" s="196" t="s">
        <v>875</v>
      </c>
      <c r="F1216" s="196" t="s">
        <v>1418</v>
      </c>
      <c r="G1216" s="196">
        <v>1</v>
      </c>
      <c r="H1216" s="196">
        <v>1</v>
      </c>
      <c r="I1216" s="196">
        <v>1560</v>
      </c>
      <c r="J1216" s="196">
        <v>16377</v>
      </c>
      <c r="K1216" s="196">
        <v>98.6</v>
      </c>
      <c r="L1216" s="196">
        <v>4.5599999999999996</v>
      </c>
      <c r="M1216" s="196">
        <v>20572</v>
      </c>
      <c r="N1216" s="196">
        <v>3283668</v>
      </c>
      <c r="O1216" s="196">
        <v>3171</v>
      </c>
      <c r="P1216" s="196"/>
      <c r="Q1216" s="196"/>
      <c r="R1216" s="196"/>
      <c r="S1216" s="196"/>
      <c r="T1216" s="196"/>
      <c r="U1216" s="196"/>
      <c r="V1216" s="196"/>
      <c r="W1216" s="196"/>
      <c r="X1216" s="196"/>
      <c r="Y1216" s="196"/>
    </row>
    <row r="1217" spans="1:25">
      <c r="A1217" s="196" t="s">
        <v>837</v>
      </c>
      <c r="B1217" s="196" t="s">
        <v>181</v>
      </c>
      <c r="C1217" s="196">
        <v>2014</v>
      </c>
      <c r="D1217" s="196">
        <v>55</v>
      </c>
      <c r="E1217" s="196" t="s">
        <v>858</v>
      </c>
      <c r="F1217" s="196" t="s">
        <v>1418</v>
      </c>
      <c r="G1217" s="196">
        <v>1</v>
      </c>
      <c r="H1217" s="196">
        <v>1</v>
      </c>
      <c r="I1217" s="196">
        <v>1962</v>
      </c>
      <c r="J1217" s="196">
        <v>25413</v>
      </c>
      <c r="K1217" s="196">
        <v>98.6</v>
      </c>
      <c r="L1217" s="196">
        <v>4.5599999999999996</v>
      </c>
      <c r="M1217" s="196">
        <v>20572</v>
      </c>
      <c r="N1217" s="196">
        <v>3283668</v>
      </c>
      <c r="O1217" s="196">
        <v>3171</v>
      </c>
      <c r="P1217" s="196"/>
      <c r="Q1217" s="196"/>
      <c r="R1217" s="196"/>
      <c r="S1217" s="196"/>
      <c r="T1217" s="196"/>
      <c r="U1217" s="196"/>
      <c r="V1217" s="196"/>
      <c r="W1217" s="196"/>
      <c r="X1217" s="196"/>
      <c r="Y1217" s="196"/>
    </row>
    <row r="1218" spans="1:25">
      <c r="A1218" s="196" t="s">
        <v>837</v>
      </c>
      <c r="B1218" s="196" t="s">
        <v>850</v>
      </c>
      <c r="C1218" s="196">
        <v>2014</v>
      </c>
      <c r="D1218" s="196">
        <v>30</v>
      </c>
      <c r="E1218" s="196" t="s">
        <v>860</v>
      </c>
      <c r="F1218" s="196" t="s">
        <v>1418</v>
      </c>
      <c r="G1218" s="196">
        <v>1</v>
      </c>
      <c r="H1218" s="196">
        <v>1</v>
      </c>
      <c r="I1218" s="196">
        <v>1422</v>
      </c>
      <c r="J1218" s="196">
        <v>18811</v>
      </c>
      <c r="K1218" s="196">
        <v>98.6</v>
      </c>
      <c r="L1218" s="196">
        <v>4.5599999999999996</v>
      </c>
      <c r="M1218" s="196">
        <v>20572</v>
      </c>
      <c r="N1218" s="196">
        <v>3283668</v>
      </c>
      <c r="O1218" s="196">
        <v>3171</v>
      </c>
      <c r="P1218" s="196"/>
      <c r="Q1218" s="196"/>
      <c r="R1218" s="196"/>
      <c r="S1218" s="196"/>
      <c r="T1218" s="196"/>
      <c r="U1218" s="196"/>
      <c r="V1218" s="196"/>
      <c r="W1218" s="196"/>
      <c r="X1218" s="196"/>
      <c r="Y1218" s="196"/>
    </row>
    <row r="1219" spans="1:25">
      <c r="A1219" s="196" t="s">
        <v>837</v>
      </c>
      <c r="B1219" s="196" t="s">
        <v>838</v>
      </c>
      <c r="C1219" s="196">
        <v>2013</v>
      </c>
      <c r="D1219" s="196">
        <v>30</v>
      </c>
      <c r="E1219" s="196" t="s">
        <v>839</v>
      </c>
      <c r="F1219" s="196" t="s">
        <v>1419</v>
      </c>
      <c r="G1219" s="196">
        <v>8</v>
      </c>
      <c r="H1219" s="196">
        <v>8</v>
      </c>
      <c r="I1219" s="196">
        <v>7923</v>
      </c>
      <c r="J1219" s="196">
        <v>84200</v>
      </c>
      <c r="K1219" s="196">
        <v>83.1</v>
      </c>
      <c r="L1219" s="196">
        <v>1.31</v>
      </c>
      <c r="M1219" s="196">
        <v>7945</v>
      </c>
      <c r="N1219" s="196">
        <v>1469005</v>
      </c>
      <c r="O1219" s="196">
        <v>1591</v>
      </c>
      <c r="P1219" s="196"/>
      <c r="Q1219" s="196"/>
      <c r="R1219" s="196"/>
      <c r="S1219" s="196"/>
      <c r="T1219" s="196"/>
      <c r="U1219" s="196"/>
      <c r="V1219" s="196"/>
      <c r="W1219" s="196"/>
      <c r="X1219" s="196"/>
      <c r="Y1219" s="196"/>
    </row>
    <row r="1220" spans="1:25">
      <c r="A1220" s="196" t="s">
        <v>837</v>
      </c>
      <c r="B1220" s="196" t="s">
        <v>838</v>
      </c>
      <c r="C1220" s="196">
        <v>2013</v>
      </c>
      <c r="D1220" s="196">
        <v>55</v>
      </c>
      <c r="E1220" s="196" t="s">
        <v>849</v>
      </c>
      <c r="F1220" s="196" t="s">
        <v>1419</v>
      </c>
      <c r="G1220" s="196">
        <v>34</v>
      </c>
      <c r="H1220" s="196">
        <v>15</v>
      </c>
      <c r="I1220" s="196">
        <v>31248</v>
      </c>
      <c r="J1220" s="196">
        <v>99456</v>
      </c>
      <c r="K1220" s="196">
        <v>83.1</v>
      </c>
      <c r="L1220" s="196">
        <v>1.31</v>
      </c>
      <c r="M1220" s="196">
        <v>7945</v>
      </c>
      <c r="N1220" s="196">
        <v>1469005</v>
      </c>
      <c r="O1220" s="196">
        <v>1591</v>
      </c>
      <c r="P1220" s="196"/>
      <c r="Q1220" s="196"/>
      <c r="R1220" s="196"/>
      <c r="S1220" s="196"/>
      <c r="T1220" s="196"/>
      <c r="U1220" s="196"/>
      <c r="V1220" s="196"/>
      <c r="W1220" s="196"/>
      <c r="X1220" s="196"/>
      <c r="Y1220" s="196"/>
    </row>
    <row r="1221" spans="1:25">
      <c r="A1221" s="196" t="s">
        <v>837</v>
      </c>
      <c r="B1221" s="196" t="s">
        <v>850</v>
      </c>
      <c r="C1221" s="196">
        <v>2013</v>
      </c>
      <c r="D1221" s="196">
        <v>30</v>
      </c>
      <c r="E1221" s="196" t="s">
        <v>851</v>
      </c>
      <c r="F1221" s="196" t="s">
        <v>1419</v>
      </c>
      <c r="G1221" s="196">
        <v>1</v>
      </c>
      <c r="H1221" s="196">
        <v>1</v>
      </c>
      <c r="I1221" s="196">
        <v>1248</v>
      </c>
      <c r="J1221" s="196">
        <v>11512</v>
      </c>
      <c r="K1221" s="196">
        <v>83.1</v>
      </c>
      <c r="L1221" s="196">
        <v>1.31</v>
      </c>
      <c r="M1221" s="196">
        <v>7945</v>
      </c>
      <c r="N1221" s="196">
        <v>1469005</v>
      </c>
      <c r="O1221" s="196">
        <v>1591</v>
      </c>
      <c r="P1221" s="196"/>
      <c r="Q1221" s="196"/>
      <c r="R1221" s="196"/>
      <c r="S1221" s="196"/>
      <c r="T1221" s="196"/>
      <c r="U1221" s="196"/>
      <c r="V1221" s="196"/>
      <c r="W1221" s="196"/>
      <c r="X1221" s="196"/>
      <c r="Y1221" s="196"/>
    </row>
    <row r="1222" spans="1:25">
      <c r="A1222" s="196" t="s">
        <v>837</v>
      </c>
      <c r="B1222" s="196" t="s">
        <v>850</v>
      </c>
      <c r="C1222" s="196">
        <v>2013</v>
      </c>
      <c r="D1222" s="196">
        <v>55</v>
      </c>
      <c r="E1222" s="196" t="s">
        <v>852</v>
      </c>
      <c r="F1222" s="196" t="s">
        <v>1419</v>
      </c>
      <c r="G1222" s="196">
        <v>25</v>
      </c>
      <c r="H1222" s="196">
        <v>13</v>
      </c>
      <c r="I1222" s="196">
        <v>20745</v>
      </c>
      <c r="J1222" s="196">
        <v>126105</v>
      </c>
      <c r="K1222" s="196">
        <v>83.1</v>
      </c>
      <c r="L1222" s="196">
        <v>1.31</v>
      </c>
      <c r="M1222" s="196">
        <v>7945</v>
      </c>
      <c r="N1222" s="196">
        <v>1469005</v>
      </c>
      <c r="O1222" s="196">
        <v>1591</v>
      </c>
      <c r="P1222" s="196"/>
      <c r="Q1222" s="196"/>
      <c r="R1222" s="196"/>
      <c r="S1222" s="196"/>
      <c r="T1222" s="196"/>
      <c r="U1222" s="196"/>
      <c r="V1222" s="196"/>
      <c r="W1222" s="196"/>
      <c r="X1222" s="196"/>
      <c r="Y1222" s="196"/>
    </row>
    <row r="1223" spans="1:25">
      <c r="A1223" s="196" t="s">
        <v>837</v>
      </c>
      <c r="B1223" s="196" t="s">
        <v>850</v>
      </c>
      <c r="C1223" s="196">
        <v>2013</v>
      </c>
      <c r="D1223" s="196">
        <v>80</v>
      </c>
      <c r="E1223" s="196" t="s">
        <v>917</v>
      </c>
      <c r="F1223" s="196" t="s">
        <v>1419</v>
      </c>
      <c r="G1223" s="196">
        <v>1</v>
      </c>
      <c r="H1223" s="196">
        <v>1</v>
      </c>
      <c r="I1223" s="196">
        <v>360</v>
      </c>
      <c r="J1223" s="196">
        <v>13053</v>
      </c>
      <c r="K1223" s="196">
        <v>83.1</v>
      </c>
      <c r="L1223" s="196">
        <v>1.31</v>
      </c>
      <c r="M1223" s="196">
        <v>7945</v>
      </c>
      <c r="N1223" s="196">
        <v>1469005</v>
      </c>
      <c r="O1223" s="196">
        <v>1591</v>
      </c>
      <c r="P1223" s="196"/>
      <c r="Q1223" s="196"/>
      <c r="R1223" s="196"/>
      <c r="S1223" s="196"/>
      <c r="T1223" s="196"/>
      <c r="U1223" s="196"/>
      <c r="V1223" s="196"/>
      <c r="W1223" s="196"/>
      <c r="X1223" s="196"/>
      <c r="Y1223" s="196"/>
    </row>
    <row r="1224" spans="1:25">
      <c r="A1224" s="196" t="s">
        <v>837</v>
      </c>
      <c r="B1224" s="196" t="s">
        <v>838</v>
      </c>
      <c r="C1224" s="196">
        <v>2014</v>
      </c>
      <c r="D1224" s="196">
        <v>80</v>
      </c>
      <c r="E1224" s="196" t="s">
        <v>853</v>
      </c>
      <c r="F1224" s="196" t="s">
        <v>1419</v>
      </c>
      <c r="G1224" s="196">
        <v>1</v>
      </c>
      <c r="H1224" s="196">
        <v>1</v>
      </c>
      <c r="I1224" s="196">
        <v>492</v>
      </c>
      <c r="J1224" s="196">
        <v>6378</v>
      </c>
      <c r="K1224" s="196">
        <v>83.1</v>
      </c>
      <c r="L1224" s="196">
        <v>1.31</v>
      </c>
      <c r="M1224" s="196">
        <v>7945</v>
      </c>
      <c r="N1224" s="196">
        <v>1469005</v>
      </c>
      <c r="O1224" s="196">
        <v>1591</v>
      </c>
      <c r="P1224" s="196"/>
      <c r="Q1224" s="196"/>
      <c r="R1224" s="196"/>
      <c r="S1224" s="196"/>
      <c r="T1224" s="196"/>
      <c r="U1224" s="196"/>
      <c r="V1224" s="196"/>
      <c r="W1224" s="196"/>
      <c r="X1224" s="196"/>
      <c r="Y1224" s="196"/>
    </row>
    <row r="1225" spans="1:25">
      <c r="A1225" s="196" t="s">
        <v>837</v>
      </c>
      <c r="B1225" s="196" t="s">
        <v>850</v>
      </c>
      <c r="C1225" s="196">
        <v>2014</v>
      </c>
      <c r="D1225" s="196">
        <v>80</v>
      </c>
      <c r="E1225" s="196" t="s">
        <v>918</v>
      </c>
      <c r="F1225" s="196" t="s">
        <v>1419</v>
      </c>
      <c r="G1225" s="196">
        <v>4</v>
      </c>
      <c r="H1225" s="196">
        <v>4</v>
      </c>
      <c r="I1225" s="196">
        <v>5514</v>
      </c>
      <c r="J1225" s="196">
        <v>39478</v>
      </c>
      <c r="K1225" s="196">
        <v>83.1</v>
      </c>
      <c r="L1225" s="196">
        <v>1.31</v>
      </c>
      <c r="M1225" s="196">
        <v>7945</v>
      </c>
      <c r="N1225" s="196">
        <v>1469005</v>
      </c>
      <c r="O1225" s="196">
        <v>1591</v>
      </c>
      <c r="P1225" s="196"/>
      <c r="Q1225" s="196"/>
      <c r="R1225" s="196"/>
      <c r="S1225" s="196"/>
      <c r="T1225" s="196"/>
      <c r="U1225" s="196"/>
      <c r="V1225" s="196"/>
      <c r="W1225" s="196"/>
      <c r="X1225" s="196"/>
      <c r="Y1225" s="196"/>
    </row>
    <row r="1226" spans="1:25">
      <c r="A1226" s="196" t="s">
        <v>837</v>
      </c>
      <c r="B1226" s="196" t="s">
        <v>838</v>
      </c>
      <c r="C1226" s="196">
        <v>2013</v>
      </c>
      <c r="D1226" s="196">
        <v>30</v>
      </c>
      <c r="E1226" s="196" t="s">
        <v>839</v>
      </c>
      <c r="F1226" s="196" t="s">
        <v>1420</v>
      </c>
      <c r="G1226" s="196">
        <v>10</v>
      </c>
      <c r="H1226" s="196">
        <v>10</v>
      </c>
      <c r="I1226" s="196">
        <v>11424</v>
      </c>
      <c r="J1226" s="196">
        <v>59649</v>
      </c>
      <c r="K1226" s="196">
        <v>75.989999999999995</v>
      </c>
      <c r="L1226" s="196">
        <v>0.59</v>
      </c>
      <c r="M1226" s="196">
        <v>4525</v>
      </c>
      <c r="N1226" s="196">
        <v>1716270</v>
      </c>
      <c r="O1226" s="196">
        <v>2016</v>
      </c>
      <c r="P1226" s="196"/>
      <c r="Q1226" s="196"/>
      <c r="R1226" s="196"/>
      <c r="S1226" s="196"/>
      <c r="T1226" s="196"/>
      <c r="U1226" s="196"/>
      <c r="V1226" s="196"/>
      <c r="W1226" s="196"/>
      <c r="X1226" s="196"/>
      <c r="Y1226" s="196"/>
    </row>
    <row r="1227" spans="1:25">
      <c r="A1227" s="196" t="s">
        <v>837</v>
      </c>
      <c r="B1227" s="196" t="s">
        <v>838</v>
      </c>
      <c r="C1227" s="196">
        <v>2013</v>
      </c>
      <c r="D1227" s="196">
        <v>55</v>
      </c>
      <c r="E1227" s="196" t="s">
        <v>849</v>
      </c>
      <c r="F1227" s="196" t="s">
        <v>1420</v>
      </c>
      <c r="G1227" s="196">
        <v>6</v>
      </c>
      <c r="H1227" s="196">
        <v>6</v>
      </c>
      <c r="I1227" s="196">
        <v>7113</v>
      </c>
      <c r="J1227" s="196">
        <v>46029</v>
      </c>
      <c r="K1227" s="196">
        <v>75.989999999999995</v>
      </c>
      <c r="L1227" s="196">
        <v>0.59</v>
      </c>
      <c r="M1227" s="196">
        <v>4525</v>
      </c>
      <c r="N1227" s="196">
        <v>1716270</v>
      </c>
      <c r="O1227" s="196">
        <v>2016</v>
      </c>
      <c r="P1227" s="196"/>
      <c r="Q1227" s="196"/>
      <c r="R1227" s="196"/>
      <c r="S1227" s="196"/>
      <c r="T1227" s="196"/>
      <c r="U1227" s="196"/>
      <c r="V1227" s="196"/>
      <c r="W1227" s="196"/>
      <c r="X1227" s="196"/>
      <c r="Y1227" s="196"/>
    </row>
    <row r="1228" spans="1:25">
      <c r="A1228" s="196" t="s">
        <v>837</v>
      </c>
      <c r="B1228" s="196" t="s">
        <v>850</v>
      </c>
      <c r="C1228" s="196">
        <v>2013</v>
      </c>
      <c r="D1228" s="196">
        <v>30</v>
      </c>
      <c r="E1228" s="196" t="s">
        <v>851</v>
      </c>
      <c r="F1228" s="196" t="s">
        <v>1420</v>
      </c>
      <c r="G1228" s="196">
        <v>9</v>
      </c>
      <c r="H1228" s="196">
        <v>9</v>
      </c>
      <c r="I1228" s="196">
        <v>11061</v>
      </c>
      <c r="J1228" s="196">
        <v>39078</v>
      </c>
      <c r="K1228" s="196">
        <v>75.989999999999995</v>
      </c>
      <c r="L1228" s="196">
        <v>0.59</v>
      </c>
      <c r="M1228" s="196">
        <v>4525</v>
      </c>
      <c r="N1228" s="196">
        <v>1716270</v>
      </c>
      <c r="O1228" s="196">
        <v>2016</v>
      </c>
      <c r="P1228" s="196"/>
      <c r="Q1228" s="196"/>
      <c r="R1228" s="196"/>
      <c r="S1228" s="196"/>
      <c r="T1228" s="196"/>
      <c r="U1228" s="196"/>
      <c r="V1228" s="196"/>
      <c r="W1228" s="196"/>
      <c r="X1228" s="196"/>
      <c r="Y1228" s="196"/>
    </row>
    <row r="1229" spans="1:25">
      <c r="A1229" s="196" t="s">
        <v>837</v>
      </c>
      <c r="B1229" s="196" t="s">
        <v>838</v>
      </c>
      <c r="C1229" s="196">
        <v>2014</v>
      </c>
      <c r="D1229" s="196">
        <v>55</v>
      </c>
      <c r="E1229" s="196" t="s">
        <v>854</v>
      </c>
      <c r="F1229" s="196" t="s">
        <v>1420</v>
      </c>
      <c r="G1229" s="196">
        <v>5</v>
      </c>
      <c r="H1229" s="196">
        <v>5</v>
      </c>
      <c r="I1229" s="196">
        <v>5169</v>
      </c>
      <c r="J1229" s="196">
        <v>22567</v>
      </c>
      <c r="K1229" s="196">
        <v>75.989999999999995</v>
      </c>
      <c r="L1229" s="196">
        <v>0.59</v>
      </c>
      <c r="M1229" s="196">
        <v>4525</v>
      </c>
      <c r="N1229" s="196">
        <v>1716270</v>
      </c>
      <c r="O1229" s="196">
        <v>2016</v>
      </c>
      <c r="P1229" s="196"/>
      <c r="Q1229" s="196"/>
      <c r="R1229" s="196"/>
      <c r="S1229" s="196"/>
      <c r="T1229" s="196"/>
      <c r="U1229" s="196"/>
      <c r="V1229" s="196"/>
      <c r="W1229" s="196"/>
      <c r="X1229" s="196"/>
      <c r="Y1229" s="196"/>
    </row>
    <row r="1230" spans="1:25">
      <c r="A1230" s="196" t="s">
        <v>837</v>
      </c>
      <c r="B1230" s="196" t="s">
        <v>181</v>
      </c>
      <c r="C1230" s="196">
        <v>2014</v>
      </c>
      <c r="D1230" s="196">
        <v>55</v>
      </c>
      <c r="E1230" s="196" t="s">
        <v>858</v>
      </c>
      <c r="F1230" s="196" t="s">
        <v>1420</v>
      </c>
      <c r="G1230" s="196">
        <v>2</v>
      </c>
      <c r="H1230" s="196">
        <v>2</v>
      </c>
      <c r="I1230" s="196">
        <v>1881</v>
      </c>
      <c r="J1230" s="196">
        <v>6963</v>
      </c>
      <c r="K1230" s="196">
        <v>75.989999999999995</v>
      </c>
      <c r="L1230" s="196">
        <v>0.59</v>
      </c>
      <c r="M1230" s="196">
        <v>4525</v>
      </c>
      <c r="N1230" s="196">
        <v>1716270</v>
      </c>
      <c r="O1230" s="196">
        <v>2016</v>
      </c>
      <c r="P1230" s="196"/>
      <c r="Q1230" s="196"/>
      <c r="R1230" s="196"/>
      <c r="S1230" s="196"/>
      <c r="T1230" s="196"/>
      <c r="U1230" s="196"/>
      <c r="V1230" s="196"/>
      <c r="W1230" s="196"/>
      <c r="X1230" s="196"/>
      <c r="Y1230" s="196"/>
    </row>
    <row r="1231" spans="1:25">
      <c r="A1231" s="196" t="s">
        <v>837</v>
      </c>
      <c r="B1231" s="196" t="s">
        <v>181</v>
      </c>
      <c r="C1231" s="196">
        <v>2014</v>
      </c>
      <c r="D1231" s="196">
        <v>55</v>
      </c>
      <c r="E1231" s="196" t="s">
        <v>859</v>
      </c>
      <c r="F1231" s="196" t="s">
        <v>1420</v>
      </c>
      <c r="G1231" s="196">
        <v>2</v>
      </c>
      <c r="H1231" s="196">
        <v>2</v>
      </c>
      <c r="I1231" s="196">
        <v>1803</v>
      </c>
      <c r="J1231" s="196">
        <v>9289</v>
      </c>
      <c r="K1231" s="196">
        <v>75.989999999999995</v>
      </c>
      <c r="L1231" s="196">
        <v>0.59</v>
      </c>
      <c r="M1231" s="196">
        <v>4525</v>
      </c>
      <c r="N1231" s="196">
        <v>1716270</v>
      </c>
      <c r="O1231" s="196">
        <v>2016</v>
      </c>
      <c r="P1231" s="196"/>
      <c r="Q1231" s="196"/>
      <c r="R1231" s="196"/>
      <c r="S1231" s="196"/>
      <c r="T1231" s="196"/>
      <c r="U1231" s="196"/>
      <c r="V1231" s="196"/>
      <c r="W1231" s="196"/>
      <c r="X1231" s="196"/>
      <c r="Y1231" s="196"/>
    </row>
    <row r="1232" spans="1:25">
      <c r="A1232" s="196" t="s">
        <v>837</v>
      </c>
      <c r="B1232" s="196" t="s">
        <v>850</v>
      </c>
      <c r="C1232" s="196">
        <v>2014</v>
      </c>
      <c r="D1232" s="196">
        <v>30</v>
      </c>
      <c r="E1232" s="196" t="s">
        <v>860</v>
      </c>
      <c r="F1232" s="196" t="s">
        <v>1420</v>
      </c>
      <c r="G1232" s="196">
        <v>2</v>
      </c>
      <c r="H1232" s="196">
        <v>2</v>
      </c>
      <c r="I1232" s="196">
        <v>1620</v>
      </c>
      <c r="J1232" s="196">
        <v>8625</v>
      </c>
      <c r="K1232" s="196">
        <v>75.989999999999995</v>
      </c>
      <c r="L1232" s="196">
        <v>0.59</v>
      </c>
      <c r="M1232" s="196">
        <v>4525</v>
      </c>
      <c r="N1232" s="196">
        <v>1716270</v>
      </c>
      <c r="O1232" s="196">
        <v>2016</v>
      </c>
      <c r="P1232" s="196"/>
      <c r="Q1232" s="196"/>
      <c r="R1232" s="196"/>
      <c r="S1232" s="196"/>
      <c r="T1232" s="196"/>
      <c r="U1232" s="196"/>
      <c r="V1232" s="196"/>
      <c r="W1232" s="196"/>
      <c r="X1232" s="196"/>
      <c r="Y1232" s="196"/>
    </row>
    <row r="1233" spans="1:25">
      <c r="A1233" s="196" t="s">
        <v>837</v>
      </c>
      <c r="B1233" s="196" t="s">
        <v>850</v>
      </c>
      <c r="C1233" s="196">
        <v>2014</v>
      </c>
      <c r="D1233" s="196">
        <v>55</v>
      </c>
      <c r="E1233" s="196" t="s">
        <v>862</v>
      </c>
      <c r="F1233" s="196" t="s">
        <v>1420</v>
      </c>
      <c r="G1233" s="196">
        <v>7</v>
      </c>
      <c r="H1233" s="196">
        <v>7</v>
      </c>
      <c r="I1233" s="196">
        <v>7545</v>
      </c>
      <c r="J1233" s="196">
        <v>27866</v>
      </c>
      <c r="K1233" s="196">
        <v>75.989999999999995</v>
      </c>
      <c r="L1233" s="196">
        <v>0.59</v>
      </c>
      <c r="M1233" s="196">
        <v>4525</v>
      </c>
      <c r="N1233" s="196">
        <v>1716270</v>
      </c>
      <c r="O1233" s="196">
        <v>2016</v>
      </c>
      <c r="P1233" s="196"/>
      <c r="Q1233" s="196"/>
      <c r="R1233" s="196"/>
      <c r="S1233" s="196"/>
      <c r="T1233" s="196"/>
      <c r="U1233" s="196"/>
      <c r="V1233" s="196"/>
      <c r="W1233" s="196"/>
      <c r="X1233" s="196"/>
      <c r="Y1233" s="196"/>
    </row>
  </sheetData>
  <mergeCells count="1">
    <mergeCell ref="A1: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F6383-2E1F-44BF-AA65-07C35853D940}">
  <dimension ref="A1:X25"/>
  <sheetViews>
    <sheetView workbookViewId="0">
      <selection sqref="A1:I3"/>
    </sheetView>
  </sheetViews>
  <sheetFormatPr defaultColWidth="8.875" defaultRowHeight="15"/>
  <cols>
    <col min="1" max="1" width="8.875" style="112"/>
    <col min="2" max="2" width="19.125" style="112" customWidth="1"/>
    <col min="3" max="3" width="14.375" style="112" customWidth="1"/>
    <col min="4" max="24" width="12.375" style="112" customWidth="1"/>
    <col min="25" max="16384" width="8.875" style="112"/>
  </cols>
  <sheetData>
    <row r="1" spans="1:24" ht="18" customHeight="1">
      <c r="A1" s="278" t="s">
        <v>1421</v>
      </c>
      <c r="B1" s="279"/>
      <c r="C1" s="279"/>
      <c r="D1" s="279"/>
      <c r="E1" s="279"/>
      <c r="F1" s="279"/>
      <c r="G1" s="279"/>
      <c r="H1" s="279"/>
      <c r="I1" s="280"/>
    </row>
    <row r="2" spans="1:24">
      <c r="A2" s="281"/>
      <c r="B2" s="282"/>
      <c r="C2" s="282"/>
      <c r="D2" s="282"/>
      <c r="E2" s="282"/>
      <c r="F2" s="282"/>
      <c r="G2" s="282"/>
      <c r="H2" s="282"/>
      <c r="I2" s="283"/>
    </row>
    <row r="3" spans="1:24">
      <c r="A3" s="284"/>
      <c r="B3" s="285"/>
      <c r="C3" s="285"/>
      <c r="D3" s="285"/>
      <c r="E3" s="285"/>
      <c r="F3" s="285"/>
      <c r="G3" s="285"/>
      <c r="H3" s="285"/>
      <c r="I3" s="286"/>
    </row>
    <row r="5" spans="1:24" s="198" customFormat="1" ht="11.25">
      <c r="A5" s="197" t="s">
        <v>1422</v>
      </c>
      <c r="B5" s="198" t="s">
        <v>1423</v>
      </c>
      <c r="C5" s="198" t="s">
        <v>1424</v>
      </c>
      <c r="D5" s="199" t="s">
        <v>839</v>
      </c>
      <c r="E5" s="200" t="s">
        <v>856</v>
      </c>
      <c r="F5" s="200" t="s">
        <v>857</v>
      </c>
      <c r="G5" s="200" t="s">
        <v>851</v>
      </c>
      <c r="H5" s="200" t="s">
        <v>860</v>
      </c>
      <c r="I5" s="201" t="s">
        <v>861</v>
      </c>
      <c r="J5" s="199" t="s">
        <v>849</v>
      </c>
      <c r="K5" s="200" t="s">
        <v>854</v>
      </c>
      <c r="L5" s="200" t="s">
        <v>855</v>
      </c>
      <c r="M5" s="200" t="s">
        <v>858</v>
      </c>
      <c r="N5" s="200" t="s">
        <v>859</v>
      </c>
      <c r="O5" s="200" t="s">
        <v>852</v>
      </c>
      <c r="P5" s="200" t="s">
        <v>862</v>
      </c>
      <c r="Q5" s="201" t="s">
        <v>863</v>
      </c>
      <c r="R5" s="199" t="s">
        <v>908</v>
      </c>
      <c r="S5" s="200" t="s">
        <v>853</v>
      </c>
      <c r="T5" s="200" t="s">
        <v>876</v>
      </c>
      <c r="U5" s="200" t="s">
        <v>874</v>
      </c>
      <c r="V5" s="200" t="s">
        <v>917</v>
      </c>
      <c r="W5" s="200" t="s">
        <v>918</v>
      </c>
      <c r="X5" s="201" t="s">
        <v>1425</v>
      </c>
    </row>
    <row r="6" spans="1:24" s="208" customFormat="1" ht="11.25">
      <c r="A6" s="202" t="s">
        <v>1275</v>
      </c>
      <c r="B6" s="203" t="s">
        <v>1426</v>
      </c>
      <c r="C6" s="204" t="s">
        <v>1427</v>
      </c>
      <c r="D6" s="205">
        <v>0</v>
      </c>
      <c r="E6" s="206">
        <v>1.0356036065730764E-2</v>
      </c>
      <c r="F6" s="206">
        <v>5.4886991148373043E-3</v>
      </c>
      <c r="G6" s="206">
        <v>0</v>
      </c>
      <c r="H6" s="206">
        <v>0</v>
      </c>
      <c r="I6" s="207">
        <v>0</v>
      </c>
      <c r="J6" s="205">
        <v>2.6257562411820582E-3</v>
      </c>
      <c r="K6" s="206">
        <v>0</v>
      </c>
      <c r="L6" s="206">
        <v>0</v>
      </c>
      <c r="M6" s="206">
        <v>4.9662203920372107E-2</v>
      </c>
      <c r="N6" s="206">
        <v>1.9993830920451167E-2</v>
      </c>
      <c r="O6" s="206">
        <v>0</v>
      </c>
      <c r="P6" s="206">
        <v>0</v>
      </c>
      <c r="Q6" s="207">
        <v>0</v>
      </c>
      <c r="R6" s="205">
        <v>0</v>
      </c>
      <c r="S6" s="206">
        <v>2.6324375547728519E-2</v>
      </c>
      <c r="T6" s="206">
        <v>0.81639750252497978</v>
      </c>
      <c r="U6" s="206">
        <v>0.84237779042278238</v>
      </c>
      <c r="V6" s="206">
        <v>8.1177960128147599E-4</v>
      </c>
      <c r="W6" s="206">
        <v>2.5689650756603086E-3</v>
      </c>
      <c r="X6" s="207">
        <v>2.1898005293827467E-2</v>
      </c>
    </row>
    <row r="7" spans="1:24" s="208" customFormat="1" ht="11.25">
      <c r="A7" s="209" t="s">
        <v>1349</v>
      </c>
      <c r="B7" s="210" t="s">
        <v>1428</v>
      </c>
      <c r="C7" s="211" t="s">
        <v>1427</v>
      </c>
      <c r="D7" s="212">
        <v>0</v>
      </c>
      <c r="E7" s="213">
        <v>9.0524170092695314E-3</v>
      </c>
      <c r="F7" s="213">
        <v>0</v>
      </c>
      <c r="G7" s="213">
        <v>8.8484119558431473E-4</v>
      </c>
      <c r="H7" s="213">
        <v>2.1801503902313534E-3</v>
      </c>
      <c r="I7" s="214">
        <v>1.0396884048115699E-3</v>
      </c>
      <c r="J7" s="212">
        <v>2.0547978875235752E-3</v>
      </c>
      <c r="K7" s="213">
        <v>2.1260767616123116E-3</v>
      </c>
      <c r="L7" s="213">
        <v>0</v>
      </c>
      <c r="M7" s="213">
        <v>4.5249795585297868E-3</v>
      </c>
      <c r="N7" s="213">
        <v>0</v>
      </c>
      <c r="O7" s="213">
        <v>0</v>
      </c>
      <c r="P7" s="213">
        <v>1.7918034210582373E-3</v>
      </c>
      <c r="Q7" s="214">
        <v>5.8743623817958672E-4</v>
      </c>
      <c r="R7" s="212">
        <v>1.7020903553948277E-2</v>
      </c>
      <c r="S7" s="213">
        <v>0.73417813819580879</v>
      </c>
      <c r="T7" s="213">
        <v>2.6097080187914054E-2</v>
      </c>
      <c r="U7" s="213">
        <v>0.42177758041813662</v>
      </c>
      <c r="V7" s="213">
        <v>2.7294892991566153E-2</v>
      </c>
      <c r="W7" s="213">
        <v>0.78863355940479685</v>
      </c>
      <c r="X7" s="214">
        <v>4.1456448607931781E-2</v>
      </c>
    </row>
    <row r="8" spans="1:24" s="208" customFormat="1" ht="11.25">
      <c r="A8" s="209" t="s">
        <v>1341</v>
      </c>
      <c r="B8" s="210" t="s">
        <v>1429</v>
      </c>
      <c r="C8" s="211" t="s">
        <v>1427</v>
      </c>
      <c r="D8" s="212">
        <v>0</v>
      </c>
      <c r="E8" s="213">
        <v>1.1553010784628722E-2</v>
      </c>
      <c r="F8" s="213">
        <v>5.0013033699691431E-4</v>
      </c>
      <c r="G8" s="213">
        <v>0</v>
      </c>
      <c r="H8" s="213">
        <v>0</v>
      </c>
      <c r="I8" s="214">
        <v>4.8217111125929786E-3</v>
      </c>
      <c r="J8" s="212">
        <v>2.7529901731966513E-3</v>
      </c>
      <c r="K8" s="213">
        <v>0</v>
      </c>
      <c r="L8" s="213">
        <v>0</v>
      </c>
      <c r="M8" s="213">
        <v>2.8871160363003694E-4</v>
      </c>
      <c r="N8" s="213">
        <v>0</v>
      </c>
      <c r="O8" s="213">
        <v>0</v>
      </c>
      <c r="P8" s="213">
        <v>6.5016943809598866E-4</v>
      </c>
      <c r="Q8" s="214">
        <v>2.1823869250774445E-3</v>
      </c>
      <c r="R8" s="212">
        <v>3.636629545881654E-2</v>
      </c>
      <c r="S8" s="213">
        <v>0.93787092999993937</v>
      </c>
      <c r="T8" s="213">
        <v>0.87449153415738645</v>
      </c>
      <c r="U8" s="213">
        <v>0.63797156228592911</v>
      </c>
      <c r="V8" s="213">
        <v>0.27338791321374661</v>
      </c>
      <c r="W8" s="213">
        <v>0.91162545390616945</v>
      </c>
      <c r="X8" s="214">
        <v>0.72623623126026782</v>
      </c>
    </row>
    <row r="9" spans="1:24" s="208" customFormat="1" ht="11.25">
      <c r="A9" s="209" t="s">
        <v>1385</v>
      </c>
      <c r="B9" s="210" t="s">
        <v>1430</v>
      </c>
      <c r="C9" s="211" t="s">
        <v>1427</v>
      </c>
      <c r="D9" s="212">
        <v>1.9576531389955505E-3</v>
      </c>
      <c r="E9" s="213">
        <v>1.2830358503850704E-2</v>
      </c>
      <c r="F9" s="213">
        <v>1.4330717806150965E-2</v>
      </c>
      <c r="G9" s="213">
        <v>2.5739110236849172E-3</v>
      </c>
      <c r="H9" s="213">
        <v>3.124841217417814E-3</v>
      </c>
      <c r="I9" s="214">
        <v>5.8729594169866514E-3</v>
      </c>
      <c r="J9" s="212">
        <v>1.0304354453533865E-2</v>
      </c>
      <c r="K9" s="213">
        <v>1.277519289815413E-2</v>
      </c>
      <c r="L9" s="213">
        <v>9.4137202668273245E-3</v>
      </c>
      <c r="M9" s="213">
        <v>1.8804938773436308E-2</v>
      </c>
      <c r="N9" s="213">
        <v>1.283834299941205E-2</v>
      </c>
      <c r="O9" s="213">
        <v>1.799342367911038E-2</v>
      </c>
      <c r="P9" s="213">
        <v>1.5497180021340378E-2</v>
      </c>
      <c r="Q9" s="214">
        <v>4.1265324787503541E-3</v>
      </c>
      <c r="R9" s="212">
        <v>5.269767070488579E-4</v>
      </c>
      <c r="S9" s="213">
        <v>0.35039886184645092</v>
      </c>
      <c r="T9" s="213">
        <v>0.87555220045439042</v>
      </c>
      <c r="U9" s="213">
        <v>0.37668817641380009</v>
      </c>
      <c r="V9" s="213">
        <v>0.10190466512299752</v>
      </c>
      <c r="W9" s="213">
        <v>0.7287340219355869</v>
      </c>
      <c r="X9" s="214">
        <v>0.3198102593509331</v>
      </c>
    </row>
    <row r="10" spans="1:24" s="208" customFormat="1" ht="11.25">
      <c r="A10" s="209" t="s">
        <v>1362</v>
      </c>
      <c r="B10" s="210" t="s">
        <v>1431</v>
      </c>
      <c r="C10" s="211" t="s">
        <v>1432</v>
      </c>
      <c r="D10" s="212">
        <v>0</v>
      </c>
      <c r="E10" s="213">
        <v>0</v>
      </c>
      <c r="F10" s="213">
        <v>8.6902071819444063E-4</v>
      </c>
      <c r="G10" s="213">
        <v>3.2169012550706489E-3</v>
      </c>
      <c r="H10" s="213">
        <v>0</v>
      </c>
      <c r="I10" s="214">
        <v>1.7206174620892434E-4</v>
      </c>
      <c r="J10" s="212">
        <v>0.51146388609076798</v>
      </c>
      <c r="K10" s="213">
        <v>0</v>
      </c>
      <c r="L10" s="213">
        <v>0</v>
      </c>
      <c r="M10" s="213">
        <v>8.6902071819444063E-4</v>
      </c>
      <c r="N10" s="213">
        <v>8.6902071819444063E-4</v>
      </c>
      <c r="O10" s="213">
        <v>0.45760801502817783</v>
      </c>
      <c r="P10" s="213">
        <v>0</v>
      </c>
      <c r="Q10" s="214">
        <v>1.5458332198960006E-3</v>
      </c>
      <c r="R10" s="212">
        <v>1.4211429038142168E-3</v>
      </c>
      <c r="S10" s="213">
        <v>0</v>
      </c>
      <c r="T10" s="213">
        <v>3.4956848438648554E-4</v>
      </c>
      <c r="U10" s="213">
        <v>0</v>
      </c>
      <c r="V10" s="213">
        <v>1.7206174620892434E-4</v>
      </c>
      <c r="W10" s="213">
        <v>2.5988946666303668E-3</v>
      </c>
      <c r="X10" s="214">
        <v>1.6923035038523319E-3</v>
      </c>
    </row>
    <row r="11" spans="1:24" s="208" customFormat="1" ht="11.25">
      <c r="A11" s="209" t="s">
        <v>1383</v>
      </c>
      <c r="B11" s="210" t="s">
        <v>1433</v>
      </c>
      <c r="C11" s="211" t="s">
        <v>1432</v>
      </c>
      <c r="D11" s="212">
        <v>0</v>
      </c>
      <c r="E11" s="213">
        <v>0</v>
      </c>
      <c r="F11" s="213">
        <v>0</v>
      </c>
      <c r="G11" s="213">
        <v>0</v>
      </c>
      <c r="H11" s="213">
        <v>0</v>
      </c>
      <c r="I11" s="214">
        <v>0</v>
      </c>
      <c r="J11" s="212">
        <v>0</v>
      </c>
      <c r="K11" s="213">
        <v>0</v>
      </c>
      <c r="L11" s="213">
        <v>0</v>
      </c>
      <c r="M11" s="213">
        <v>0</v>
      </c>
      <c r="N11" s="213">
        <v>0</v>
      </c>
      <c r="O11" s="213">
        <v>0</v>
      </c>
      <c r="P11" s="213">
        <v>0</v>
      </c>
      <c r="Q11" s="214">
        <v>0</v>
      </c>
      <c r="R11" s="212">
        <v>0</v>
      </c>
      <c r="S11" s="213">
        <v>0.13540339935877729</v>
      </c>
      <c r="T11" s="213">
        <v>0</v>
      </c>
      <c r="U11" s="213">
        <v>0</v>
      </c>
      <c r="V11" s="213">
        <v>0</v>
      </c>
      <c r="W11" s="213">
        <v>0</v>
      </c>
      <c r="X11" s="214">
        <v>0</v>
      </c>
    </row>
    <row r="12" spans="1:24" s="208" customFormat="1" ht="11.25">
      <c r="A12" s="209" t="s">
        <v>1299</v>
      </c>
      <c r="B12" s="210" t="s">
        <v>1434</v>
      </c>
      <c r="C12" s="211" t="s">
        <v>1435</v>
      </c>
      <c r="D12" s="212">
        <v>0</v>
      </c>
      <c r="E12" s="213">
        <v>0</v>
      </c>
      <c r="F12" s="213">
        <v>0</v>
      </c>
      <c r="G12" s="213">
        <v>2.0581907856784248E-3</v>
      </c>
      <c r="H12" s="213">
        <v>2.7234989295681203E-4</v>
      </c>
      <c r="I12" s="214">
        <v>0</v>
      </c>
      <c r="J12" s="212">
        <v>7.730184713924039E-3</v>
      </c>
      <c r="K12" s="213">
        <v>0</v>
      </c>
      <c r="L12" s="213">
        <v>0</v>
      </c>
      <c r="M12" s="213">
        <v>0</v>
      </c>
      <c r="N12" s="213">
        <v>0</v>
      </c>
      <c r="O12" s="213">
        <v>0.23407335238125637</v>
      </c>
      <c r="P12" s="213">
        <v>3.0759840503949334E-2</v>
      </c>
      <c r="Q12" s="214">
        <v>2.852217610965576E-2</v>
      </c>
      <c r="R12" s="212">
        <v>3.5554611386004562E-4</v>
      </c>
      <c r="S12" s="213">
        <v>0</v>
      </c>
      <c r="T12" s="213">
        <v>7.055981376604438E-4</v>
      </c>
      <c r="U12" s="213">
        <v>3.4298819372370848E-4</v>
      </c>
      <c r="V12" s="213">
        <v>0</v>
      </c>
      <c r="W12" s="213">
        <v>0</v>
      </c>
      <c r="X12" s="214">
        <v>0</v>
      </c>
    </row>
    <row r="13" spans="1:24" s="208" customFormat="1" ht="11.25">
      <c r="A13" s="209" t="s">
        <v>1366</v>
      </c>
      <c r="B13" s="210" t="s">
        <v>1436</v>
      </c>
      <c r="C13" s="211" t="s">
        <v>1437</v>
      </c>
      <c r="D13" s="212">
        <v>4.9118426836639376E-3</v>
      </c>
      <c r="E13" s="213">
        <v>2.606513407330073E-2</v>
      </c>
      <c r="F13" s="213">
        <v>4.4056335512940269E-2</v>
      </c>
      <c r="G13" s="213">
        <v>9.6708610363206767E-3</v>
      </c>
      <c r="H13" s="213">
        <v>3.9279287323479312E-3</v>
      </c>
      <c r="I13" s="214">
        <v>5.554906863014451E-4</v>
      </c>
      <c r="J13" s="212">
        <v>0.16264372355623935</v>
      </c>
      <c r="K13" s="213">
        <v>7.4780035990988522E-2</v>
      </c>
      <c r="L13" s="213">
        <v>0.12196068465300292</v>
      </c>
      <c r="M13" s="213">
        <v>0.29481530578603221</v>
      </c>
      <c r="N13" s="213">
        <v>5.2147439419748337E-2</v>
      </c>
      <c r="O13" s="213">
        <v>0.12232643277103138</v>
      </c>
      <c r="P13" s="213">
        <v>0.25009701769327985</v>
      </c>
      <c r="Q13" s="214">
        <v>2.6310683279301059E-2</v>
      </c>
      <c r="R13" s="212">
        <v>0</v>
      </c>
      <c r="S13" s="213">
        <v>2.9929529095005219E-3</v>
      </c>
      <c r="T13" s="213">
        <v>2.6186191548986209E-4</v>
      </c>
      <c r="U13" s="213">
        <v>5.4862217704269465E-4</v>
      </c>
      <c r="V13" s="213">
        <v>0</v>
      </c>
      <c r="W13" s="213">
        <v>0</v>
      </c>
      <c r="X13" s="214">
        <v>0</v>
      </c>
    </row>
    <row r="14" spans="1:24" s="208" customFormat="1" ht="11.25">
      <c r="A14" s="209" t="s">
        <v>840</v>
      </c>
      <c r="B14" s="210" t="s">
        <v>1438</v>
      </c>
      <c r="C14" s="211" t="s">
        <v>1439</v>
      </c>
      <c r="D14" s="212">
        <v>1.2472003778323928E-2</v>
      </c>
      <c r="E14" s="213">
        <v>4.3345662635341665E-3</v>
      </c>
      <c r="F14" s="213">
        <v>1.8115924241070421E-4</v>
      </c>
      <c r="G14" s="213">
        <v>0.45032112807712965</v>
      </c>
      <c r="H14" s="213">
        <v>0.19155945214303038</v>
      </c>
      <c r="I14" s="214">
        <v>0.1982677445232468</v>
      </c>
      <c r="J14" s="212">
        <v>0.29820725991981861</v>
      </c>
      <c r="K14" s="213">
        <v>0.28377687072692476</v>
      </c>
      <c r="L14" s="213">
        <v>1.9515121641803502E-3</v>
      </c>
      <c r="M14" s="213">
        <v>3.9121068378040552E-2</v>
      </c>
      <c r="N14" s="213">
        <v>0.26596435139590807</v>
      </c>
      <c r="O14" s="213">
        <v>2.3465767776434766E-2</v>
      </c>
      <c r="P14" s="213">
        <v>0.41953240295706867</v>
      </c>
      <c r="Q14" s="214">
        <v>6.6179582322392757E-4</v>
      </c>
      <c r="R14" s="212">
        <v>0</v>
      </c>
      <c r="S14" s="213">
        <v>2.1356170853294398E-4</v>
      </c>
      <c r="T14" s="213">
        <v>0</v>
      </c>
      <c r="U14" s="213">
        <v>0</v>
      </c>
      <c r="V14" s="213">
        <v>0</v>
      </c>
      <c r="W14" s="213">
        <v>0</v>
      </c>
      <c r="X14" s="214">
        <v>0</v>
      </c>
    </row>
    <row r="15" spans="1:24" s="208" customFormat="1" ht="11.25">
      <c r="A15" s="209" t="s">
        <v>872</v>
      </c>
      <c r="B15" s="210" t="s">
        <v>1440</v>
      </c>
      <c r="C15" s="211" t="s">
        <v>1439</v>
      </c>
      <c r="D15" s="212">
        <v>5.9298504801446803E-4</v>
      </c>
      <c r="E15" s="213">
        <v>0.15283833006444383</v>
      </c>
      <c r="F15" s="213">
        <v>6.2798339234315702E-3</v>
      </c>
      <c r="G15" s="213">
        <v>2.6948215695764027E-2</v>
      </c>
      <c r="H15" s="213">
        <v>0.43042869151022695</v>
      </c>
      <c r="I15" s="214">
        <v>1.2025268091393057E-2</v>
      </c>
      <c r="J15" s="212">
        <v>1.840393285616037E-2</v>
      </c>
      <c r="K15" s="213">
        <v>1.4688606434193433E-2</v>
      </c>
      <c r="L15" s="213">
        <v>5.4713568863190608E-4</v>
      </c>
      <c r="M15" s="213">
        <v>5.1916757940854326E-3</v>
      </c>
      <c r="N15" s="213">
        <v>7.3511806210041011E-3</v>
      </c>
      <c r="O15" s="213">
        <v>6.8437810438370817E-3</v>
      </c>
      <c r="P15" s="213">
        <v>3.0132708423546192E-2</v>
      </c>
      <c r="Q15" s="214">
        <v>5.3032425685830002E-4</v>
      </c>
      <c r="R15" s="212">
        <v>0</v>
      </c>
      <c r="S15" s="213">
        <v>0</v>
      </c>
      <c r="T15" s="213">
        <v>8.9864744389821444E-4</v>
      </c>
      <c r="U15" s="213">
        <v>6.4494765531470494E-4</v>
      </c>
      <c r="V15" s="213">
        <v>0</v>
      </c>
      <c r="W15" s="213">
        <v>0</v>
      </c>
      <c r="X15" s="214">
        <v>2.017371812832726E-3</v>
      </c>
    </row>
    <row r="16" spans="1:24" s="208" customFormat="1" ht="11.25">
      <c r="A16" s="215" t="s">
        <v>1395</v>
      </c>
      <c r="B16" s="216" t="s">
        <v>1441</v>
      </c>
      <c r="C16" s="217" t="s">
        <v>1442</v>
      </c>
      <c r="D16" s="218">
        <v>4.6471467083993398E-2</v>
      </c>
      <c r="E16" s="219">
        <v>1.1594111089152285E-2</v>
      </c>
      <c r="F16" s="219">
        <v>1.146964469976164E-3</v>
      </c>
      <c r="G16" s="219">
        <v>4.7248601314525671E-2</v>
      </c>
      <c r="H16" s="219">
        <v>2.123289535142572E-2</v>
      </c>
      <c r="I16" s="220">
        <v>1.0815192394255988E-2</v>
      </c>
      <c r="J16" s="218">
        <v>0</v>
      </c>
      <c r="K16" s="219">
        <v>1.7960633823897458E-3</v>
      </c>
      <c r="L16" s="219">
        <v>0</v>
      </c>
      <c r="M16" s="219">
        <v>1.0104529461283593E-3</v>
      </c>
      <c r="N16" s="219">
        <v>1.7826798996595688E-3</v>
      </c>
      <c r="O16" s="219">
        <v>1.6823037791832418E-3</v>
      </c>
      <c r="P16" s="219">
        <v>2.2551168400348149E-3</v>
      </c>
      <c r="Q16" s="220">
        <v>0</v>
      </c>
      <c r="R16" s="218">
        <v>0</v>
      </c>
      <c r="S16" s="219">
        <v>0</v>
      </c>
      <c r="T16" s="219">
        <v>0</v>
      </c>
      <c r="U16" s="219">
        <v>0</v>
      </c>
      <c r="V16" s="219">
        <v>0</v>
      </c>
      <c r="W16" s="219">
        <v>0</v>
      </c>
      <c r="X16" s="220">
        <v>8.0702400862966961E-4</v>
      </c>
    </row>
    <row r="18" spans="1:2">
      <c r="A18" s="213">
        <v>0</v>
      </c>
      <c r="B18" s="221" t="s">
        <v>1443</v>
      </c>
    </row>
    <row r="19" spans="1:2">
      <c r="A19" s="213">
        <v>1.0739374077245463E-2</v>
      </c>
      <c r="B19" s="221" t="s">
        <v>1444</v>
      </c>
    </row>
    <row r="20" spans="1:2">
      <c r="A20" s="213">
        <v>2.6324375547728519E-2</v>
      </c>
      <c r="B20" s="221" t="s">
        <v>1445</v>
      </c>
    </row>
    <row r="21" spans="1:2">
      <c r="A21" s="213">
        <v>7.4780035990988522E-2</v>
      </c>
      <c r="B21" s="221" t="s">
        <v>1446</v>
      </c>
    </row>
    <row r="22" spans="1:2">
      <c r="A22" s="213">
        <v>0.13540339935877729</v>
      </c>
      <c r="B22" s="221" t="s">
        <v>1447</v>
      </c>
    </row>
    <row r="23" spans="1:2">
      <c r="A23" s="213">
        <v>0.35039886184645092</v>
      </c>
      <c r="B23" s="221" t="s">
        <v>1448</v>
      </c>
    </row>
    <row r="24" spans="1:2">
      <c r="A24" s="213">
        <v>0.73417813819580879</v>
      </c>
      <c r="B24" s="221" t="s">
        <v>1449</v>
      </c>
    </row>
    <row r="25" spans="1:2">
      <c r="A25" s="213">
        <v>0.93787092999993937</v>
      </c>
      <c r="B25" s="221" t="s">
        <v>1450</v>
      </c>
    </row>
  </sheetData>
  <mergeCells count="1">
    <mergeCell ref="A1:I3"/>
  </mergeCells>
  <conditionalFormatting sqref="A18:A25">
    <cfRule type="cellIs" dxfId="15" priority="1" operator="lessThan">
      <formula>1%</formula>
    </cfRule>
    <cfRule type="cellIs" dxfId="14" priority="2" operator="between">
      <formula>1.000001%</formula>
      <formula>2.5%</formula>
    </cfRule>
    <cfRule type="cellIs" dxfId="13" priority="3" operator="between">
      <formula>2.5000001%</formula>
      <formula>5%</formula>
    </cfRule>
    <cfRule type="cellIs" dxfId="12" priority="4" operator="between">
      <formula>5.1000001%</formula>
      <formula>10%</formula>
    </cfRule>
    <cfRule type="cellIs" dxfId="11" priority="5" operator="between">
      <formula>10.000001%</formula>
      <formula>25%</formula>
    </cfRule>
    <cfRule type="cellIs" dxfId="10" priority="6" operator="between">
      <formula>25.000001%</formula>
      <formula>50%</formula>
    </cfRule>
    <cfRule type="cellIs" dxfId="9" priority="7" operator="between">
      <formula>50.000001%</formula>
      <formula>75%</formula>
    </cfRule>
    <cfRule type="cellIs" dxfId="8" priority="8" operator="greaterThan">
      <formula>75.000001%</formula>
    </cfRule>
  </conditionalFormatting>
  <conditionalFormatting sqref="D6:X16">
    <cfRule type="cellIs" dxfId="7" priority="9" operator="lessThan">
      <formula>1%</formula>
    </cfRule>
    <cfRule type="cellIs" dxfId="6" priority="10" operator="between">
      <formula>1.000001%</formula>
      <formula>2.5%</formula>
    </cfRule>
    <cfRule type="cellIs" dxfId="5" priority="11" operator="between">
      <formula>2.5000001%</formula>
      <formula>5%</formula>
    </cfRule>
    <cfRule type="cellIs" dxfId="4" priority="12" operator="between">
      <formula>5.1000001%</formula>
      <formula>10%</formula>
    </cfRule>
    <cfRule type="cellIs" dxfId="3" priority="13" operator="between">
      <formula>10.000001%</formula>
      <formula>25%</formula>
    </cfRule>
    <cfRule type="cellIs" dxfId="2" priority="14" operator="between">
      <formula>25.000001%</formula>
      <formula>50%</formula>
    </cfRule>
    <cfRule type="cellIs" dxfId="1" priority="15" operator="between">
      <formula>50.000001%</formula>
      <formula>75%</formula>
    </cfRule>
    <cfRule type="cellIs" dxfId="0" priority="16" operator="greaterThan">
      <formula>75.000001%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E193-495A-4D2A-AAE4-16D74D8118B6}">
  <dimension ref="A1:I2246"/>
  <sheetViews>
    <sheetView workbookViewId="0">
      <selection sqref="A1:I3"/>
    </sheetView>
  </sheetViews>
  <sheetFormatPr defaultColWidth="11" defaultRowHeight="15"/>
  <cols>
    <col min="1" max="1" width="25.875" style="112" customWidth="1"/>
    <col min="2" max="3" width="11" style="112"/>
    <col min="4" max="4" width="28" style="112" customWidth="1"/>
    <col min="5" max="5" width="7.875" style="112" customWidth="1"/>
    <col min="6" max="6" width="15.5" style="112" customWidth="1"/>
    <col min="7" max="8" width="11" style="112"/>
    <col min="9" max="9" width="11.375" style="112" bestFit="1" customWidth="1"/>
    <col min="10" max="16384" width="11" style="112"/>
  </cols>
  <sheetData>
    <row r="1" spans="1:9">
      <c r="A1" s="278" t="s">
        <v>1451</v>
      </c>
      <c r="B1" s="279"/>
      <c r="C1" s="279"/>
      <c r="D1" s="279"/>
      <c r="E1" s="279"/>
      <c r="F1" s="279"/>
      <c r="G1" s="279"/>
      <c r="H1" s="279"/>
      <c r="I1" s="280"/>
    </row>
    <row r="2" spans="1:9">
      <c r="A2" s="281"/>
      <c r="B2" s="282"/>
      <c r="C2" s="282"/>
      <c r="D2" s="282"/>
      <c r="E2" s="282"/>
      <c r="F2" s="282"/>
      <c r="G2" s="282"/>
      <c r="H2" s="282"/>
      <c r="I2" s="283"/>
    </row>
    <row r="3" spans="1:9">
      <c r="A3" s="284"/>
      <c r="B3" s="285"/>
      <c r="C3" s="285"/>
      <c r="D3" s="285"/>
      <c r="E3" s="285"/>
      <c r="F3" s="285"/>
      <c r="G3" s="285"/>
      <c r="H3" s="285"/>
      <c r="I3" s="286"/>
    </row>
    <row r="5" spans="1:9">
      <c r="A5" s="112" t="s">
        <v>1452</v>
      </c>
      <c r="B5" s="112" t="s">
        <v>1453</v>
      </c>
      <c r="C5" s="112" t="s">
        <v>1454</v>
      </c>
      <c r="D5" s="112" t="s">
        <v>1455</v>
      </c>
      <c r="E5" s="112" t="s">
        <v>1456</v>
      </c>
      <c r="F5" s="112" t="s">
        <v>1457</v>
      </c>
      <c r="G5" s="112" t="s">
        <v>1458</v>
      </c>
      <c r="H5" s="112" t="s">
        <v>1459</v>
      </c>
      <c r="I5" s="112" t="s">
        <v>1460</v>
      </c>
    </row>
    <row r="6" spans="1:9">
      <c r="A6" s="112" t="s">
        <v>1461</v>
      </c>
      <c r="B6" s="112" t="s">
        <v>1462</v>
      </c>
      <c r="C6" s="112">
        <v>1411.0351390000001</v>
      </c>
      <c r="D6" s="112" t="s">
        <v>1463</v>
      </c>
      <c r="E6" s="112" t="s">
        <v>1464</v>
      </c>
      <c r="F6" s="112" t="s">
        <v>1463</v>
      </c>
      <c r="G6" s="112" t="s">
        <v>1461</v>
      </c>
      <c r="H6" s="112" t="s">
        <v>1464</v>
      </c>
      <c r="I6" s="112">
        <v>1919.9989290000001</v>
      </c>
    </row>
    <row r="7" spans="1:9">
      <c r="A7" s="112" t="s">
        <v>1465</v>
      </c>
      <c r="B7" s="112" t="s">
        <v>1462</v>
      </c>
      <c r="C7" s="112">
        <v>2.4417997040000001</v>
      </c>
      <c r="D7" s="112" t="s">
        <v>1463</v>
      </c>
      <c r="E7" s="112" t="s">
        <v>1464</v>
      </c>
      <c r="F7" s="112" t="s">
        <v>1463</v>
      </c>
      <c r="G7" s="112" t="s">
        <v>1465</v>
      </c>
      <c r="H7" s="112" t="s">
        <v>1464</v>
      </c>
      <c r="I7" s="112">
        <v>2.4417997040000001</v>
      </c>
    </row>
    <row r="8" spans="1:9">
      <c r="A8" s="112" t="s">
        <v>1466</v>
      </c>
      <c r="B8" s="112" t="s">
        <v>1462</v>
      </c>
      <c r="C8" s="112">
        <v>0</v>
      </c>
      <c r="D8" s="112" t="s">
        <v>1463</v>
      </c>
      <c r="E8" s="112" t="s">
        <v>1464</v>
      </c>
      <c r="F8" s="112" t="s">
        <v>1463</v>
      </c>
      <c r="G8" s="112" t="s">
        <v>1466</v>
      </c>
      <c r="H8" s="112" t="s">
        <v>1464</v>
      </c>
      <c r="I8" s="112">
        <v>0</v>
      </c>
    </row>
    <row r="9" spans="1:9">
      <c r="A9" s="112" t="s">
        <v>1467</v>
      </c>
      <c r="B9" s="112" t="s">
        <v>1462</v>
      </c>
      <c r="C9" s="112">
        <v>3139.5426360000001</v>
      </c>
      <c r="D9" s="112" t="s">
        <v>1463</v>
      </c>
      <c r="E9" s="112" t="s">
        <v>1464</v>
      </c>
      <c r="F9" s="112" t="s">
        <v>1463</v>
      </c>
      <c r="G9" s="112" t="s">
        <v>1467</v>
      </c>
      <c r="H9" s="112" t="s">
        <v>1464</v>
      </c>
      <c r="I9" s="112">
        <v>3686.9124609999999</v>
      </c>
    </row>
    <row r="10" spans="1:9">
      <c r="A10" s="112" t="s">
        <v>1468</v>
      </c>
      <c r="B10" s="112" t="s">
        <v>1462</v>
      </c>
      <c r="C10" s="112">
        <v>10.82258891</v>
      </c>
      <c r="D10" s="112" t="s">
        <v>1463</v>
      </c>
      <c r="E10" s="112" t="s">
        <v>1464</v>
      </c>
      <c r="F10" s="112" t="s">
        <v>1463</v>
      </c>
      <c r="G10" s="112" t="s">
        <v>1468</v>
      </c>
      <c r="H10" s="112" t="s">
        <v>1464</v>
      </c>
      <c r="I10" s="112">
        <v>10.82258891</v>
      </c>
    </row>
    <row r="11" spans="1:9">
      <c r="A11" s="112" t="s">
        <v>1469</v>
      </c>
      <c r="B11" s="112" t="s">
        <v>1462</v>
      </c>
      <c r="C11" s="112">
        <v>0</v>
      </c>
      <c r="D11" s="112" t="s">
        <v>1463</v>
      </c>
      <c r="E11" s="112" t="s">
        <v>1464</v>
      </c>
      <c r="F11" s="112" t="s">
        <v>1463</v>
      </c>
      <c r="G11" s="112" t="s">
        <v>1469</v>
      </c>
      <c r="H11" s="112" t="s">
        <v>1464</v>
      </c>
      <c r="I11" s="112">
        <v>0</v>
      </c>
    </row>
    <row r="12" spans="1:9">
      <c r="A12" s="112" t="s">
        <v>1470</v>
      </c>
      <c r="B12" s="112" t="s">
        <v>1462</v>
      </c>
      <c r="C12" s="112">
        <v>1953.2717299999999</v>
      </c>
      <c r="D12" s="112" t="s">
        <v>1463</v>
      </c>
      <c r="E12" s="112" t="s">
        <v>1464</v>
      </c>
      <c r="F12" s="112" t="s">
        <v>1463</v>
      </c>
      <c r="G12" s="112" t="s">
        <v>1470</v>
      </c>
      <c r="H12" s="112" t="s">
        <v>1464</v>
      </c>
      <c r="I12" s="112">
        <v>2328.900909</v>
      </c>
    </row>
    <row r="13" spans="1:9">
      <c r="A13" s="112" t="s">
        <v>1471</v>
      </c>
      <c r="B13" s="112" t="s">
        <v>1462</v>
      </c>
      <c r="C13" s="112">
        <v>2785.944395</v>
      </c>
      <c r="D13" s="112" t="s">
        <v>1463</v>
      </c>
      <c r="E13" s="112" t="s">
        <v>1464</v>
      </c>
      <c r="F13" s="112" t="s">
        <v>1463</v>
      </c>
      <c r="G13" s="112" t="s">
        <v>1471</v>
      </c>
      <c r="H13" s="112" t="s">
        <v>1464</v>
      </c>
      <c r="I13" s="112">
        <v>3758.1175950000002</v>
      </c>
    </row>
    <row r="14" spans="1:9">
      <c r="A14" s="112" t="s">
        <v>1472</v>
      </c>
      <c r="B14" s="112" t="s">
        <v>1462</v>
      </c>
      <c r="C14" s="112">
        <v>0</v>
      </c>
      <c r="D14" s="112" t="s">
        <v>1463</v>
      </c>
      <c r="E14" s="112" t="s">
        <v>1464</v>
      </c>
      <c r="F14" s="112" t="s">
        <v>1463</v>
      </c>
      <c r="G14" s="112" t="s">
        <v>1472</v>
      </c>
      <c r="H14" s="112" t="s">
        <v>1464</v>
      </c>
      <c r="I14" s="112">
        <v>0</v>
      </c>
    </row>
    <row r="15" spans="1:9">
      <c r="A15" s="112" t="s">
        <v>1473</v>
      </c>
      <c r="B15" s="112" t="s">
        <v>1462</v>
      </c>
      <c r="C15" s="112">
        <v>684.5850011</v>
      </c>
      <c r="D15" s="112" t="s">
        <v>1463</v>
      </c>
      <c r="E15" s="112" t="s">
        <v>1464</v>
      </c>
      <c r="F15" s="112" t="s">
        <v>1463</v>
      </c>
      <c r="G15" s="112" t="s">
        <v>1473</v>
      </c>
      <c r="H15" s="112" t="s">
        <v>1464</v>
      </c>
      <c r="I15" s="112">
        <v>763.66331300000002</v>
      </c>
    </row>
    <row r="16" spans="1:9">
      <c r="A16" s="112" t="s">
        <v>1474</v>
      </c>
      <c r="B16" s="112" t="s">
        <v>1462</v>
      </c>
      <c r="C16" s="112">
        <v>0</v>
      </c>
      <c r="D16" s="112" t="s">
        <v>1463</v>
      </c>
      <c r="E16" s="112" t="s">
        <v>1464</v>
      </c>
      <c r="F16" s="112" t="s">
        <v>1463</v>
      </c>
      <c r="G16" s="112" t="s">
        <v>1474</v>
      </c>
      <c r="H16" s="112" t="s">
        <v>1464</v>
      </c>
      <c r="I16" s="112">
        <v>0</v>
      </c>
    </row>
    <row r="17" spans="1:9">
      <c r="A17" s="112" t="s">
        <v>1475</v>
      </c>
      <c r="B17" s="112" t="s">
        <v>1462</v>
      </c>
      <c r="C17" s="112">
        <v>0</v>
      </c>
      <c r="D17" s="112" t="s">
        <v>1463</v>
      </c>
      <c r="E17" s="112" t="s">
        <v>1464</v>
      </c>
      <c r="F17" s="112" t="s">
        <v>1463</v>
      </c>
      <c r="G17" s="112" t="s">
        <v>1475</v>
      </c>
      <c r="H17" s="112" t="s">
        <v>1464</v>
      </c>
      <c r="I17" s="112">
        <v>0</v>
      </c>
    </row>
    <row r="18" spans="1:9">
      <c r="A18" s="112" t="s">
        <v>1476</v>
      </c>
      <c r="B18" s="112" t="s">
        <v>1462</v>
      </c>
      <c r="C18" s="112">
        <v>0</v>
      </c>
      <c r="D18" s="112" t="s">
        <v>1463</v>
      </c>
      <c r="E18" s="112" t="s">
        <v>1464</v>
      </c>
      <c r="F18" s="112" t="s">
        <v>1463</v>
      </c>
      <c r="G18" s="112" t="s">
        <v>1476</v>
      </c>
      <c r="H18" s="112" t="s">
        <v>1464</v>
      </c>
      <c r="I18" s="112">
        <v>0</v>
      </c>
    </row>
    <row r="19" spans="1:9">
      <c r="A19" s="112" t="s">
        <v>1477</v>
      </c>
      <c r="B19" s="112" t="s">
        <v>1462</v>
      </c>
      <c r="C19" s="112">
        <v>0</v>
      </c>
      <c r="D19" s="112" t="s">
        <v>1463</v>
      </c>
      <c r="E19" s="112" t="s">
        <v>1464</v>
      </c>
      <c r="F19" s="112" t="s">
        <v>1463</v>
      </c>
      <c r="G19" s="112" t="s">
        <v>1477</v>
      </c>
      <c r="H19" s="112" t="s">
        <v>1464</v>
      </c>
      <c r="I19" s="112">
        <v>0</v>
      </c>
    </row>
    <row r="20" spans="1:9">
      <c r="A20" s="112" t="s">
        <v>1478</v>
      </c>
      <c r="B20" s="112" t="s">
        <v>1462</v>
      </c>
      <c r="C20" s="112">
        <v>4488.4707660000004</v>
      </c>
      <c r="D20" s="112" t="s">
        <v>1463</v>
      </c>
      <c r="E20" s="112" t="s">
        <v>1464</v>
      </c>
      <c r="F20" s="112" t="s">
        <v>1463</v>
      </c>
      <c r="G20" s="112" t="s">
        <v>1478</v>
      </c>
      <c r="H20" s="112" t="s">
        <v>1464</v>
      </c>
      <c r="I20" s="112">
        <v>5416.8103840000003</v>
      </c>
    </row>
    <row r="21" spans="1:9">
      <c r="A21" s="112" t="s">
        <v>1479</v>
      </c>
      <c r="B21" s="112" t="s">
        <v>1462</v>
      </c>
      <c r="C21" s="112">
        <v>0</v>
      </c>
      <c r="D21" s="112" t="s">
        <v>1463</v>
      </c>
      <c r="E21" s="112" t="s">
        <v>1464</v>
      </c>
      <c r="F21" s="112" t="s">
        <v>1463</v>
      </c>
      <c r="G21" s="112" t="s">
        <v>1479</v>
      </c>
      <c r="H21" s="112" t="s">
        <v>1464</v>
      </c>
      <c r="I21" s="112">
        <v>0</v>
      </c>
    </row>
    <row r="22" spans="1:9">
      <c r="A22" s="112" t="s">
        <v>1480</v>
      </c>
      <c r="B22" s="112" t="s">
        <v>1462</v>
      </c>
      <c r="C22" s="112">
        <v>0</v>
      </c>
      <c r="D22" s="112" t="s">
        <v>1463</v>
      </c>
      <c r="E22" s="112" t="s">
        <v>1464</v>
      </c>
      <c r="F22" s="112" t="s">
        <v>1463</v>
      </c>
      <c r="G22" s="112" t="s">
        <v>1480</v>
      </c>
      <c r="H22" s="112" t="s">
        <v>1464</v>
      </c>
      <c r="I22" s="112">
        <v>0</v>
      </c>
    </row>
    <row r="23" spans="1:9">
      <c r="A23" s="112" t="s">
        <v>1481</v>
      </c>
      <c r="B23" s="112" t="s">
        <v>1462</v>
      </c>
      <c r="C23" s="112">
        <v>0</v>
      </c>
      <c r="D23" s="112" t="s">
        <v>1463</v>
      </c>
      <c r="E23" s="112" t="s">
        <v>1464</v>
      </c>
      <c r="F23" s="112" t="s">
        <v>1463</v>
      </c>
      <c r="G23" s="112" t="s">
        <v>1481</v>
      </c>
      <c r="H23" s="112" t="s">
        <v>1464</v>
      </c>
      <c r="I23" s="112">
        <v>0</v>
      </c>
    </row>
    <row r="24" spans="1:9">
      <c r="A24" s="112" t="s">
        <v>1482</v>
      </c>
      <c r="B24" s="112" t="s">
        <v>1462</v>
      </c>
      <c r="C24" s="112">
        <v>0</v>
      </c>
      <c r="D24" s="112" t="s">
        <v>1463</v>
      </c>
      <c r="E24" s="112" t="s">
        <v>1464</v>
      </c>
      <c r="F24" s="112" t="s">
        <v>1463</v>
      </c>
      <c r="G24" s="112" t="s">
        <v>1482</v>
      </c>
      <c r="H24" s="112" t="s">
        <v>1464</v>
      </c>
      <c r="I24" s="112">
        <v>0</v>
      </c>
    </row>
    <row r="25" spans="1:9">
      <c r="A25" s="112" t="s">
        <v>1483</v>
      </c>
      <c r="B25" s="112" t="s">
        <v>1462</v>
      </c>
      <c r="C25" s="112">
        <v>0</v>
      </c>
      <c r="D25" s="112" t="s">
        <v>1463</v>
      </c>
      <c r="E25" s="112" t="s">
        <v>1464</v>
      </c>
      <c r="F25" s="112" t="s">
        <v>1463</v>
      </c>
      <c r="G25" s="112" t="s">
        <v>1483</v>
      </c>
      <c r="H25" s="112" t="s">
        <v>1464</v>
      </c>
      <c r="I25" s="112">
        <v>0</v>
      </c>
    </row>
    <row r="26" spans="1:9">
      <c r="A26" s="112" t="s">
        <v>1484</v>
      </c>
      <c r="B26" s="112" t="s">
        <v>1462</v>
      </c>
      <c r="C26" s="112">
        <v>0</v>
      </c>
      <c r="D26" s="112" t="s">
        <v>1463</v>
      </c>
      <c r="E26" s="112" t="s">
        <v>1464</v>
      </c>
      <c r="F26" s="112" t="s">
        <v>1463</v>
      </c>
      <c r="G26" s="112" t="s">
        <v>1484</v>
      </c>
      <c r="H26" s="112" t="s">
        <v>1464</v>
      </c>
      <c r="I26" s="112">
        <v>0</v>
      </c>
    </row>
    <row r="27" spans="1:9">
      <c r="A27" s="112" t="s">
        <v>1485</v>
      </c>
      <c r="B27" s="112" t="s">
        <v>1462</v>
      </c>
      <c r="C27" s="112">
        <v>0</v>
      </c>
      <c r="D27" s="112" t="s">
        <v>1463</v>
      </c>
      <c r="E27" s="112" t="s">
        <v>1464</v>
      </c>
      <c r="F27" s="112" t="s">
        <v>1463</v>
      </c>
      <c r="G27" s="112" t="s">
        <v>1485</v>
      </c>
      <c r="H27" s="112" t="s">
        <v>1464</v>
      </c>
      <c r="I27" s="112">
        <v>0</v>
      </c>
    </row>
    <row r="28" spans="1:9">
      <c r="A28" s="112" t="s">
        <v>1486</v>
      </c>
      <c r="B28" s="112" t="s">
        <v>1462</v>
      </c>
      <c r="C28" s="112">
        <v>0</v>
      </c>
      <c r="D28" s="112" t="s">
        <v>1463</v>
      </c>
      <c r="E28" s="112" t="s">
        <v>1464</v>
      </c>
      <c r="F28" s="112" t="s">
        <v>1463</v>
      </c>
      <c r="G28" s="112" t="s">
        <v>1486</v>
      </c>
      <c r="H28" s="112" t="s">
        <v>1464</v>
      </c>
      <c r="I28" s="112">
        <v>0</v>
      </c>
    </row>
    <row r="29" spans="1:9">
      <c r="A29" s="112" t="s">
        <v>1487</v>
      </c>
      <c r="B29" s="112" t="s">
        <v>1462</v>
      </c>
      <c r="C29" s="112">
        <v>91.941341420000001</v>
      </c>
      <c r="D29" s="112" t="s">
        <v>1463</v>
      </c>
      <c r="E29" s="112" t="s">
        <v>1464</v>
      </c>
      <c r="F29" s="112" t="s">
        <v>1463</v>
      </c>
      <c r="G29" s="112" t="s">
        <v>1487</v>
      </c>
      <c r="H29" s="112" t="s">
        <v>1464</v>
      </c>
      <c r="I29" s="112">
        <v>114.9266768</v>
      </c>
    </row>
    <row r="30" spans="1:9">
      <c r="A30" s="112" t="s">
        <v>1488</v>
      </c>
      <c r="B30" s="112" t="s">
        <v>1462</v>
      </c>
      <c r="C30" s="112">
        <v>39.824771009999999</v>
      </c>
      <c r="D30" s="112" t="s">
        <v>1463</v>
      </c>
      <c r="E30" s="112" t="s">
        <v>1464</v>
      </c>
      <c r="F30" s="112" t="s">
        <v>1463</v>
      </c>
      <c r="G30" s="112" t="s">
        <v>1488</v>
      </c>
      <c r="H30" s="112" t="s">
        <v>1464</v>
      </c>
      <c r="I30" s="112">
        <v>39.824771009999999</v>
      </c>
    </row>
    <row r="31" spans="1:9">
      <c r="A31" s="112" t="s">
        <v>1489</v>
      </c>
      <c r="B31" s="112" t="s">
        <v>1462</v>
      </c>
      <c r="C31" s="112">
        <v>11.64978419</v>
      </c>
      <c r="D31" s="112" t="s">
        <v>1463</v>
      </c>
      <c r="E31" s="112" t="s">
        <v>1464</v>
      </c>
      <c r="F31" s="112" t="s">
        <v>1463</v>
      </c>
      <c r="G31" s="112" t="s">
        <v>1489</v>
      </c>
      <c r="H31" s="112" t="s">
        <v>1464</v>
      </c>
      <c r="I31" s="112">
        <v>17.474676280000001</v>
      </c>
    </row>
    <row r="32" spans="1:9">
      <c r="A32" s="112" t="s">
        <v>1490</v>
      </c>
      <c r="B32" s="112" t="s">
        <v>1462</v>
      </c>
      <c r="C32" s="112">
        <v>0</v>
      </c>
      <c r="D32" s="112" t="s">
        <v>1463</v>
      </c>
      <c r="E32" s="112" t="s">
        <v>1464</v>
      </c>
      <c r="F32" s="112" t="s">
        <v>1463</v>
      </c>
      <c r="G32" s="112" t="s">
        <v>1490</v>
      </c>
      <c r="H32" s="112" t="s">
        <v>1464</v>
      </c>
      <c r="I32" s="112">
        <v>0</v>
      </c>
    </row>
    <row r="33" spans="1:9">
      <c r="A33" s="112" t="s">
        <v>1461</v>
      </c>
      <c r="B33" s="112" t="s">
        <v>1491</v>
      </c>
      <c r="C33" s="112">
        <v>508.96378989999999</v>
      </c>
      <c r="D33" s="112" t="s">
        <v>1463</v>
      </c>
      <c r="E33" s="112" t="s">
        <v>1464</v>
      </c>
      <c r="F33" s="112" t="s">
        <v>1463</v>
      </c>
      <c r="G33" s="112" t="s">
        <v>1461</v>
      </c>
      <c r="H33" s="112" t="s">
        <v>1464</v>
      </c>
      <c r="I33" s="112">
        <v>1919.9989290000001</v>
      </c>
    </row>
    <row r="34" spans="1:9">
      <c r="A34" s="112" t="s">
        <v>1465</v>
      </c>
      <c r="B34" s="112" t="s">
        <v>1491</v>
      </c>
      <c r="C34" s="112">
        <v>0</v>
      </c>
      <c r="D34" s="112" t="s">
        <v>1463</v>
      </c>
      <c r="E34" s="112" t="s">
        <v>1464</v>
      </c>
      <c r="F34" s="112" t="s">
        <v>1463</v>
      </c>
      <c r="G34" s="112" t="s">
        <v>1465</v>
      </c>
      <c r="H34" s="112" t="s">
        <v>1464</v>
      </c>
      <c r="I34" s="112">
        <v>2.4417997040000001</v>
      </c>
    </row>
    <row r="35" spans="1:9">
      <c r="A35" s="112" t="s">
        <v>1466</v>
      </c>
      <c r="B35" s="112" t="s">
        <v>1491</v>
      </c>
      <c r="C35" s="112">
        <v>0</v>
      </c>
      <c r="D35" s="112" t="s">
        <v>1463</v>
      </c>
      <c r="E35" s="112" t="s">
        <v>1464</v>
      </c>
      <c r="F35" s="112" t="s">
        <v>1463</v>
      </c>
      <c r="G35" s="112" t="s">
        <v>1466</v>
      </c>
      <c r="H35" s="112" t="s">
        <v>1464</v>
      </c>
      <c r="I35" s="112">
        <v>0</v>
      </c>
    </row>
    <row r="36" spans="1:9">
      <c r="A36" s="112" t="s">
        <v>1467</v>
      </c>
      <c r="B36" s="112" t="s">
        <v>1491</v>
      </c>
      <c r="C36" s="112">
        <v>547.36982469999998</v>
      </c>
      <c r="D36" s="112" t="s">
        <v>1463</v>
      </c>
      <c r="E36" s="112" t="s">
        <v>1464</v>
      </c>
      <c r="F36" s="112" t="s">
        <v>1463</v>
      </c>
      <c r="G36" s="112" t="s">
        <v>1467</v>
      </c>
      <c r="H36" s="112" t="s">
        <v>1464</v>
      </c>
      <c r="I36" s="112">
        <v>3686.9124609999999</v>
      </c>
    </row>
    <row r="37" spans="1:9">
      <c r="A37" s="112" t="s">
        <v>1468</v>
      </c>
      <c r="B37" s="112" t="s">
        <v>1491</v>
      </c>
      <c r="C37" s="112">
        <v>0</v>
      </c>
      <c r="D37" s="112" t="s">
        <v>1463</v>
      </c>
      <c r="E37" s="112" t="s">
        <v>1464</v>
      </c>
      <c r="F37" s="112" t="s">
        <v>1463</v>
      </c>
      <c r="G37" s="112" t="s">
        <v>1468</v>
      </c>
      <c r="H37" s="112" t="s">
        <v>1464</v>
      </c>
      <c r="I37" s="112">
        <v>10.82258891</v>
      </c>
    </row>
    <row r="38" spans="1:9">
      <c r="A38" s="112" t="s">
        <v>1469</v>
      </c>
      <c r="B38" s="112" t="s">
        <v>1491</v>
      </c>
      <c r="C38" s="112">
        <v>0</v>
      </c>
      <c r="D38" s="112" t="s">
        <v>1463</v>
      </c>
      <c r="E38" s="112" t="s">
        <v>1464</v>
      </c>
      <c r="F38" s="112" t="s">
        <v>1463</v>
      </c>
      <c r="G38" s="112" t="s">
        <v>1469</v>
      </c>
      <c r="H38" s="112" t="s">
        <v>1464</v>
      </c>
      <c r="I38" s="112">
        <v>0</v>
      </c>
    </row>
    <row r="39" spans="1:9">
      <c r="A39" s="112" t="s">
        <v>1470</v>
      </c>
      <c r="B39" s="112" t="s">
        <v>1491</v>
      </c>
      <c r="C39" s="112">
        <v>375.6291789</v>
      </c>
      <c r="D39" s="112" t="s">
        <v>1463</v>
      </c>
      <c r="E39" s="112" t="s">
        <v>1464</v>
      </c>
      <c r="F39" s="112" t="s">
        <v>1463</v>
      </c>
      <c r="G39" s="112" t="s">
        <v>1470</v>
      </c>
      <c r="H39" s="112" t="s">
        <v>1464</v>
      </c>
      <c r="I39" s="112">
        <v>2328.900909</v>
      </c>
    </row>
    <row r="40" spans="1:9">
      <c r="A40" s="112" t="s">
        <v>1471</v>
      </c>
      <c r="B40" s="112" t="s">
        <v>1491</v>
      </c>
      <c r="C40" s="112">
        <v>972.17319980000002</v>
      </c>
      <c r="D40" s="112" t="s">
        <v>1463</v>
      </c>
      <c r="E40" s="112" t="s">
        <v>1464</v>
      </c>
      <c r="F40" s="112" t="s">
        <v>1463</v>
      </c>
      <c r="G40" s="112" t="s">
        <v>1471</v>
      </c>
      <c r="H40" s="112" t="s">
        <v>1464</v>
      </c>
      <c r="I40" s="112">
        <v>3758.1175950000002</v>
      </c>
    </row>
    <row r="41" spans="1:9">
      <c r="A41" s="112" t="s">
        <v>1472</v>
      </c>
      <c r="B41" s="112" t="s">
        <v>1491</v>
      </c>
      <c r="C41" s="112">
        <v>0</v>
      </c>
      <c r="D41" s="112" t="s">
        <v>1463</v>
      </c>
      <c r="E41" s="112" t="s">
        <v>1464</v>
      </c>
      <c r="F41" s="112" t="s">
        <v>1463</v>
      </c>
      <c r="G41" s="112" t="s">
        <v>1472</v>
      </c>
      <c r="H41" s="112" t="s">
        <v>1464</v>
      </c>
      <c r="I41" s="112">
        <v>0</v>
      </c>
    </row>
    <row r="42" spans="1:9">
      <c r="A42" s="112" t="s">
        <v>1473</v>
      </c>
      <c r="B42" s="112" t="s">
        <v>1491</v>
      </c>
      <c r="C42" s="112">
        <v>79.078311859999999</v>
      </c>
      <c r="D42" s="112" t="s">
        <v>1463</v>
      </c>
      <c r="E42" s="112" t="s">
        <v>1464</v>
      </c>
      <c r="F42" s="112" t="s">
        <v>1463</v>
      </c>
      <c r="G42" s="112" t="s">
        <v>1473</v>
      </c>
      <c r="H42" s="112" t="s">
        <v>1464</v>
      </c>
      <c r="I42" s="112">
        <v>763.66331300000002</v>
      </c>
    </row>
    <row r="43" spans="1:9">
      <c r="A43" s="112" t="s">
        <v>1474</v>
      </c>
      <c r="B43" s="112" t="s">
        <v>1491</v>
      </c>
      <c r="C43" s="112">
        <v>0</v>
      </c>
      <c r="D43" s="112" t="s">
        <v>1463</v>
      </c>
      <c r="E43" s="112" t="s">
        <v>1464</v>
      </c>
      <c r="F43" s="112" t="s">
        <v>1463</v>
      </c>
      <c r="G43" s="112" t="s">
        <v>1474</v>
      </c>
      <c r="H43" s="112" t="s">
        <v>1464</v>
      </c>
      <c r="I43" s="112">
        <v>0</v>
      </c>
    </row>
    <row r="44" spans="1:9">
      <c r="A44" s="112" t="s">
        <v>1475</v>
      </c>
      <c r="B44" s="112" t="s">
        <v>1491</v>
      </c>
      <c r="C44" s="112">
        <v>0</v>
      </c>
      <c r="D44" s="112" t="s">
        <v>1463</v>
      </c>
      <c r="E44" s="112" t="s">
        <v>1464</v>
      </c>
      <c r="F44" s="112" t="s">
        <v>1463</v>
      </c>
      <c r="G44" s="112" t="s">
        <v>1475</v>
      </c>
      <c r="H44" s="112" t="s">
        <v>1464</v>
      </c>
      <c r="I44" s="112">
        <v>0</v>
      </c>
    </row>
    <row r="45" spans="1:9">
      <c r="A45" s="112" t="s">
        <v>1476</v>
      </c>
      <c r="B45" s="112" t="s">
        <v>1491</v>
      </c>
      <c r="C45" s="112">
        <v>0</v>
      </c>
      <c r="D45" s="112" t="s">
        <v>1463</v>
      </c>
      <c r="E45" s="112" t="s">
        <v>1464</v>
      </c>
      <c r="F45" s="112" t="s">
        <v>1463</v>
      </c>
      <c r="G45" s="112" t="s">
        <v>1476</v>
      </c>
      <c r="H45" s="112" t="s">
        <v>1464</v>
      </c>
      <c r="I45" s="112">
        <v>0</v>
      </c>
    </row>
    <row r="46" spans="1:9">
      <c r="A46" s="112" t="s">
        <v>1477</v>
      </c>
      <c r="B46" s="112" t="s">
        <v>1491</v>
      </c>
      <c r="C46" s="112">
        <v>0</v>
      </c>
      <c r="D46" s="112" t="s">
        <v>1463</v>
      </c>
      <c r="E46" s="112" t="s">
        <v>1464</v>
      </c>
      <c r="F46" s="112" t="s">
        <v>1463</v>
      </c>
      <c r="G46" s="112" t="s">
        <v>1477</v>
      </c>
      <c r="H46" s="112" t="s">
        <v>1464</v>
      </c>
      <c r="I46" s="112">
        <v>0</v>
      </c>
    </row>
    <row r="47" spans="1:9">
      <c r="A47" s="112" t="s">
        <v>1478</v>
      </c>
      <c r="B47" s="112" t="s">
        <v>1491</v>
      </c>
      <c r="C47" s="112">
        <v>928.33961839999995</v>
      </c>
      <c r="D47" s="112" t="s">
        <v>1463</v>
      </c>
      <c r="E47" s="112" t="s">
        <v>1464</v>
      </c>
      <c r="F47" s="112" t="s">
        <v>1463</v>
      </c>
      <c r="G47" s="112" t="s">
        <v>1478</v>
      </c>
      <c r="H47" s="112" t="s">
        <v>1464</v>
      </c>
      <c r="I47" s="112">
        <v>5416.8103840000003</v>
      </c>
    </row>
    <row r="48" spans="1:9">
      <c r="A48" s="112" t="s">
        <v>1479</v>
      </c>
      <c r="B48" s="112" t="s">
        <v>1491</v>
      </c>
      <c r="C48" s="112">
        <v>0</v>
      </c>
      <c r="D48" s="112" t="s">
        <v>1463</v>
      </c>
      <c r="E48" s="112" t="s">
        <v>1464</v>
      </c>
      <c r="F48" s="112" t="s">
        <v>1463</v>
      </c>
      <c r="G48" s="112" t="s">
        <v>1479</v>
      </c>
      <c r="H48" s="112" t="s">
        <v>1464</v>
      </c>
      <c r="I48" s="112">
        <v>0</v>
      </c>
    </row>
    <row r="49" spans="1:9">
      <c r="A49" s="112" t="s">
        <v>1480</v>
      </c>
      <c r="B49" s="112" t="s">
        <v>1491</v>
      </c>
      <c r="C49" s="112">
        <v>0</v>
      </c>
      <c r="D49" s="112" t="s">
        <v>1463</v>
      </c>
      <c r="E49" s="112" t="s">
        <v>1464</v>
      </c>
      <c r="F49" s="112" t="s">
        <v>1463</v>
      </c>
      <c r="G49" s="112" t="s">
        <v>1480</v>
      </c>
      <c r="H49" s="112" t="s">
        <v>1464</v>
      </c>
      <c r="I49" s="112">
        <v>0</v>
      </c>
    </row>
    <row r="50" spans="1:9">
      <c r="A50" s="112" t="s">
        <v>1481</v>
      </c>
      <c r="B50" s="112" t="s">
        <v>1491</v>
      </c>
      <c r="C50" s="112">
        <v>0</v>
      </c>
      <c r="D50" s="112" t="s">
        <v>1463</v>
      </c>
      <c r="E50" s="112" t="s">
        <v>1464</v>
      </c>
      <c r="F50" s="112" t="s">
        <v>1463</v>
      </c>
      <c r="G50" s="112" t="s">
        <v>1481</v>
      </c>
      <c r="H50" s="112" t="s">
        <v>1464</v>
      </c>
      <c r="I50" s="112">
        <v>0</v>
      </c>
    </row>
    <row r="51" spans="1:9">
      <c r="A51" s="112" t="s">
        <v>1482</v>
      </c>
      <c r="B51" s="112" t="s">
        <v>1491</v>
      </c>
      <c r="C51" s="112">
        <v>0</v>
      </c>
      <c r="D51" s="112" t="s">
        <v>1463</v>
      </c>
      <c r="E51" s="112" t="s">
        <v>1464</v>
      </c>
      <c r="F51" s="112" t="s">
        <v>1463</v>
      </c>
      <c r="G51" s="112" t="s">
        <v>1482</v>
      </c>
      <c r="H51" s="112" t="s">
        <v>1464</v>
      </c>
      <c r="I51" s="112">
        <v>0</v>
      </c>
    </row>
    <row r="52" spans="1:9">
      <c r="A52" s="112" t="s">
        <v>1483</v>
      </c>
      <c r="B52" s="112" t="s">
        <v>1491</v>
      </c>
      <c r="C52" s="112">
        <v>0</v>
      </c>
      <c r="D52" s="112" t="s">
        <v>1463</v>
      </c>
      <c r="E52" s="112" t="s">
        <v>1464</v>
      </c>
      <c r="F52" s="112" t="s">
        <v>1463</v>
      </c>
      <c r="G52" s="112" t="s">
        <v>1483</v>
      </c>
      <c r="H52" s="112" t="s">
        <v>1464</v>
      </c>
      <c r="I52" s="112">
        <v>0</v>
      </c>
    </row>
    <row r="53" spans="1:9">
      <c r="A53" s="112" t="s">
        <v>1484</v>
      </c>
      <c r="B53" s="112" t="s">
        <v>1491</v>
      </c>
      <c r="C53" s="112">
        <v>0</v>
      </c>
      <c r="D53" s="112" t="s">
        <v>1463</v>
      </c>
      <c r="E53" s="112" t="s">
        <v>1464</v>
      </c>
      <c r="F53" s="112" t="s">
        <v>1463</v>
      </c>
      <c r="G53" s="112" t="s">
        <v>1484</v>
      </c>
      <c r="H53" s="112" t="s">
        <v>1464</v>
      </c>
      <c r="I53" s="112">
        <v>0</v>
      </c>
    </row>
    <row r="54" spans="1:9">
      <c r="A54" s="112" t="s">
        <v>1485</v>
      </c>
      <c r="B54" s="112" t="s">
        <v>1491</v>
      </c>
      <c r="C54" s="112">
        <v>0</v>
      </c>
      <c r="D54" s="112" t="s">
        <v>1463</v>
      </c>
      <c r="E54" s="112" t="s">
        <v>1464</v>
      </c>
      <c r="F54" s="112" t="s">
        <v>1463</v>
      </c>
      <c r="G54" s="112" t="s">
        <v>1485</v>
      </c>
      <c r="H54" s="112" t="s">
        <v>1464</v>
      </c>
      <c r="I54" s="112">
        <v>0</v>
      </c>
    </row>
    <row r="55" spans="1:9">
      <c r="A55" s="112" t="s">
        <v>1486</v>
      </c>
      <c r="B55" s="112" t="s">
        <v>1491</v>
      </c>
      <c r="C55" s="112">
        <v>0</v>
      </c>
      <c r="D55" s="112" t="s">
        <v>1463</v>
      </c>
      <c r="E55" s="112" t="s">
        <v>1464</v>
      </c>
      <c r="F55" s="112" t="s">
        <v>1463</v>
      </c>
      <c r="G55" s="112" t="s">
        <v>1486</v>
      </c>
      <c r="H55" s="112" t="s">
        <v>1464</v>
      </c>
      <c r="I55" s="112">
        <v>0</v>
      </c>
    </row>
    <row r="56" spans="1:9">
      <c r="A56" s="112" t="s">
        <v>1487</v>
      </c>
      <c r="B56" s="112" t="s">
        <v>1491</v>
      </c>
      <c r="C56" s="112">
        <v>22.985335360000001</v>
      </c>
      <c r="D56" s="112" t="s">
        <v>1463</v>
      </c>
      <c r="E56" s="112" t="s">
        <v>1464</v>
      </c>
      <c r="F56" s="112" t="s">
        <v>1463</v>
      </c>
      <c r="G56" s="112" t="s">
        <v>1487</v>
      </c>
      <c r="H56" s="112" t="s">
        <v>1464</v>
      </c>
      <c r="I56" s="112">
        <v>114.9266768</v>
      </c>
    </row>
    <row r="57" spans="1:9">
      <c r="A57" s="112" t="s">
        <v>1488</v>
      </c>
      <c r="B57" s="112" t="s">
        <v>1491</v>
      </c>
      <c r="C57" s="112">
        <v>0</v>
      </c>
      <c r="D57" s="112" t="s">
        <v>1463</v>
      </c>
      <c r="E57" s="112" t="s">
        <v>1464</v>
      </c>
      <c r="F57" s="112" t="s">
        <v>1463</v>
      </c>
      <c r="G57" s="112" t="s">
        <v>1488</v>
      </c>
      <c r="H57" s="112" t="s">
        <v>1464</v>
      </c>
      <c r="I57" s="112">
        <v>39.824771009999999</v>
      </c>
    </row>
    <row r="58" spans="1:9">
      <c r="A58" s="112" t="s">
        <v>1489</v>
      </c>
      <c r="B58" s="112" t="s">
        <v>1491</v>
      </c>
      <c r="C58" s="112">
        <v>5.824892094</v>
      </c>
      <c r="D58" s="112" t="s">
        <v>1463</v>
      </c>
      <c r="E58" s="112" t="s">
        <v>1464</v>
      </c>
      <c r="F58" s="112" t="s">
        <v>1463</v>
      </c>
      <c r="G58" s="112" t="s">
        <v>1489</v>
      </c>
      <c r="H58" s="112" t="s">
        <v>1464</v>
      </c>
      <c r="I58" s="112">
        <v>17.474676280000001</v>
      </c>
    </row>
    <row r="59" spans="1:9">
      <c r="A59" s="112" t="s">
        <v>1490</v>
      </c>
      <c r="B59" s="112" t="s">
        <v>1491</v>
      </c>
      <c r="C59" s="112">
        <v>0</v>
      </c>
      <c r="D59" s="112" t="s">
        <v>1463</v>
      </c>
      <c r="E59" s="112" t="s">
        <v>1464</v>
      </c>
      <c r="F59" s="112" t="s">
        <v>1463</v>
      </c>
      <c r="G59" s="112" t="s">
        <v>1490</v>
      </c>
      <c r="H59" s="112" t="s">
        <v>1464</v>
      </c>
      <c r="I59" s="112">
        <v>0</v>
      </c>
    </row>
    <row r="60" spans="1:9">
      <c r="A60" s="112" t="s">
        <v>1461</v>
      </c>
      <c r="B60" s="112" t="s">
        <v>1492</v>
      </c>
      <c r="C60" s="112">
        <v>549.14514169999995</v>
      </c>
      <c r="D60" s="112" t="s">
        <v>1493</v>
      </c>
      <c r="E60" s="112" t="s">
        <v>1464</v>
      </c>
      <c r="F60" s="112" t="s">
        <v>1493</v>
      </c>
      <c r="G60" s="112" t="s">
        <v>1461</v>
      </c>
      <c r="H60" s="112" t="s">
        <v>1464</v>
      </c>
      <c r="I60" s="112">
        <v>549.14514169999995</v>
      </c>
    </row>
    <row r="61" spans="1:9">
      <c r="A61" s="112" t="s">
        <v>1465</v>
      </c>
      <c r="B61" s="112" t="s">
        <v>1492</v>
      </c>
      <c r="C61" s="112">
        <v>427.3149482</v>
      </c>
      <c r="D61" s="112" t="s">
        <v>1493</v>
      </c>
      <c r="E61" s="112" t="s">
        <v>1464</v>
      </c>
      <c r="F61" s="112" t="s">
        <v>1493</v>
      </c>
      <c r="G61" s="112" t="s">
        <v>1465</v>
      </c>
      <c r="H61" s="112" t="s">
        <v>1464</v>
      </c>
      <c r="I61" s="112">
        <v>427.3149482</v>
      </c>
    </row>
    <row r="62" spans="1:9">
      <c r="A62" s="112" t="s">
        <v>1466</v>
      </c>
      <c r="B62" s="112" t="s">
        <v>1492</v>
      </c>
      <c r="C62" s="112">
        <v>139.42950099999999</v>
      </c>
      <c r="D62" s="112" t="s">
        <v>1493</v>
      </c>
      <c r="E62" s="112" t="s">
        <v>1464</v>
      </c>
      <c r="F62" s="112" t="s">
        <v>1493</v>
      </c>
      <c r="G62" s="112" t="s">
        <v>1466</v>
      </c>
      <c r="H62" s="112" t="s">
        <v>1464</v>
      </c>
      <c r="I62" s="112">
        <v>139.42950099999999</v>
      </c>
    </row>
    <row r="63" spans="1:9">
      <c r="A63" s="112" t="s">
        <v>1467</v>
      </c>
      <c r="B63" s="112" t="s">
        <v>1492</v>
      </c>
      <c r="C63" s="112">
        <v>981.39875989999996</v>
      </c>
      <c r="D63" s="112" t="s">
        <v>1493</v>
      </c>
      <c r="E63" s="112" t="s">
        <v>1464</v>
      </c>
      <c r="F63" s="112" t="s">
        <v>1493</v>
      </c>
      <c r="G63" s="112" t="s">
        <v>1467</v>
      </c>
      <c r="H63" s="112" t="s">
        <v>1464</v>
      </c>
      <c r="I63" s="112">
        <v>981.39875989999996</v>
      </c>
    </row>
    <row r="64" spans="1:9">
      <c r="A64" s="112" t="s">
        <v>1468</v>
      </c>
      <c r="B64" s="112" t="s">
        <v>1492</v>
      </c>
      <c r="C64" s="112">
        <v>79.365651990000003</v>
      </c>
      <c r="D64" s="112" t="s">
        <v>1493</v>
      </c>
      <c r="E64" s="112" t="s">
        <v>1464</v>
      </c>
      <c r="F64" s="112" t="s">
        <v>1493</v>
      </c>
      <c r="G64" s="112" t="s">
        <v>1468</v>
      </c>
      <c r="H64" s="112" t="s">
        <v>1464</v>
      </c>
      <c r="I64" s="112">
        <v>79.365651990000003</v>
      </c>
    </row>
    <row r="65" spans="1:9">
      <c r="A65" s="112" t="s">
        <v>1469</v>
      </c>
      <c r="B65" s="112" t="s">
        <v>1492</v>
      </c>
      <c r="C65" s="112">
        <v>86.531805250000005</v>
      </c>
      <c r="D65" s="112" t="s">
        <v>1493</v>
      </c>
      <c r="E65" s="112" t="s">
        <v>1464</v>
      </c>
      <c r="F65" s="112" t="s">
        <v>1493</v>
      </c>
      <c r="G65" s="112" t="s">
        <v>1469</v>
      </c>
      <c r="H65" s="112" t="s">
        <v>1464</v>
      </c>
      <c r="I65" s="112">
        <v>86.531805250000005</v>
      </c>
    </row>
    <row r="66" spans="1:9">
      <c r="A66" s="112" t="s">
        <v>1470</v>
      </c>
      <c r="B66" s="112" t="s">
        <v>1492</v>
      </c>
      <c r="C66" s="112">
        <v>75.125835769999995</v>
      </c>
      <c r="D66" s="112" t="s">
        <v>1493</v>
      </c>
      <c r="E66" s="112" t="s">
        <v>1464</v>
      </c>
      <c r="F66" s="112" t="s">
        <v>1493</v>
      </c>
      <c r="G66" s="112" t="s">
        <v>1470</v>
      </c>
      <c r="H66" s="112" t="s">
        <v>1464</v>
      </c>
      <c r="I66" s="112">
        <v>75.125835769999995</v>
      </c>
    </row>
    <row r="67" spans="1:9">
      <c r="A67" s="112" t="s">
        <v>1471</v>
      </c>
      <c r="B67" s="112" t="s">
        <v>1492</v>
      </c>
      <c r="C67" s="112">
        <v>902.8051226</v>
      </c>
      <c r="D67" s="112" t="s">
        <v>1493</v>
      </c>
      <c r="E67" s="112" t="s">
        <v>1464</v>
      </c>
      <c r="F67" s="112" t="s">
        <v>1493</v>
      </c>
      <c r="G67" s="112" t="s">
        <v>1471</v>
      </c>
      <c r="H67" s="112" t="s">
        <v>1464</v>
      </c>
      <c r="I67" s="112">
        <v>902.8051226</v>
      </c>
    </row>
    <row r="68" spans="1:9">
      <c r="A68" s="112" t="s">
        <v>1472</v>
      </c>
      <c r="B68" s="112" t="s">
        <v>1492</v>
      </c>
      <c r="C68" s="112">
        <v>77.405371930000001</v>
      </c>
      <c r="D68" s="112" t="s">
        <v>1493</v>
      </c>
      <c r="E68" s="112" t="s">
        <v>1464</v>
      </c>
      <c r="F68" s="112" t="s">
        <v>1493</v>
      </c>
      <c r="G68" s="112" t="s">
        <v>1472</v>
      </c>
      <c r="H68" s="112" t="s">
        <v>1464</v>
      </c>
      <c r="I68" s="112">
        <v>77.405371930000001</v>
      </c>
    </row>
    <row r="69" spans="1:9">
      <c r="A69" s="112" t="s">
        <v>1473</v>
      </c>
      <c r="B69" s="112" t="s">
        <v>1492</v>
      </c>
      <c r="C69" s="112">
        <v>346.9814389</v>
      </c>
      <c r="D69" s="112" t="s">
        <v>1493</v>
      </c>
      <c r="E69" s="112" t="s">
        <v>1464</v>
      </c>
      <c r="F69" s="112" t="s">
        <v>1493</v>
      </c>
      <c r="G69" s="112" t="s">
        <v>1473</v>
      </c>
      <c r="H69" s="112" t="s">
        <v>1464</v>
      </c>
      <c r="I69" s="112">
        <v>346.9814389</v>
      </c>
    </row>
    <row r="70" spans="1:9">
      <c r="A70" s="112" t="s">
        <v>1474</v>
      </c>
      <c r="B70" s="112" t="s">
        <v>1492</v>
      </c>
      <c r="C70" s="112">
        <v>0</v>
      </c>
      <c r="D70" s="112" t="s">
        <v>1493</v>
      </c>
      <c r="E70" s="112" t="s">
        <v>1464</v>
      </c>
      <c r="F70" s="112" t="s">
        <v>1493</v>
      </c>
      <c r="G70" s="112" t="s">
        <v>1474</v>
      </c>
      <c r="H70" s="112" t="s">
        <v>1464</v>
      </c>
      <c r="I70" s="112">
        <v>0</v>
      </c>
    </row>
    <row r="71" spans="1:9">
      <c r="A71" s="112" t="s">
        <v>1475</v>
      </c>
      <c r="B71" s="112" t="s">
        <v>1492</v>
      </c>
      <c r="C71" s="112">
        <v>264.61746900000003</v>
      </c>
      <c r="D71" s="112" t="s">
        <v>1493</v>
      </c>
      <c r="E71" s="112" t="s">
        <v>1464</v>
      </c>
      <c r="F71" s="112" t="s">
        <v>1493</v>
      </c>
      <c r="G71" s="112" t="s">
        <v>1475</v>
      </c>
      <c r="H71" s="112" t="s">
        <v>1464</v>
      </c>
      <c r="I71" s="112">
        <v>264.61746900000003</v>
      </c>
    </row>
    <row r="72" spans="1:9">
      <c r="A72" s="112" t="s">
        <v>1476</v>
      </c>
      <c r="B72" s="112" t="s">
        <v>1492</v>
      </c>
      <c r="C72" s="112">
        <v>147.92787190000001</v>
      </c>
      <c r="D72" s="112" t="s">
        <v>1493</v>
      </c>
      <c r="E72" s="112" t="s">
        <v>1464</v>
      </c>
      <c r="F72" s="112" t="s">
        <v>1493</v>
      </c>
      <c r="G72" s="112" t="s">
        <v>1476</v>
      </c>
      <c r="H72" s="112" t="s">
        <v>1464</v>
      </c>
      <c r="I72" s="112">
        <v>147.92787190000001</v>
      </c>
    </row>
    <row r="73" spans="1:9">
      <c r="A73" s="112" t="s">
        <v>1477</v>
      </c>
      <c r="B73" s="112" t="s">
        <v>1492</v>
      </c>
      <c r="C73" s="112">
        <v>50.022510130000001</v>
      </c>
      <c r="D73" s="112" t="s">
        <v>1493</v>
      </c>
      <c r="E73" s="112" t="s">
        <v>1464</v>
      </c>
      <c r="F73" s="112" t="s">
        <v>1493</v>
      </c>
      <c r="G73" s="112" t="s">
        <v>1477</v>
      </c>
      <c r="H73" s="112" t="s">
        <v>1464</v>
      </c>
      <c r="I73" s="112">
        <v>50.022510130000001</v>
      </c>
    </row>
    <row r="74" spans="1:9">
      <c r="A74" s="112" t="s">
        <v>1478</v>
      </c>
      <c r="B74" s="112" t="s">
        <v>1492</v>
      </c>
      <c r="C74" s="112">
        <v>692.4080027</v>
      </c>
      <c r="D74" s="112" t="s">
        <v>1493</v>
      </c>
      <c r="E74" s="112" t="s">
        <v>1464</v>
      </c>
      <c r="F74" s="112" t="s">
        <v>1493</v>
      </c>
      <c r="G74" s="112" t="s">
        <v>1478</v>
      </c>
      <c r="H74" s="112" t="s">
        <v>1464</v>
      </c>
      <c r="I74" s="112">
        <v>692.4080027</v>
      </c>
    </row>
    <row r="75" spans="1:9">
      <c r="A75" s="112" t="s">
        <v>1479</v>
      </c>
      <c r="B75" s="112" t="s">
        <v>1492</v>
      </c>
      <c r="C75" s="112">
        <v>1172.1366379999999</v>
      </c>
      <c r="D75" s="112" t="s">
        <v>1493</v>
      </c>
      <c r="E75" s="112" t="s">
        <v>1464</v>
      </c>
      <c r="F75" s="112" t="s">
        <v>1493</v>
      </c>
      <c r="G75" s="112" t="s">
        <v>1479</v>
      </c>
      <c r="H75" s="112" t="s">
        <v>1464</v>
      </c>
      <c r="I75" s="112">
        <v>1172.1366379999999</v>
      </c>
    </row>
    <row r="76" spans="1:9">
      <c r="A76" s="112" t="s">
        <v>1480</v>
      </c>
      <c r="B76" s="112" t="s">
        <v>1492</v>
      </c>
      <c r="C76" s="112">
        <v>7.9697150829999996</v>
      </c>
      <c r="D76" s="112" t="s">
        <v>1493</v>
      </c>
      <c r="E76" s="112" t="s">
        <v>1464</v>
      </c>
      <c r="F76" s="112" t="s">
        <v>1493</v>
      </c>
      <c r="G76" s="112" t="s">
        <v>1480</v>
      </c>
      <c r="H76" s="112" t="s">
        <v>1464</v>
      </c>
      <c r="I76" s="112">
        <v>7.9697150829999996</v>
      </c>
    </row>
    <row r="77" spans="1:9">
      <c r="A77" s="112" t="s">
        <v>1481</v>
      </c>
      <c r="B77" s="112" t="s">
        <v>1492</v>
      </c>
      <c r="C77" s="112">
        <v>44.516660360000003</v>
      </c>
      <c r="D77" s="112" t="s">
        <v>1493</v>
      </c>
      <c r="E77" s="112" t="s">
        <v>1464</v>
      </c>
      <c r="F77" s="112" t="s">
        <v>1493</v>
      </c>
      <c r="G77" s="112" t="s">
        <v>1481</v>
      </c>
      <c r="H77" s="112" t="s">
        <v>1464</v>
      </c>
      <c r="I77" s="112">
        <v>44.516660360000003</v>
      </c>
    </row>
    <row r="78" spans="1:9">
      <c r="A78" s="112" t="s">
        <v>1482</v>
      </c>
      <c r="B78" s="112" t="s">
        <v>1492</v>
      </c>
      <c r="C78" s="112">
        <v>169.3766938</v>
      </c>
      <c r="D78" s="112" t="s">
        <v>1493</v>
      </c>
      <c r="E78" s="112" t="s">
        <v>1464</v>
      </c>
      <c r="F78" s="112" t="s">
        <v>1493</v>
      </c>
      <c r="G78" s="112" t="s">
        <v>1482</v>
      </c>
      <c r="H78" s="112" t="s">
        <v>1464</v>
      </c>
      <c r="I78" s="112">
        <v>169.3766938</v>
      </c>
    </row>
    <row r="79" spans="1:9">
      <c r="A79" s="112" t="s">
        <v>1483</v>
      </c>
      <c r="B79" s="112" t="s">
        <v>1492</v>
      </c>
      <c r="C79" s="112">
        <v>54.203479860000002</v>
      </c>
      <c r="D79" s="112" t="s">
        <v>1493</v>
      </c>
      <c r="E79" s="112" t="s">
        <v>1464</v>
      </c>
      <c r="F79" s="112" t="s">
        <v>1493</v>
      </c>
      <c r="G79" s="112" t="s">
        <v>1483</v>
      </c>
      <c r="H79" s="112" t="s">
        <v>1464</v>
      </c>
      <c r="I79" s="112">
        <v>54.203479860000002</v>
      </c>
    </row>
    <row r="80" spans="1:9">
      <c r="A80" s="112" t="s">
        <v>1484</v>
      </c>
      <c r="B80" s="112" t="s">
        <v>1492</v>
      </c>
      <c r="C80" s="112">
        <v>0</v>
      </c>
      <c r="D80" s="112" t="s">
        <v>1493</v>
      </c>
      <c r="E80" s="112" t="s">
        <v>1464</v>
      </c>
      <c r="F80" s="112" t="s">
        <v>1493</v>
      </c>
      <c r="G80" s="112" t="s">
        <v>1484</v>
      </c>
      <c r="H80" s="112" t="s">
        <v>1464</v>
      </c>
      <c r="I80" s="112">
        <v>0</v>
      </c>
    </row>
    <row r="81" spans="1:9">
      <c r="A81" s="112" t="s">
        <v>1485</v>
      </c>
      <c r="B81" s="112" t="s">
        <v>1492</v>
      </c>
      <c r="C81" s="112">
        <v>208.3429788</v>
      </c>
      <c r="D81" s="112" t="s">
        <v>1493</v>
      </c>
      <c r="E81" s="112" t="s">
        <v>1464</v>
      </c>
      <c r="F81" s="112" t="s">
        <v>1493</v>
      </c>
      <c r="G81" s="112" t="s">
        <v>1485</v>
      </c>
      <c r="H81" s="112" t="s">
        <v>1464</v>
      </c>
      <c r="I81" s="112">
        <v>208.3429788</v>
      </c>
    </row>
    <row r="82" spans="1:9">
      <c r="A82" s="112" t="s">
        <v>1486</v>
      </c>
      <c r="B82" s="112" t="s">
        <v>1492</v>
      </c>
      <c r="C82" s="112">
        <v>332.47137049999998</v>
      </c>
      <c r="D82" s="112" t="s">
        <v>1493</v>
      </c>
      <c r="E82" s="112" t="s">
        <v>1464</v>
      </c>
      <c r="F82" s="112" t="s">
        <v>1493</v>
      </c>
      <c r="G82" s="112" t="s">
        <v>1486</v>
      </c>
      <c r="H82" s="112" t="s">
        <v>1464</v>
      </c>
      <c r="I82" s="112">
        <v>332.47137049999998</v>
      </c>
    </row>
    <row r="83" spans="1:9">
      <c r="A83" s="112" t="s">
        <v>1487</v>
      </c>
      <c r="B83" s="112" t="s">
        <v>1492</v>
      </c>
      <c r="C83" s="112">
        <v>206.86801819999999</v>
      </c>
      <c r="D83" s="112" t="s">
        <v>1493</v>
      </c>
      <c r="E83" s="112" t="s">
        <v>1464</v>
      </c>
      <c r="F83" s="112" t="s">
        <v>1493</v>
      </c>
      <c r="G83" s="112" t="s">
        <v>1487</v>
      </c>
      <c r="H83" s="112" t="s">
        <v>1464</v>
      </c>
      <c r="I83" s="112">
        <v>206.86801819999999</v>
      </c>
    </row>
    <row r="84" spans="1:9">
      <c r="A84" s="112" t="s">
        <v>1488</v>
      </c>
      <c r="B84" s="112" t="s">
        <v>1492</v>
      </c>
      <c r="C84" s="112">
        <v>39.824771009999999</v>
      </c>
      <c r="D84" s="112" t="s">
        <v>1493</v>
      </c>
      <c r="E84" s="112" t="s">
        <v>1464</v>
      </c>
      <c r="F84" s="112" t="s">
        <v>1493</v>
      </c>
      <c r="G84" s="112" t="s">
        <v>1488</v>
      </c>
      <c r="H84" s="112" t="s">
        <v>1464</v>
      </c>
      <c r="I84" s="112">
        <v>39.824771009999999</v>
      </c>
    </row>
    <row r="85" spans="1:9">
      <c r="A85" s="112" t="s">
        <v>1489</v>
      </c>
      <c r="B85" s="112" t="s">
        <v>1492</v>
      </c>
      <c r="C85" s="112">
        <v>110.6729498</v>
      </c>
      <c r="D85" s="112" t="s">
        <v>1493</v>
      </c>
      <c r="E85" s="112" t="s">
        <v>1464</v>
      </c>
      <c r="F85" s="112" t="s">
        <v>1493</v>
      </c>
      <c r="G85" s="112" t="s">
        <v>1489</v>
      </c>
      <c r="H85" s="112" t="s">
        <v>1464</v>
      </c>
      <c r="I85" s="112">
        <v>110.6729498</v>
      </c>
    </row>
    <row r="86" spans="1:9">
      <c r="A86" s="112" t="s">
        <v>1490</v>
      </c>
      <c r="B86" s="112" t="s">
        <v>1492</v>
      </c>
      <c r="C86" s="112">
        <v>0</v>
      </c>
      <c r="D86" s="112" t="s">
        <v>1493</v>
      </c>
      <c r="E86" s="112" t="s">
        <v>1464</v>
      </c>
      <c r="F86" s="112" t="s">
        <v>1493</v>
      </c>
      <c r="G86" s="112" t="s">
        <v>1490</v>
      </c>
      <c r="H86" s="112" t="s">
        <v>1464</v>
      </c>
      <c r="I86" s="112">
        <v>0</v>
      </c>
    </row>
    <row r="87" spans="1:9">
      <c r="A87" s="112" t="s">
        <v>1461</v>
      </c>
      <c r="B87" s="112" t="s">
        <v>1494</v>
      </c>
      <c r="C87" s="112">
        <v>877.29284840000003</v>
      </c>
      <c r="D87" s="112" t="s">
        <v>1495</v>
      </c>
      <c r="E87" s="112" t="s">
        <v>1464</v>
      </c>
      <c r="F87" s="112" t="s">
        <v>1495</v>
      </c>
      <c r="G87" s="112" t="s">
        <v>1461</v>
      </c>
      <c r="H87" s="112" t="s">
        <v>1464</v>
      </c>
      <c r="I87" s="112">
        <v>936.22549779999997</v>
      </c>
    </row>
    <row r="88" spans="1:9">
      <c r="A88" s="112" t="s">
        <v>1465</v>
      </c>
      <c r="B88" s="112" t="s">
        <v>1494</v>
      </c>
      <c r="C88" s="112">
        <v>2864.231053</v>
      </c>
      <c r="D88" s="112" t="s">
        <v>1495</v>
      </c>
      <c r="E88" s="112" t="s">
        <v>1464</v>
      </c>
      <c r="F88" s="112" t="s">
        <v>1495</v>
      </c>
      <c r="G88" s="112" t="s">
        <v>1465</v>
      </c>
      <c r="H88" s="112" t="s">
        <v>1464</v>
      </c>
      <c r="I88" s="112">
        <v>2864.231053</v>
      </c>
    </row>
    <row r="89" spans="1:9">
      <c r="A89" s="112" t="s">
        <v>1466</v>
      </c>
      <c r="B89" s="112" t="s">
        <v>1494</v>
      </c>
      <c r="C89" s="112">
        <v>1626.6775110000001</v>
      </c>
      <c r="D89" s="112" t="s">
        <v>1495</v>
      </c>
      <c r="E89" s="112" t="s">
        <v>1464</v>
      </c>
      <c r="F89" s="112" t="s">
        <v>1495</v>
      </c>
      <c r="G89" s="112" t="s">
        <v>1466</v>
      </c>
      <c r="H89" s="112" t="s">
        <v>1464</v>
      </c>
      <c r="I89" s="112">
        <v>1626.6775110000001</v>
      </c>
    </row>
    <row r="90" spans="1:9">
      <c r="A90" s="112" t="s">
        <v>1467</v>
      </c>
      <c r="B90" s="112" t="s">
        <v>1494</v>
      </c>
      <c r="C90" s="112">
        <v>2078.138543</v>
      </c>
      <c r="D90" s="112" t="s">
        <v>1495</v>
      </c>
      <c r="E90" s="112" t="s">
        <v>1464</v>
      </c>
      <c r="F90" s="112" t="s">
        <v>1495</v>
      </c>
      <c r="G90" s="112" t="s">
        <v>1467</v>
      </c>
      <c r="H90" s="112" t="s">
        <v>1464</v>
      </c>
      <c r="I90" s="112">
        <v>2276.1517439999998</v>
      </c>
    </row>
    <row r="91" spans="1:9">
      <c r="A91" s="112" t="s">
        <v>1468</v>
      </c>
      <c r="B91" s="112" t="s">
        <v>1494</v>
      </c>
      <c r="C91" s="112">
        <v>3596.7070469999999</v>
      </c>
      <c r="D91" s="112" t="s">
        <v>1495</v>
      </c>
      <c r="E91" s="112" t="s">
        <v>1464</v>
      </c>
      <c r="F91" s="112" t="s">
        <v>1495</v>
      </c>
      <c r="G91" s="112" t="s">
        <v>1468</v>
      </c>
      <c r="H91" s="112" t="s">
        <v>1464</v>
      </c>
      <c r="I91" s="112">
        <v>3993.5353070000001</v>
      </c>
    </row>
    <row r="92" spans="1:9">
      <c r="A92" s="112" t="s">
        <v>1469</v>
      </c>
      <c r="B92" s="112" t="s">
        <v>1494</v>
      </c>
      <c r="C92" s="112">
        <v>8682.0244600000005</v>
      </c>
      <c r="D92" s="112" t="s">
        <v>1495</v>
      </c>
      <c r="E92" s="112" t="s">
        <v>1464</v>
      </c>
      <c r="F92" s="112" t="s">
        <v>1495</v>
      </c>
      <c r="G92" s="112" t="s">
        <v>1469</v>
      </c>
      <c r="H92" s="112" t="s">
        <v>1464</v>
      </c>
      <c r="I92" s="112">
        <v>8682.0244600000005</v>
      </c>
    </row>
    <row r="93" spans="1:9">
      <c r="A93" s="112" t="s">
        <v>1470</v>
      </c>
      <c r="B93" s="112" t="s">
        <v>1494</v>
      </c>
      <c r="C93" s="112">
        <v>0</v>
      </c>
      <c r="D93" s="112" t="s">
        <v>1495</v>
      </c>
      <c r="E93" s="112" t="s">
        <v>1464</v>
      </c>
      <c r="F93" s="112" t="s">
        <v>1495</v>
      </c>
      <c r="G93" s="112" t="s">
        <v>1470</v>
      </c>
      <c r="H93" s="112" t="s">
        <v>1464</v>
      </c>
      <c r="I93" s="112">
        <v>0</v>
      </c>
    </row>
    <row r="94" spans="1:9">
      <c r="A94" s="112" t="s">
        <v>1471</v>
      </c>
      <c r="B94" s="112" t="s">
        <v>1494</v>
      </c>
      <c r="C94" s="112">
        <v>3001.6995179999999</v>
      </c>
      <c r="D94" s="112" t="s">
        <v>1495</v>
      </c>
      <c r="E94" s="112" t="s">
        <v>1464</v>
      </c>
      <c r="F94" s="112" t="s">
        <v>1495</v>
      </c>
      <c r="G94" s="112" t="s">
        <v>1471</v>
      </c>
      <c r="H94" s="112" t="s">
        <v>1464</v>
      </c>
      <c r="I94" s="112">
        <v>3334.258241</v>
      </c>
    </row>
    <row r="95" spans="1:9">
      <c r="A95" s="112" t="s">
        <v>1472</v>
      </c>
      <c r="B95" s="112" t="s">
        <v>1494</v>
      </c>
      <c r="C95" s="112">
        <v>0</v>
      </c>
      <c r="D95" s="112" t="s">
        <v>1495</v>
      </c>
      <c r="E95" s="112" t="s">
        <v>1464</v>
      </c>
      <c r="F95" s="112" t="s">
        <v>1495</v>
      </c>
      <c r="G95" s="112" t="s">
        <v>1472</v>
      </c>
      <c r="H95" s="112" t="s">
        <v>1464</v>
      </c>
      <c r="I95" s="112">
        <v>677.29700439999999</v>
      </c>
    </row>
    <row r="96" spans="1:9">
      <c r="A96" s="112" t="s">
        <v>1473</v>
      </c>
      <c r="B96" s="112" t="s">
        <v>1494</v>
      </c>
      <c r="C96" s="112">
        <v>1314.676935</v>
      </c>
      <c r="D96" s="112" t="s">
        <v>1495</v>
      </c>
      <c r="E96" s="112" t="s">
        <v>1464</v>
      </c>
      <c r="F96" s="112" t="s">
        <v>1495</v>
      </c>
      <c r="G96" s="112" t="s">
        <v>1473</v>
      </c>
      <c r="H96" s="112" t="s">
        <v>1464</v>
      </c>
      <c r="I96" s="112">
        <v>1450.782876</v>
      </c>
    </row>
    <row r="97" spans="1:9">
      <c r="A97" s="112" t="s">
        <v>1474</v>
      </c>
      <c r="B97" s="112" t="s">
        <v>1494</v>
      </c>
      <c r="C97" s="112">
        <v>0</v>
      </c>
      <c r="D97" s="112" t="s">
        <v>1495</v>
      </c>
      <c r="E97" s="112" t="s">
        <v>1464</v>
      </c>
      <c r="F97" s="112" t="s">
        <v>1495</v>
      </c>
      <c r="G97" s="112" t="s">
        <v>1474</v>
      </c>
      <c r="H97" s="112" t="s">
        <v>1464</v>
      </c>
      <c r="I97" s="112">
        <v>0</v>
      </c>
    </row>
    <row r="98" spans="1:9">
      <c r="A98" s="112" t="s">
        <v>1475</v>
      </c>
      <c r="B98" s="112" t="s">
        <v>1494</v>
      </c>
      <c r="C98" s="112">
        <v>0</v>
      </c>
      <c r="D98" s="112" t="s">
        <v>1495</v>
      </c>
      <c r="E98" s="112" t="s">
        <v>1464</v>
      </c>
      <c r="F98" s="112" t="s">
        <v>1495</v>
      </c>
      <c r="G98" s="112" t="s">
        <v>1475</v>
      </c>
      <c r="H98" s="112" t="s">
        <v>1464</v>
      </c>
      <c r="I98" s="112">
        <v>0</v>
      </c>
    </row>
    <row r="99" spans="1:9">
      <c r="A99" s="112" t="s">
        <v>1476</v>
      </c>
      <c r="B99" s="112" t="s">
        <v>1494</v>
      </c>
      <c r="C99" s="112">
        <v>0</v>
      </c>
      <c r="D99" s="112" t="s">
        <v>1495</v>
      </c>
      <c r="E99" s="112" t="s">
        <v>1464</v>
      </c>
      <c r="F99" s="112" t="s">
        <v>1495</v>
      </c>
      <c r="G99" s="112" t="s">
        <v>1476</v>
      </c>
      <c r="H99" s="112" t="s">
        <v>1464</v>
      </c>
      <c r="I99" s="112">
        <v>201.03018489999999</v>
      </c>
    </row>
    <row r="100" spans="1:9">
      <c r="A100" s="112" t="s">
        <v>1477</v>
      </c>
      <c r="B100" s="112" t="s">
        <v>1494</v>
      </c>
      <c r="C100" s="112">
        <v>0</v>
      </c>
      <c r="D100" s="112" t="s">
        <v>1495</v>
      </c>
      <c r="E100" s="112" t="s">
        <v>1464</v>
      </c>
      <c r="F100" s="112" t="s">
        <v>1495</v>
      </c>
      <c r="G100" s="112" t="s">
        <v>1477</v>
      </c>
      <c r="H100" s="112" t="s">
        <v>1464</v>
      </c>
      <c r="I100" s="112">
        <v>0</v>
      </c>
    </row>
    <row r="101" spans="1:9">
      <c r="A101" s="112" t="s">
        <v>1478</v>
      </c>
      <c r="B101" s="112" t="s">
        <v>1494</v>
      </c>
      <c r="C101" s="112">
        <v>1335.449879</v>
      </c>
      <c r="D101" s="112" t="s">
        <v>1495</v>
      </c>
      <c r="E101" s="112" t="s">
        <v>1464</v>
      </c>
      <c r="F101" s="112" t="s">
        <v>1495</v>
      </c>
      <c r="G101" s="112" t="s">
        <v>1478</v>
      </c>
      <c r="H101" s="112" t="s">
        <v>1464</v>
      </c>
      <c r="I101" s="112">
        <v>1528.4265539999999</v>
      </c>
    </row>
    <row r="102" spans="1:9">
      <c r="A102" s="112" t="s">
        <v>1479</v>
      </c>
      <c r="B102" s="112" t="s">
        <v>1494</v>
      </c>
      <c r="C102" s="112">
        <v>0</v>
      </c>
      <c r="D102" s="112" t="s">
        <v>1495</v>
      </c>
      <c r="E102" s="112" t="s">
        <v>1464</v>
      </c>
      <c r="F102" s="112" t="s">
        <v>1495</v>
      </c>
      <c r="G102" s="112" t="s">
        <v>1479</v>
      </c>
      <c r="H102" s="112" t="s">
        <v>1464</v>
      </c>
      <c r="I102" s="112">
        <v>0</v>
      </c>
    </row>
    <row r="103" spans="1:9">
      <c r="A103" s="112" t="s">
        <v>1480</v>
      </c>
      <c r="B103" s="112" t="s">
        <v>1494</v>
      </c>
      <c r="C103" s="112">
        <v>0</v>
      </c>
      <c r="D103" s="112" t="s">
        <v>1495</v>
      </c>
      <c r="E103" s="112" t="s">
        <v>1464</v>
      </c>
      <c r="F103" s="112" t="s">
        <v>1495</v>
      </c>
      <c r="G103" s="112" t="s">
        <v>1480</v>
      </c>
      <c r="H103" s="112" t="s">
        <v>1464</v>
      </c>
      <c r="I103" s="112">
        <v>0</v>
      </c>
    </row>
    <row r="104" spans="1:9">
      <c r="A104" s="112" t="s">
        <v>1481</v>
      </c>
      <c r="B104" s="112" t="s">
        <v>1494</v>
      </c>
      <c r="C104" s="112">
        <v>4763.2826590000004</v>
      </c>
      <c r="D104" s="112" t="s">
        <v>1495</v>
      </c>
      <c r="E104" s="112" t="s">
        <v>1464</v>
      </c>
      <c r="F104" s="112" t="s">
        <v>1495</v>
      </c>
      <c r="G104" s="112" t="s">
        <v>1481</v>
      </c>
      <c r="H104" s="112" t="s">
        <v>1464</v>
      </c>
      <c r="I104" s="112">
        <v>5097.157612</v>
      </c>
    </row>
    <row r="105" spans="1:9">
      <c r="A105" s="112" t="s">
        <v>1482</v>
      </c>
      <c r="B105" s="112" t="s">
        <v>1494</v>
      </c>
      <c r="C105" s="112">
        <v>3048.7804879999999</v>
      </c>
      <c r="D105" s="112" t="s">
        <v>1495</v>
      </c>
      <c r="E105" s="112" t="s">
        <v>1464</v>
      </c>
      <c r="F105" s="112" t="s">
        <v>1495</v>
      </c>
      <c r="G105" s="112" t="s">
        <v>1482</v>
      </c>
      <c r="H105" s="112" t="s">
        <v>1464</v>
      </c>
      <c r="I105" s="112">
        <v>3048.7804879999999</v>
      </c>
    </row>
    <row r="106" spans="1:9">
      <c r="A106" s="112" t="s">
        <v>1483</v>
      </c>
      <c r="B106" s="112" t="s">
        <v>1494</v>
      </c>
      <c r="C106" s="112">
        <v>5691.3653860000004</v>
      </c>
      <c r="D106" s="112" t="s">
        <v>1495</v>
      </c>
      <c r="E106" s="112" t="s">
        <v>1464</v>
      </c>
      <c r="F106" s="112" t="s">
        <v>1495</v>
      </c>
      <c r="G106" s="112" t="s">
        <v>1483</v>
      </c>
      <c r="H106" s="112" t="s">
        <v>1464</v>
      </c>
      <c r="I106" s="112">
        <v>5691.3653860000004</v>
      </c>
    </row>
    <row r="107" spans="1:9">
      <c r="A107" s="112" t="s">
        <v>1484</v>
      </c>
      <c r="B107" s="112" t="s">
        <v>1494</v>
      </c>
      <c r="C107" s="112">
        <v>6666.6666670000004</v>
      </c>
      <c r="D107" s="112" t="s">
        <v>1495</v>
      </c>
      <c r="E107" s="112" t="s">
        <v>1464</v>
      </c>
      <c r="F107" s="112" t="s">
        <v>1495</v>
      </c>
      <c r="G107" s="112" t="s">
        <v>1484</v>
      </c>
      <c r="H107" s="112" t="s">
        <v>1464</v>
      </c>
      <c r="I107" s="112">
        <v>6666.6666670000004</v>
      </c>
    </row>
    <row r="108" spans="1:9">
      <c r="A108" s="112" t="s">
        <v>1485</v>
      </c>
      <c r="B108" s="112" t="s">
        <v>1494</v>
      </c>
      <c r="C108" s="112">
        <v>27935.321080000002</v>
      </c>
      <c r="D108" s="112" t="s">
        <v>1495</v>
      </c>
      <c r="E108" s="112" t="s">
        <v>1464</v>
      </c>
      <c r="F108" s="112" t="s">
        <v>1495</v>
      </c>
      <c r="G108" s="112" t="s">
        <v>1485</v>
      </c>
      <c r="H108" s="112" t="s">
        <v>1464</v>
      </c>
      <c r="I108" s="112">
        <v>27946.895690000001</v>
      </c>
    </row>
    <row r="109" spans="1:9">
      <c r="A109" s="112" t="s">
        <v>1486</v>
      </c>
      <c r="B109" s="112" t="s">
        <v>1494</v>
      </c>
      <c r="C109" s="112">
        <v>5652.0132990000002</v>
      </c>
      <c r="D109" s="112" t="s">
        <v>1495</v>
      </c>
      <c r="E109" s="112" t="s">
        <v>1464</v>
      </c>
      <c r="F109" s="112" t="s">
        <v>1495</v>
      </c>
      <c r="G109" s="112" t="s">
        <v>1486</v>
      </c>
      <c r="H109" s="112" t="s">
        <v>1464</v>
      </c>
      <c r="I109" s="112">
        <v>5836.7196160000003</v>
      </c>
    </row>
    <row r="110" spans="1:9">
      <c r="A110" s="112" t="s">
        <v>1487</v>
      </c>
      <c r="B110" s="112" t="s">
        <v>1494</v>
      </c>
      <c r="C110" s="112">
        <v>505.67737779999999</v>
      </c>
      <c r="D110" s="112" t="s">
        <v>1495</v>
      </c>
      <c r="E110" s="112" t="s">
        <v>1464</v>
      </c>
      <c r="F110" s="112" t="s">
        <v>1495</v>
      </c>
      <c r="G110" s="112" t="s">
        <v>1487</v>
      </c>
      <c r="H110" s="112" t="s">
        <v>1464</v>
      </c>
      <c r="I110" s="112">
        <v>574.63338390000001</v>
      </c>
    </row>
    <row r="111" spans="1:9">
      <c r="A111" s="112" t="s">
        <v>1488</v>
      </c>
      <c r="B111" s="112" t="s">
        <v>1494</v>
      </c>
      <c r="C111" s="112">
        <v>119.474313</v>
      </c>
      <c r="D111" s="112" t="s">
        <v>1495</v>
      </c>
      <c r="E111" s="112" t="s">
        <v>1464</v>
      </c>
      <c r="F111" s="112" t="s">
        <v>1495</v>
      </c>
      <c r="G111" s="112" t="s">
        <v>1488</v>
      </c>
      <c r="H111" s="112" t="s">
        <v>1464</v>
      </c>
      <c r="I111" s="112">
        <v>119.474313</v>
      </c>
    </row>
    <row r="112" spans="1:9">
      <c r="A112" s="112" t="s">
        <v>1489</v>
      </c>
      <c r="B112" s="112" t="s">
        <v>1494</v>
      </c>
      <c r="C112" s="112">
        <v>2458.104464</v>
      </c>
      <c r="D112" s="112" t="s">
        <v>1495</v>
      </c>
      <c r="E112" s="112" t="s">
        <v>1464</v>
      </c>
      <c r="F112" s="112" t="s">
        <v>1495</v>
      </c>
      <c r="G112" s="112" t="s">
        <v>1489</v>
      </c>
      <c r="H112" s="112" t="s">
        <v>1464</v>
      </c>
      <c r="I112" s="112">
        <v>2498.8787090000001</v>
      </c>
    </row>
    <row r="113" spans="1:9">
      <c r="A113" s="112" t="s">
        <v>1490</v>
      </c>
      <c r="B113" s="112" t="s">
        <v>1494</v>
      </c>
      <c r="C113" s="112">
        <v>8406.8936529999992</v>
      </c>
      <c r="D113" s="112" t="s">
        <v>1495</v>
      </c>
      <c r="E113" s="112" t="s">
        <v>1464</v>
      </c>
      <c r="F113" s="112" t="s">
        <v>1495</v>
      </c>
      <c r="G113" s="112" t="s">
        <v>1490</v>
      </c>
      <c r="H113" s="112" t="s">
        <v>1464</v>
      </c>
      <c r="I113" s="112">
        <v>8406.8936529999992</v>
      </c>
    </row>
    <row r="114" spans="1:9">
      <c r="A114" s="112" t="s">
        <v>1461</v>
      </c>
      <c r="B114" s="112" t="s">
        <v>1496</v>
      </c>
      <c r="C114" s="112">
        <v>56.923581769999998</v>
      </c>
      <c r="D114" s="112" t="s">
        <v>1495</v>
      </c>
      <c r="E114" s="112" t="s">
        <v>1464</v>
      </c>
      <c r="F114" s="112" t="s">
        <v>1495</v>
      </c>
      <c r="G114" s="112" t="s">
        <v>1461</v>
      </c>
      <c r="H114" s="112" t="s">
        <v>1464</v>
      </c>
      <c r="I114" s="112">
        <v>936.22549779999997</v>
      </c>
    </row>
    <row r="115" spans="1:9">
      <c r="A115" s="112" t="s">
        <v>1465</v>
      </c>
      <c r="B115" s="112" t="s">
        <v>1496</v>
      </c>
      <c r="C115" s="112">
        <v>0</v>
      </c>
      <c r="D115" s="112" t="s">
        <v>1495</v>
      </c>
      <c r="E115" s="112" t="s">
        <v>1464</v>
      </c>
      <c r="F115" s="112" t="s">
        <v>1495</v>
      </c>
      <c r="G115" s="112" t="s">
        <v>1465</v>
      </c>
      <c r="H115" s="112" t="s">
        <v>1464</v>
      </c>
      <c r="I115" s="112">
        <v>2864.231053</v>
      </c>
    </row>
    <row r="116" spans="1:9">
      <c r="A116" s="112" t="s">
        <v>1466</v>
      </c>
      <c r="B116" s="112" t="s">
        <v>1496</v>
      </c>
      <c r="C116" s="112">
        <v>0</v>
      </c>
      <c r="D116" s="112" t="s">
        <v>1495</v>
      </c>
      <c r="E116" s="112" t="s">
        <v>1464</v>
      </c>
      <c r="F116" s="112" t="s">
        <v>1495</v>
      </c>
      <c r="G116" s="112" t="s">
        <v>1466</v>
      </c>
      <c r="H116" s="112" t="s">
        <v>1464</v>
      </c>
      <c r="I116" s="112">
        <v>1626.6775110000001</v>
      </c>
    </row>
    <row r="117" spans="1:9">
      <c r="A117" s="112" t="s">
        <v>1467</v>
      </c>
      <c r="B117" s="112" t="s">
        <v>1496</v>
      </c>
      <c r="C117" s="112">
        <v>179.3452897</v>
      </c>
      <c r="D117" s="112" t="s">
        <v>1495</v>
      </c>
      <c r="E117" s="112" t="s">
        <v>1464</v>
      </c>
      <c r="F117" s="112" t="s">
        <v>1495</v>
      </c>
      <c r="G117" s="112" t="s">
        <v>1467</v>
      </c>
      <c r="H117" s="112" t="s">
        <v>1464</v>
      </c>
      <c r="I117" s="112">
        <v>2276.1517439999998</v>
      </c>
    </row>
    <row r="118" spans="1:9">
      <c r="A118" s="112" t="s">
        <v>1468</v>
      </c>
      <c r="B118" s="112" t="s">
        <v>1496</v>
      </c>
      <c r="C118" s="112">
        <v>0</v>
      </c>
      <c r="D118" s="112" t="s">
        <v>1495</v>
      </c>
      <c r="E118" s="112" t="s">
        <v>1464</v>
      </c>
      <c r="F118" s="112" t="s">
        <v>1495</v>
      </c>
      <c r="G118" s="112" t="s">
        <v>1468</v>
      </c>
      <c r="H118" s="112" t="s">
        <v>1464</v>
      </c>
      <c r="I118" s="112">
        <v>3993.5353070000001</v>
      </c>
    </row>
    <row r="119" spans="1:9">
      <c r="A119" s="112" t="s">
        <v>1469</v>
      </c>
      <c r="B119" s="112" t="s">
        <v>1496</v>
      </c>
      <c r="C119" s="112">
        <v>0</v>
      </c>
      <c r="D119" s="112" t="s">
        <v>1495</v>
      </c>
      <c r="E119" s="112" t="s">
        <v>1464</v>
      </c>
      <c r="F119" s="112" t="s">
        <v>1495</v>
      </c>
      <c r="G119" s="112" t="s">
        <v>1469</v>
      </c>
      <c r="H119" s="112" t="s">
        <v>1464</v>
      </c>
      <c r="I119" s="112">
        <v>8682.0244600000005</v>
      </c>
    </row>
    <row r="120" spans="1:9">
      <c r="A120" s="112" t="s">
        <v>1470</v>
      </c>
      <c r="B120" s="112" t="s">
        <v>1496</v>
      </c>
      <c r="C120" s="112">
        <v>0</v>
      </c>
      <c r="D120" s="112" t="s">
        <v>1495</v>
      </c>
      <c r="E120" s="112" t="s">
        <v>1464</v>
      </c>
      <c r="F120" s="112" t="s">
        <v>1495</v>
      </c>
      <c r="G120" s="112" t="s">
        <v>1470</v>
      </c>
      <c r="H120" s="112" t="s">
        <v>1464</v>
      </c>
      <c r="I120" s="112">
        <v>0</v>
      </c>
    </row>
    <row r="121" spans="1:9">
      <c r="A121" s="112" t="s">
        <v>1471</v>
      </c>
      <c r="B121" s="112" t="s">
        <v>1496</v>
      </c>
      <c r="C121" s="112">
        <v>288.18355609999998</v>
      </c>
      <c r="D121" s="112" t="s">
        <v>1495</v>
      </c>
      <c r="E121" s="112" t="s">
        <v>1464</v>
      </c>
      <c r="F121" s="112" t="s">
        <v>1495</v>
      </c>
      <c r="G121" s="112" t="s">
        <v>1471</v>
      </c>
      <c r="H121" s="112" t="s">
        <v>1464</v>
      </c>
      <c r="I121" s="112">
        <v>3334.258241</v>
      </c>
    </row>
    <row r="122" spans="1:9">
      <c r="A122" s="112" t="s">
        <v>1472</v>
      </c>
      <c r="B122" s="112" t="s">
        <v>1496</v>
      </c>
      <c r="C122" s="112">
        <v>0</v>
      </c>
      <c r="D122" s="112" t="s">
        <v>1495</v>
      </c>
      <c r="E122" s="112" t="s">
        <v>1464</v>
      </c>
      <c r="F122" s="112" t="s">
        <v>1495</v>
      </c>
      <c r="G122" s="112" t="s">
        <v>1472</v>
      </c>
      <c r="H122" s="112" t="s">
        <v>1464</v>
      </c>
      <c r="I122" s="112">
        <v>677.29700439999999</v>
      </c>
    </row>
    <row r="123" spans="1:9">
      <c r="A123" s="112" t="s">
        <v>1473</v>
      </c>
      <c r="B123" s="112" t="s">
        <v>1496</v>
      </c>
      <c r="C123" s="112">
        <v>1.0138245109999999</v>
      </c>
      <c r="D123" s="112" t="s">
        <v>1495</v>
      </c>
      <c r="E123" s="112" t="s">
        <v>1464</v>
      </c>
      <c r="F123" s="112" t="s">
        <v>1495</v>
      </c>
      <c r="G123" s="112" t="s">
        <v>1473</v>
      </c>
      <c r="H123" s="112" t="s">
        <v>1464</v>
      </c>
      <c r="I123" s="112">
        <v>1450.782876</v>
      </c>
    </row>
    <row r="124" spans="1:9">
      <c r="A124" s="112" t="s">
        <v>1474</v>
      </c>
      <c r="B124" s="112" t="s">
        <v>1496</v>
      </c>
      <c r="C124" s="112">
        <v>0</v>
      </c>
      <c r="D124" s="112" t="s">
        <v>1495</v>
      </c>
      <c r="E124" s="112" t="s">
        <v>1464</v>
      </c>
      <c r="F124" s="112" t="s">
        <v>1495</v>
      </c>
      <c r="G124" s="112" t="s">
        <v>1474</v>
      </c>
      <c r="H124" s="112" t="s">
        <v>1464</v>
      </c>
      <c r="I124" s="112">
        <v>0</v>
      </c>
    </row>
    <row r="125" spans="1:9">
      <c r="A125" s="112" t="s">
        <v>1475</v>
      </c>
      <c r="B125" s="112" t="s">
        <v>1496</v>
      </c>
      <c r="C125" s="112">
        <v>0</v>
      </c>
      <c r="D125" s="112" t="s">
        <v>1495</v>
      </c>
      <c r="E125" s="112" t="s">
        <v>1464</v>
      </c>
      <c r="F125" s="112" t="s">
        <v>1495</v>
      </c>
      <c r="G125" s="112" t="s">
        <v>1475</v>
      </c>
      <c r="H125" s="112" t="s">
        <v>1464</v>
      </c>
      <c r="I125" s="112">
        <v>0</v>
      </c>
    </row>
    <row r="126" spans="1:9">
      <c r="A126" s="112" t="s">
        <v>1476</v>
      </c>
      <c r="B126" s="112" t="s">
        <v>1496</v>
      </c>
      <c r="C126" s="112">
        <v>0</v>
      </c>
      <c r="D126" s="112" t="s">
        <v>1495</v>
      </c>
      <c r="E126" s="112" t="s">
        <v>1464</v>
      </c>
      <c r="F126" s="112" t="s">
        <v>1495</v>
      </c>
      <c r="G126" s="112" t="s">
        <v>1476</v>
      </c>
      <c r="H126" s="112" t="s">
        <v>1464</v>
      </c>
      <c r="I126" s="112">
        <v>201.03018489999999</v>
      </c>
    </row>
    <row r="127" spans="1:9">
      <c r="A127" s="112" t="s">
        <v>1477</v>
      </c>
      <c r="B127" s="112" t="s">
        <v>1496</v>
      </c>
      <c r="C127" s="112">
        <v>0</v>
      </c>
      <c r="D127" s="112" t="s">
        <v>1495</v>
      </c>
      <c r="E127" s="112" t="s">
        <v>1464</v>
      </c>
      <c r="F127" s="112" t="s">
        <v>1495</v>
      </c>
      <c r="G127" s="112" t="s">
        <v>1477</v>
      </c>
      <c r="H127" s="112" t="s">
        <v>1464</v>
      </c>
      <c r="I127" s="112">
        <v>0</v>
      </c>
    </row>
    <row r="128" spans="1:9">
      <c r="A128" s="112" t="s">
        <v>1478</v>
      </c>
      <c r="B128" s="112" t="s">
        <v>1496</v>
      </c>
      <c r="C128" s="112">
        <v>192.97667480000001</v>
      </c>
      <c r="D128" s="112" t="s">
        <v>1495</v>
      </c>
      <c r="E128" s="112" t="s">
        <v>1464</v>
      </c>
      <c r="F128" s="112" t="s">
        <v>1495</v>
      </c>
      <c r="G128" s="112" t="s">
        <v>1478</v>
      </c>
      <c r="H128" s="112" t="s">
        <v>1464</v>
      </c>
      <c r="I128" s="112">
        <v>1528.4265539999999</v>
      </c>
    </row>
    <row r="129" spans="1:9">
      <c r="A129" s="112" t="s">
        <v>1479</v>
      </c>
      <c r="B129" s="112" t="s">
        <v>1496</v>
      </c>
      <c r="C129" s="112">
        <v>0</v>
      </c>
      <c r="D129" s="112" t="s">
        <v>1495</v>
      </c>
      <c r="E129" s="112" t="s">
        <v>1464</v>
      </c>
      <c r="F129" s="112" t="s">
        <v>1495</v>
      </c>
      <c r="G129" s="112" t="s">
        <v>1479</v>
      </c>
      <c r="H129" s="112" t="s">
        <v>1464</v>
      </c>
      <c r="I129" s="112">
        <v>0</v>
      </c>
    </row>
    <row r="130" spans="1:9">
      <c r="A130" s="112" t="s">
        <v>1480</v>
      </c>
      <c r="B130" s="112" t="s">
        <v>1496</v>
      </c>
      <c r="C130" s="112">
        <v>0</v>
      </c>
      <c r="D130" s="112" t="s">
        <v>1495</v>
      </c>
      <c r="E130" s="112" t="s">
        <v>1464</v>
      </c>
      <c r="F130" s="112" t="s">
        <v>1495</v>
      </c>
      <c r="G130" s="112" t="s">
        <v>1480</v>
      </c>
      <c r="H130" s="112" t="s">
        <v>1464</v>
      </c>
      <c r="I130" s="112">
        <v>0</v>
      </c>
    </row>
    <row r="131" spans="1:9">
      <c r="A131" s="112" t="s">
        <v>1481</v>
      </c>
      <c r="B131" s="112" t="s">
        <v>1496</v>
      </c>
      <c r="C131" s="112">
        <v>0</v>
      </c>
      <c r="D131" s="112" t="s">
        <v>1495</v>
      </c>
      <c r="E131" s="112" t="s">
        <v>1464</v>
      </c>
      <c r="F131" s="112" t="s">
        <v>1495</v>
      </c>
      <c r="G131" s="112" t="s">
        <v>1481</v>
      </c>
      <c r="H131" s="112" t="s">
        <v>1464</v>
      </c>
      <c r="I131" s="112">
        <v>5097.157612</v>
      </c>
    </row>
    <row r="132" spans="1:9">
      <c r="A132" s="112" t="s">
        <v>1482</v>
      </c>
      <c r="B132" s="112" t="s">
        <v>1496</v>
      </c>
      <c r="C132" s="112">
        <v>0</v>
      </c>
      <c r="D132" s="112" t="s">
        <v>1495</v>
      </c>
      <c r="E132" s="112" t="s">
        <v>1464</v>
      </c>
      <c r="F132" s="112" t="s">
        <v>1495</v>
      </c>
      <c r="G132" s="112" t="s">
        <v>1482</v>
      </c>
      <c r="H132" s="112" t="s">
        <v>1464</v>
      </c>
      <c r="I132" s="112">
        <v>3048.7804879999999</v>
      </c>
    </row>
    <row r="133" spans="1:9">
      <c r="A133" s="112" t="s">
        <v>1483</v>
      </c>
      <c r="B133" s="112" t="s">
        <v>1496</v>
      </c>
      <c r="C133" s="112">
        <v>0</v>
      </c>
      <c r="D133" s="112" t="s">
        <v>1495</v>
      </c>
      <c r="E133" s="112" t="s">
        <v>1464</v>
      </c>
      <c r="F133" s="112" t="s">
        <v>1495</v>
      </c>
      <c r="G133" s="112" t="s">
        <v>1483</v>
      </c>
      <c r="H133" s="112" t="s">
        <v>1464</v>
      </c>
      <c r="I133" s="112">
        <v>5691.3653860000004</v>
      </c>
    </row>
    <row r="134" spans="1:9">
      <c r="A134" s="112" t="s">
        <v>1484</v>
      </c>
      <c r="B134" s="112" t="s">
        <v>1496</v>
      </c>
      <c r="C134" s="112">
        <v>0</v>
      </c>
      <c r="D134" s="112" t="s">
        <v>1495</v>
      </c>
      <c r="E134" s="112" t="s">
        <v>1464</v>
      </c>
      <c r="F134" s="112" t="s">
        <v>1495</v>
      </c>
      <c r="G134" s="112" t="s">
        <v>1484</v>
      </c>
      <c r="H134" s="112" t="s">
        <v>1464</v>
      </c>
      <c r="I134" s="112">
        <v>6666.6666670000004</v>
      </c>
    </row>
    <row r="135" spans="1:9">
      <c r="A135" s="112" t="s">
        <v>1485</v>
      </c>
      <c r="B135" s="112" t="s">
        <v>1496</v>
      </c>
      <c r="C135" s="112">
        <v>0</v>
      </c>
      <c r="D135" s="112" t="s">
        <v>1495</v>
      </c>
      <c r="E135" s="112" t="s">
        <v>1464</v>
      </c>
      <c r="F135" s="112" t="s">
        <v>1495</v>
      </c>
      <c r="G135" s="112" t="s">
        <v>1485</v>
      </c>
      <c r="H135" s="112" t="s">
        <v>1464</v>
      </c>
      <c r="I135" s="112">
        <v>27946.895690000001</v>
      </c>
    </row>
    <row r="136" spans="1:9">
      <c r="A136" s="112" t="s">
        <v>1486</v>
      </c>
      <c r="B136" s="112" t="s">
        <v>1496</v>
      </c>
      <c r="C136" s="112">
        <v>0</v>
      </c>
      <c r="D136" s="112" t="s">
        <v>1495</v>
      </c>
      <c r="E136" s="112" t="s">
        <v>1464</v>
      </c>
      <c r="F136" s="112" t="s">
        <v>1495</v>
      </c>
      <c r="G136" s="112" t="s">
        <v>1486</v>
      </c>
      <c r="H136" s="112" t="s">
        <v>1464</v>
      </c>
      <c r="I136" s="112">
        <v>5836.7196160000003</v>
      </c>
    </row>
    <row r="137" spans="1:9">
      <c r="A137" s="112" t="s">
        <v>1487</v>
      </c>
      <c r="B137" s="112" t="s">
        <v>1496</v>
      </c>
      <c r="C137" s="112">
        <v>0</v>
      </c>
      <c r="D137" s="112" t="s">
        <v>1495</v>
      </c>
      <c r="E137" s="112" t="s">
        <v>1464</v>
      </c>
      <c r="F137" s="112" t="s">
        <v>1495</v>
      </c>
      <c r="G137" s="112" t="s">
        <v>1487</v>
      </c>
      <c r="H137" s="112" t="s">
        <v>1464</v>
      </c>
      <c r="I137" s="112">
        <v>574.63338390000001</v>
      </c>
    </row>
    <row r="138" spans="1:9">
      <c r="A138" s="112" t="s">
        <v>1488</v>
      </c>
      <c r="B138" s="112" t="s">
        <v>1496</v>
      </c>
      <c r="C138" s="112">
        <v>0</v>
      </c>
      <c r="D138" s="112" t="s">
        <v>1495</v>
      </c>
      <c r="E138" s="112" t="s">
        <v>1464</v>
      </c>
      <c r="F138" s="112" t="s">
        <v>1495</v>
      </c>
      <c r="G138" s="112" t="s">
        <v>1488</v>
      </c>
      <c r="H138" s="112" t="s">
        <v>1464</v>
      </c>
      <c r="I138" s="112">
        <v>119.474313</v>
      </c>
    </row>
    <row r="139" spans="1:9">
      <c r="A139" s="112" t="s">
        <v>1489</v>
      </c>
      <c r="B139" s="112" t="s">
        <v>1496</v>
      </c>
      <c r="C139" s="112">
        <v>0</v>
      </c>
      <c r="D139" s="112" t="s">
        <v>1495</v>
      </c>
      <c r="E139" s="112" t="s">
        <v>1464</v>
      </c>
      <c r="F139" s="112" t="s">
        <v>1495</v>
      </c>
      <c r="G139" s="112" t="s">
        <v>1489</v>
      </c>
      <c r="H139" s="112" t="s">
        <v>1464</v>
      </c>
      <c r="I139" s="112">
        <v>2498.8787090000001</v>
      </c>
    </row>
    <row r="140" spans="1:9">
      <c r="A140" s="112" t="s">
        <v>1490</v>
      </c>
      <c r="B140" s="112" t="s">
        <v>1496</v>
      </c>
      <c r="C140" s="112">
        <v>0</v>
      </c>
      <c r="D140" s="112" t="s">
        <v>1495</v>
      </c>
      <c r="E140" s="112" t="s">
        <v>1464</v>
      </c>
      <c r="F140" s="112" t="s">
        <v>1495</v>
      </c>
      <c r="G140" s="112" t="s">
        <v>1490</v>
      </c>
      <c r="H140" s="112" t="s">
        <v>1464</v>
      </c>
      <c r="I140" s="112">
        <v>8406.8936529999992</v>
      </c>
    </row>
    <row r="141" spans="1:9">
      <c r="A141" s="112" t="s">
        <v>1461</v>
      </c>
      <c r="B141" s="112" t="s">
        <v>1497</v>
      </c>
      <c r="C141" s="112">
        <v>1562.3848969999999</v>
      </c>
      <c r="D141" s="112" t="s">
        <v>1498</v>
      </c>
      <c r="E141" s="112" t="s">
        <v>1464</v>
      </c>
      <c r="F141" s="112" t="s">
        <v>1498</v>
      </c>
      <c r="G141" s="112" t="s">
        <v>1461</v>
      </c>
      <c r="H141" s="112" t="s">
        <v>1464</v>
      </c>
      <c r="I141" s="112">
        <v>2599.7334639999999</v>
      </c>
    </row>
    <row r="142" spans="1:9">
      <c r="A142" s="112" t="s">
        <v>1465</v>
      </c>
      <c r="B142" s="112" t="s">
        <v>1497</v>
      </c>
      <c r="C142" s="112">
        <v>0</v>
      </c>
      <c r="D142" s="112" t="s">
        <v>1498</v>
      </c>
      <c r="E142" s="112" t="s">
        <v>1464</v>
      </c>
      <c r="F142" s="112" t="s">
        <v>1498</v>
      </c>
      <c r="G142" s="112" t="s">
        <v>1465</v>
      </c>
      <c r="H142" s="112" t="s">
        <v>1464</v>
      </c>
      <c r="I142" s="112">
        <v>0</v>
      </c>
    </row>
    <row r="143" spans="1:9">
      <c r="A143" s="112" t="s">
        <v>1466</v>
      </c>
      <c r="B143" s="112" t="s">
        <v>1497</v>
      </c>
      <c r="C143" s="112">
        <v>0</v>
      </c>
      <c r="D143" s="112" t="s">
        <v>1498</v>
      </c>
      <c r="E143" s="112" t="s">
        <v>1464</v>
      </c>
      <c r="F143" s="112" t="s">
        <v>1498</v>
      </c>
      <c r="G143" s="112" t="s">
        <v>1466</v>
      </c>
      <c r="H143" s="112" t="s">
        <v>1464</v>
      </c>
      <c r="I143" s="112">
        <v>0</v>
      </c>
    </row>
    <row r="144" spans="1:9">
      <c r="A144" s="112" t="s">
        <v>1467</v>
      </c>
      <c r="B144" s="112" t="s">
        <v>1497</v>
      </c>
      <c r="C144" s="112">
        <v>1018.067871</v>
      </c>
      <c r="D144" s="112" t="s">
        <v>1498</v>
      </c>
      <c r="E144" s="112" t="s">
        <v>1464</v>
      </c>
      <c r="F144" s="112" t="s">
        <v>1498</v>
      </c>
      <c r="G144" s="112" t="s">
        <v>1467</v>
      </c>
      <c r="H144" s="112" t="s">
        <v>1464</v>
      </c>
      <c r="I144" s="112">
        <v>2127.4751649999998</v>
      </c>
    </row>
    <row r="145" spans="1:9">
      <c r="A145" s="112" t="s">
        <v>1468</v>
      </c>
      <c r="B145" s="112" t="s">
        <v>1497</v>
      </c>
      <c r="C145" s="112">
        <v>3.6075296360000002</v>
      </c>
      <c r="D145" s="112" t="s">
        <v>1498</v>
      </c>
      <c r="E145" s="112" t="s">
        <v>1464</v>
      </c>
      <c r="F145" s="112" t="s">
        <v>1498</v>
      </c>
      <c r="G145" s="112" t="s">
        <v>1468</v>
      </c>
      <c r="H145" s="112" t="s">
        <v>1464</v>
      </c>
      <c r="I145" s="112">
        <v>3.6075296360000002</v>
      </c>
    </row>
    <row r="146" spans="1:9">
      <c r="A146" s="112" t="s">
        <v>1469</v>
      </c>
      <c r="B146" s="112" t="s">
        <v>1497</v>
      </c>
      <c r="C146" s="112">
        <v>0</v>
      </c>
      <c r="D146" s="112" t="s">
        <v>1498</v>
      </c>
      <c r="E146" s="112" t="s">
        <v>1464</v>
      </c>
      <c r="F146" s="112" t="s">
        <v>1498</v>
      </c>
      <c r="G146" s="112" t="s">
        <v>1469</v>
      </c>
      <c r="H146" s="112" t="s">
        <v>1464</v>
      </c>
      <c r="I146" s="112">
        <v>0</v>
      </c>
    </row>
    <row r="147" spans="1:9">
      <c r="A147" s="112" t="s">
        <v>1470</v>
      </c>
      <c r="B147" s="112" t="s">
        <v>1497</v>
      </c>
      <c r="C147" s="112">
        <v>2629.4042519999998</v>
      </c>
      <c r="D147" s="112" t="s">
        <v>1498</v>
      </c>
      <c r="E147" s="112" t="s">
        <v>1464</v>
      </c>
      <c r="F147" s="112" t="s">
        <v>1498</v>
      </c>
      <c r="G147" s="112" t="s">
        <v>1470</v>
      </c>
      <c r="H147" s="112" t="s">
        <v>1464</v>
      </c>
      <c r="I147" s="112">
        <v>5409.060176</v>
      </c>
    </row>
    <row r="148" spans="1:9">
      <c r="A148" s="112" t="s">
        <v>1471</v>
      </c>
      <c r="B148" s="112" t="s">
        <v>1497</v>
      </c>
      <c r="C148" s="112">
        <v>896.68440989999999</v>
      </c>
      <c r="D148" s="112" t="s">
        <v>1498</v>
      </c>
      <c r="E148" s="112" t="s">
        <v>1464</v>
      </c>
      <c r="F148" s="112" t="s">
        <v>1498</v>
      </c>
      <c r="G148" s="112" t="s">
        <v>1471</v>
      </c>
      <c r="H148" s="112" t="s">
        <v>1464</v>
      </c>
      <c r="I148" s="112">
        <v>1758.6847809999999</v>
      </c>
    </row>
    <row r="149" spans="1:9">
      <c r="A149" s="112" t="s">
        <v>1472</v>
      </c>
      <c r="B149" s="112" t="s">
        <v>1497</v>
      </c>
      <c r="C149" s="112">
        <v>0</v>
      </c>
      <c r="D149" s="112" t="s">
        <v>1498</v>
      </c>
      <c r="E149" s="112" t="s">
        <v>1464</v>
      </c>
      <c r="F149" s="112" t="s">
        <v>1498</v>
      </c>
      <c r="G149" s="112" t="s">
        <v>1472</v>
      </c>
      <c r="H149" s="112" t="s">
        <v>1464</v>
      </c>
      <c r="I149" s="112">
        <v>0</v>
      </c>
    </row>
    <row r="150" spans="1:9">
      <c r="A150" s="112" t="s">
        <v>1473</v>
      </c>
      <c r="B150" s="112" t="s">
        <v>1497</v>
      </c>
      <c r="C150" s="112">
        <v>314.28559840000003</v>
      </c>
      <c r="D150" s="112" t="s">
        <v>1498</v>
      </c>
      <c r="E150" s="112" t="s">
        <v>1464</v>
      </c>
      <c r="F150" s="112" t="s">
        <v>1498</v>
      </c>
      <c r="G150" s="112" t="s">
        <v>1473</v>
      </c>
      <c r="H150" s="112" t="s">
        <v>1464</v>
      </c>
      <c r="I150" s="112">
        <v>494.74636140000001</v>
      </c>
    </row>
    <row r="151" spans="1:9">
      <c r="A151" s="112" t="s">
        <v>1474</v>
      </c>
      <c r="B151" s="112" t="s">
        <v>1497</v>
      </c>
      <c r="C151" s="112">
        <v>0</v>
      </c>
      <c r="D151" s="112" t="s">
        <v>1498</v>
      </c>
      <c r="E151" s="112" t="s">
        <v>1464</v>
      </c>
      <c r="F151" s="112" t="s">
        <v>1498</v>
      </c>
      <c r="G151" s="112" t="s">
        <v>1474</v>
      </c>
      <c r="H151" s="112" t="s">
        <v>1464</v>
      </c>
      <c r="I151" s="112">
        <v>0</v>
      </c>
    </row>
    <row r="152" spans="1:9">
      <c r="A152" s="112" t="s">
        <v>1475</v>
      </c>
      <c r="B152" s="112" t="s">
        <v>1497</v>
      </c>
      <c r="C152" s="112">
        <v>0</v>
      </c>
      <c r="D152" s="112" t="s">
        <v>1498</v>
      </c>
      <c r="E152" s="112" t="s">
        <v>1464</v>
      </c>
      <c r="F152" s="112" t="s">
        <v>1498</v>
      </c>
      <c r="G152" s="112" t="s">
        <v>1475</v>
      </c>
      <c r="H152" s="112" t="s">
        <v>1464</v>
      </c>
      <c r="I152" s="112">
        <v>0</v>
      </c>
    </row>
    <row r="153" spans="1:9">
      <c r="A153" s="112" t="s">
        <v>1476</v>
      </c>
      <c r="B153" s="112" t="s">
        <v>1497</v>
      </c>
      <c r="C153" s="112">
        <v>0</v>
      </c>
      <c r="D153" s="112" t="s">
        <v>1498</v>
      </c>
      <c r="E153" s="112" t="s">
        <v>1464</v>
      </c>
      <c r="F153" s="112" t="s">
        <v>1498</v>
      </c>
      <c r="G153" s="112" t="s">
        <v>1476</v>
      </c>
      <c r="H153" s="112" t="s">
        <v>1464</v>
      </c>
      <c r="I153" s="112">
        <v>0</v>
      </c>
    </row>
    <row r="154" spans="1:9">
      <c r="A154" s="112" t="s">
        <v>1477</v>
      </c>
      <c r="B154" s="112" t="s">
        <v>1497</v>
      </c>
      <c r="C154" s="112">
        <v>0</v>
      </c>
      <c r="D154" s="112" t="s">
        <v>1498</v>
      </c>
      <c r="E154" s="112" t="s">
        <v>1464</v>
      </c>
      <c r="F154" s="112" t="s">
        <v>1498</v>
      </c>
      <c r="G154" s="112" t="s">
        <v>1477</v>
      </c>
      <c r="H154" s="112" t="s">
        <v>1464</v>
      </c>
      <c r="I154" s="112">
        <v>0</v>
      </c>
    </row>
    <row r="155" spans="1:9">
      <c r="A155" s="112" t="s">
        <v>1478</v>
      </c>
      <c r="B155" s="112" t="s">
        <v>1497</v>
      </c>
      <c r="C155" s="112">
        <v>2569.603032</v>
      </c>
      <c r="D155" s="112" t="s">
        <v>1498</v>
      </c>
      <c r="E155" s="112" t="s">
        <v>1464</v>
      </c>
      <c r="F155" s="112" t="s">
        <v>1498</v>
      </c>
      <c r="G155" s="112" t="s">
        <v>1478</v>
      </c>
      <c r="H155" s="112" t="s">
        <v>1464</v>
      </c>
      <c r="I155" s="112">
        <v>6158.5845129999998</v>
      </c>
    </row>
    <row r="156" spans="1:9">
      <c r="A156" s="112" t="s">
        <v>1479</v>
      </c>
      <c r="B156" s="112" t="s">
        <v>1497</v>
      </c>
      <c r="C156" s="112">
        <v>0</v>
      </c>
      <c r="D156" s="112" t="s">
        <v>1498</v>
      </c>
      <c r="E156" s="112" t="s">
        <v>1464</v>
      </c>
      <c r="F156" s="112" t="s">
        <v>1498</v>
      </c>
      <c r="G156" s="112" t="s">
        <v>1479</v>
      </c>
      <c r="H156" s="112" t="s">
        <v>1464</v>
      </c>
      <c r="I156" s="112">
        <v>0</v>
      </c>
    </row>
    <row r="157" spans="1:9">
      <c r="A157" s="112" t="s">
        <v>1480</v>
      </c>
      <c r="B157" s="112" t="s">
        <v>1497</v>
      </c>
      <c r="C157" s="112">
        <v>0</v>
      </c>
      <c r="D157" s="112" t="s">
        <v>1498</v>
      </c>
      <c r="E157" s="112" t="s">
        <v>1464</v>
      </c>
      <c r="F157" s="112" t="s">
        <v>1498</v>
      </c>
      <c r="G157" s="112" t="s">
        <v>1480</v>
      </c>
      <c r="H157" s="112" t="s">
        <v>1464</v>
      </c>
      <c r="I157" s="112">
        <v>0</v>
      </c>
    </row>
    <row r="158" spans="1:9">
      <c r="A158" s="112" t="s">
        <v>1481</v>
      </c>
      <c r="B158" s="112" t="s">
        <v>1497</v>
      </c>
      <c r="C158" s="112">
        <v>0</v>
      </c>
      <c r="D158" s="112" t="s">
        <v>1498</v>
      </c>
      <c r="E158" s="112" t="s">
        <v>1464</v>
      </c>
      <c r="F158" s="112" t="s">
        <v>1498</v>
      </c>
      <c r="G158" s="112" t="s">
        <v>1481</v>
      </c>
      <c r="H158" s="112" t="s">
        <v>1464</v>
      </c>
      <c r="I158" s="112">
        <v>0</v>
      </c>
    </row>
    <row r="159" spans="1:9">
      <c r="A159" s="112" t="s">
        <v>1482</v>
      </c>
      <c r="B159" s="112" t="s">
        <v>1497</v>
      </c>
      <c r="C159" s="112">
        <v>0</v>
      </c>
      <c r="D159" s="112" t="s">
        <v>1498</v>
      </c>
      <c r="E159" s="112" t="s">
        <v>1464</v>
      </c>
      <c r="F159" s="112" t="s">
        <v>1498</v>
      </c>
      <c r="G159" s="112" t="s">
        <v>1482</v>
      </c>
      <c r="H159" s="112" t="s">
        <v>1464</v>
      </c>
      <c r="I159" s="112">
        <v>0</v>
      </c>
    </row>
    <row r="160" spans="1:9">
      <c r="A160" s="112" t="s">
        <v>1483</v>
      </c>
      <c r="B160" s="112" t="s">
        <v>1497</v>
      </c>
      <c r="C160" s="112">
        <v>0</v>
      </c>
      <c r="D160" s="112" t="s">
        <v>1498</v>
      </c>
      <c r="E160" s="112" t="s">
        <v>1464</v>
      </c>
      <c r="F160" s="112" t="s">
        <v>1498</v>
      </c>
      <c r="G160" s="112" t="s">
        <v>1483</v>
      </c>
      <c r="H160" s="112" t="s">
        <v>1464</v>
      </c>
      <c r="I160" s="112">
        <v>0</v>
      </c>
    </row>
    <row r="161" spans="1:9">
      <c r="A161" s="112" t="s">
        <v>1484</v>
      </c>
      <c r="B161" s="112" t="s">
        <v>1497</v>
      </c>
      <c r="C161" s="112">
        <v>0</v>
      </c>
      <c r="D161" s="112" t="s">
        <v>1498</v>
      </c>
      <c r="E161" s="112" t="s">
        <v>1464</v>
      </c>
      <c r="F161" s="112" t="s">
        <v>1498</v>
      </c>
      <c r="G161" s="112" t="s">
        <v>1484</v>
      </c>
      <c r="H161" s="112" t="s">
        <v>1464</v>
      </c>
      <c r="I161" s="112">
        <v>0</v>
      </c>
    </row>
    <row r="162" spans="1:9">
      <c r="A162" s="112" t="s">
        <v>1485</v>
      </c>
      <c r="B162" s="112" t="s">
        <v>1497</v>
      </c>
      <c r="C162" s="112">
        <v>0</v>
      </c>
      <c r="D162" s="112" t="s">
        <v>1498</v>
      </c>
      <c r="E162" s="112" t="s">
        <v>1464</v>
      </c>
      <c r="F162" s="112" t="s">
        <v>1498</v>
      </c>
      <c r="G162" s="112" t="s">
        <v>1485</v>
      </c>
      <c r="H162" s="112" t="s">
        <v>1464</v>
      </c>
      <c r="I162" s="112">
        <v>0</v>
      </c>
    </row>
    <row r="163" spans="1:9">
      <c r="A163" s="112" t="s">
        <v>1486</v>
      </c>
      <c r="B163" s="112" t="s">
        <v>1497</v>
      </c>
      <c r="C163" s="112">
        <v>0</v>
      </c>
      <c r="D163" s="112" t="s">
        <v>1498</v>
      </c>
      <c r="E163" s="112" t="s">
        <v>1464</v>
      </c>
      <c r="F163" s="112" t="s">
        <v>1498</v>
      </c>
      <c r="G163" s="112" t="s">
        <v>1486</v>
      </c>
      <c r="H163" s="112" t="s">
        <v>1464</v>
      </c>
      <c r="I163" s="112">
        <v>0</v>
      </c>
    </row>
    <row r="164" spans="1:9">
      <c r="A164" s="112" t="s">
        <v>1487</v>
      </c>
      <c r="B164" s="112" t="s">
        <v>1497</v>
      </c>
      <c r="C164" s="112">
        <v>0</v>
      </c>
      <c r="D164" s="112" t="s">
        <v>1498</v>
      </c>
      <c r="E164" s="112" t="s">
        <v>1464</v>
      </c>
      <c r="F164" s="112" t="s">
        <v>1498</v>
      </c>
      <c r="G164" s="112" t="s">
        <v>1487</v>
      </c>
      <c r="H164" s="112" t="s">
        <v>1464</v>
      </c>
      <c r="I164" s="112">
        <v>45.97067071</v>
      </c>
    </row>
    <row r="165" spans="1:9">
      <c r="A165" s="112" t="s">
        <v>1488</v>
      </c>
      <c r="B165" s="112" t="s">
        <v>1497</v>
      </c>
      <c r="C165" s="112">
        <v>199.12385499999999</v>
      </c>
      <c r="D165" s="112" t="s">
        <v>1498</v>
      </c>
      <c r="E165" s="112" t="s">
        <v>1464</v>
      </c>
      <c r="F165" s="112" t="s">
        <v>1498</v>
      </c>
      <c r="G165" s="112" t="s">
        <v>1488</v>
      </c>
      <c r="H165" s="112" t="s">
        <v>1464</v>
      </c>
      <c r="I165" s="112">
        <v>199.12385499999999</v>
      </c>
    </row>
    <row r="166" spans="1:9">
      <c r="A166" s="112" t="s">
        <v>1489</v>
      </c>
      <c r="B166" s="112" t="s">
        <v>1497</v>
      </c>
      <c r="C166" s="112">
        <v>0</v>
      </c>
      <c r="D166" s="112" t="s">
        <v>1498</v>
      </c>
      <c r="E166" s="112" t="s">
        <v>1464</v>
      </c>
      <c r="F166" s="112" t="s">
        <v>1498</v>
      </c>
      <c r="G166" s="112" t="s">
        <v>1489</v>
      </c>
      <c r="H166" s="112" t="s">
        <v>1464</v>
      </c>
      <c r="I166" s="112">
        <v>0</v>
      </c>
    </row>
    <row r="167" spans="1:9">
      <c r="A167" s="112" t="s">
        <v>1490</v>
      </c>
      <c r="B167" s="112" t="s">
        <v>1497</v>
      </c>
      <c r="C167" s="112">
        <v>0</v>
      </c>
      <c r="D167" s="112" t="s">
        <v>1498</v>
      </c>
      <c r="E167" s="112" t="s">
        <v>1464</v>
      </c>
      <c r="F167" s="112" t="s">
        <v>1498</v>
      </c>
      <c r="G167" s="112" t="s">
        <v>1490</v>
      </c>
      <c r="H167" s="112" t="s">
        <v>1464</v>
      </c>
      <c r="I167" s="112">
        <v>0</v>
      </c>
    </row>
    <row r="168" spans="1:9">
      <c r="A168" s="112" t="s">
        <v>1461</v>
      </c>
      <c r="B168" s="112" t="s">
        <v>1499</v>
      </c>
      <c r="C168" s="112">
        <v>1037.348567</v>
      </c>
      <c r="D168" s="112" t="s">
        <v>1498</v>
      </c>
      <c r="E168" s="112" t="s">
        <v>1464</v>
      </c>
      <c r="F168" s="112" t="s">
        <v>1498</v>
      </c>
      <c r="G168" s="112" t="s">
        <v>1461</v>
      </c>
      <c r="H168" s="112" t="s">
        <v>1464</v>
      </c>
      <c r="I168" s="112">
        <v>2599.7334639999999</v>
      </c>
    </row>
    <row r="169" spans="1:9">
      <c r="A169" s="112" t="s">
        <v>1465</v>
      </c>
      <c r="B169" s="112" t="s">
        <v>1499</v>
      </c>
      <c r="C169" s="112">
        <v>0</v>
      </c>
      <c r="D169" s="112" t="s">
        <v>1498</v>
      </c>
      <c r="E169" s="112" t="s">
        <v>1464</v>
      </c>
      <c r="F169" s="112" t="s">
        <v>1498</v>
      </c>
      <c r="G169" s="112" t="s">
        <v>1465</v>
      </c>
      <c r="H169" s="112" t="s">
        <v>1464</v>
      </c>
      <c r="I169" s="112">
        <v>0</v>
      </c>
    </row>
    <row r="170" spans="1:9">
      <c r="A170" s="112" t="s">
        <v>1466</v>
      </c>
      <c r="B170" s="112" t="s">
        <v>1499</v>
      </c>
      <c r="C170" s="112">
        <v>0</v>
      </c>
      <c r="D170" s="112" t="s">
        <v>1498</v>
      </c>
      <c r="E170" s="112" t="s">
        <v>1464</v>
      </c>
      <c r="F170" s="112" t="s">
        <v>1498</v>
      </c>
      <c r="G170" s="112" t="s">
        <v>1466</v>
      </c>
      <c r="H170" s="112" t="s">
        <v>1464</v>
      </c>
      <c r="I170" s="112">
        <v>0</v>
      </c>
    </row>
    <row r="171" spans="1:9">
      <c r="A171" s="112" t="s">
        <v>1467</v>
      </c>
      <c r="B171" s="112" t="s">
        <v>1499</v>
      </c>
      <c r="C171" s="112">
        <v>1109.4072940000001</v>
      </c>
      <c r="D171" s="112" t="s">
        <v>1498</v>
      </c>
      <c r="E171" s="112" t="s">
        <v>1464</v>
      </c>
      <c r="F171" s="112" t="s">
        <v>1498</v>
      </c>
      <c r="G171" s="112" t="s">
        <v>1467</v>
      </c>
      <c r="H171" s="112" t="s">
        <v>1464</v>
      </c>
      <c r="I171" s="112">
        <v>2127.4751649999998</v>
      </c>
    </row>
    <row r="172" spans="1:9">
      <c r="A172" s="112" t="s">
        <v>1468</v>
      </c>
      <c r="B172" s="112" t="s">
        <v>1499</v>
      </c>
      <c r="C172" s="112">
        <v>0</v>
      </c>
      <c r="D172" s="112" t="s">
        <v>1498</v>
      </c>
      <c r="E172" s="112" t="s">
        <v>1464</v>
      </c>
      <c r="F172" s="112" t="s">
        <v>1498</v>
      </c>
      <c r="G172" s="112" t="s">
        <v>1468</v>
      </c>
      <c r="H172" s="112" t="s">
        <v>1464</v>
      </c>
      <c r="I172" s="112">
        <v>3.6075296360000002</v>
      </c>
    </row>
    <row r="173" spans="1:9">
      <c r="A173" s="112" t="s">
        <v>1469</v>
      </c>
      <c r="B173" s="112" t="s">
        <v>1499</v>
      </c>
      <c r="C173" s="112">
        <v>0</v>
      </c>
      <c r="D173" s="112" t="s">
        <v>1498</v>
      </c>
      <c r="E173" s="112" t="s">
        <v>1464</v>
      </c>
      <c r="F173" s="112" t="s">
        <v>1498</v>
      </c>
      <c r="G173" s="112" t="s">
        <v>1469</v>
      </c>
      <c r="H173" s="112" t="s">
        <v>1464</v>
      </c>
      <c r="I173" s="112">
        <v>0</v>
      </c>
    </row>
    <row r="174" spans="1:9">
      <c r="A174" s="112" t="s">
        <v>1470</v>
      </c>
      <c r="B174" s="112" t="s">
        <v>1499</v>
      </c>
      <c r="C174" s="112">
        <v>2779.6559240000001</v>
      </c>
      <c r="D174" s="112" t="s">
        <v>1498</v>
      </c>
      <c r="E174" s="112" t="s">
        <v>1464</v>
      </c>
      <c r="F174" s="112" t="s">
        <v>1498</v>
      </c>
      <c r="G174" s="112" t="s">
        <v>1470</v>
      </c>
      <c r="H174" s="112" t="s">
        <v>1464</v>
      </c>
      <c r="I174" s="112">
        <v>5409.060176</v>
      </c>
    </row>
    <row r="175" spans="1:9">
      <c r="A175" s="112" t="s">
        <v>1471</v>
      </c>
      <c r="B175" s="112" t="s">
        <v>1499</v>
      </c>
      <c r="C175" s="112">
        <v>862.00037129999998</v>
      </c>
      <c r="D175" s="112" t="s">
        <v>1498</v>
      </c>
      <c r="E175" s="112" t="s">
        <v>1464</v>
      </c>
      <c r="F175" s="112" t="s">
        <v>1498</v>
      </c>
      <c r="G175" s="112" t="s">
        <v>1471</v>
      </c>
      <c r="H175" s="112" t="s">
        <v>1464</v>
      </c>
      <c r="I175" s="112">
        <v>1758.6847809999999</v>
      </c>
    </row>
    <row r="176" spans="1:9">
      <c r="A176" s="112" t="s">
        <v>1472</v>
      </c>
      <c r="B176" s="112" t="s">
        <v>1499</v>
      </c>
      <c r="C176" s="112">
        <v>0</v>
      </c>
      <c r="D176" s="112" t="s">
        <v>1498</v>
      </c>
      <c r="E176" s="112" t="s">
        <v>1464</v>
      </c>
      <c r="F176" s="112" t="s">
        <v>1498</v>
      </c>
      <c r="G176" s="112" t="s">
        <v>1472</v>
      </c>
      <c r="H176" s="112" t="s">
        <v>1464</v>
      </c>
      <c r="I176" s="112">
        <v>0</v>
      </c>
    </row>
    <row r="177" spans="1:9">
      <c r="A177" s="112" t="s">
        <v>1473</v>
      </c>
      <c r="B177" s="112" t="s">
        <v>1499</v>
      </c>
      <c r="C177" s="112">
        <v>180.46076299999999</v>
      </c>
      <c r="D177" s="112" t="s">
        <v>1498</v>
      </c>
      <c r="E177" s="112" t="s">
        <v>1464</v>
      </c>
      <c r="F177" s="112" t="s">
        <v>1498</v>
      </c>
      <c r="G177" s="112" t="s">
        <v>1473</v>
      </c>
      <c r="H177" s="112" t="s">
        <v>1464</v>
      </c>
      <c r="I177" s="112">
        <v>494.74636140000001</v>
      </c>
    </row>
    <row r="178" spans="1:9">
      <c r="A178" s="112" t="s">
        <v>1474</v>
      </c>
      <c r="B178" s="112" t="s">
        <v>1499</v>
      </c>
      <c r="C178" s="112">
        <v>0</v>
      </c>
      <c r="D178" s="112" t="s">
        <v>1498</v>
      </c>
      <c r="E178" s="112" t="s">
        <v>1464</v>
      </c>
      <c r="F178" s="112" t="s">
        <v>1498</v>
      </c>
      <c r="G178" s="112" t="s">
        <v>1474</v>
      </c>
      <c r="H178" s="112" t="s">
        <v>1464</v>
      </c>
      <c r="I178" s="112">
        <v>0</v>
      </c>
    </row>
    <row r="179" spans="1:9">
      <c r="A179" s="112" t="s">
        <v>1475</v>
      </c>
      <c r="B179" s="112" t="s">
        <v>1499</v>
      </c>
      <c r="C179" s="112">
        <v>0</v>
      </c>
      <c r="D179" s="112" t="s">
        <v>1498</v>
      </c>
      <c r="E179" s="112" t="s">
        <v>1464</v>
      </c>
      <c r="F179" s="112" t="s">
        <v>1498</v>
      </c>
      <c r="G179" s="112" t="s">
        <v>1475</v>
      </c>
      <c r="H179" s="112" t="s">
        <v>1464</v>
      </c>
      <c r="I179" s="112">
        <v>0</v>
      </c>
    </row>
    <row r="180" spans="1:9">
      <c r="A180" s="112" t="s">
        <v>1476</v>
      </c>
      <c r="B180" s="112" t="s">
        <v>1499</v>
      </c>
      <c r="C180" s="112">
        <v>0</v>
      </c>
      <c r="D180" s="112" t="s">
        <v>1498</v>
      </c>
      <c r="E180" s="112" t="s">
        <v>1464</v>
      </c>
      <c r="F180" s="112" t="s">
        <v>1498</v>
      </c>
      <c r="G180" s="112" t="s">
        <v>1476</v>
      </c>
      <c r="H180" s="112" t="s">
        <v>1464</v>
      </c>
      <c r="I180" s="112">
        <v>0</v>
      </c>
    </row>
    <row r="181" spans="1:9">
      <c r="A181" s="112" t="s">
        <v>1477</v>
      </c>
      <c r="B181" s="112" t="s">
        <v>1499</v>
      </c>
      <c r="C181" s="112">
        <v>0</v>
      </c>
      <c r="D181" s="112" t="s">
        <v>1498</v>
      </c>
      <c r="E181" s="112" t="s">
        <v>1464</v>
      </c>
      <c r="F181" s="112" t="s">
        <v>1498</v>
      </c>
      <c r="G181" s="112" t="s">
        <v>1477</v>
      </c>
      <c r="H181" s="112" t="s">
        <v>1464</v>
      </c>
      <c r="I181" s="112">
        <v>0</v>
      </c>
    </row>
    <row r="182" spans="1:9">
      <c r="A182" s="112" t="s">
        <v>1478</v>
      </c>
      <c r="B182" s="112" t="s">
        <v>1499</v>
      </c>
      <c r="C182" s="112">
        <v>3588.9814809999998</v>
      </c>
      <c r="D182" s="112" t="s">
        <v>1498</v>
      </c>
      <c r="E182" s="112" t="s">
        <v>1464</v>
      </c>
      <c r="F182" s="112" t="s">
        <v>1498</v>
      </c>
      <c r="G182" s="112" t="s">
        <v>1478</v>
      </c>
      <c r="H182" s="112" t="s">
        <v>1464</v>
      </c>
      <c r="I182" s="112">
        <v>6158.5845129999998</v>
      </c>
    </row>
    <row r="183" spans="1:9">
      <c r="A183" s="112" t="s">
        <v>1479</v>
      </c>
      <c r="B183" s="112" t="s">
        <v>1499</v>
      </c>
      <c r="C183" s="112">
        <v>0</v>
      </c>
      <c r="D183" s="112" t="s">
        <v>1498</v>
      </c>
      <c r="E183" s="112" t="s">
        <v>1464</v>
      </c>
      <c r="F183" s="112" t="s">
        <v>1498</v>
      </c>
      <c r="G183" s="112" t="s">
        <v>1479</v>
      </c>
      <c r="H183" s="112" t="s">
        <v>1464</v>
      </c>
      <c r="I183" s="112">
        <v>0</v>
      </c>
    </row>
    <row r="184" spans="1:9">
      <c r="A184" s="112" t="s">
        <v>1480</v>
      </c>
      <c r="B184" s="112" t="s">
        <v>1499</v>
      </c>
      <c r="C184" s="112">
        <v>0</v>
      </c>
      <c r="D184" s="112" t="s">
        <v>1498</v>
      </c>
      <c r="E184" s="112" t="s">
        <v>1464</v>
      </c>
      <c r="F184" s="112" t="s">
        <v>1498</v>
      </c>
      <c r="G184" s="112" t="s">
        <v>1480</v>
      </c>
      <c r="H184" s="112" t="s">
        <v>1464</v>
      </c>
      <c r="I184" s="112">
        <v>0</v>
      </c>
    </row>
    <row r="185" spans="1:9">
      <c r="A185" s="112" t="s">
        <v>1481</v>
      </c>
      <c r="B185" s="112" t="s">
        <v>1499</v>
      </c>
      <c r="C185" s="112">
        <v>0</v>
      </c>
      <c r="D185" s="112" t="s">
        <v>1498</v>
      </c>
      <c r="E185" s="112" t="s">
        <v>1464</v>
      </c>
      <c r="F185" s="112" t="s">
        <v>1498</v>
      </c>
      <c r="G185" s="112" t="s">
        <v>1481</v>
      </c>
      <c r="H185" s="112" t="s">
        <v>1464</v>
      </c>
      <c r="I185" s="112">
        <v>0</v>
      </c>
    </row>
    <row r="186" spans="1:9">
      <c r="A186" s="112" t="s">
        <v>1482</v>
      </c>
      <c r="B186" s="112" t="s">
        <v>1499</v>
      </c>
      <c r="C186" s="112">
        <v>0</v>
      </c>
      <c r="D186" s="112" t="s">
        <v>1498</v>
      </c>
      <c r="E186" s="112" t="s">
        <v>1464</v>
      </c>
      <c r="F186" s="112" t="s">
        <v>1498</v>
      </c>
      <c r="G186" s="112" t="s">
        <v>1482</v>
      </c>
      <c r="H186" s="112" t="s">
        <v>1464</v>
      </c>
      <c r="I186" s="112">
        <v>0</v>
      </c>
    </row>
    <row r="187" spans="1:9">
      <c r="A187" s="112" t="s">
        <v>1483</v>
      </c>
      <c r="B187" s="112" t="s">
        <v>1499</v>
      </c>
      <c r="C187" s="112">
        <v>0</v>
      </c>
      <c r="D187" s="112" t="s">
        <v>1498</v>
      </c>
      <c r="E187" s="112" t="s">
        <v>1464</v>
      </c>
      <c r="F187" s="112" t="s">
        <v>1498</v>
      </c>
      <c r="G187" s="112" t="s">
        <v>1483</v>
      </c>
      <c r="H187" s="112" t="s">
        <v>1464</v>
      </c>
      <c r="I187" s="112">
        <v>0</v>
      </c>
    </row>
    <row r="188" spans="1:9">
      <c r="A188" s="112" t="s">
        <v>1484</v>
      </c>
      <c r="B188" s="112" t="s">
        <v>1499</v>
      </c>
      <c r="C188" s="112">
        <v>0</v>
      </c>
      <c r="D188" s="112" t="s">
        <v>1498</v>
      </c>
      <c r="E188" s="112" t="s">
        <v>1464</v>
      </c>
      <c r="F188" s="112" t="s">
        <v>1498</v>
      </c>
      <c r="G188" s="112" t="s">
        <v>1484</v>
      </c>
      <c r="H188" s="112" t="s">
        <v>1464</v>
      </c>
      <c r="I188" s="112">
        <v>0</v>
      </c>
    </row>
    <row r="189" spans="1:9">
      <c r="A189" s="112" t="s">
        <v>1485</v>
      </c>
      <c r="B189" s="112" t="s">
        <v>1499</v>
      </c>
      <c r="C189" s="112">
        <v>0</v>
      </c>
      <c r="D189" s="112" t="s">
        <v>1498</v>
      </c>
      <c r="E189" s="112" t="s">
        <v>1464</v>
      </c>
      <c r="F189" s="112" t="s">
        <v>1498</v>
      </c>
      <c r="G189" s="112" t="s">
        <v>1485</v>
      </c>
      <c r="H189" s="112" t="s">
        <v>1464</v>
      </c>
      <c r="I189" s="112">
        <v>0</v>
      </c>
    </row>
    <row r="190" spans="1:9">
      <c r="A190" s="112" t="s">
        <v>1486</v>
      </c>
      <c r="B190" s="112" t="s">
        <v>1499</v>
      </c>
      <c r="C190" s="112">
        <v>0</v>
      </c>
      <c r="D190" s="112" t="s">
        <v>1498</v>
      </c>
      <c r="E190" s="112" t="s">
        <v>1464</v>
      </c>
      <c r="F190" s="112" t="s">
        <v>1498</v>
      </c>
      <c r="G190" s="112" t="s">
        <v>1486</v>
      </c>
      <c r="H190" s="112" t="s">
        <v>1464</v>
      </c>
      <c r="I190" s="112">
        <v>0</v>
      </c>
    </row>
    <row r="191" spans="1:9">
      <c r="A191" s="112" t="s">
        <v>1487</v>
      </c>
      <c r="B191" s="112" t="s">
        <v>1499</v>
      </c>
      <c r="C191" s="112">
        <v>45.97067071</v>
      </c>
      <c r="D191" s="112" t="s">
        <v>1498</v>
      </c>
      <c r="E191" s="112" t="s">
        <v>1464</v>
      </c>
      <c r="F191" s="112" t="s">
        <v>1498</v>
      </c>
      <c r="G191" s="112" t="s">
        <v>1487</v>
      </c>
      <c r="H191" s="112" t="s">
        <v>1464</v>
      </c>
      <c r="I191" s="112">
        <v>45.97067071</v>
      </c>
    </row>
    <row r="192" spans="1:9">
      <c r="A192" s="112" t="s">
        <v>1488</v>
      </c>
      <c r="B192" s="112" t="s">
        <v>1499</v>
      </c>
      <c r="C192" s="112">
        <v>0</v>
      </c>
      <c r="D192" s="112" t="s">
        <v>1498</v>
      </c>
      <c r="E192" s="112" t="s">
        <v>1464</v>
      </c>
      <c r="F192" s="112" t="s">
        <v>1498</v>
      </c>
      <c r="G192" s="112" t="s">
        <v>1488</v>
      </c>
      <c r="H192" s="112" t="s">
        <v>1464</v>
      </c>
      <c r="I192" s="112">
        <v>199.12385499999999</v>
      </c>
    </row>
    <row r="193" spans="1:9">
      <c r="A193" s="112" t="s">
        <v>1489</v>
      </c>
      <c r="B193" s="112" t="s">
        <v>1499</v>
      </c>
      <c r="C193" s="112">
        <v>0</v>
      </c>
      <c r="D193" s="112" t="s">
        <v>1498</v>
      </c>
      <c r="E193" s="112" t="s">
        <v>1464</v>
      </c>
      <c r="F193" s="112" t="s">
        <v>1498</v>
      </c>
      <c r="G193" s="112" t="s">
        <v>1489</v>
      </c>
      <c r="H193" s="112" t="s">
        <v>1464</v>
      </c>
      <c r="I193" s="112">
        <v>0</v>
      </c>
    </row>
    <row r="194" spans="1:9">
      <c r="A194" s="112" t="s">
        <v>1490</v>
      </c>
      <c r="B194" s="112" t="s">
        <v>1499</v>
      </c>
      <c r="C194" s="112">
        <v>0</v>
      </c>
      <c r="D194" s="112" t="s">
        <v>1498</v>
      </c>
      <c r="E194" s="112" t="s">
        <v>1464</v>
      </c>
      <c r="F194" s="112" t="s">
        <v>1498</v>
      </c>
      <c r="G194" s="112" t="s">
        <v>1490</v>
      </c>
      <c r="H194" s="112" t="s">
        <v>1464</v>
      </c>
      <c r="I194" s="112">
        <v>0</v>
      </c>
    </row>
    <row r="195" spans="1:9">
      <c r="A195" s="112" t="s">
        <v>1461</v>
      </c>
      <c r="B195" s="112" t="s">
        <v>1500</v>
      </c>
      <c r="C195" s="112">
        <v>2.0090675920000001</v>
      </c>
      <c r="D195" s="112" t="s">
        <v>1495</v>
      </c>
      <c r="E195" s="112" t="s">
        <v>1464</v>
      </c>
      <c r="F195" s="112" t="s">
        <v>1495</v>
      </c>
      <c r="G195" s="112" t="s">
        <v>1461</v>
      </c>
      <c r="H195" s="112" t="s">
        <v>1464</v>
      </c>
      <c r="I195" s="112">
        <v>936.22549779999997</v>
      </c>
    </row>
    <row r="196" spans="1:9">
      <c r="A196" s="112" t="s">
        <v>1465</v>
      </c>
      <c r="B196" s="112" t="s">
        <v>1500</v>
      </c>
      <c r="C196" s="112">
        <v>0</v>
      </c>
      <c r="D196" s="112" t="s">
        <v>1495</v>
      </c>
      <c r="E196" s="112" t="s">
        <v>1464</v>
      </c>
      <c r="F196" s="112" t="s">
        <v>1495</v>
      </c>
      <c r="G196" s="112" t="s">
        <v>1465</v>
      </c>
      <c r="H196" s="112" t="s">
        <v>1464</v>
      </c>
      <c r="I196" s="112">
        <v>2864.231053</v>
      </c>
    </row>
    <row r="197" spans="1:9">
      <c r="A197" s="112" t="s">
        <v>1466</v>
      </c>
      <c r="B197" s="112" t="s">
        <v>1500</v>
      </c>
      <c r="C197" s="112">
        <v>0</v>
      </c>
      <c r="D197" s="112" t="s">
        <v>1495</v>
      </c>
      <c r="E197" s="112" t="s">
        <v>1464</v>
      </c>
      <c r="F197" s="112" t="s">
        <v>1495</v>
      </c>
      <c r="G197" s="112" t="s">
        <v>1466</v>
      </c>
      <c r="H197" s="112" t="s">
        <v>1464</v>
      </c>
      <c r="I197" s="112">
        <v>1626.6775110000001</v>
      </c>
    </row>
    <row r="198" spans="1:9">
      <c r="A198" s="112" t="s">
        <v>1467</v>
      </c>
      <c r="B198" s="112" t="s">
        <v>1500</v>
      </c>
      <c r="C198" s="112">
        <v>18.667911190000002</v>
      </c>
      <c r="D198" s="112" t="s">
        <v>1495</v>
      </c>
      <c r="E198" s="112" t="s">
        <v>1464</v>
      </c>
      <c r="F198" s="112" t="s">
        <v>1495</v>
      </c>
      <c r="G198" s="112" t="s">
        <v>1467</v>
      </c>
      <c r="H198" s="112" t="s">
        <v>1464</v>
      </c>
      <c r="I198" s="112">
        <v>2276.1517439999998</v>
      </c>
    </row>
    <row r="199" spans="1:9">
      <c r="A199" s="112" t="s">
        <v>1468</v>
      </c>
      <c r="B199" s="112" t="s">
        <v>1500</v>
      </c>
      <c r="C199" s="112">
        <v>396.82825989999998</v>
      </c>
      <c r="D199" s="112" t="s">
        <v>1495</v>
      </c>
      <c r="E199" s="112" t="s">
        <v>1464</v>
      </c>
      <c r="F199" s="112" t="s">
        <v>1495</v>
      </c>
      <c r="G199" s="112" t="s">
        <v>1468</v>
      </c>
      <c r="H199" s="112" t="s">
        <v>1464</v>
      </c>
      <c r="I199" s="112">
        <v>3993.5353070000001</v>
      </c>
    </row>
    <row r="200" spans="1:9">
      <c r="A200" s="112" t="s">
        <v>1469</v>
      </c>
      <c r="B200" s="112" t="s">
        <v>1500</v>
      </c>
      <c r="C200" s="112">
        <v>0</v>
      </c>
      <c r="D200" s="112" t="s">
        <v>1495</v>
      </c>
      <c r="E200" s="112" t="s">
        <v>1464</v>
      </c>
      <c r="F200" s="112" t="s">
        <v>1495</v>
      </c>
      <c r="G200" s="112" t="s">
        <v>1469</v>
      </c>
      <c r="H200" s="112" t="s">
        <v>1464</v>
      </c>
      <c r="I200" s="112">
        <v>8682.0244600000005</v>
      </c>
    </row>
    <row r="201" spans="1:9">
      <c r="A201" s="112" t="s">
        <v>1470</v>
      </c>
      <c r="B201" s="112" t="s">
        <v>1500</v>
      </c>
      <c r="C201" s="112">
        <v>0</v>
      </c>
      <c r="D201" s="112" t="s">
        <v>1495</v>
      </c>
      <c r="E201" s="112" t="s">
        <v>1464</v>
      </c>
      <c r="F201" s="112" t="s">
        <v>1495</v>
      </c>
      <c r="G201" s="112" t="s">
        <v>1470</v>
      </c>
      <c r="H201" s="112" t="s">
        <v>1464</v>
      </c>
      <c r="I201" s="112">
        <v>0</v>
      </c>
    </row>
    <row r="202" spans="1:9">
      <c r="A202" s="112" t="s">
        <v>1471</v>
      </c>
      <c r="B202" s="112" t="s">
        <v>1500</v>
      </c>
      <c r="C202" s="112">
        <v>44.375167040000001</v>
      </c>
      <c r="D202" s="112" t="s">
        <v>1495</v>
      </c>
      <c r="E202" s="112" t="s">
        <v>1464</v>
      </c>
      <c r="F202" s="112" t="s">
        <v>1495</v>
      </c>
      <c r="G202" s="112" t="s">
        <v>1471</v>
      </c>
      <c r="H202" s="112" t="s">
        <v>1464</v>
      </c>
      <c r="I202" s="112">
        <v>3334.258241</v>
      </c>
    </row>
    <row r="203" spans="1:9">
      <c r="A203" s="112" t="s">
        <v>1472</v>
      </c>
      <c r="B203" s="112" t="s">
        <v>1500</v>
      </c>
      <c r="C203" s="112">
        <v>677.29700439999999</v>
      </c>
      <c r="D203" s="112" t="s">
        <v>1495</v>
      </c>
      <c r="E203" s="112" t="s">
        <v>1464</v>
      </c>
      <c r="F203" s="112" t="s">
        <v>1495</v>
      </c>
      <c r="G203" s="112" t="s">
        <v>1472</v>
      </c>
      <c r="H203" s="112" t="s">
        <v>1464</v>
      </c>
      <c r="I203" s="112">
        <v>677.29700439999999</v>
      </c>
    </row>
    <row r="204" spans="1:9">
      <c r="A204" s="112" t="s">
        <v>1473</v>
      </c>
      <c r="B204" s="112" t="s">
        <v>1500</v>
      </c>
      <c r="C204" s="112">
        <v>135.0921161</v>
      </c>
      <c r="D204" s="112" t="s">
        <v>1495</v>
      </c>
      <c r="E204" s="112" t="s">
        <v>1464</v>
      </c>
      <c r="F204" s="112" t="s">
        <v>1495</v>
      </c>
      <c r="G204" s="112" t="s">
        <v>1473</v>
      </c>
      <c r="H204" s="112" t="s">
        <v>1464</v>
      </c>
      <c r="I204" s="112">
        <v>1450.782876</v>
      </c>
    </row>
    <row r="205" spans="1:9">
      <c r="A205" s="112" t="s">
        <v>1474</v>
      </c>
      <c r="B205" s="112" t="s">
        <v>1500</v>
      </c>
      <c r="C205" s="112">
        <v>0</v>
      </c>
      <c r="D205" s="112" t="s">
        <v>1495</v>
      </c>
      <c r="E205" s="112" t="s">
        <v>1464</v>
      </c>
      <c r="F205" s="112" t="s">
        <v>1495</v>
      </c>
      <c r="G205" s="112" t="s">
        <v>1474</v>
      </c>
      <c r="H205" s="112" t="s">
        <v>1464</v>
      </c>
      <c r="I205" s="112">
        <v>0</v>
      </c>
    </row>
    <row r="206" spans="1:9">
      <c r="A206" s="112" t="s">
        <v>1475</v>
      </c>
      <c r="B206" s="112" t="s">
        <v>1500</v>
      </c>
      <c r="C206" s="112">
        <v>0</v>
      </c>
      <c r="D206" s="112" t="s">
        <v>1495</v>
      </c>
      <c r="E206" s="112" t="s">
        <v>1464</v>
      </c>
      <c r="F206" s="112" t="s">
        <v>1495</v>
      </c>
      <c r="G206" s="112" t="s">
        <v>1475</v>
      </c>
      <c r="H206" s="112" t="s">
        <v>1464</v>
      </c>
      <c r="I206" s="112">
        <v>0</v>
      </c>
    </row>
    <row r="207" spans="1:9">
      <c r="A207" s="112" t="s">
        <v>1476</v>
      </c>
      <c r="B207" s="112" t="s">
        <v>1500</v>
      </c>
      <c r="C207" s="112">
        <v>201.03018489999999</v>
      </c>
      <c r="D207" s="112" t="s">
        <v>1495</v>
      </c>
      <c r="E207" s="112" t="s">
        <v>1464</v>
      </c>
      <c r="F207" s="112" t="s">
        <v>1495</v>
      </c>
      <c r="G207" s="112" t="s">
        <v>1476</v>
      </c>
      <c r="H207" s="112" t="s">
        <v>1464</v>
      </c>
      <c r="I207" s="112">
        <v>201.03018489999999</v>
      </c>
    </row>
    <row r="208" spans="1:9">
      <c r="A208" s="112" t="s">
        <v>1477</v>
      </c>
      <c r="B208" s="112" t="s">
        <v>1500</v>
      </c>
      <c r="C208" s="112">
        <v>0</v>
      </c>
      <c r="D208" s="112" t="s">
        <v>1495</v>
      </c>
      <c r="E208" s="112" t="s">
        <v>1464</v>
      </c>
      <c r="F208" s="112" t="s">
        <v>1495</v>
      </c>
      <c r="G208" s="112" t="s">
        <v>1477</v>
      </c>
      <c r="H208" s="112" t="s">
        <v>1464</v>
      </c>
      <c r="I208" s="112">
        <v>0</v>
      </c>
    </row>
    <row r="209" spans="1:9">
      <c r="A209" s="112" t="s">
        <v>1478</v>
      </c>
      <c r="B209" s="112" t="s">
        <v>1500</v>
      </c>
      <c r="C209" s="112">
        <v>0</v>
      </c>
      <c r="D209" s="112" t="s">
        <v>1495</v>
      </c>
      <c r="E209" s="112" t="s">
        <v>1464</v>
      </c>
      <c r="F209" s="112" t="s">
        <v>1495</v>
      </c>
      <c r="G209" s="112" t="s">
        <v>1478</v>
      </c>
      <c r="H209" s="112" t="s">
        <v>1464</v>
      </c>
      <c r="I209" s="112">
        <v>1528.4265539999999</v>
      </c>
    </row>
    <row r="210" spans="1:9">
      <c r="A210" s="112" t="s">
        <v>1479</v>
      </c>
      <c r="B210" s="112" t="s">
        <v>1500</v>
      </c>
      <c r="C210" s="112">
        <v>0</v>
      </c>
      <c r="D210" s="112" t="s">
        <v>1495</v>
      </c>
      <c r="E210" s="112" t="s">
        <v>1464</v>
      </c>
      <c r="F210" s="112" t="s">
        <v>1495</v>
      </c>
      <c r="G210" s="112" t="s">
        <v>1479</v>
      </c>
      <c r="H210" s="112" t="s">
        <v>1464</v>
      </c>
      <c r="I210" s="112">
        <v>0</v>
      </c>
    </row>
    <row r="211" spans="1:9">
      <c r="A211" s="112" t="s">
        <v>1480</v>
      </c>
      <c r="B211" s="112" t="s">
        <v>1500</v>
      </c>
      <c r="C211" s="112">
        <v>0</v>
      </c>
      <c r="D211" s="112" t="s">
        <v>1495</v>
      </c>
      <c r="E211" s="112" t="s">
        <v>1464</v>
      </c>
      <c r="F211" s="112" t="s">
        <v>1495</v>
      </c>
      <c r="G211" s="112" t="s">
        <v>1480</v>
      </c>
      <c r="H211" s="112" t="s">
        <v>1464</v>
      </c>
      <c r="I211" s="112">
        <v>0</v>
      </c>
    </row>
    <row r="212" spans="1:9">
      <c r="A212" s="112" t="s">
        <v>1481</v>
      </c>
      <c r="B212" s="112" t="s">
        <v>1500</v>
      </c>
      <c r="C212" s="112">
        <v>333.87495269999999</v>
      </c>
      <c r="D212" s="112" t="s">
        <v>1495</v>
      </c>
      <c r="E212" s="112" t="s">
        <v>1464</v>
      </c>
      <c r="F212" s="112" t="s">
        <v>1495</v>
      </c>
      <c r="G212" s="112" t="s">
        <v>1481</v>
      </c>
      <c r="H212" s="112" t="s">
        <v>1464</v>
      </c>
      <c r="I212" s="112">
        <v>5097.157612</v>
      </c>
    </row>
    <row r="213" spans="1:9">
      <c r="A213" s="112" t="s">
        <v>1482</v>
      </c>
      <c r="B213" s="112" t="s">
        <v>1500</v>
      </c>
      <c r="C213" s="112">
        <v>0</v>
      </c>
      <c r="D213" s="112" t="s">
        <v>1495</v>
      </c>
      <c r="E213" s="112" t="s">
        <v>1464</v>
      </c>
      <c r="F213" s="112" t="s">
        <v>1495</v>
      </c>
      <c r="G213" s="112" t="s">
        <v>1482</v>
      </c>
      <c r="H213" s="112" t="s">
        <v>1464</v>
      </c>
      <c r="I213" s="112">
        <v>3048.7804879999999</v>
      </c>
    </row>
    <row r="214" spans="1:9">
      <c r="A214" s="112" t="s">
        <v>1483</v>
      </c>
      <c r="B214" s="112" t="s">
        <v>1500</v>
      </c>
      <c r="C214" s="112">
        <v>0</v>
      </c>
      <c r="D214" s="112" t="s">
        <v>1495</v>
      </c>
      <c r="E214" s="112" t="s">
        <v>1464</v>
      </c>
      <c r="F214" s="112" t="s">
        <v>1495</v>
      </c>
      <c r="G214" s="112" t="s">
        <v>1483</v>
      </c>
      <c r="H214" s="112" t="s">
        <v>1464</v>
      </c>
      <c r="I214" s="112">
        <v>5691.3653860000004</v>
      </c>
    </row>
    <row r="215" spans="1:9">
      <c r="A215" s="112" t="s">
        <v>1484</v>
      </c>
      <c r="B215" s="112" t="s">
        <v>1500</v>
      </c>
      <c r="C215" s="112">
        <v>0</v>
      </c>
      <c r="D215" s="112" t="s">
        <v>1495</v>
      </c>
      <c r="E215" s="112" t="s">
        <v>1464</v>
      </c>
      <c r="F215" s="112" t="s">
        <v>1495</v>
      </c>
      <c r="G215" s="112" t="s">
        <v>1484</v>
      </c>
      <c r="H215" s="112" t="s">
        <v>1464</v>
      </c>
      <c r="I215" s="112">
        <v>6666.6666670000004</v>
      </c>
    </row>
    <row r="216" spans="1:9">
      <c r="A216" s="112" t="s">
        <v>1485</v>
      </c>
      <c r="B216" s="112" t="s">
        <v>1500</v>
      </c>
      <c r="C216" s="112">
        <v>11.57460994</v>
      </c>
      <c r="D216" s="112" t="s">
        <v>1495</v>
      </c>
      <c r="E216" s="112" t="s">
        <v>1464</v>
      </c>
      <c r="F216" s="112" t="s">
        <v>1495</v>
      </c>
      <c r="G216" s="112" t="s">
        <v>1485</v>
      </c>
      <c r="H216" s="112" t="s">
        <v>1464</v>
      </c>
      <c r="I216" s="112">
        <v>27946.895690000001</v>
      </c>
    </row>
    <row r="217" spans="1:9">
      <c r="A217" s="112" t="s">
        <v>1486</v>
      </c>
      <c r="B217" s="112" t="s">
        <v>1500</v>
      </c>
      <c r="C217" s="112">
        <v>184.70631700000001</v>
      </c>
      <c r="D217" s="112" t="s">
        <v>1495</v>
      </c>
      <c r="E217" s="112" t="s">
        <v>1464</v>
      </c>
      <c r="F217" s="112" t="s">
        <v>1495</v>
      </c>
      <c r="G217" s="112" t="s">
        <v>1486</v>
      </c>
      <c r="H217" s="112" t="s">
        <v>1464</v>
      </c>
      <c r="I217" s="112">
        <v>5836.7196160000003</v>
      </c>
    </row>
    <row r="218" spans="1:9">
      <c r="A218" s="112" t="s">
        <v>1487</v>
      </c>
      <c r="B218" s="112" t="s">
        <v>1500</v>
      </c>
      <c r="C218" s="112">
        <v>68.956006070000001</v>
      </c>
      <c r="D218" s="112" t="s">
        <v>1495</v>
      </c>
      <c r="E218" s="112" t="s">
        <v>1464</v>
      </c>
      <c r="F218" s="112" t="s">
        <v>1495</v>
      </c>
      <c r="G218" s="112" t="s">
        <v>1487</v>
      </c>
      <c r="H218" s="112" t="s">
        <v>1464</v>
      </c>
      <c r="I218" s="112">
        <v>574.63338390000001</v>
      </c>
    </row>
    <row r="219" spans="1:9">
      <c r="A219" s="112" t="s">
        <v>1488</v>
      </c>
      <c r="B219" s="112" t="s">
        <v>1500</v>
      </c>
      <c r="C219" s="112">
        <v>0</v>
      </c>
      <c r="D219" s="112" t="s">
        <v>1495</v>
      </c>
      <c r="E219" s="112" t="s">
        <v>1464</v>
      </c>
      <c r="F219" s="112" t="s">
        <v>1495</v>
      </c>
      <c r="G219" s="112" t="s">
        <v>1488</v>
      </c>
      <c r="H219" s="112" t="s">
        <v>1464</v>
      </c>
      <c r="I219" s="112">
        <v>119.474313</v>
      </c>
    </row>
    <row r="220" spans="1:9">
      <c r="A220" s="112" t="s">
        <v>1489</v>
      </c>
      <c r="B220" s="112" t="s">
        <v>1500</v>
      </c>
      <c r="C220" s="112">
        <v>40.774244660000001</v>
      </c>
      <c r="D220" s="112" t="s">
        <v>1495</v>
      </c>
      <c r="E220" s="112" t="s">
        <v>1464</v>
      </c>
      <c r="F220" s="112" t="s">
        <v>1495</v>
      </c>
      <c r="G220" s="112" t="s">
        <v>1489</v>
      </c>
      <c r="H220" s="112" t="s">
        <v>1464</v>
      </c>
      <c r="I220" s="112">
        <v>2498.8787090000001</v>
      </c>
    </row>
    <row r="221" spans="1:9">
      <c r="A221" s="112" t="s">
        <v>1490</v>
      </c>
      <c r="B221" s="112" t="s">
        <v>1500</v>
      </c>
      <c r="C221" s="112">
        <v>0</v>
      </c>
      <c r="D221" s="112" t="s">
        <v>1495</v>
      </c>
      <c r="E221" s="112" t="s">
        <v>1464</v>
      </c>
      <c r="F221" s="112" t="s">
        <v>1495</v>
      </c>
      <c r="G221" s="112" t="s">
        <v>1490</v>
      </c>
      <c r="H221" s="112" t="s">
        <v>1464</v>
      </c>
      <c r="I221" s="112">
        <v>8406.8936529999992</v>
      </c>
    </row>
    <row r="222" spans="1:9">
      <c r="A222" s="112" t="s">
        <v>1461</v>
      </c>
      <c r="B222" s="112" t="s">
        <v>1501</v>
      </c>
      <c r="C222" s="112">
        <v>6198.6432100000002</v>
      </c>
      <c r="D222" s="112" t="s">
        <v>1502</v>
      </c>
      <c r="E222" s="112" t="s">
        <v>1464</v>
      </c>
      <c r="F222" s="112" t="s">
        <v>1502</v>
      </c>
      <c r="G222" s="112" t="s">
        <v>1461</v>
      </c>
      <c r="H222" s="112" t="s">
        <v>1464</v>
      </c>
      <c r="I222" s="112">
        <v>6198.6432100000002</v>
      </c>
    </row>
    <row r="223" spans="1:9">
      <c r="A223" s="112" t="s">
        <v>1465</v>
      </c>
      <c r="B223" s="112" t="s">
        <v>1501</v>
      </c>
      <c r="C223" s="112">
        <v>2151.225539</v>
      </c>
      <c r="D223" s="112" t="s">
        <v>1502</v>
      </c>
      <c r="E223" s="112" t="s">
        <v>1464</v>
      </c>
      <c r="F223" s="112" t="s">
        <v>1502</v>
      </c>
      <c r="G223" s="112" t="s">
        <v>1465</v>
      </c>
      <c r="H223" s="112" t="s">
        <v>1464</v>
      </c>
      <c r="I223" s="112">
        <v>2151.225539</v>
      </c>
    </row>
    <row r="224" spans="1:9">
      <c r="A224" s="112" t="s">
        <v>1466</v>
      </c>
      <c r="B224" s="112" t="s">
        <v>1501</v>
      </c>
      <c r="C224" s="112">
        <v>1220.008133</v>
      </c>
      <c r="D224" s="112" t="s">
        <v>1502</v>
      </c>
      <c r="E224" s="112" t="s">
        <v>1464</v>
      </c>
      <c r="F224" s="112" t="s">
        <v>1502</v>
      </c>
      <c r="G224" s="112" t="s">
        <v>1466</v>
      </c>
      <c r="H224" s="112" t="s">
        <v>1464</v>
      </c>
      <c r="I224" s="112">
        <v>1220.008133</v>
      </c>
    </row>
    <row r="225" spans="1:9">
      <c r="A225" s="112" t="s">
        <v>1467</v>
      </c>
      <c r="B225" s="112" t="s">
        <v>1501</v>
      </c>
      <c r="C225" s="112">
        <v>1772.1181409999999</v>
      </c>
      <c r="D225" s="112" t="s">
        <v>1502</v>
      </c>
      <c r="E225" s="112" t="s">
        <v>1464</v>
      </c>
      <c r="F225" s="112" t="s">
        <v>1502</v>
      </c>
      <c r="G225" s="112" t="s">
        <v>1467</v>
      </c>
      <c r="H225" s="112" t="s">
        <v>1464</v>
      </c>
      <c r="I225" s="112">
        <v>1772.1181409999999</v>
      </c>
    </row>
    <row r="226" spans="1:9">
      <c r="A226" s="112" t="s">
        <v>1468</v>
      </c>
      <c r="B226" s="112" t="s">
        <v>1501</v>
      </c>
      <c r="C226" s="112">
        <v>6396.150044</v>
      </c>
      <c r="D226" s="112" t="s">
        <v>1502</v>
      </c>
      <c r="E226" s="112" t="s">
        <v>1464</v>
      </c>
      <c r="F226" s="112" t="s">
        <v>1502</v>
      </c>
      <c r="G226" s="112" t="s">
        <v>1468</v>
      </c>
      <c r="H226" s="112" t="s">
        <v>1464</v>
      </c>
      <c r="I226" s="112">
        <v>6396.150044</v>
      </c>
    </row>
    <row r="227" spans="1:9">
      <c r="A227" s="112" t="s">
        <v>1469</v>
      </c>
      <c r="B227" s="112" t="s">
        <v>1501</v>
      </c>
      <c r="C227" s="112">
        <v>336.51257600000002</v>
      </c>
      <c r="D227" s="112" t="s">
        <v>1502</v>
      </c>
      <c r="E227" s="112" t="s">
        <v>1464</v>
      </c>
      <c r="F227" s="112" t="s">
        <v>1502</v>
      </c>
      <c r="G227" s="112" t="s">
        <v>1469</v>
      </c>
      <c r="H227" s="112" t="s">
        <v>1464</v>
      </c>
      <c r="I227" s="112">
        <v>336.51257600000002</v>
      </c>
    </row>
    <row r="228" spans="1:9">
      <c r="A228" s="112" t="s">
        <v>1470</v>
      </c>
      <c r="B228" s="112" t="s">
        <v>1501</v>
      </c>
      <c r="C228" s="112">
        <v>3230.410938</v>
      </c>
      <c r="D228" s="112" t="s">
        <v>1502</v>
      </c>
      <c r="E228" s="112" t="s">
        <v>1464</v>
      </c>
      <c r="F228" s="112" t="s">
        <v>1502</v>
      </c>
      <c r="G228" s="112" t="s">
        <v>1470</v>
      </c>
      <c r="H228" s="112" t="s">
        <v>1464</v>
      </c>
      <c r="I228" s="112">
        <v>3230.410938</v>
      </c>
    </row>
    <row r="229" spans="1:9">
      <c r="A229" s="112" t="s">
        <v>1471</v>
      </c>
      <c r="B229" s="112" t="s">
        <v>1501</v>
      </c>
      <c r="C229" s="112">
        <v>3797.3921679999999</v>
      </c>
      <c r="D229" s="112" t="s">
        <v>1502</v>
      </c>
      <c r="E229" s="112" t="s">
        <v>1464</v>
      </c>
      <c r="F229" s="112" t="s">
        <v>1502</v>
      </c>
      <c r="G229" s="112" t="s">
        <v>1471</v>
      </c>
      <c r="H229" s="112" t="s">
        <v>1464</v>
      </c>
      <c r="I229" s="112">
        <v>3797.3921679999999</v>
      </c>
    </row>
    <row r="230" spans="1:9">
      <c r="A230" s="112" t="s">
        <v>1472</v>
      </c>
      <c r="B230" s="112" t="s">
        <v>1501</v>
      </c>
      <c r="C230" s="112">
        <v>561.18894650000004</v>
      </c>
      <c r="D230" s="112" t="s">
        <v>1502</v>
      </c>
      <c r="E230" s="112" t="s">
        <v>1464</v>
      </c>
      <c r="F230" s="112" t="s">
        <v>1502</v>
      </c>
      <c r="G230" s="112" t="s">
        <v>1472</v>
      </c>
      <c r="H230" s="112" t="s">
        <v>1464</v>
      </c>
      <c r="I230" s="112">
        <v>561.18894650000004</v>
      </c>
    </row>
    <row r="231" spans="1:9">
      <c r="A231" s="112" t="s">
        <v>1473</v>
      </c>
      <c r="B231" s="112" t="s">
        <v>1501</v>
      </c>
      <c r="C231" s="112">
        <v>784.70017150000001</v>
      </c>
      <c r="D231" s="112" t="s">
        <v>1502</v>
      </c>
      <c r="E231" s="112" t="s">
        <v>1464</v>
      </c>
      <c r="F231" s="112" t="s">
        <v>1502</v>
      </c>
      <c r="G231" s="112" t="s">
        <v>1473</v>
      </c>
      <c r="H231" s="112" t="s">
        <v>1464</v>
      </c>
      <c r="I231" s="112">
        <v>784.70017150000001</v>
      </c>
    </row>
    <row r="232" spans="1:9">
      <c r="A232" s="112" t="s">
        <v>1474</v>
      </c>
      <c r="B232" s="112" t="s">
        <v>1501</v>
      </c>
      <c r="C232" s="112">
        <v>9695.2602179999994</v>
      </c>
      <c r="D232" s="112" t="s">
        <v>1502</v>
      </c>
      <c r="E232" s="112" t="s">
        <v>1464</v>
      </c>
      <c r="F232" s="112" t="s">
        <v>1502</v>
      </c>
      <c r="G232" s="112" t="s">
        <v>1474</v>
      </c>
      <c r="H232" s="112" t="s">
        <v>1464</v>
      </c>
      <c r="I232" s="112">
        <v>9695.2602179999994</v>
      </c>
    </row>
    <row r="233" spans="1:9">
      <c r="A233" s="112" t="s">
        <v>1475</v>
      </c>
      <c r="B233" s="112" t="s">
        <v>1501</v>
      </c>
      <c r="C233" s="112">
        <v>804.43710569999996</v>
      </c>
      <c r="D233" s="112" t="s">
        <v>1502</v>
      </c>
      <c r="E233" s="112" t="s">
        <v>1464</v>
      </c>
      <c r="F233" s="112" t="s">
        <v>1502</v>
      </c>
      <c r="G233" s="112" t="s">
        <v>1475</v>
      </c>
      <c r="H233" s="112" t="s">
        <v>1464</v>
      </c>
      <c r="I233" s="112">
        <v>804.43710569999996</v>
      </c>
    </row>
    <row r="234" spans="1:9">
      <c r="A234" s="112" t="s">
        <v>1476</v>
      </c>
      <c r="B234" s="112" t="s">
        <v>1501</v>
      </c>
      <c r="C234" s="112">
        <v>379.30223560000002</v>
      </c>
      <c r="D234" s="112" t="s">
        <v>1502</v>
      </c>
      <c r="E234" s="112" t="s">
        <v>1464</v>
      </c>
      <c r="F234" s="112" t="s">
        <v>1502</v>
      </c>
      <c r="G234" s="112" t="s">
        <v>1476</v>
      </c>
      <c r="H234" s="112" t="s">
        <v>1464</v>
      </c>
      <c r="I234" s="112">
        <v>379.30223560000002</v>
      </c>
    </row>
    <row r="235" spans="1:9">
      <c r="A235" s="112" t="s">
        <v>1477</v>
      </c>
      <c r="B235" s="112" t="s">
        <v>1501</v>
      </c>
      <c r="C235" s="112">
        <v>337.65194339999999</v>
      </c>
      <c r="D235" s="112" t="s">
        <v>1502</v>
      </c>
      <c r="E235" s="112" t="s">
        <v>1464</v>
      </c>
      <c r="F235" s="112" t="s">
        <v>1502</v>
      </c>
      <c r="G235" s="112" t="s">
        <v>1477</v>
      </c>
      <c r="H235" s="112" t="s">
        <v>1464</v>
      </c>
      <c r="I235" s="112">
        <v>337.65194339999999</v>
      </c>
    </row>
    <row r="236" spans="1:9">
      <c r="A236" s="112" t="s">
        <v>1478</v>
      </c>
      <c r="B236" s="112" t="s">
        <v>1501</v>
      </c>
      <c r="C236" s="112">
        <v>1460.467991</v>
      </c>
      <c r="D236" s="112" t="s">
        <v>1502</v>
      </c>
      <c r="E236" s="112" t="s">
        <v>1464</v>
      </c>
      <c r="F236" s="112" t="s">
        <v>1502</v>
      </c>
      <c r="G236" s="112" t="s">
        <v>1478</v>
      </c>
      <c r="H236" s="112" t="s">
        <v>1464</v>
      </c>
      <c r="I236" s="112">
        <v>1460.467991</v>
      </c>
    </row>
    <row r="237" spans="1:9">
      <c r="A237" s="112" t="s">
        <v>1479</v>
      </c>
      <c r="B237" s="112" t="s">
        <v>1501</v>
      </c>
      <c r="C237" s="112">
        <v>0</v>
      </c>
      <c r="D237" s="112" t="s">
        <v>1502</v>
      </c>
      <c r="E237" s="112" t="s">
        <v>1464</v>
      </c>
      <c r="F237" s="112" t="s">
        <v>1502</v>
      </c>
      <c r="G237" s="112" t="s">
        <v>1479</v>
      </c>
      <c r="H237" s="112" t="s">
        <v>1464</v>
      </c>
      <c r="I237" s="112">
        <v>0</v>
      </c>
    </row>
    <row r="238" spans="1:9">
      <c r="A238" s="112" t="s">
        <v>1480</v>
      </c>
      <c r="B238" s="112" t="s">
        <v>1501</v>
      </c>
      <c r="C238" s="112">
        <v>4781.8290500000003</v>
      </c>
      <c r="D238" s="112" t="s">
        <v>1502</v>
      </c>
      <c r="E238" s="112" t="s">
        <v>1464</v>
      </c>
      <c r="F238" s="112" t="s">
        <v>1502</v>
      </c>
      <c r="G238" s="112" t="s">
        <v>1480</v>
      </c>
      <c r="H238" s="112" t="s">
        <v>1464</v>
      </c>
      <c r="I238" s="112">
        <v>4781.8290500000003</v>
      </c>
    </row>
    <row r="239" spans="1:9">
      <c r="A239" s="112" t="s">
        <v>1481</v>
      </c>
      <c r="B239" s="112" t="s">
        <v>1501</v>
      </c>
      <c r="C239" s="112">
        <v>4540.6993570000004</v>
      </c>
      <c r="D239" s="112" t="s">
        <v>1502</v>
      </c>
      <c r="E239" s="112" t="s">
        <v>1464</v>
      </c>
      <c r="F239" s="112" t="s">
        <v>1502</v>
      </c>
      <c r="G239" s="112" t="s">
        <v>1481</v>
      </c>
      <c r="H239" s="112" t="s">
        <v>1464</v>
      </c>
      <c r="I239" s="112">
        <v>4540.6993570000004</v>
      </c>
    </row>
    <row r="240" spans="1:9">
      <c r="A240" s="112" t="s">
        <v>1482</v>
      </c>
      <c r="B240" s="112" t="s">
        <v>1501</v>
      </c>
      <c r="C240" s="112">
        <v>2201.897019</v>
      </c>
      <c r="D240" s="112" t="s">
        <v>1502</v>
      </c>
      <c r="E240" s="112" t="s">
        <v>1464</v>
      </c>
      <c r="F240" s="112" t="s">
        <v>1502</v>
      </c>
      <c r="G240" s="112" t="s">
        <v>1482</v>
      </c>
      <c r="H240" s="112" t="s">
        <v>1464</v>
      </c>
      <c r="I240" s="112">
        <v>2201.897019</v>
      </c>
    </row>
    <row r="241" spans="1:9">
      <c r="A241" s="112" t="s">
        <v>1483</v>
      </c>
      <c r="B241" s="112" t="s">
        <v>1501</v>
      </c>
      <c r="C241" s="112">
        <v>813.05219799999998</v>
      </c>
      <c r="D241" s="112" t="s">
        <v>1502</v>
      </c>
      <c r="E241" s="112" t="s">
        <v>1464</v>
      </c>
      <c r="F241" s="112" t="s">
        <v>1502</v>
      </c>
      <c r="G241" s="112" t="s">
        <v>1483</v>
      </c>
      <c r="H241" s="112" t="s">
        <v>1464</v>
      </c>
      <c r="I241" s="112">
        <v>813.05219799999998</v>
      </c>
    </row>
    <row r="242" spans="1:9">
      <c r="A242" s="112" t="s">
        <v>1484</v>
      </c>
      <c r="B242" s="112" t="s">
        <v>1501</v>
      </c>
      <c r="C242" s="112">
        <v>600.60060060000001</v>
      </c>
      <c r="D242" s="112" t="s">
        <v>1502</v>
      </c>
      <c r="E242" s="112" t="s">
        <v>1464</v>
      </c>
      <c r="F242" s="112" t="s">
        <v>1502</v>
      </c>
      <c r="G242" s="112" t="s">
        <v>1484</v>
      </c>
      <c r="H242" s="112" t="s">
        <v>1464</v>
      </c>
      <c r="I242" s="112">
        <v>600.60060060000001</v>
      </c>
    </row>
    <row r="243" spans="1:9">
      <c r="A243" s="112" t="s">
        <v>1485</v>
      </c>
      <c r="B243" s="112" t="s">
        <v>1501</v>
      </c>
      <c r="C243" s="112">
        <v>642.39085139999997</v>
      </c>
      <c r="D243" s="112" t="s">
        <v>1502</v>
      </c>
      <c r="E243" s="112" t="s">
        <v>1464</v>
      </c>
      <c r="F243" s="112" t="s">
        <v>1502</v>
      </c>
      <c r="G243" s="112" t="s">
        <v>1485</v>
      </c>
      <c r="H243" s="112" t="s">
        <v>1464</v>
      </c>
      <c r="I243" s="112">
        <v>642.39085139999997</v>
      </c>
    </row>
    <row r="244" spans="1:9">
      <c r="A244" s="112" t="s">
        <v>1486</v>
      </c>
      <c r="B244" s="112" t="s">
        <v>1501</v>
      </c>
      <c r="C244" s="112">
        <v>3841.8913929999999</v>
      </c>
      <c r="D244" s="112" t="s">
        <v>1502</v>
      </c>
      <c r="E244" s="112" t="s">
        <v>1464</v>
      </c>
      <c r="F244" s="112" t="s">
        <v>1502</v>
      </c>
      <c r="G244" s="112" t="s">
        <v>1486</v>
      </c>
      <c r="H244" s="112" t="s">
        <v>1464</v>
      </c>
      <c r="I244" s="112">
        <v>3841.8913929999999</v>
      </c>
    </row>
    <row r="245" spans="1:9">
      <c r="A245" s="112" t="s">
        <v>1487</v>
      </c>
      <c r="B245" s="112" t="s">
        <v>1501</v>
      </c>
      <c r="C245" s="112">
        <v>4643.0377420000004</v>
      </c>
      <c r="D245" s="112" t="s">
        <v>1502</v>
      </c>
      <c r="E245" s="112" t="s">
        <v>1464</v>
      </c>
      <c r="F245" s="112" t="s">
        <v>1502</v>
      </c>
      <c r="G245" s="112" t="s">
        <v>1487</v>
      </c>
      <c r="H245" s="112" t="s">
        <v>1464</v>
      </c>
      <c r="I245" s="112">
        <v>4643.0377420000004</v>
      </c>
    </row>
    <row r="246" spans="1:9">
      <c r="A246" s="112" t="s">
        <v>1488</v>
      </c>
      <c r="B246" s="112" t="s">
        <v>1501</v>
      </c>
      <c r="C246" s="112">
        <v>2508.9605729999998</v>
      </c>
      <c r="D246" s="112" t="s">
        <v>1502</v>
      </c>
      <c r="E246" s="112" t="s">
        <v>1464</v>
      </c>
      <c r="F246" s="112" t="s">
        <v>1502</v>
      </c>
      <c r="G246" s="112" t="s">
        <v>1488</v>
      </c>
      <c r="H246" s="112" t="s">
        <v>1464</v>
      </c>
      <c r="I246" s="112">
        <v>2508.9605729999998</v>
      </c>
    </row>
    <row r="247" spans="1:9">
      <c r="A247" s="112" t="s">
        <v>1489</v>
      </c>
      <c r="B247" s="112" t="s">
        <v>1501</v>
      </c>
      <c r="C247" s="112">
        <v>2999.8194279999998</v>
      </c>
      <c r="D247" s="112" t="s">
        <v>1502</v>
      </c>
      <c r="E247" s="112" t="s">
        <v>1464</v>
      </c>
      <c r="F247" s="112" t="s">
        <v>1502</v>
      </c>
      <c r="G247" s="112" t="s">
        <v>1489</v>
      </c>
      <c r="H247" s="112" t="s">
        <v>1464</v>
      </c>
      <c r="I247" s="112">
        <v>2999.8194279999998</v>
      </c>
    </row>
    <row r="248" spans="1:9">
      <c r="A248" s="112" t="s">
        <v>1490</v>
      </c>
      <c r="B248" s="112" t="s">
        <v>1501</v>
      </c>
      <c r="C248" s="112">
        <v>0</v>
      </c>
      <c r="D248" s="112" t="s">
        <v>1502</v>
      </c>
      <c r="E248" s="112" t="s">
        <v>1464</v>
      </c>
      <c r="F248" s="112" t="s">
        <v>1502</v>
      </c>
      <c r="G248" s="112" t="s">
        <v>1490</v>
      </c>
      <c r="H248" s="112" t="s">
        <v>1464</v>
      </c>
      <c r="I248" s="112">
        <v>0</v>
      </c>
    </row>
    <row r="249" spans="1:9">
      <c r="A249" s="112" t="s">
        <v>1461</v>
      </c>
      <c r="B249" s="112" t="s">
        <v>1503</v>
      </c>
      <c r="C249" s="112">
        <v>11523.34202</v>
      </c>
      <c r="D249" s="112" t="s">
        <v>1504</v>
      </c>
      <c r="E249" s="112" t="s">
        <v>1464</v>
      </c>
      <c r="F249" s="112" t="s">
        <v>1504</v>
      </c>
      <c r="G249" s="112" t="s">
        <v>1461</v>
      </c>
      <c r="H249" s="112" t="s">
        <v>1464</v>
      </c>
      <c r="I249" s="112">
        <v>21955.760340000001</v>
      </c>
    </row>
    <row r="250" spans="1:9">
      <c r="A250" s="112" t="s">
        <v>1465</v>
      </c>
      <c r="B250" s="112" t="s">
        <v>1503</v>
      </c>
      <c r="C250" s="112">
        <v>0</v>
      </c>
      <c r="D250" s="112" t="s">
        <v>1504</v>
      </c>
      <c r="E250" s="112" t="s">
        <v>1464</v>
      </c>
      <c r="F250" s="112" t="s">
        <v>1504</v>
      </c>
      <c r="G250" s="112" t="s">
        <v>1465</v>
      </c>
      <c r="H250" s="112" t="s">
        <v>1464</v>
      </c>
      <c r="I250" s="112">
        <v>80.579390230000001</v>
      </c>
    </row>
    <row r="251" spans="1:9">
      <c r="A251" s="112" t="s">
        <v>1466</v>
      </c>
      <c r="B251" s="112" t="s">
        <v>1503</v>
      </c>
      <c r="C251" s="112">
        <v>0</v>
      </c>
      <c r="D251" s="112" t="s">
        <v>1504</v>
      </c>
      <c r="E251" s="112" t="s">
        <v>1464</v>
      </c>
      <c r="F251" s="112" t="s">
        <v>1504</v>
      </c>
      <c r="G251" s="112" t="s">
        <v>1466</v>
      </c>
      <c r="H251" s="112" t="s">
        <v>1464</v>
      </c>
      <c r="I251" s="112">
        <v>23.23825016</v>
      </c>
    </row>
    <row r="252" spans="1:9">
      <c r="A252" s="112" t="s">
        <v>1467</v>
      </c>
      <c r="B252" s="112" t="s">
        <v>1503</v>
      </c>
      <c r="C252" s="112">
        <v>294.68631240000002</v>
      </c>
      <c r="D252" s="112" t="s">
        <v>1504</v>
      </c>
      <c r="E252" s="112" t="s">
        <v>1464</v>
      </c>
      <c r="F252" s="112" t="s">
        <v>1504</v>
      </c>
      <c r="G252" s="112" t="s">
        <v>1467</v>
      </c>
      <c r="H252" s="112" t="s">
        <v>1464</v>
      </c>
      <c r="I252" s="112">
        <v>1159.410627</v>
      </c>
    </row>
    <row r="253" spans="1:9">
      <c r="A253" s="112" t="s">
        <v>1468</v>
      </c>
      <c r="B253" s="112" t="s">
        <v>1503</v>
      </c>
      <c r="C253" s="112">
        <v>32.46776672</v>
      </c>
      <c r="D253" s="112" t="s">
        <v>1504</v>
      </c>
      <c r="E253" s="112" t="s">
        <v>1464</v>
      </c>
      <c r="F253" s="112" t="s">
        <v>1504</v>
      </c>
      <c r="G253" s="112" t="s">
        <v>1468</v>
      </c>
      <c r="H253" s="112" t="s">
        <v>1464</v>
      </c>
      <c r="I253" s="112">
        <v>115.4409484</v>
      </c>
    </row>
    <row r="254" spans="1:9">
      <c r="A254" s="112" t="s">
        <v>1469</v>
      </c>
      <c r="B254" s="112" t="s">
        <v>1503</v>
      </c>
      <c r="C254" s="112">
        <v>0</v>
      </c>
      <c r="D254" s="112" t="s">
        <v>1504</v>
      </c>
      <c r="E254" s="112" t="s">
        <v>1464</v>
      </c>
      <c r="F254" s="112" t="s">
        <v>1504</v>
      </c>
      <c r="G254" s="112" t="s">
        <v>1469</v>
      </c>
      <c r="H254" s="112" t="s">
        <v>1464</v>
      </c>
      <c r="I254" s="112">
        <v>0</v>
      </c>
    </row>
    <row r="255" spans="1:9">
      <c r="A255" s="112" t="s">
        <v>1470</v>
      </c>
      <c r="B255" s="112" t="s">
        <v>1503</v>
      </c>
      <c r="C255" s="112">
        <v>0</v>
      </c>
      <c r="D255" s="112" t="s">
        <v>1504</v>
      </c>
      <c r="E255" s="112" t="s">
        <v>1464</v>
      </c>
      <c r="F255" s="112" t="s">
        <v>1504</v>
      </c>
      <c r="G255" s="112" t="s">
        <v>1470</v>
      </c>
      <c r="H255" s="112" t="s">
        <v>1464</v>
      </c>
      <c r="I255" s="112">
        <v>0</v>
      </c>
    </row>
    <row r="256" spans="1:9">
      <c r="A256" s="112" t="s">
        <v>1471</v>
      </c>
      <c r="B256" s="112" t="s">
        <v>1503</v>
      </c>
      <c r="C256" s="112">
        <v>2051.9689309999999</v>
      </c>
      <c r="D256" s="112" t="s">
        <v>1504</v>
      </c>
      <c r="E256" s="112" t="s">
        <v>1464</v>
      </c>
      <c r="F256" s="112" t="s">
        <v>1504</v>
      </c>
      <c r="G256" s="112" t="s">
        <v>1471</v>
      </c>
      <c r="H256" s="112" t="s">
        <v>1464</v>
      </c>
      <c r="I256" s="112">
        <v>5904.4475140000004</v>
      </c>
    </row>
    <row r="257" spans="1:9">
      <c r="A257" s="112" t="s">
        <v>1472</v>
      </c>
      <c r="B257" s="112" t="s">
        <v>1503</v>
      </c>
      <c r="C257" s="112">
        <v>0</v>
      </c>
      <c r="D257" s="112" t="s">
        <v>1504</v>
      </c>
      <c r="E257" s="112" t="s">
        <v>1464</v>
      </c>
      <c r="F257" s="112" t="s">
        <v>1504</v>
      </c>
      <c r="G257" s="112" t="s">
        <v>1472</v>
      </c>
      <c r="H257" s="112" t="s">
        <v>1464</v>
      </c>
      <c r="I257" s="112">
        <v>0</v>
      </c>
    </row>
    <row r="258" spans="1:9">
      <c r="A258" s="112" t="s">
        <v>1473</v>
      </c>
      <c r="B258" s="112" t="s">
        <v>1503</v>
      </c>
      <c r="C258" s="112">
        <v>83.893978290000007</v>
      </c>
      <c r="D258" s="112" t="s">
        <v>1504</v>
      </c>
      <c r="E258" s="112" t="s">
        <v>1464</v>
      </c>
      <c r="F258" s="112" t="s">
        <v>1504</v>
      </c>
      <c r="G258" s="112" t="s">
        <v>1473</v>
      </c>
      <c r="H258" s="112" t="s">
        <v>1464</v>
      </c>
      <c r="I258" s="112">
        <v>779.88450520000004</v>
      </c>
    </row>
    <row r="259" spans="1:9">
      <c r="A259" s="112" t="s">
        <v>1474</v>
      </c>
      <c r="B259" s="112" t="s">
        <v>1503</v>
      </c>
      <c r="C259" s="112">
        <v>0</v>
      </c>
      <c r="D259" s="112" t="s">
        <v>1504</v>
      </c>
      <c r="E259" s="112" t="s">
        <v>1464</v>
      </c>
      <c r="F259" s="112" t="s">
        <v>1504</v>
      </c>
      <c r="G259" s="112" t="s">
        <v>1474</v>
      </c>
      <c r="H259" s="112" t="s">
        <v>1464</v>
      </c>
      <c r="I259" s="112">
        <v>0</v>
      </c>
    </row>
    <row r="260" spans="1:9">
      <c r="A260" s="112" t="s">
        <v>1475</v>
      </c>
      <c r="B260" s="112" t="s">
        <v>1503</v>
      </c>
      <c r="C260" s="112">
        <v>0</v>
      </c>
      <c r="D260" s="112" t="s">
        <v>1504</v>
      </c>
      <c r="E260" s="112" t="s">
        <v>1464</v>
      </c>
      <c r="F260" s="112" t="s">
        <v>1504</v>
      </c>
      <c r="G260" s="112" t="s">
        <v>1475</v>
      </c>
      <c r="H260" s="112" t="s">
        <v>1464</v>
      </c>
      <c r="I260" s="112">
        <v>0</v>
      </c>
    </row>
    <row r="261" spans="1:9">
      <c r="A261" s="112" t="s">
        <v>1476</v>
      </c>
      <c r="B261" s="112" t="s">
        <v>1503</v>
      </c>
      <c r="C261" s="112">
        <v>0</v>
      </c>
      <c r="D261" s="112" t="s">
        <v>1504</v>
      </c>
      <c r="E261" s="112" t="s">
        <v>1464</v>
      </c>
      <c r="F261" s="112" t="s">
        <v>1504</v>
      </c>
      <c r="G261" s="112" t="s">
        <v>1476</v>
      </c>
      <c r="H261" s="112" t="s">
        <v>1464</v>
      </c>
      <c r="I261" s="112">
        <v>0</v>
      </c>
    </row>
    <row r="262" spans="1:9">
      <c r="A262" s="112" t="s">
        <v>1477</v>
      </c>
      <c r="B262" s="112" t="s">
        <v>1503</v>
      </c>
      <c r="C262" s="112">
        <v>0</v>
      </c>
      <c r="D262" s="112" t="s">
        <v>1504</v>
      </c>
      <c r="E262" s="112" t="s">
        <v>1464</v>
      </c>
      <c r="F262" s="112" t="s">
        <v>1504</v>
      </c>
      <c r="G262" s="112" t="s">
        <v>1477</v>
      </c>
      <c r="H262" s="112" t="s">
        <v>1464</v>
      </c>
      <c r="I262" s="112">
        <v>0</v>
      </c>
    </row>
    <row r="263" spans="1:9">
      <c r="A263" s="112" t="s">
        <v>1478</v>
      </c>
      <c r="B263" s="112" t="s">
        <v>1503</v>
      </c>
      <c r="C263" s="112">
        <v>382.74775699999998</v>
      </c>
      <c r="D263" s="112" t="s">
        <v>1504</v>
      </c>
      <c r="E263" s="112" t="s">
        <v>1464</v>
      </c>
      <c r="F263" s="112" t="s">
        <v>1504</v>
      </c>
      <c r="G263" s="112" t="s">
        <v>1478</v>
      </c>
      <c r="H263" s="112" t="s">
        <v>1464</v>
      </c>
      <c r="I263" s="112">
        <v>1163.630116</v>
      </c>
    </row>
    <row r="264" spans="1:9">
      <c r="A264" s="112" t="s">
        <v>1479</v>
      </c>
      <c r="B264" s="112" t="s">
        <v>1503</v>
      </c>
      <c r="C264" s="112">
        <v>0</v>
      </c>
      <c r="D264" s="112" t="s">
        <v>1504</v>
      </c>
      <c r="E264" s="112" t="s">
        <v>1464</v>
      </c>
      <c r="F264" s="112" t="s">
        <v>1504</v>
      </c>
      <c r="G264" s="112" t="s">
        <v>1479</v>
      </c>
      <c r="H264" s="112" t="s">
        <v>1464</v>
      </c>
      <c r="I264" s="112">
        <v>0</v>
      </c>
    </row>
    <row r="265" spans="1:9">
      <c r="A265" s="112" t="s">
        <v>1480</v>
      </c>
      <c r="B265" s="112" t="s">
        <v>1503</v>
      </c>
      <c r="C265" s="112">
        <v>0</v>
      </c>
      <c r="D265" s="112" t="s">
        <v>1504</v>
      </c>
      <c r="E265" s="112" t="s">
        <v>1464</v>
      </c>
      <c r="F265" s="112" t="s">
        <v>1504</v>
      </c>
      <c r="G265" s="112" t="s">
        <v>1480</v>
      </c>
      <c r="H265" s="112" t="s">
        <v>1464</v>
      </c>
      <c r="I265" s="112">
        <v>0</v>
      </c>
    </row>
    <row r="266" spans="1:9">
      <c r="A266" s="112" t="s">
        <v>1481</v>
      </c>
      <c r="B266" s="112" t="s">
        <v>1503</v>
      </c>
      <c r="C266" s="112">
        <v>22.258330180000002</v>
      </c>
      <c r="D266" s="112" t="s">
        <v>1504</v>
      </c>
      <c r="E266" s="112" t="s">
        <v>1464</v>
      </c>
      <c r="F266" s="112" t="s">
        <v>1504</v>
      </c>
      <c r="G266" s="112" t="s">
        <v>1481</v>
      </c>
      <c r="H266" s="112" t="s">
        <v>1464</v>
      </c>
      <c r="I266" s="112">
        <v>22.258330180000002</v>
      </c>
    </row>
    <row r="267" spans="1:9">
      <c r="A267" s="112" t="s">
        <v>1482</v>
      </c>
      <c r="B267" s="112" t="s">
        <v>1503</v>
      </c>
      <c r="C267" s="112">
        <v>0</v>
      </c>
      <c r="D267" s="112" t="s">
        <v>1504</v>
      </c>
      <c r="E267" s="112" t="s">
        <v>1464</v>
      </c>
      <c r="F267" s="112" t="s">
        <v>1504</v>
      </c>
      <c r="G267" s="112" t="s">
        <v>1482</v>
      </c>
      <c r="H267" s="112" t="s">
        <v>1464</v>
      </c>
      <c r="I267" s="112">
        <v>0</v>
      </c>
    </row>
    <row r="268" spans="1:9">
      <c r="A268" s="112" t="s">
        <v>1483</v>
      </c>
      <c r="B268" s="112" t="s">
        <v>1503</v>
      </c>
      <c r="C268" s="112">
        <v>0</v>
      </c>
      <c r="D268" s="112" t="s">
        <v>1504</v>
      </c>
      <c r="E268" s="112" t="s">
        <v>1464</v>
      </c>
      <c r="F268" s="112" t="s">
        <v>1504</v>
      </c>
      <c r="G268" s="112" t="s">
        <v>1483</v>
      </c>
      <c r="H268" s="112" t="s">
        <v>1464</v>
      </c>
      <c r="I268" s="112">
        <v>108.4069597</v>
      </c>
    </row>
    <row r="269" spans="1:9">
      <c r="A269" s="112" t="s">
        <v>1484</v>
      </c>
      <c r="B269" s="112" t="s">
        <v>1503</v>
      </c>
      <c r="C269" s="112">
        <v>0</v>
      </c>
      <c r="D269" s="112" t="s">
        <v>1504</v>
      </c>
      <c r="E269" s="112" t="s">
        <v>1464</v>
      </c>
      <c r="F269" s="112" t="s">
        <v>1504</v>
      </c>
      <c r="G269" s="112" t="s">
        <v>1484</v>
      </c>
      <c r="H269" s="112" t="s">
        <v>1464</v>
      </c>
      <c r="I269" s="112">
        <v>0</v>
      </c>
    </row>
    <row r="270" spans="1:9">
      <c r="A270" s="112" t="s">
        <v>1485</v>
      </c>
      <c r="B270" s="112" t="s">
        <v>1503</v>
      </c>
      <c r="C270" s="112">
        <v>0</v>
      </c>
      <c r="D270" s="112" t="s">
        <v>1504</v>
      </c>
      <c r="E270" s="112" t="s">
        <v>1464</v>
      </c>
      <c r="F270" s="112" t="s">
        <v>1504</v>
      </c>
      <c r="G270" s="112" t="s">
        <v>1485</v>
      </c>
      <c r="H270" s="112" t="s">
        <v>1464</v>
      </c>
      <c r="I270" s="112">
        <v>17.361914899999999</v>
      </c>
    </row>
    <row r="271" spans="1:9">
      <c r="A271" s="112" t="s">
        <v>1486</v>
      </c>
      <c r="B271" s="112" t="s">
        <v>1503</v>
      </c>
      <c r="C271" s="112">
        <v>0</v>
      </c>
      <c r="D271" s="112" t="s">
        <v>1504</v>
      </c>
      <c r="E271" s="112" t="s">
        <v>1464</v>
      </c>
      <c r="F271" s="112" t="s">
        <v>1504</v>
      </c>
      <c r="G271" s="112" t="s">
        <v>1486</v>
      </c>
      <c r="H271" s="112" t="s">
        <v>1464</v>
      </c>
      <c r="I271" s="112">
        <v>0</v>
      </c>
    </row>
    <row r="272" spans="1:9">
      <c r="A272" s="112" t="s">
        <v>1487</v>
      </c>
      <c r="B272" s="112" t="s">
        <v>1503</v>
      </c>
      <c r="C272" s="112">
        <v>0</v>
      </c>
      <c r="D272" s="112" t="s">
        <v>1504</v>
      </c>
      <c r="E272" s="112" t="s">
        <v>1464</v>
      </c>
      <c r="F272" s="112" t="s">
        <v>1504</v>
      </c>
      <c r="G272" s="112" t="s">
        <v>1487</v>
      </c>
      <c r="H272" s="112" t="s">
        <v>1464</v>
      </c>
      <c r="I272" s="112">
        <v>22.985335360000001</v>
      </c>
    </row>
    <row r="273" spans="1:9">
      <c r="A273" s="112" t="s">
        <v>1488</v>
      </c>
      <c r="B273" s="112" t="s">
        <v>1503</v>
      </c>
      <c r="C273" s="112">
        <v>4619.6734370000004</v>
      </c>
      <c r="D273" s="112" t="s">
        <v>1504</v>
      </c>
      <c r="E273" s="112" t="s">
        <v>1464</v>
      </c>
      <c r="F273" s="112" t="s">
        <v>1504</v>
      </c>
      <c r="G273" s="112" t="s">
        <v>1488</v>
      </c>
      <c r="H273" s="112" t="s">
        <v>1464</v>
      </c>
      <c r="I273" s="112">
        <v>14536.04142</v>
      </c>
    </row>
    <row r="274" spans="1:9">
      <c r="A274" s="112" t="s">
        <v>1489</v>
      </c>
      <c r="B274" s="112" t="s">
        <v>1503</v>
      </c>
      <c r="C274" s="112">
        <v>0</v>
      </c>
      <c r="D274" s="112" t="s">
        <v>1504</v>
      </c>
      <c r="E274" s="112" t="s">
        <v>1464</v>
      </c>
      <c r="F274" s="112" t="s">
        <v>1504</v>
      </c>
      <c r="G274" s="112" t="s">
        <v>1489</v>
      </c>
      <c r="H274" s="112" t="s">
        <v>1464</v>
      </c>
      <c r="I274" s="112">
        <v>174.7467628</v>
      </c>
    </row>
    <row r="275" spans="1:9">
      <c r="A275" s="112" t="s">
        <v>1490</v>
      </c>
      <c r="B275" s="112" t="s">
        <v>1503</v>
      </c>
      <c r="C275" s="112">
        <v>0</v>
      </c>
      <c r="D275" s="112" t="s">
        <v>1504</v>
      </c>
      <c r="E275" s="112" t="s">
        <v>1464</v>
      </c>
      <c r="F275" s="112" t="s">
        <v>1504</v>
      </c>
      <c r="G275" s="112" t="s">
        <v>1490</v>
      </c>
      <c r="H275" s="112" t="s">
        <v>1464</v>
      </c>
      <c r="I275" s="112">
        <v>0</v>
      </c>
    </row>
    <row r="276" spans="1:9">
      <c r="A276" s="112" t="s">
        <v>1461</v>
      </c>
      <c r="B276" s="112" t="s">
        <v>1505</v>
      </c>
      <c r="C276" s="112">
        <v>3689.9874770000001</v>
      </c>
      <c r="D276" s="112" t="s">
        <v>1504</v>
      </c>
      <c r="E276" s="112" t="s">
        <v>1464</v>
      </c>
      <c r="F276" s="112" t="s">
        <v>1504</v>
      </c>
      <c r="G276" s="112" t="s">
        <v>1461</v>
      </c>
      <c r="H276" s="112" t="s">
        <v>1464</v>
      </c>
      <c r="I276" s="112">
        <v>21955.760340000001</v>
      </c>
    </row>
    <row r="277" spans="1:9">
      <c r="A277" s="112" t="s">
        <v>1465</v>
      </c>
      <c r="B277" s="112" t="s">
        <v>1505</v>
      </c>
      <c r="C277" s="112">
        <v>0</v>
      </c>
      <c r="D277" s="112" t="s">
        <v>1504</v>
      </c>
      <c r="E277" s="112" t="s">
        <v>1464</v>
      </c>
      <c r="F277" s="112" t="s">
        <v>1504</v>
      </c>
      <c r="G277" s="112" t="s">
        <v>1465</v>
      </c>
      <c r="H277" s="112" t="s">
        <v>1464</v>
      </c>
      <c r="I277" s="112">
        <v>80.579390230000001</v>
      </c>
    </row>
    <row r="278" spans="1:9">
      <c r="A278" s="112" t="s">
        <v>1466</v>
      </c>
      <c r="B278" s="112" t="s">
        <v>1505</v>
      </c>
      <c r="C278" s="112">
        <v>23.23825016</v>
      </c>
      <c r="D278" s="112" t="s">
        <v>1504</v>
      </c>
      <c r="E278" s="112" t="s">
        <v>1464</v>
      </c>
      <c r="F278" s="112" t="s">
        <v>1504</v>
      </c>
      <c r="G278" s="112" t="s">
        <v>1466</v>
      </c>
      <c r="H278" s="112" t="s">
        <v>1464</v>
      </c>
      <c r="I278" s="112">
        <v>23.23825016</v>
      </c>
    </row>
    <row r="279" spans="1:9">
      <c r="A279" s="112" t="s">
        <v>1467</v>
      </c>
      <c r="B279" s="112" t="s">
        <v>1505</v>
      </c>
      <c r="C279" s="112">
        <v>52.003466899999999</v>
      </c>
      <c r="D279" s="112" t="s">
        <v>1504</v>
      </c>
      <c r="E279" s="112" t="s">
        <v>1464</v>
      </c>
      <c r="F279" s="112" t="s">
        <v>1504</v>
      </c>
      <c r="G279" s="112" t="s">
        <v>1467</v>
      </c>
      <c r="H279" s="112" t="s">
        <v>1464</v>
      </c>
      <c r="I279" s="112">
        <v>1159.410627</v>
      </c>
    </row>
    <row r="280" spans="1:9">
      <c r="A280" s="112" t="s">
        <v>1468</v>
      </c>
      <c r="B280" s="112" t="s">
        <v>1505</v>
      </c>
      <c r="C280" s="112">
        <v>3.6075296360000002</v>
      </c>
      <c r="D280" s="112" t="s">
        <v>1504</v>
      </c>
      <c r="E280" s="112" t="s">
        <v>1464</v>
      </c>
      <c r="F280" s="112" t="s">
        <v>1504</v>
      </c>
      <c r="G280" s="112" t="s">
        <v>1468</v>
      </c>
      <c r="H280" s="112" t="s">
        <v>1464</v>
      </c>
      <c r="I280" s="112">
        <v>115.4409484</v>
      </c>
    </row>
    <row r="281" spans="1:9">
      <c r="A281" s="112" t="s">
        <v>1469</v>
      </c>
      <c r="B281" s="112" t="s">
        <v>1505</v>
      </c>
      <c r="C281" s="112">
        <v>0</v>
      </c>
      <c r="D281" s="112" t="s">
        <v>1504</v>
      </c>
      <c r="E281" s="112" t="s">
        <v>1464</v>
      </c>
      <c r="F281" s="112" t="s">
        <v>1504</v>
      </c>
      <c r="G281" s="112" t="s">
        <v>1469</v>
      </c>
      <c r="H281" s="112" t="s">
        <v>1464</v>
      </c>
      <c r="I281" s="112">
        <v>0</v>
      </c>
    </row>
    <row r="282" spans="1:9">
      <c r="A282" s="112" t="s">
        <v>1470</v>
      </c>
      <c r="B282" s="112" t="s">
        <v>1505</v>
      </c>
      <c r="C282" s="112">
        <v>0</v>
      </c>
      <c r="D282" s="112" t="s">
        <v>1504</v>
      </c>
      <c r="E282" s="112" t="s">
        <v>1464</v>
      </c>
      <c r="F282" s="112" t="s">
        <v>1504</v>
      </c>
      <c r="G282" s="112" t="s">
        <v>1470</v>
      </c>
      <c r="H282" s="112" t="s">
        <v>1464</v>
      </c>
      <c r="I282" s="112">
        <v>0</v>
      </c>
    </row>
    <row r="283" spans="1:9">
      <c r="A283" s="112" t="s">
        <v>1471</v>
      </c>
      <c r="B283" s="112" t="s">
        <v>1505</v>
      </c>
      <c r="C283" s="112">
        <v>928.81815159999996</v>
      </c>
      <c r="D283" s="112" t="s">
        <v>1504</v>
      </c>
      <c r="E283" s="112" t="s">
        <v>1464</v>
      </c>
      <c r="F283" s="112" t="s">
        <v>1504</v>
      </c>
      <c r="G283" s="112" t="s">
        <v>1471</v>
      </c>
      <c r="H283" s="112" t="s">
        <v>1464</v>
      </c>
      <c r="I283" s="112">
        <v>5904.4475140000004</v>
      </c>
    </row>
    <row r="284" spans="1:9">
      <c r="A284" s="112" t="s">
        <v>1472</v>
      </c>
      <c r="B284" s="112" t="s">
        <v>1505</v>
      </c>
      <c r="C284" s="112">
        <v>0</v>
      </c>
      <c r="D284" s="112" t="s">
        <v>1504</v>
      </c>
      <c r="E284" s="112" t="s">
        <v>1464</v>
      </c>
      <c r="F284" s="112" t="s">
        <v>1504</v>
      </c>
      <c r="G284" s="112" t="s">
        <v>1472</v>
      </c>
      <c r="H284" s="112" t="s">
        <v>1464</v>
      </c>
      <c r="I284" s="112">
        <v>0</v>
      </c>
    </row>
    <row r="285" spans="1:9">
      <c r="A285" s="112" t="s">
        <v>1473</v>
      </c>
      <c r="B285" s="112" t="s">
        <v>1505</v>
      </c>
      <c r="C285" s="112">
        <v>5.3225786829999997</v>
      </c>
      <c r="D285" s="112" t="s">
        <v>1504</v>
      </c>
      <c r="E285" s="112" t="s">
        <v>1464</v>
      </c>
      <c r="F285" s="112" t="s">
        <v>1504</v>
      </c>
      <c r="G285" s="112" t="s">
        <v>1473</v>
      </c>
      <c r="H285" s="112" t="s">
        <v>1464</v>
      </c>
      <c r="I285" s="112">
        <v>779.88450520000004</v>
      </c>
    </row>
    <row r="286" spans="1:9">
      <c r="A286" s="112" t="s">
        <v>1474</v>
      </c>
      <c r="B286" s="112" t="s">
        <v>1505</v>
      </c>
      <c r="C286" s="112">
        <v>0</v>
      </c>
      <c r="D286" s="112" t="s">
        <v>1504</v>
      </c>
      <c r="E286" s="112" t="s">
        <v>1464</v>
      </c>
      <c r="F286" s="112" t="s">
        <v>1504</v>
      </c>
      <c r="G286" s="112" t="s">
        <v>1474</v>
      </c>
      <c r="H286" s="112" t="s">
        <v>1464</v>
      </c>
      <c r="I286" s="112">
        <v>0</v>
      </c>
    </row>
    <row r="287" spans="1:9">
      <c r="A287" s="112" t="s">
        <v>1475</v>
      </c>
      <c r="B287" s="112" t="s">
        <v>1505</v>
      </c>
      <c r="C287" s="112">
        <v>0</v>
      </c>
      <c r="D287" s="112" t="s">
        <v>1504</v>
      </c>
      <c r="E287" s="112" t="s">
        <v>1464</v>
      </c>
      <c r="F287" s="112" t="s">
        <v>1504</v>
      </c>
      <c r="G287" s="112" t="s">
        <v>1475</v>
      </c>
      <c r="H287" s="112" t="s">
        <v>1464</v>
      </c>
      <c r="I287" s="112">
        <v>0</v>
      </c>
    </row>
    <row r="288" spans="1:9">
      <c r="A288" s="112" t="s">
        <v>1476</v>
      </c>
      <c r="B288" s="112" t="s">
        <v>1505</v>
      </c>
      <c r="C288" s="112">
        <v>0</v>
      </c>
      <c r="D288" s="112" t="s">
        <v>1504</v>
      </c>
      <c r="E288" s="112" t="s">
        <v>1464</v>
      </c>
      <c r="F288" s="112" t="s">
        <v>1504</v>
      </c>
      <c r="G288" s="112" t="s">
        <v>1476</v>
      </c>
      <c r="H288" s="112" t="s">
        <v>1464</v>
      </c>
      <c r="I288" s="112">
        <v>0</v>
      </c>
    </row>
    <row r="289" spans="1:9">
      <c r="A289" s="112" t="s">
        <v>1477</v>
      </c>
      <c r="B289" s="112" t="s">
        <v>1505</v>
      </c>
      <c r="C289" s="112">
        <v>0</v>
      </c>
      <c r="D289" s="112" t="s">
        <v>1504</v>
      </c>
      <c r="E289" s="112" t="s">
        <v>1464</v>
      </c>
      <c r="F289" s="112" t="s">
        <v>1504</v>
      </c>
      <c r="G289" s="112" t="s">
        <v>1477</v>
      </c>
      <c r="H289" s="112" t="s">
        <v>1464</v>
      </c>
      <c r="I289" s="112">
        <v>0</v>
      </c>
    </row>
    <row r="290" spans="1:9">
      <c r="A290" s="112" t="s">
        <v>1478</v>
      </c>
      <c r="B290" s="112" t="s">
        <v>1505</v>
      </c>
      <c r="C290" s="112">
        <v>385.95334969999999</v>
      </c>
      <c r="D290" s="112" t="s">
        <v>1504</v>
      </c>
      <c r="E290" s="112" t="s">
        <v>1464</v>
      </c>
      <c r="F290" s="112" t="s">
        <v>1504</v>
      </c>
      <c r="G290" s="112" t="s">
        <v>1478</v>
      </c>
      <c r="H290" s="112" t="s">
        <v>1464</v>
      </c>
      <c r="I290" s="112">
        <v>1163.630116</v>
      </c>
    </row>
    <row r="291" spans="1:9">
      <c r="A291" s="112" t="s">
        <v>1479</v>
      </c>
      <c r="B291" s="112" t="s">
        <v>1505</v>
      </c>
      <c r="C291" s="112">
        <v>0</v>
      </c>
      <c r="D291" s="112" t="s">
        <v>1504</v>
      </c>
      <c r="E291" s="112" t="s">
        <v>1464</v>
      </c>
      <c r="F291" s="112" t="s">
        <v>1504</v>
      </c>
      <c r="G291" s="112" t="s">
        <v>1479</v>
      </c>
      <c r="H291" s="112" t="s">
        <v>1464</v>
      </c>
      <c r="I291" s="112">
        <v>0</v>
      </c>
    </row>
    <row r="292" spans="1:9">
      <c r="A292" s="112" t="s">
        <v>1480</v>
      </c>
      <c r="B292" s="112" t="s">
        <v>1505</v>
      </c>
      <c r="C292" s="112">
        <v>0</v>
      </c>
      <c r="D292" s="112" t="s">
        <v>1504</v>
      </c>
      <c r="E292" s="112" t="s">
        <v>1464</v>
      </c>
      <c r="F292" s="112" t="s">
        <v>1504</v>
      </c>
      <c r="G292" s="112" t="s">
        <v>1480</v>
      </c>
      <c r="H292" s="112" t="s">
        <v>1464</v>
      </c>
      <c r="I292" s="112">
        <v>0</v>
      </c>
    </row>
    <row r="293" spans="1:9">
      <c r="A293" s="112" t="s">
        <v>1481</v>
      </c>
      <c r="B293" s="112" t="s">
        <v>1505</v>
      </c>
      <c r="C293" s="112">
        <v>0</v>
      </c>
      <c r="D293" s="112" t="s">
        <v>1504</v>
      </c>
      <c r="E293" s="112" t="s">
        <v>1464</v>
      </c>
      <c r="F293" s="112" t="s">
        <v>1504</v>
      </c>
      <c r="G293" s="112" t="s">
        <v>1481</v>
      </c>
      <c r="H293" s="112" t="s">
        <v>1464</v>
      </c>
      <c r="I293" s="112">
        <v>22.258330180000002</v>
      </c>
    </row>
    <row r="294" spans="1:9">
      <c r="A294" s="112" t="s">
        <v>1482</v>
      </c>
      <c r="B294" s="112" t="s">
        <v>1505</v>
      </c>
      <c r="C294" s="112">
        <v>0</v>
      </c>
      <c r="D294" s="112" t="s">
        <v>1504</v>
      </c>
      <c r="E294" s="112" t="s">
        <v>1464</v>
      </c>
      <c r="F294" s="112" t="s">
        <v>1504</v>
      </c>
      <c r="G294" s="112" t="s">
        <v>1482</v>
      </c>
      <c r="H294" s="112" t="s">
        <v>1464</v>
      </c>
      <c r="I294" s="112">
        <v>0</v>
      </c>
    </row>
    <row r="295" spans="1:9">
      <c r="A295" s="112" t="s">
        <v>1483</v>
      </c>
      <c r="B295" s="112" t="s">
        <v>1505</v>
      </c>
      <c r="C295" s="112">
        <v>0</v>
      </c>
      <c r="D295" s="112" t="s">
        <v>1504</v>
      </c>
      <c r="E295" s="112" t="s">
        <v>1464</v>
      </c>
      <c r="F295" s="112" t="s">
        <v>1504</v>
      </c>
      <c r="G295" s="112" t="s">
        <v>1483</v>
      </c>
      <c r="H295" s="112" t="s">
        <v>1464</v>
      </c>
      <c r="I295" s="112">
        <v>108.4069597</v>
      </c>
    </row>
    <row r="296" spans="1:9">
      <c r="A296" s="112" t="s">
        <v>1484</v>
      </c>
      <c r="B296" s="112" t="s">
        <v>1505</v>
      </c>
      <c r="C296" s="112">
        <v>0</v>
      </c>
      <c r="D296" s="112" t="s">
        <v>1504</v>
      </c>
      <c r="E296" s="112" t="s">
        <v>1464</v>
      </c>
      <c r="F296" s="112" t="s">
        <v>1504</v>
      </c>
      <c r="G296" s="112" t="s">
        <v>1484</v>
      </c>
      <c r="H296" s="112" t="s">
        <v>1464</v>
      </c>
      <c r="I296" s="112">
        <v>0</v>
      </c>
    </row>
    <row r="297" spans="1:9">
      <c r="A297" s="112" t="s">
        <v>1485</v>
      </c>
      <c r="B297" s="112" t="s">
        <v>1505</v>
      </c>
      <c r="C297" s="112">
        <v>5.7873049679999999</v>
      </c>
      <c r="D297" s="112" t="s">
        <v>1504</v>
      </c>
      <c r="E297" s="112" t="s">
        <v>1464</v>
      </c>
      <c r="F297" s="112" t="s">
        <v>1504</v>
      </c>
      <c r="G297" s="112" t="s">
        <v>1485</v>
      </c>
      <c r="H297" s="112" t="s">
        <v>1464</v>
      </c>
      <c r="I297" s="112">
        <v>17.361914899999999</v>
      </c>
    </row>
    <row r="298" spans="1:9">
      <c r="A298" s="112" t="s">
        <v>1486</v>
      </c>
      <c r="B298" s="112" t="s">
        <v>1505</v>
      </c>
      <c r="C298" s="112">
        <v>0</v>
      </c>
      <c r="D298" s="112" t="s">
        <v>1504</v>
      </c>
      <c r="E298" s="112" t="s">
        <v>1464</v>
      </c>
      <c r="F298" s="112" t="s">
        <v>1504</v>
      </c>
      <c r="G298" s="112" t="s">
        <v>1486</v>
      </c>
      <c r="H298" s="112" t="s">
        <v>1464</v>
      </c>
      <c r="I298" s="112">
        <v>0</v>
      </c>
    </row>
    <row r="299" spans="1:9">
      <c r="A299" s="112" t="s">
        <v>1487</v>
      </c>
      <c r="B299" s="112" t="s">
        <v>1505</v>
      </c>
      <c r="C299" s="112">
        <v>22.985335360000001</v>
      </c>
      <c r="D299" s="112" t="s">
        <v>1504</v>
      </c>
      <c r="E299" s="112" t="s">
        <v>1464</v>
      </c>
      <c r="F299" s="112" t="s">
        <v>1504</v>
      </c>
      <c r="G299" s="112" t="s">
        <v>1487</v>
      </c>
      <c r="H299" s="112" t="s">
        <v>1464</v>
      </c>
      <c r="I299" s="112">
        <v>22.985335360000001</v>
      </c>
    </row>
    <row r="300" spans="1:9">
      <c r="A300" s="112" t="s">
        <v>1488</v>
      </c>
      <c r="B300" s="112" t="s">
        <v>1505</v>
      </c>
      <c r="C300" s="112">
        <v>8442.8514539999996</v>
      </c>
      <c r="D300" s="112" t="s">
        <v>1504</v>
      </c>
      <c r="E300" s="112" t="s">
        <v>1464</v>
      </c>
      <c r="F300" s="112" t="s">
        <v>1504</v>
      </c>
      <c r="G300" s="112" t="s">
        <v>1488</v>
      </c>
      <c r="H300" s="112" t="s">
        <v>1464</v>
      </c>
      <c r="I300" s="112">
        <v>14536.04142</v>
      </c>
    </row>
    <row r="301" spans="1:9">
      <c r="A301" s="112" t="s">
        <v>1489</v>
      </c>
      <c r="B301" s="112" t="s">
        <v>1505</v>
      </c>
      <c r="C301" s="112">
        <v>5.824892094</v>
      </c>
      <c r="D301" s="112" t="s">
        <v>1504</v>
      </c>
      <c r="E301" s="112" t="s">
        <v>1464</v>
      </c>
      <c r="F301" s="112" t="s">
        <v>1504</v>
      </c>
      <c r="G301" s="112" t="s">
        <v>1489</v>
      </c>
      <c r="H301" s="112" t="s">
        <v>1464</v>
      </c>
      <c r="I301" s="112">
        <v>174.7467628</v>
      </c>
    </row>
    <row r="302" spans="1:9">
      <c r="A302" s="112" t="s">
        <v>1490</v>
      </c>
      <c r="B302" s="112" t="s">
        <v>1505</v>
      </c>
      <c r="C302" s="112">
        <v>0</v>
      </c>
      <c r="D302" s="112" t="s">
        <v>1504</v>
      </c>
      <c r="E302" s="112" t="s">
        <v>1464</v>
      </c>
      <c r="F302" s="112" t="s">
        <v>1504</v>
      </c>
      <c r="G302" s="112" t="s">
        <v>1490</v>
      </c>
      <c r="H302" s="112" t="s">
        <v>1464</v>
      </c>
      <c r="I302" s="112">
        <v>0</v>
      </c>
    </row>
    <row r="303" spans="1:9">
      <c r="A303" s="112" t="s">
        <v>1461</v>
      </c>
      <c r="B303" s="112" t="s">
        <v>1506</v>
      </c>
      <c r="C303" s="112">
        <v>820.36926659999995</v>
      </c>
      <c r="D303" s="112" t="s">
        <v>1504</v>
      </c>
      <c r="E303" s="112" t="s">
        <v>1464</v>
      </c>
      <c r="F303" s="112" t="s">
        <v>1504</v>
      </c>
      <c r="G303" s="112" t="s">
        <v>1461</v>
      </c>
      <c r="H303" s="112" t="s">
        <v>1464</v>
      </c>
      <c r="I303" s="112">
        <v>21955.760340000001</v>
      </c>
    </row>
    <row r="304" spans="1:9">
      <c r="A304" s="112" t="s">
        <v>1465</v>
      </c>
      <c r="B304" s="112" t="s">
        <v>1506</v>
      </c>
      <c r="C304" s="112">
        <v>0</v>
      </c>
      <c r="D304" s="112" t="s">
        <v>1504</v>
      </c>
      <c r="E304" s="112" t="s">
        <v>1464</v>
      </c>
      <c r="F304" s="112" t="s">
        <v>1504</v>
      </c>
      <c r="G304" s="112" t="s">
        <v>1465</v>
      </c>
      <c r="H304" s="112" t="s">
        <v>1464</v>
      </c>
      <c r="I304" s="112">
        <v>80.579390230000001</v>
      </c>
    </row>
    <row r="305" spans="1:9">
      <c r="A305" s="112" t="s">
        <v>1466</v>
      </c>
      <c r="B305" s="112" t="s">
        <v>1506</v>
      </c>
      <c r="C305" s="112">
        <v>0</v>
      </c>
      <c r="D305" s="112" t="s">
        <v>1504</v>
      </c>
      <c r="E305" s="112" t="s">
        <v>1464</v>
      </c>
      <c r="F305" s="112" t="s">
        <v>1504</v>
      </c>
      <c r="G305" s="112" t="s">
        <v>1466</v>
      </c>
      <c r="H305" s="112" t="s">
        <v>1464</v>
      </c>
      <c r="I305" s="112">
        <v>23.23825016</v>
      </c>
    </row>
    <row r="306" spans="1:9">
      <c r="A306" s="112" t="s">
        <v>1467</v>
      </c>
      <c r="B306" s="112" t="s">
        <v>1506</v>
      </c>
      <c r="C306" s="112">
        <v>90.006000400000005</v>
      </c>
      <c r="D306" s="112" t="s">
        <v>1504</v>
      </c>
      <c r="E306" s="112" t="s">
        <v>1464</v>
      </c>
      <c r="F306" s="112" t="s">
        <v>1504</v>
      </c>
      <c r="G306" s="112" t="s">
        <v>1467</v>
      </c>
      <c r="H306" s="112" t="s">
        <v>1464</v>
      </c>
      <c r="I306" s="112">
        <v>1159.410627</v>
      </c>
    </row>
    <row r="307" spans="1:9">
      <c r="A307" s="112" t="s">
        <v>1468</v>
      </c>
      <c r="B307" s="112" t="s">
        <v>1506</v>
      </c>
      <c r="C307" s="112">
        <v>18.037648180000001</v>
      </c>
      <c r="D307" s="112" t="s">
        <v>1504</v>
      </c>
      <c r="E307" s="112" t="s">
        <v>1464</v>
      </c>
      <c r="F307" s="112" t="s">
        <v>1504</v>
      </c>
      <c r="G307" s="112" t="s">
        <v>1468</v>
      </c>
      <c r="H307" s="112" t="s">
        <v>1464</v>
      </c>
      <c r="I307" s="112">
        <v>115.4409484</v>
      </c>
    </row>
    <row r="308" spans="1:9">
      <c r="A308" s="112" t="s">
        <v>1469</v>
      </c>
      <c r="B308" s="112" t="s">
        <v>1506</v>
      </c>
      <c r="C308" s="112">
        <v>0</v>
      </c>
      <c r="D308" s="112" t="s">
        <v>1504</v>
      </c>
      <c r="E308" s="112" t="s">
        <v>1464</v>
      </c>
      <c r="F308" s="112" t="s">
        <v>1504</v>
      </c>
      <c r="G308" s="112" t="s">
        <v>1469</v>
      </c>
      <c r="H308" s="112" t="s">
        <v>1464</v>
      </c>
      <c r="I308" s="112">
        <v>0</v>
      </c>
    </row>
    <row r="309" spans="1:9">
      <c r="A309" s="112" t="s">
        <v>1470</v>
      </c>
      <c r="B309" s="112" t="s">
        <v>1506</v>
      </c>
      <c r="C309" s="112">
        <v>0</v>
      </c>
      <c r="D309" s="112" t="s">
        <v>1504</v>
      </c>
      <c r="E309" s="112" t="s">
        <v>1464</v>
      </c>
      <c r="F309" s="112" t="s">
        <v>1504</v>
      </c>
      <c r="G309" s="112" t="s">
        <v>1470</v>
      </c>
      <c r="H309" s="112" t="s">
        <v>1464</v>
      </c>
      <c r="I309" s="112">
        <v>0</v>
      </c>
    </row>
    <row r="310" spans="1:9">
      <c r="A310" s="112" t="s">
        <v>1471</v>
      </c>
      <c r="B310" s="112" t="s">
        <v>1506</v>
      </c>
      <c r="C310" s="112">
        <v>365.71258360000002</v>
      </c>
      <c r="D310" s="112" t="s">
        <v>1504</v>
      </c>
      <c r="E310" s="112" t="s">
        <v>1464</v>
      </c>
      <c r="F310" s="112" t="s">
        <v>1504</v>
      </c>
      <c r="G310" s="112" t="s">
        <v>1471</v>
      </c>
      <c r="H310" s="112" t="s">
        <v>1464</v>
      </c>
      <c r="I310" s="112">
        <v>5904.4475140000004</v>
      </c>
    </row>
    <row r="311" spans="1:9">
      <c r="A311" s="112" t="s">
        <v>1472</v>
      </c>
      <c r="B311" s="112" t="s">
        <v>1506</v>
      </c>
      <c r="C311" s="112">
        <v>0</v>
      </c>
      <c r="D311" s="112" t="s">
        <v>1504</v>
      </c>
      <c r="E311" s="112" t="s">
        <v>1464</v>
      </c>
      <c r="F311" s="112" t="s">
        <v>1504</v>
      </c>
      <c r="G311" s="112" t="s">
        <v>1472</v>
      </c>
      <c r="H311" s="112" t="s">
        <v>1464</v>
      </c>
      <c r="I311" s="112">
        <v>0</v>
      </c>
    </row>
    <row r="312" spans="1:9">
      <c r="A312" s="112" t="s">
        <v>1473</v>
      </c>
      <c r="B312" s="112" t="s">
        <v>1506</v>
      </c>
      <c r="C312" s="112">
        <v>263.84782899999999</v>
      </c>
      <c r="D312" s="112" t="s">
        <v>1504</v>
      </c>
      <c r="E312" s="112" t="s">
        <v>1464</v>
      </c>
      <c r="F312" s="112" t="s">
        <v>1504</v>
      </c>
      <c r="G312" s="112" t="s">
        <v>1473</v>
      </c>
      <c r="H312" s="112" t="s">
        <v>1464</v>
      </c>
      <c r="I312" s="112">
        <v>779.88450520000004</v>
      </c>
    </row>
    <row r="313" spans="1:9">
      <c r="A313" s="112" t="s">
        <v>1474</v>
      </c>
      <c r="B313" s="112" t="s">
        <v>1506</v>
      </c>
      <c r="C313" s="112">
        <v>0</v>
      </c>
      <c r="D313" s="112" t="s">
        <v>1504</v>
      </c>
      <c r="E313" s="112" t="s">
        <v>1464</v>
      </c>
      <c r="F313" s="112" t="s">
        <v>1504</v>
      </c>
      <c r="G313" s="112" t="s">
        <v>1474</v>
      </c>
      <c r="H313" s="112" t="s">
        <v>1464</v>
      </c>
      <c r="I313" s="112">
        <v>0</v>
      </c>
    </row>
    <row r="314" spans="1:9">
      <c r="A314" s="112" t="s">
        <v>1475</v>
      </c>
      <c r="B314" s="112" t="s">
        <v>1506</v>
      </c>
      <c r="C314" s="112">
        <v>0</v>
      </c>
      <c r="D314" s="112" t="s">
        <v>1504</v>
      </c>
      <c r="E314" s="112" t="s">
        <v>1464</v>
      </c>
      <c r="F314" s="112" t="s">
        <v>1504</v>
      </c>
      <c r="G314" s="112" t="s">
        <v>1475</v>
      </c>
      <c r="H314" s="112" t="s">
        <v>1464</v>
      </c>
      <c r="I314" s="112">
        <v>0</v>
      </c>
    </row>
    <row r="315" spans="1:9">
      <c r="A315" s="112" t="s">
        <v>1476</v>
      </c>
      <c r="B315" s="112" t="s">
        <v>1506</v>
      </c>
      <c r="C315" s="112">
        <v>0</v>
      </c>
      <c r="D315" s="112" t="s">
        <v>1504</v>
      </c>
      <c r="E315" s="112" t="s">
        <v>1464</v>
      </c>
      <c r="F315" s="112" t="s">
        <v>1504</v>
      </c>
      <c r="G315" s="112" t="s">
        <v>1476</v>
      </c>
      <c r="H315" s="112" t="s">
        <v>1464</v>
      </c>
      <c r="I315" s="112">
        <v>0</v>
      </c>
    </row>
    <row r="316" spans="1:9">
      <c r="A316" s="112" t="s">
        <v>1477</v>
      </c>
      <c r="B316" s="112" t="s">
        <v>1506</v>
      </c>
      <c r="C316" s="112">
        <v>0</v>
      </c>
      <c r="D316" s="112" t="s">
        <v>1504</v>
      </c>
      <c r="E316" s="112" t="s">
        <v>1464</v>
      </c>
      <c r="F316" s="112" t="s">
        <v>1504</v>
      </c>
      <c r="G316" s="112" t="s">
        <v>1477</v>
      </c>
      <c r="H316" s="112" t="s">
        <v>1464</v>
      </c>
      <c r="I316" s="112">
        <v>0</v>
      </c>
    </row>
    <row r="317" spans="1:9">
      <c r="A317" s="112" t="s">
        <v>1478</v>
      </c>
      <c r="B317" s="112" t="s">
        <v>1506</v>
      </c>
      <c r="C317" s="112">
        <v>96.808896669999996</v>
      </c>
      <c r="D317" s="112" t="s">
        <v>1504</v>
      </c>
      <c r="E317" s="112" t="s">
        <v>1464</v>
      </c>
      <c r="F317" s="112" t="s">
        <v>1504</v>
      </c>
      <c r="G317" s="112" t="s">
        <v>1478</v>
      </c>
      <c r="H317" s="112" t="s">
        <v>1464</v>
      </c>
      <c r="I317" s="112">
        <v>1163.630116</v>
      </c>
    </row>
    <row r="318" spans="1:9">
      <c r="A318" s="112" t="s">
        <v>1479</v>
      </c>
      <c r="B318" s="112" t="s">
        <v>1506</v>
      </c>
      <c r="C318" s="112">
        <v>0</v>
      </c>
      <c r="D318" s="112" t="s">
        <v>1504</v>
      </c>
      <c r="E318" s="112" t="s">
        <v>1464</v>
      </c>
      <c r="F318" s="112" t="s">
        <v>1504</v>
      </c>
      <c r="G318" s="112" t="s">
        <v>1479</v>
      </c>
      <c r="H318" s="112" t="s">
        <v>1464</v>
      </c>
      <c r="I318" s="112">
        <v>0</v>
      </c>
    </row>
    <row r="319" spans="1:9">
      <c r="A319" s="112" t="s">
        <v>1480</v>
      </c>
      <c r="B319" s="112" t="s">
        <v>1506</v>
      </c>
      <c r="C319" s="112">
        <v>0</v>
      </c>
      <c r="D319" s="112" t="s">
        <v>1504</v>
      </c>
      <c r="E319" s="112" t="s">
        <v>1464</v>
      </c>
      <c r="F319" s="112" t="s">
        <v>1504</v>
      </c>
      <c r="G319" s="112" t="s">
        <v>1480</v>
      </c>
      <c r="H319" s="112" t="s">
        <v>1464</v>
      </c>
      <c r="I319" s="112">
        <v>0</v>
      </c>
    </row>
    <row r="320" spans="1:9">
      <c r="A320" s="112" t="s">
        <v>1481</v>
      </c>
      <c r="B320" s="112" t="s">
        <v>1506</v>
      </c>
      <c r="C320" s="112">
        <v>0</v>
      </c>
      <c r="D320" s="112" t="s">
        <v>1504</v>
      </c>
      <c r="E320" s="112" t="s">
        <v>1464</v>
      </c>
      <c r="F320" s="112" t="s">
        <v>1504</v>
      </c>
      <c r="G320" s="112" t="s">
        <v>1481</v>
      </c>
      <c r="H320" s="112" t="s">
        <v>1464</v>
      </c>
      <c r="I320" s="112">
        <v>22.258330180000002</v>
      </c>
    </row>
    <row r="321" spans="1:9">
      <c r="A321" s="112" t="s">
        <v>1482</v>
      </c>
      <c r="B321" s="112" t="s">
        <v>1506</v>
      </c>
      <c r="C321" s="112">
        <v>0</v>
      </c>
      <c r="D321" s="112" t="s">
        <v>1504</v>
      </c>
      <c r="E321" s="112" t="s">
        <v>1464</v>
      </c>
      <c r="F321" s="112" t="s">
        <v>1504</v>
      </c>
      <c r="G321" s="112" t="s">
        <v>1482</v>
      </c>
      <c r="H321" s="112" t="s">
        <v>1464</v>
      </c>
      <c r="I321" s="112">
        <v>0</v>
      </c>
    </row>
    <row r="322" spans="1:9">
      <c r="A322" s="112" t="s">
        <v>1483</v>
      </c>
      <c r="B322" s="112" t="s">
        <v>1506</v>
      </c>
      <c r="C322" s="112">
        <v>0</v>
      </c>
      <c r="D322" s="112" t="s">
        <v>1504</v>
      </c>
      <c r="E322" s="112" t="s">
        <v>1464</v>
      </c>
      <c r="F322" s="112" t="s">
        <v>1504</v>
      </c>
      <c r="G322" s="112" t="s">
        <v>1483</v>
      </c>
      <c r="H322" s="112" t="s">
        <v>1464</v>
      </c>
      <c r="I322" s="112">
        <v>108.4069597</v>
      </c>
    </row>
    <row r="323" spans="1:9">
      <c r="A323" s="112" t="s">
        <v>1484</v>
      </c>
      <c r="B323" s="112" t="s">
        <v>1506</v>
      </c>
      <c r="C323" s="112">
        <v>0</v>
      </c>
      <c r="D323" s="112" t="s">
        <v>1504</v>
      </c>
      <c r="E323" s="112" t="s">
        <v>1464</v>
      </c>
      <c r="F323" s="112" t="s">
        <v>1504</v>
      </c>
      <c r="G323" s="112" t="s">
        <v>1484</v>
      </c>
      <c r="H323" s="112" t="s">
        <v>1464</v>
      </c>
      <c r="I323" s="112">
        <v>0</v>
      </c>
    </row>
    <row r="324" spans="1:9">
      <c r="A324" s="112" t="s">
        <v>1485</v>
      </c>
      <c r="B324" s="112" t="s">
        <v>1506</v>
      </c>
      <c r="C324" s="112">
        <v>5.7873049679999999</v>
      </c>
      <c r="D324" s="112" t="s">
        <v>1504</v>
      </c>
      <c r="E324" s="112" t="s">
        <v>1464</v>
      </c>
      <c r="F324" s="112" t="s">
        <v>1504</v>
      </c>
      <c r="G324" s="112" t="s">
        <v>1485</v>
      </c>
      <c r="H324" s="112" t="s">
        <v>1464</v>
      </c>
      <c r="I324" s="112">
        <v>17.361914899999999</v>
      </c>
    </row>
    <row r="325" spans="1:9">
      <c r="A325" s="112" t="s">
        <v>1486</v>
      </c>
      <c r="B325" s="112" t="s">
        <v>1506</v>
      </c>
      <c r="C325" s="112">
        <v>0</v>
      </c>
      <c r="D325" s="112" t="s">
        <v>1504</v>
      </c>
      <c r="E325" s="112" t="s">
        <v>1464</v>
      </c>
      <c r="F325" s="112" t="s">
        <v>1504</v>
      </c>
      <c r="G325" s="112" t="s">
        <v>1486</v>
      </c>
      <c r="H325" s="112" t="s">
        <v>1464</v>
      </c>
      <c r="I325" s="112">
        <v>0</v>
      </c>
    </row>
    <row r="326" spans="1:9">
      <c r="A326" s="112" t="s">
        <v>1487</v>
      </c>
      <c r="B326" s="112" t="s">
        <v>1506</v>
      </c>
      <c r="C326" s="112">
        <v>0</v>
      </c>
      <c r="D326" s="112" t="s">
        <v>1504</v>
      </c>
      <c r="E326" s="112" t="s">
        <v>1464</v>
      </c>
      <c r="F326" s="112" t="s">
        <v>1504</v>
      </c>
      <c r="G326" s="112" t="s">
        <v>1487</v>
      </c>
      <c r="H326" s="112" t="s">
        <v>1464</v>
      </c>
      <c r="I326" s="112">
        <v>22.985335360000001</v>
      </c>
    </row>
    <row r="327" spans="1:9">
      <c r="A327" s="112" t="s">
        <v>1488</v>
      </c>
      <c r="B327" s="112" t="s">
        <v>1506</v>
      </c>
      <c r="C327" s="112">
        <v>1234.5679009999999</v>
      </c>
      <c r="D327" s="112" t="s">
        <v>1504</v>
      </c>
      <c r="E327" s="112" t="s">
        <v>1464</v>
      </c>
      <c r="F327" s="112" t="s">
        <v>1504</v>
      </c>
      <c r="G327" s="112" t="s">
        <v>1488</v>
      </c>
      <c r="H327" s="112" t="s">
        <v>1464</v>
      </c>
      <c r="I327" s="112">
        <v>14536.04142</v>
      </c>
    </row>
    <row r="328" spans="1:9">
      <c r="A328" s="112" t="s">
        <v>1489</v>
      </c>
      <c r="B328" s="112" t="s">
        <v>1506</v>
      </c>
      <c r="C328" s="112">
        <v>75.723597220000002</v>
      </c>
      <c r="D328" s="112" t="s">
        <v>1504</v>
      </c>
      <c r="E328" s="112" t="s">
        <v>1464</v>
      </c>
      <c r="F328" s="112" t="s">
        <v>1504</v>
      </c>
      <c r="G328" s="112" t="s">
        <v>1489</v>
      </c>
      <c r="H328" s="112" t="s">
        <v>1464</v>
      </c>
      <c r="I328" s="112">
        <v>174.7467628</v>
      </c>
    </row>
    <row r="329" spans="1:9">
      <c r="A329" s="112" t="s">
        <v>1490</v>
      </c>
      <c r="B329" s="112" t="s">
        <v>1506</v>
      </c>
      <c r="C329" s="112">
        <v>0</v>
      </c>
      <c r="D329" s="112" t="s">
        <v>1504</v>
      </c>
      <c r="E329" s="112" t="s">
        <v>1464</v>
      </c>
      <c r="F329" s="112" t="s">
        <v>1504</v>
      </c>
      <c r="G329" s="112" t="s">
        <v>1490</v>
      </c>
      <c r="H329" s="112" t="s">
        <v>1464</v>
      </c>
      <c r="I329" s="112">
        <v>0</v>
      </c>
    </row>
    <row r="330" spans="1:9">
      <c r="A330" s="112" t="s">
        <v>1461</v>
      </c>
      <c r="B330" s="112" t="s">
        <v>1507</v>
      </c>
      <c r="C330" s="112">
        <v>2124.2541339999998</v>
      </c>
      <c r="D330" s="112" t="s">
        <v>1504</v>
      </c>
      <c r="E330" s="112" t="s">
        <v>1464</v>
      </c>
      <c r="F330" s="112" t="s">
        <v>1504</v>
      </c>
      <c r="G330" s="112" t="s">
        <v>1461</v>
      </c>
      <c r="H330" s="112" t="s">
        <v>1464</v>
      </c>
      <c r="I330" s="112">
        <v>21955.760340000001</v>
      </c>
    </row>
    <row r="331" spans="1:9">
      <c r="A331" s="112" t="s">
        <v>1465</v>
      </c>
      <c r="B331" s="112" t="s">
        <v>1507</v>
      </c>
      <c r="C331" s="112">
        <v>31.743396149999999</v>
      </c>
      <c r="D331" s="112" t="s">
        <v>1504</v>
      </c>
      <c r="E331" s="112" t="s">
        <v>1464</v>
      </c>
      <c r="F331" s="112" t="s">
        <v>1504</v>
      </c>
      <c r="G331" s="112" t="s">
        <v>1465</v>
      </c>
      <c r="H331" s="112" t="s">
        <v>1464</v>
      </c>
      <c r="I331" s="112">
        <v>80.579390230000001</v>
      </c>
    </row>
    <row r="332" spans="1:9">
      <c r="A332" s="112" t="s">
        <v>1466</v>
      </c>
      <c r="B332" s="112" t="s">
        <v>1507</v>
      </c>
      <c r="C332" s="112">
        <v>0</v>
      </c>
      <c r="D332" s="112" t="s">
        <v>1504</v>
      </c>
      <c r="E332" s="112" t="s">
        <v>1464</v>
      </c>
      <c r="F332" s="112" t="s">
        <v>1504</v>
      </c>
      <c r="G332" s="112" t="s">
        <v>1466</v>
      </c>
      <c r="H332" s="112" t="s">
        <v>1464</v>
      </c>
      <c r="I332" s="112">
        <v>23.23825016</v>
      </c>
    </row>
    <row r="333" spans="1:9">
      <c r="A333" s="112" t="s">
        <v>1467</v>
      </c>
      <c r="B333" s="112" t="s">
        <v>1507</v>
      </c>
      <c r="C333" s="112">
        <v>353.35689050000002</v>
      </c>
      <c r="D333" s="112" t="s">
        <v>1504</v>
      </c>
      <c r="E333" s="112" t="s">
        <v>1464</v>
      </c>
      <c r="F333" s="112" t="s">
        <v>1504</v>
      </c>
      <c r="G333" s="112" t="s">
        <v>1467</v>
      </c>
      <c r="H333" s="112" t="s">
        <v>1464</v>
      </c>
      <c r="I333" s="112">
        <v>1159.410627</v>
      </c>
    </row>
    <row r="334" spans="1:9">
      <c r="A334" s="112" t="s">
        <v>1468</v>
      </c>
      <c r="B334" s="112" t="s">
        <v>1507</v>
      </c>
      <c r="C334" s="112">
        <v>28.860237089999998</v>
      </c>
      <c r="D334" s="112" t="s">
        <v>1504</v>
      </c>
      <c r="E334" s="112" t="s">
        <v>1464</v>
      </c>
      <c r="F334" s="112" t="s">
        <v>1504</v>
      </c>
      <c r="G334" s="112" t="s">
        <v>1468</v>
      </c>
      <c r="H334" s="112" t="s">
        <v>1464</v>
      </c>
      <c r="I334" s="112">
        <v>115.4409484</v>
      </c>
    </row>
    <row r="335" spans="1:9">
      <c r="A335" s="112" t="s">
        <v>1469</v>
      </c>
      <c r="B335" s="112" t="s">
        <v>1507</v>
      </c>
      <c r="C335" s="112">
        <v>0</v>
      </c>
      <c r="D335" s="112" t="s">
        <v>1504</v>
      </c>
      <c r="E335" s="112" t="s">
        <v>1464</v>
      </c>
      <c r="F335" s="112" t="s">
        <v>1504</v>
      </c>
      <c r="G335" s="112" t="s">
        <v>1469</v>
      </c>
      <c r="H335" s="112" t="s">
        <v>1464</v>
      </c>
      <c r="I335" s="112">
        <v>0</v>
      </c>
    </row>
    <row r="336" spans="1:9">
      <c r="A336" s="112" t="s">
        <v>1470</v>
      </c>
      <c r="B336" s="112" t="s">
        <v>1507</v>
      </c>
      <c r="C336" s="112">
        <v>0</v>
      </c>
      <c r="D336" s="112" t="s">
        <v>1504</v>
      </c>
      <c r="E336" s="112" t="s">
        <v>1464</v>
      </c>
      <c r="F336" s="112" t="s">
        <v>1504</v>
      </c>
      <c r="G336" s="112" t="s">
        <v>1470</v>
      </c>
      <c r="H336" s="112" t="s">
        <v>1464</v>
      </c>
      <c r="I336" s="112">
        <v>0</v>
      </c>
    </row>
    <row r="337" spans="1:9">
      <c r="A337" s="112" t="s">
        <v>1471</v>
      </c>
      <c r="B337" s="112" t="s">
        <v>1507</v>
      </c>
      <c r="C337" s="112">
        <v>1121.1105419999999</v>
      </c>
      <c r="D337" s="112" t="s">
        <v>1504</v>
      </c>
      <c r="E337" s="112" t="s">
        <v>1464</v>
      </c>
      <c r="F337" s="112" t="s">
        <v>1504</v>
      </c>
      <c r="G337" s="112" t="s">
        <v>1471</v>
      </c>
      <c r="H337" s="112" t="s">
        <v>1464</v>
      </c>
      <c r="I337" s="112">
        <v>5904.4475140000004</v>
      </c>
    </row>
    <row r="338" spans="1:9">
      <c r="A338" s="112" t="s">
        <v>1472</v>
      </c>
      <c r="B338" s="112" t="s">
        <v>1507</v>
      </c>
      <c r="C338" s="112">
        <v>0</v>
      </c>
      <c r="D338" s="112" t="s">
        <v>1504</v>
      </c>
      <c r="E338" s="112" t="s">
        <v>1464</v>
      </c>
      <c r="F338" s="112" t="s">
        <v>1504</v>
      </c>
      <c r="G338" s="112" t="s">
        <v>1472</v>
      </c>
      <c r="H338" s="112" t="s">
        <v>1464</v>
      </c>
      <c r="I338" s="112">
        <v>0</v>
      </c>
    </row>
    <row r="339" spans="1:9">
      <c r="A339" s="112" t="s">
        <v>1473</v>
      </c>
      <c r="B339" s="112" t="s">
        <v>1507</v>
      </c>
      <c r="C339" s="112">
        <v>244.8386194</v>
      </c>
      <c r="D339" s="112" t="s">
        <v>1504</v>
      </c>
      <c r="E339" s="112" t="s">
        <v>1464</v>
      </c>
      <c r="F339" s="112" t="s">
        <v>1504</v>
      </c>
      <c r="G339" s="112" t="s">
        <v>1473</v>
      </c>
      <c r="H339" s="112" t="s">
        <v>1464</v>
      </c>
      <c r="I339" s="112">
        <v>779.88450520000004</v>
      </c>
    </row>
    <row r="340" spans="1:9">
      <c r="A340" s="112" t="s">
        <v>1474</v>
      </c>
      <c r="B340" s="112" t="s">
        <v>1507</v>
      </c>
      <c r="C340" s="112">
        <v>0</v>
      </c>
      <c r="D340" s="112" t="s">
        <v>1504</v>
      </c>
      <c r="E340" s="112" t="s">
        <v>1464</v>
      </c>
      <c r="F340" s="112" t="s">
        <v>1504</v>
      </c>
      <c r="G340" s="112" t="s">
        <v>1474</v>
      </c>
      <c r="H340" s="112" t="s">
        <v>1464</v>
      </c>
      <c r="I340" s="112">
        <v>0</v>
      </c>
    </row>
    <row r="341" spans="1:9">
      <c r="A341" s="112" t="s">
        <v>1475</v>
      </c>
      <c r="B341" s="112" t="s">
        <v>1507</v>
      </c>
      <c r="C341" s="112">
        <v>0</v>
      </c>
      <c r="D341" s="112" t="s">
        <v>1504</v>
      </c>
      <c r="E341" s="112" t="s">
        <v>1464</v>
      </c>
      <c r="F341" s="112" t="s">
        <v>1504</v>
      </c>
      <c r="G341" s="112" t="s">
        <v>1475</v>
      </c>
      <c r="H341" s="112" t="s">
        <v>1464</v>
      </c>
      <c r="I341" s="112">
        <v>0</v>
      </c>
    </row>
    <row r="342" spans="1:9">
      <c r="A342" s="112" t="s">
        <v>1476</v>
      </c>
      <c r="B342" s="112" t="s">
        <v>1507</v>
      </c>
      <c r="C342" s="112">
        <v>0</v>
      </c>
      <c r="D342" s="112" t="s">
        <v>1504</v>
      </c>
      <c r="E342" s="112" t="s">
        <v>1464</v>
      </c>
      <c r="F342" s="112" t="s">
        <v>1504</v>
      </c>
      <c r="G342" s="112" t="s">
        <v>1476</v>
      </c>
      <c r="H342" s="112" t="s">
        <v>1464</v>
      </c>
      <c r="I342" s="112">
        <v>0</v>
      </c>
    </row>
    <row r="343" spans="1:9">
      <c r="A343" s="112" t="s">
        <v>1477</v>
      </c>
      <c r="B343" s="112" t="s">
        <v>1507</v>
      </c>
      <c r="C343" s="112">
        <v>0</v>
      </c>
      <c r="D343" s="112" t="s">
        <v>1504</v>
      </c>
      <c r="E343" s="112" t="s">
        <v>1464</v>
      </c>
      <c r="F343" s="112" t="s">
        <v>1504</v>
      </c>
      <c r="G343" s="112" t="s">
        <v>1477</v>
      </c>
      <c r="H343" s="112" t="s">
        <v>1464</v>
      </c>
      <c r="I343" s="112">
        <v>0</v>
      </c>
    </row>
    <row r="344" spans="1:9">
      <c r="A344" s="112" t="s">
        <v>1478</v>
      </c>
      <c r="B344" s="112" t="s">
        <v>1507</v>
      </c>
      <c r="C344" s="112">
        <v>191.0533193</v>
      </c>
      <c r="D344" s="112" t="s">
        <v>1504</v>
      </c>
      <c r="E344" s="112" t="s">
        <v>1464</v>
      </c>
      <c r="F344" s="112" t="s">
        <v>1504</v>
      </c>
      <c r="G344" s="112" t="s">
        <v>1478</v>
      </c>
      <c r="H344" s="112" t="s">
        <v>1464</v>
      </c>
      <c r="I344" s="112">
        <v>1163.630116</v>
      </c>
    </row>
    <row r="345" spans="1:9">
      <c r="A345" s="112" t="s">
        <v>1479</v>
      </c>
      <c r="B345" s="112" t="s">
        <v>1507</v>
      </c>
      <c r="C345" s="112">
        <v>0</v>
      </c>
      <c r="D345" s="112" t="s">
        <v>1504</v>
      </c>
      <c r="E345" s="112" t="s">
        <v>1464</v>
      </c>
      <c r="F345" s="112" t="s">
        <v>1504</v>
      </c>
      <c r="G345" s="112" t="s">
        <v>1479</v>
      </c>
      <c r="H345" s="112" t="s">
        <v>1464</v>
      </c>
      <c r="I345" s="112">
        <v>0</v>
      </c>
    </row>
    <row r="346" spans="1:9">
      <c r="A346" s="112" t="s">
        <v>1480</v>
      </c>
      <c r="B346" s="112" t="s">
        <v>1507</v>
      </c>
      <c r="C346" s="112">
        <v>0</v>
      </c>
      <c r="D346" s="112" t="s">
        <v>1504</v>
      </c>
      <c r="E346" s="112" t="s">
        <v>1464</v>
      </c>
      <c r="F346" s="112" t="s">
        <v>1504</v>
      </c>
      <c r="G346" s="112" t="s">
        <v>1480</v>
      </c>
      <c r="H346" s="112" t="s">
        <v>1464</v>
      </c>
      <c r="I346" s="112">
        <v>0</v>
      </c>
    </row>
    <row r="347" spans="1:9">
      <c r="A347" s="112" t="s">
        <v>1481</v>
      </c>
      <c r="B347" s="112" t="s">
        <v>1507</v>
      </c>
      <c r="C347" s="112">
        <v>0</v>
      </c>
      <c r="D347" s="112" t="s">
        <v>1504</v>
      </c>
      <c r="E347" s="112" t="s">
        <v>1464</v>
      </c>
      <c r="F347" s="112" t="s">
        <v>1504</v>
      </c>
      <c r="G347" s="112" t="s">
        <v>1481</v>
      </c>
      <c r="H347" s="112" t="s">
        <v>1464</v>
      </c>
      <c r="I347" s="112">
        <v>22.258330180000002</v>
      </c>
    </row>
    <row r="348" spans="1:9">
      <c r="A348" s="112" t="s">
        <v>1482</v>
      </c>
      <c r="B348" s="112" t="s">
        <v>1507</v>
      </c>
      <c r="C348" s="112">
        <v>0</v>
      </c>
      <c r="D348" s="112" t="s">
        <v>1504</v>
      </c>
      <c r="E348" s="112" t="s">
        <v>1464</v>
      </c>
      <c r="F348" s="112" t="s">
        <v>1504</v>
      </c>
      <c r="G348" s="112" t="s">
        <v>1482</v>
      </c>
      <c r="H348" s="112" t="s">
        <v>1464</v>
      </c>
      <c r="I348" s="112">
        <v>0</v>
      </c>
    </row>
    <row r="349" spans="1:9">
      <c r="A349" s="112" t="s">
        <v>1483</v>
      </c>
      <c r="B349" s="112" t="s">
        <v>1507</v>
      </c>
      <c r="C349" s="112">
        <v>54.203479860000002</v>
      </c>
      <c r="D349" s="112" t="s">
        <v>1504</v>
      </c>
      <c r="E349" s="112" t="s">
        <v>1464</v>
      </c>
      <c r="F349" s="112" t="s">
        <v>1504</v>
      </c>
      <c r="G349" s="112" t="s">
        <v>1483</v>
      </c>
      <c r="H349" s="112" t="s">
        <v>1464</v>
      </c>
      <c r="I349" s="112">
        <v>108.4069597</v>
      </c>
    </row>
    <row r="350" spans="1:9">
      <c r="A350" s="112" t="s">
        <v>1484</v>
      </c>
      <c r="B350" s="112" t="s">
        <v>1507</v>
      </c>
      <c r="C350" s="112">
        <v>0</v>
      </c>
      <c r="D350" s="112" t="s">
        <v>1504</v>
      </c>
      <c r="E350" s="112" t="s">
        <v>1464</v>
      </c>
      <c r="F350" s="112" t="s">
        <v>1504</v>
      </c>
      <c r="G350" s="112" t="s">
        <v>1484</v>
      </c>
      <c r="H350" s="112" t="s">
        <v>1464</v>
      </c>
      <c r="I350" s="112">
        <v>0</v>
      </c>
    </row>
    <row r="351" spans="1:9">
      <c r="A351" s="112" t="s">
        <v>1485</v>
      </c>
      <c r="B351" s="112" t="s">
        <v>1507</v>
      </c>
      <c r="C351" s="112">
        <v>5.7873049679999999</v>
      </c>
      <c r="D351" s="112" t="s">
        <v>1504</v>
      </c>
      <c r="E351" s="112" t="s">
        <v>1464</v>
      </c>
      <c r="F351" s="112" t="s">
        <v>1504</v>
      </c>
      <c r="G351" s="112" t="s">
        <v>1485</v>
      </c>
      <c r="H351" s="112" t="s">
        <v>1464</v>
      </c>
      <c r="I351" s="112">
        <v>17.361914899999999</v>
      </c>
    </row>
    <row r="352" spans="1:9">
      <c r="A352" s="112" t="s">
        <v>1486</v>
      </c>
      <c r="B352" s="112" t="s">
        <v>1507</v>
      </c>
      <c r="C352" s="112">
        <v>0</v>
      </c>
      <c r="D352" s="112" t="s">
        <v>1504</v>
      </c>
      <c r="E352" s="112" t="s">
        <v>1464</v>
      </c>
      <c r="F352" s="112" t="s">
        <v>1504</v>
      </c>
      <c r="G352" s="112" t="s">
        <v>1486</v>
      </c>
      <c r="H352" s="112" t="s">
        <v>1464</v>
      </c>
      <c r="I352" s="112">
        <v>0</v>
      </c>
    </row>
    <row r="353" spans="1:9">
      <c r="A353" s="112" t="s">
        <v>1487</v>
      </c>
      <c r="B353" s="112" t="s">
        <v>1507</v>
      </c>
      <c r="C353" s="112">
        <v>0</v>
      </c>
      <c r="D353" s="112" t="s">
        <v>1504</v>
      </c>
      <c r="E353" s="112" t="s">
        <v>1464</v>
      </c>
      <c r="F353" s="112" t="s">
        <v>1504</v>
      </c>
      <c r="G353" s="112" t="s">
        <v>1487</v>
      </c>
      <c r="H353" s="112" t="s">
        <v>1464</v>
      </c>
      <c r="I353" s="112">
        <v>22.985335360000001</v>
      </c>
    </row>
    <row r="354" spans="1:9">
      <c r="A354" s="112" t="s">
        <v>1488</v>
      </c>
      <c r="B354" s="112" t="s">
        <v>1507</v>
      </c>
      <c r="C354" s="112">
        <v>0</v>
      </c>
      <c r="D354" s="112" t="s">
        <v>1504</v>
      </c>
      <c r="E354" s="112" t="s">
        <v>1464</v>
      </c>
      <c r="F354" s="112" t="s">
        <v>1504</v>
      </c>
      <c r="G354" s="112" t="s">
        <v>1488</v>
      </c>
      <c r="H354" s="112" t="s">
        <v>1464</v>
      </c>
      <c r="I354" s="112">
        <v>14536.04142</v>
      </c>
    </row>
    <row r="355" spans="1:9">
      <c r="A355" s="112" t="s">
        <v>1489</v>
      </c>
      <c r="B355" s="112" t="s">
        <v>1507</v>
      </c>
      <c r="C355" s="112">
        <v>0</v>
      </c>
      <c r="D355" s="112" t="s">
        <v>1504</v>
      </c>
      <c r="E355" s="112" t="s">
        <v>1464</v>
      </c>
      <c r="F355" s="112" t="s">
        <v>1504</v>
      </c>
      <c r="G355" s="112" t="s">
        <v>1489</v>
      </c>
      <c r="H355" s="112" t="s">
        <v>1464</v>
      </c>
      <c r="I355" s="112">
        <v>174.7467628</v>
      </c>
    </row>
    <row r="356" spans="1:9">
      <c r="A356" s="112" t="s">
        <v>1490</v>
      </c>
      <c r="B356" s="112" t="s">
        <v>1507</v>
      </c>
      <c r="C356" s="112">
        <v>0</v>
      </c>
      <c r="D356" s="112" t="s">
        <v>1504</v>
      </c>
      <c r="E356" s="112" t="s">
        <v>1464</v>
      </c>
      <c r="F356" s="112" t="s">
        <v>1504</v>
      </c>
      <c r="G356" s="112" t="s">
        <v>1490</v>
      </c>
      <c r="H356" s="112" t="s">
        <v>1464</v>
      </c>
      <c r="I356" s="112">
        <v>0</v>
      </c>
    </row>
    <row r="357" spans="1:9">
      <c r="A357" s="112" t="s">
        <v>1461</v>
      </c>
      <c r="B357" s="112" t="s">
        <v>1508</v>
      </c>
      <c r="C357" s="112">
        <v>2151.041702</v>
      </c>
      <c r="D357" s="112" t="s">
        <v>1504</v>
      </c>
      <c r="E357" s="112" t="s">
        <v>1464</v>
      </c>
      <c r="F357" s="112" t="s">
        <v>1504</v>
      </c>
      <c r="G357" s="112" t="s">
        <v>1461</v>
      </c>
      <c r="H357" s="112" t="s">
        <v>1464</v>
      </c>
      <c r="I357" s="112">
        <v>21955.760340000001</v>
      </c>
    </row>
    <row r="358" spans="1:9">
      <c r="A358" s="112" t="s">
        <v>1465</v>
      </c>
      <c r="B358" s="112" t="s">
        <v>1508</v>
      </c>
      <c r="C358" s="112">
        <v>48.835994079999999</v>
      </c>
      <c r="D358" s="112" t="s">
        <v>1504</v>
      </c>
      <c r="E358" s="112" t="s">
        <v>1464</v>
      </c>
      <c r="F358" s="112" t="s">
        <v>1504</v>
      </c>
      <c r="G358" s="112" t="s">
        <v>1465</v>
      </c>
      <c r="H358" s="112" t="s">
        <v>1464</v>
      </c>
      <c r="I358" s="112">
        <v>80.579390230000001</v>
      </c>
    </row>
    <row r="359" spans="1:9">
      <c r="A359" s="112" t="s">
        <v>1466</v>
      </c>
      <c r="B359" s="112" t="s">
        <v>1508</v>
      </c>
      <c r="C359" s="112">
        <v>0</v>
      </c>
      <c r="D359" s="112" t="s">
        <v>1504</v>
      </c>
      <c r="E359" s="112" t="s">
        <v>1464</v>
      </c>
      <c r="F359" s="112" t="s">
        <v>1504</v>
      </c>
      <c r="G359" s="112" t="s">
        <v>1466</v>
      </c>
      <c r="H359" s="112" t="s">
        <v>1464</v>
      </c>
      <c r="I359" s="112">
        <v>23.23825016</v>
      </c>
    </row>
    <row r="360" spans="1:9">
      <c r="A360" s="112" t="s">
        <v>1467</v>
      </c>
      <c r="B360" s="112" t="s">
        <v>1508</v>
      </c>
      <c r="C360" s="112">
        <v>220.0146676</v>
      </c>
      <c r="D360" s="112" t="s">
        <v>1504</v>
      </c>
      <c r="E360" s="112" t="s">
        <v>1464</v>
      </c>
      <c r="F360" s="112" t="s">
        <v>1504</v>
      </c>
      <c r="G360" s="112" t="s">
        <v>1467</v>
      </c>
      <c r="H360" s="112" t="s">
        <v>1464</v>
      </c>
      <c r="I360" s="112">
        <v>1159.410627</v>
      </c>
    </row>
    <row r="361" spans="1:9">
      <c r="A361" s="112" t="s">
        <v>1468</v>
      </c>
      <c r="B361" s="112" t="s">
        <v>1508</v>
      </c>
      <c r="C361" s="112">
        <v>21.645177820000001</v>
      </c>
      <c r="D361" s="112" t="s">
        <v>1504</v>
      </c>
      <c r="E361" s="112" t="s">
        <v>1464</v>
      </c>
      <c r="F361" s="112" t="s">
        <v>1504</v>
      </c>
      <c r="G361" s="112" t="s">
        <v>1468</v>
      </c>
      <c r="H361" s="112" t="s">
        <v>1464</v>
      </c>
      <c r="I361" s="112">
        <v>115.4409484</v>
      </c>
    </row>
    <row r="362" spans="1:9">
      <c r="A362" s="112" t="s">
        <v>1469</v>
      </c>
      <c r="B362" s="112" t="s">
        <v>1508</v>
      </c>
      <c r="C362" s="112">
        <v>0</v>
      </c>
      <c r="D362" s="112" t="s">
        <v>1504</v>
      </c>
      <c r="E362" s="112" t="s">
        <v>1464</v>
      </c>
      <c r="F362" s="112" t="s">
        <v>1504</v>
      </c>
      <c r="G362" s="112" t="s">
        <v>1469</v>
      </c>
      <c r="H362" s="112" t="s">
        <v>1464</v>
      </c>
      <c r="I362" s="112">
        <v>0</v>
      </c>
    </row>
    <row r="363" spans="1:9">
      <c r="A363" s="112" t="s">
        <v>1470</v>
      </c>
      <c r="B363" s="112" t="s">
        <v>1508</v>
      </c>
      <c r="C363" s="112">
        <v>0</v>
      </c>
      <c r="D363" s="112" t="s">
        <v>1504</v>
      </c>
      <c r="E363" s="112" t="s">
        <v>1464</v>
      </c>
      <c r="F363" s="112" t="s">
        <v>1504</v>
      </c>
      <c r="G363" s="112" t="s">
        <v>1470</v>
      </c>
      <c r="H363" s="112" t="s">
        <v>1464</v>
      </c>
      <c r="I363" s="112">
        <v>0</v>
      </c>
    </row>
    <row r="364" spans="1:9">
      <c r="A364" s="112" t="s">
        <v>1471</v>
      </c>
      <c r="B364" s="112" t="s">
        <v>1508</v>
      </c>
      <c r="C364" s="112">
        <v>925.75779520000003</v>
      </c>
      <c r="D364" s="112" t="s">
        <v>1504</v>
      </c>
      <c r="E364" s="112" t="s">
        <v>1464</v>
      </c>
      <c r="F364" s="112" t="s">
        <v>1504</v>
      </c>
      <c r="G364" s="112" t="s">
        <v>1471</v>
      </c>
      <c r="H364" s="112" t="s">
        <v>1464</v>
      </c>
      <c r="I364" s="112">
        <v>5904.4475140000004</v>
      </c>
    </row>
    <row r="365" spans="1:9">
      <c r="A365" s="112" t="s">
        <v>1472</v>
      </c>
      <c r="B365" s="112" t="s">
        <v>1508</v>
      </c>
      <c r="C365" s="112">
        <v>0</v>
      </c>
      <c r="D365" s="112" t="s">
        <v>1504</v>
      </c>
      <c r="E365" s="112" t="s">
        <v>1464</v>
      </c>
      <c r="F365" s="112" t="s">
        <v>1504</v>
      </c>
      <c r="G365" s="112" t="s">
        <v>1472</v>
      </c>
      <c r="H365" s="112" t="s">
        <v>1464</v>
      </c>
      <c r="I365" s="112">
        <v>0</v>
      </c>
    </row>
    <row r="366" spans="1:9">
      <c r="A366" s="112" t="s">
        <v>1473</v>
      </c>
      <c r="B366" s="112" t="s">
        <v>1508</v>
      </c>
      <c r="C366" s="112">
        <v>50.944681680000002</v>
      </c>
      <c r="D366" s="112" t="s">
        <v>1504</v>
      </c>
      <c r="E366" s="112" t="s">
        <v>1464</v>
      </c>
      <c r="F366" s="112" t="s">
        <v>1504</v>
      </c>
      <c r="G366" s="112" t="s">
        <v>1473</v>
      </c>
      <c r="H366" s="112" t="s">
        <v>1464</v>
      </c>
      <c r="I366" s="112">
        <v>779.88450520000004</v>
      </c>
    </row>
    <row r="367" spans="1:9">
      <c r="A367" s="112" t="s">
        <v>1474</v>
      </c>
      <c r="B367" s="112" t="s">
        <v>1508</v>
      </c>
      <c r="C367" s="112">
        <v>0</v>
      </c>
      <c r="D367" s="112" t="s">
        <v>1504</v>
      </c>
      <c r="E367" s="112" t="s">
        <v>1464</v>
      </c>
      <c r="F367" s="112" t="s">
        <v>1504</v>
      </c>
      <c r="G367" s="112" t="s">
        <v>1474</v>
      </c>
      <c r="H367" s="112" t="s">
        <v>1464</v>
      </c>
      <c r="I367" s="112">
        <v>0</v>
      </c>
    </row>
    <row r="368" spans="1:9">
      <c r="A368" s="112" t="s">
        <v>1475</v>
      </c>
      <c r="B368" s="112" t="s">
        <v>1508</v>
      </c>
      <c r="C368" s="112">
        <v>0</v>
      </c>
      <c r="D368" s="112" t="s">
        <v>1504</v>
      </c>
      <c r="E368" s="112" t="s">
        <v>1464</v>
      </c>
      <c r="F368" s="112" t="s">
        <v>1504</v>
      </c>
      <c r="G368" s="112" t="s">
        <v>1475</v>
      </c>
      <c r="H368" s="112" t="s">
        <v>1464</v>
      </c>
      <c r="I368" s="112">
        <v>0</v>
      </c>
    </row>
    <row r="369" spans="1:9">
      <c r="A369" s="112" t="s">
        <v>1476</v>
      </c>
      <c r="B369" s="112" t="s">
        <v>1508</v>
      </c>
      <c r="C369" s="112">
        <v>0</v>
      </c>
      <c r="D369" s="112" t="s">
        <v>1504</v>
      </c>
      <c r="E369" s="112" t="s">
        <v>1464</v>
      </c>
      <c r="F369" s="112" t="s">
        <v>1504</v>
      </c>
      <c r="G369" s="112" t="s">
        <v>1476</v>
      </c>
      <c r="H369" s="112" t="s">
        <v>1464</v>
      </c>
      <c r="I369" s="112">
        <v>0</v>
      </c>
    </row>
    <row r="370" spans="1:9">
      <c r="A370" s="112" t="s">
        <v>1477</v>
      </c>
      <c r="B370" s="112" t="s">
        <v>1508</v>
      </c>
      <c r="C370" s="112">
        <v>0</v>
      </c>
      <c r="D370" s="112" t="s">
        <v>1504</v>
      </c>
      <c r="E370" s="112" t="s">
        <v>1464</v>
      </c>
      <c r="F370" s="112" t="s">
        <v>1504</v>
      </c>
      <c r="G370" s="112" t="s">
        <v>1477</v>
      </c>
      <c r="H370" s="112" t="s">
        <v>1464</v>
      </c>
      <c r="I370" s="112">
        <v>0</v>
      </c>
    </row>
    <row r="371" spans="1:9">
      <c r="A371" s="112" t="s">
        <v>1478</v>
      </c>
      <c r="B371" s="112" t="s">
        <v>1508</v>
      </c>
      <c r="C371" s="112">
        <v>42.313822389999999</v>
      </c>
      <c r="D371" s="112" t="s">
        <v>1504</v>
      </c>
      <c r="E371" s="112" t="s">
        <v>1464</v>
      </c>
      <c r="F371" s="112" t="s">
        <v>1504</v>
      </c>
      <c r="G371" s="112" t="s">
        <v>1478</v>
      </c>
      <c r="H371" s="112" t="s">
        <v>1464</v>
      </c>
      <c r="I371" s="112">
        <v>1163.630116</v>
      </c>
    </row>
    <row r="372" spans="1:9">
      <c r="A372" s="112" t="s">
        <v>1479</v>
      </c>
      <c r="B372" s="112" t="s">
        <v>1508</v>
      </c>
      <c r="C372" s="112">
        <v>0</v>
      </c>
      <c r="D372" s="112" t="s">
        <v>1504</v>
      </c>
      <c r="E372" s="112" t="s">
        <v>1464</v>
      </c>
      <c r="F372" s="112" t="s">
        <v>1504</v>
      </c>
      <c r="G372" s="112" t="s">
        <v>1479</v>
      </c>
      <c r="H372" s="112" t="s">
        <v>1464</v>
      </c>
      <c r="I372" s="112">
        <v>0</v>
      </c>
    </row>
    <row r="373" spans="1:9">
      <c r="A373" s="112" t="s">
        <v>1480</v>
      </c>
      <c r="B373" s="112" t="s">
        <v>1508</v>
      </c>
      <c r="C373" s="112">
        <v>0</v>
      </c>
      <c r="D373" s="112" t="s">
        <v>1504</v>
      </c>
      <c r="E373" s="112" t="s">
        <v>1464</v>
      </c>
      <c r="F373" s="112" t="s">
        <v>1504</v>
      </c>
      <c r="G373" s="112" t="s">
        <v>1480</v>
      </c>
      <c r="H373" s="112" t="s">
        <v>1464</v>
      </c>
      <c r="I373" s="112">
        <v>0</v>
      </c>
    </row>
    <row r="374" spans="1:9">
      <c r="A374" s="112" t="s">
        <v>1481</v>
      </c>
      <c r="B374" s="112" t="s">
        <v>1508</v>
      </c>
      <c r="C374" s="112">
        <v>0</v>
      </c>
      <c r="D374" s="112" t="s">
        <v>1504</v>
      </c>
      <c r="E374" s="112" t="s">
        <v>1464</v>
      </c>
      <c r="F374" s="112" t="s">
        <v>1504</v>
      </c>
      <c r="G374" s="112" t="s">
        <v>1481</v>
      </c>
      <c r="H374" s="112" t="s">
        <v>1464</v>
      </c>
      <c r="I374" s="112">
        <v>22.258330180000002</v>
      </c>
    </row>
    <row r="375" spans="1:9">
      <c r="A375" s="112" t="s">
        <v>1482</v>
      </c>
      <c r="B375" s="112" t="s">
        <v>1508</v>
      </c>
      <c r="C375" s="112">
        <v>0</v>
      </c>
      <c r="D375" s="112" t="s">
        <v>1504</v>
      </c>
      <c r="E375" s="112" t="s">
        <v>1464</v>
      </c>
      <c r="F375" s="112" t="s">
        <v>1504</v>
      </c>
      <c r="G375" s="112" t="s">
        <v>1482</v>
      </c>
      <c r="H375" s="112" t="s">
        <v>1464</v>
      </c>
      <c r="I375" s="112">
        <v>0</v>
      </c>
    </row>
    <row r="376" spans="1:9">
      <c r="A376" s="112" t="s">
        <v>1483</v>
      </c>
      <c r="B376" s="112" t="s">
        <v>1508</v>
      </c>
      <c r="C376" s="112">
        <v>0</v>
      </c>
      <c r="D376" s="112" t="s">
        <v>1504</v>
      </c>
      <c r="E376" s="112" t="s">
        <v>1464</v>
      </c>
      <c r="F376" s="112" t="s">
        <v>1504</v>
      </c>
      <c r="G376" s="112" t="s">
        <v>1483</v>
      </c>
      <c r="H376" s="112" t="s">
        <v>1464</v>
      </c>
      <c r="I376" s="112">
        <v>108.4069597</v>
      </c>
    </row>
    <row r="377" spans="1:9">
      <c r="A377" s="112" t="s">
        <v>1484</v>
      </c>
      <c r="B377" s="112" t="s">
        <v>1508</v>
      </c>
      <c r="C377" s="112">
        <v>0</v>
      </c>
      <c r="D377" s="112" t="s">
        <v>1504</v>
      </c>
      <c r="E377" s="112" t="s">
        <v>1464</v>
      </c>
      <c r="F377" s="112" t="s">
        <v>1504</v>
      </c>
      <c r="G377" s="112" t="s">
        <v>1484</v>
      </c>
      <c r="H377" s="112" t="s">
        <v>1464</v>
      </c>
      <c r="I377" s="112">
        <v>0</v>
      </c>
    </row>
    <row r="378" spans="1:9">
      <c r="A378" s="112" t="s">
        <v>1485</v>
      </c>
      <c r="B378" s="112" t="s">
        <v>1508</v>
      </c>
      <c r="C378" s="112">
        <v>0</v>
      </c>
      <c r="D378" s="112" t="s">
        <v>1504</v>
      </c>
      <c r="E378" s="112" t="s">
        <v>1464</v>
      </c>
      <c r="F378" s="112" t="s">
        <v>1504</v>
      </c>
      <c r="G378" s="112" t="s">
        <v>1485</v>
      </c>
      <c r="H378" s="112" t="s">
        <v>1464</v>
      </c>
      <c r="I378" s="112">
        <v>17.361914899999999</v>
      </c>
    </row>
    <row r="379" spans="1:9">
      <c r="A379" s="112" t="s">
        <v>1486</v>
      </c>
      <c r="B379" s="112" t="s">
        <v>1508</v>
      </c>
      <c r="C379" s="112">
        <v>0</v>
      </c>
      <c r="D379" s="112" t="s">
        <v>1504</v>
      </c>
      <c r="E379" s="112" t="s">
        <v>1464</v>
      </c>
      <c r="F379" s="112" t="s">
        <v>1504</v>
      </c>
      <c r="G379" s="112" t="s">
        <v>1486</v>
      </c>
      <c r="H379" s="112" t="s">
        <v>1464</v>
      </c>
      <c r="I379" s="112">
        <v>0</v>
      </c>
    </row>
    <row r="380" spans="1:9">
      <c r="A380" s="112" t="s">
        <v>1487</v>
      </c>
      <c r="B380" s="112" t="s">
        <v>1508</v>
      </c>
      <c r="C380" s="112">
        <v>0</v>
      </c>
      <c r="D380" s="112" t="s">
        <v>1504</v>
      </c>
      <c r="E380" s="112" t="s">
        <v>1464</v>
      </c>
      <c r="F380" s="112" t="s">
        <v>1504</v>
      </c>
      <c r="G380" s="112" t="s">
        <v>1487</v>
      </c>
      <c r="H380" s="112" t="s">
        <v>1464</v>
      </c>
      <c r="I380" s="112">
        <v>22.985335360000001</v>
      </c>
    </row>
    <row r="381" spans="1:9">
      <c r="A381" s="112" t="s">
        <v>1488</v>
      </c>
      <c r="B381" s="112" t="s">
        <v>1508</v>
      </c>
      <c r="C381" s="112">
        <v>0</v>
      </c>
      <c r="D381" s="112" t="s">
        <v>1504</v>
      </c>
      <c r="E381" s="112" t="s">
        <v>1464</v>
      </c>
      <c r="F381" s="112" t="s">
        <v>1504</v>
      </c>
      <c r="G381" s="112" t="s">
        <v>1488</v>
      </c>
      <c r="H381" s="112" t="s">
        <v>1464</v>
      </c>
      <c r="I381" s="112">
        <v>14536.04142</v>
      </c>
    </row>
    <row r="382" spans="1:9">
      <c r="A382" s="112" t="s">
        <v>1489</v>
      </c>
      <c r="B382" s="112" t="s">
        <v>1508</v>
      </c>
      <c r="C382" s="112">
        <v>69.898705129999996</v>
      </c>
      <c r="D382" s="112" t="s">
        <v>1504</v>
      </c>
      <c r="E382" s="112" t="s">
        <v>1464</v>
      </c>
      <c r="F382" s="112" t="s">
        <v>1504</v>
      </c>
      <c r="G382" s="112" t="s">
        <v>1489</v>
      </c>
      <c r="H382" s="112" t="s">
        <v>1464</v>
      </c>
      <c r="I382" s="112">
        <v>174.7467628</v>
      </c>
    </row>
    <row r="383" spans="1:9">
      <c r="A383" s="112" t="s">
        <v>1490</v>
      </c>
      <c r="B383" s="112" t="s">
        <v>1508</v>
      </c>
      <c r="C383" s="112">
        <v>0</v>
      </c>
      <c r="D383" s="112" t="s">
        <v>1504</v>
      </c>
      <c r="E383" s="112" t="s">
        <v>1464</v>
      </c>
      <c r="F383" s="112" t="s">
        <v>1504</v>
      </c>
      <c r="G383" s="112" t="s">
        <v>1490</v>
      </c>
      <c r="H383" s="112" t="s">
        <v>1464</v>
      </c>
      <c r="I383" s="112">
        <v>0</v>
      </c>
    </row>
    <row r="384" spans="1:9">
      <c r="A384" s="112" t="s">
        <v>1461</v>
      </c>
      <c r="B384" s="112" t="s">
        <v>1509</v>
      </c>
      <c r="C384" s="112">
        <v>1646.7657360000001</v>
      </c>
      <c r="D384" s="112" t="s">
        <v>1504</v>
      </c>
      <c r="E384" s="112" t="s">
        <v>1464</v>
      </c>
      <c r="F384" s="112" t="s">
        <v>1504</v>
      </c>
      <c r="G384" s="112" t="s">
        <v>1461</v>
      </c>
      <c r="H384" s="112" t="s">
        <v>1464</v>
      </c>
      <c r="I384" s="112">
        <v>21955.760340000001</v>
      </c>
    </row>
    <row r="385" spans="1:9">
      <c r="A385" s="112" t="s">
        <v>1465</v>
      </c>
      <c r="B385" s="112" t="s">
        <v>1509</v>
      </c>
      <c r="C385" s="112">
        <v>0</v>
      </c>
      <c r="D385" s="112" t="s">
        <v>1504</v>
      </c>
      <c r="E385" s="112" t="s">
        <v>1464</v>
      </c>
      <c r="F385" s="112" t="s">
        <v>1504</v>
      </c>
      <c r="G385" s="112" t="s">
        <v>1465</v>
      </c>
      <c r="H385" s="112" t="s">
        <v>1464</v>
      </c>
      <c r="I385" s="112">
        <v>80.579390230000001</v>
      </c>
    </row>
    <row r="386" spans="1:9">
      <c r="A386" s="112" t="s">
        <v>1466</v>
      </c>
      <c r="B386" s="112" t="s">
        <v>1509</v>
      </c>
      <c r="C386" s="112">
        <v>0</v>
      </c>
      <c r="D386" s="112" t="s">
        <v>1504</v>
      </c>
      <c r="E386" s="112" t="s">
        <v>1464</v>
      </c>
      <c r="F386" s="112" t="s">
        <v>1504</v>
      </c>
      <c r="G386" s="112" t="s">
        <v>1466</v>
      </c>
      <c r="H386" s="112" t="s">
        <v>1464</v>
      </c>
      <c r="I386" s="112">
        <v>23.23825016</v>
      </c>
    </row>
    <row r="387" spans="1:9">
      <c r="A387" s="112" t="s">
        <v>1467</v>
      </c>
      <c r="B387" s="112" t="s">
        <v>1509</v>
      </c>
      <c r="C387" s="112">
        <v>149.34328959999999</v>
      </c>
      <c r="D387" s="112" t="s">
        <v>1504</v>
      </c>
      <c r="E387" s="112" t="s">
        <v>1464</v>
      </c>
      <c r="F387" s="112" t="s">
        <v>1504</v>
      </c>
      <c r="G387" s="112" t="s">
        <v>1467</v>
      </c>
      <c r="H387" s="112" t="s">
        <v>1464</v>
      </c>
      <c r="I387" s="112">
        <v>1159.410627</v>
      </c>
    </row>
    <row r="388" spans="1:9">
      <c r="A388" s="112" t="s">
        <v>1468</v>
      </c>
      <c r="B388" s="112" t="s">
        <v>1509</v>
      </c>
      <c r="C388" s="112">
        <v>10.82258891</v>
      </c>
      <c r="D388" s="112" t="s">
        <v>1504</v>
      </c>
      <c r="E388" s="112" t="s">
        <v>1464</v>
      </c>
      <c r="F388" s="112" t="s">
        <v>1504</v>
      </c>
      <c r="G388" s="112" t="s">
        <v>1468</v>
      </c>
      <c r="H388" s="112" t="s">
        <v>1464</v>
      </c>
      <c r="I388" s="112">
        <v>115.4409484</v>
      </c>
    </row>
    <row r="389" spans="1:9">
      <c r="A389" s="112" t="s">
        <v>1469</v>
      </c>
      <c r="B389" s="112" t="s">
        <v>1509</v>
      </c>
      <c r="C389" s="112">
        <v>0</v>
      </c>
      <c r="D389" s="112" t="s">
        <v>1504</v>
      </c>
      <c r="E389" s="112" t="s">
        <v>1464</v>
      </c>
      <c r="F389" s="112" t="s">
        <v>1504</v>
      </c>
      <c r="G389" s="112" t="s">
        <v>1469</v>
      </c>
      <c r="H389" s="112" t="s">
        <v>1464</v>
      </c>
      <c r="I389" s="112">
        <v>0</v>
      </c>
    </row>
    <row r="390" spans="1:9">
      <c r="A390" s="112" t="s">
        <v>1470</v>
      </c>
      <c r="B390" s="112" t="s">
        <v>1509</v>
      </c>
      <c r="C390" s="112">
        <v>0</v>
      </c>
      <c r="D390" s="112" t="s">
        <v>1504</v>
      </c>
      <c r="E390" s="112" t="s">
        <v>1464</v>
      </c>
      <c r="F390" s="112" t="s">
        <v>1504</v>
      </c>
      <c r="G390" s="112" t="s">
        <v>1470</v>
      </c>
      <c r="H390" s="112" t="s">
        <v>1464</v>
      </c>
      <c r="I390" s="112">
        <v>0</v>
      </c>
    </row>
    <row r="391" spans="1:9">
      <c r="A391" s="112" t="s">
        <v>1471</v>
      </c>
      <c r="B391" s="112" t="s">
        <v>1509</v>
      </c>
      <c r="C391" s="112">
        <v>511.07951009999999</v>
      </c>
      <c r="D391" s="112" t="s">
        <v>1504</v>
      </c>
      <c r="E391" s="112" t="s">
        <v>1464</v>
      </c>
      <c r="F391" s="112" t="s">
        <v>1504</v>
      </c>
      <c r="G391" s="112" t="s">
        <v>1471</v>
      </c>
      <c r="H391" s="112" t="s">
        <v>1464</v>
      </c>
      <c r="I391" s="112">
        <v>5904.4475140000004</v>
      </c>
    </row>
    <row r="392" spans="1:9">
      <c r="A392" s="112" t="s">
        <v>1472</v>
      </c>
      <c r="B392" s="112" t="s">
        <v>1509</v>
      </c>
      <c r="C392" s="112">
        <v>0</v>
      </c>
      <c r="D392" s="112" t="s">
        <v>1504</v>
      </c>
      <c r="E392" s="112" t="s">
        <v>1464</v>
      </c>
      <c r="F392" s="112" t="s">
        <v>1504</v>
      </c>
      <c r="G392" s="112" t="s">
        <v>1472</v>
      </c>
      <c r="H392" s="112" t="s">
        <v>1464</v>
      </c>
      <c r="I392" s="112">
        <v>0</v>
      </c>
    </row>
    <row r="393" spans="1:9">
      <c r="A393" s="112" t="s">
        <v>1473</v>
      </c>
      <c r="B393" s="112" t="s">
        <v>1509</v>
      </c>
      <c r="C393" s="112">
        <v>131.0368181</v>
      </c>
      <c r="D393" s="112" t="s">
        <v>1504</v>
      </c>
      <c r="E393" s="112" t="s">
        <v>1464</v>
      </c>
      <c r="F393" s="112" t="s">
        <v>1504</v>
      </c>
      <c r="G393" s="112" t="s">
        <v>1473</v>
      </c>
      <c r="H393" s="112" t="s">
        <v>1464</v>
      </c>
      <c r="I393" s="112">
        <v>779.88450520000004</v>
      </c>
    </row>
    <row r="394" spans="1:9">
      <c r="A394" s="112" t="s">
        <v>1474</v>
      </c>
      <c r="B394" s="112" t="s">
        <v>1509</v>
      </c>
      <c r="C394" s="112">
        <v>0</v>
      </c>
      <c r="D394" s="112" t="s">
        <v>1504</v>
      </c>
      <c r="E394" s="112" t="s">
        <v>1464</v>
      </c>
      <c r="F394" s="112" t="s">
        <v>1504</v>
      </c>
      <c r="G394" s="112" t="s">
        <v>1474</v>
      </c>
      <c r="H394" s="112" t="s">
        <v>1464</v>
      </c>
      <c r="I394" s="112">
        <v>0</v>
      </c>
    </row>
    <row r="395" spans="1:9">
      <c r="A395" s="112" t="s">
        <v>1475</v>
      </c>
      <c r="B395" s="112" t="s">
        <v>1509</v>
      </c>
      <c r="C395" s="112">
        <v>0</v>
      </c>
      <c r="D395" s="112" t="s">
        <v>1504</v>
      </c>
      <c r="E395" s="112" t="s">
        <v>1464</v>
      </c>
      <c r="F395" s="112" t="s">
        <v>1504</v>
      </c>
      <c r="G395" s="112" t="s">
        <v>1475</v>
      </c>
      <c r="H395" s="112" t="s">
        <v>1464</v>
      </c>
      <c r="I395" s="112">
        <v>0</v>
      </c>
    </row>
    <row r="396" spans="1:9">
      <c r="A396" s="112" t="s">
        <v>1476</v>
      </c>
      <c r="B396" s="112" t="s">
        <v>1509</v>
      </c>
      <c r="C396" s="112">
        <v>0</v>
      </c>
      <c r="D396" s="112" t="s">
        <v>1504</v>
      </c>
      <c r="E396" s="112" t="s">
        <v>1464</v>
      </c>
      <c r="F396" s="112" t="s">
        <v>1504</v>
      </c>
      <c r="G396" s="112" t="s">
        <v>1476</v>
      </c>
      <c r="H396" s="112" t="s">
        <v>1464</v>
      </c>
      <c r="I396" s="112">
        <v>0</v>
      </c>
    </row>
    <row r="397" spans="1:9">
      <c r="A397" s="112" t="s">
        <v>1477</v>
      </c>
      <c r="B397" s="112" t="s">
        <v>1509</v>
      </c>
      <c r="C397" s="112">
        <v>0</v>
      </c>
      <c r="D397" s="112" t="s">
        <v>1504</v>
      </c>
      <c r="E397" s="112" t="s">
        <v>1464</v>
      </c>
      <c r="F397" s="112" t="s">
        <v>1504</v>
      </c>
      <c r="G397" s="112" t="s">
        <v>1477</v>
      </c>
      <c r="H397" s="112" t="s">
        <v>1464</v>
      </c>
      <c r="I397" s="112">
        <v>0</v>
      </c>
    </row>
    <row r="398" spans="1:9">
      <c r="A398" s="112" t="s">
        <v>1478</v>
      </c>
      <c r="B398" s="112" t="s">
        <v>1509</v>
      </c>
      <c r="C398" s="112">
        <v>64.752970619999999</v>
      </c>
      <c r="D398" s="112" t="s">
        <v>1504</v>
      </c>
      <c r="E398" s="112" t="s">
        <v>1464</v>
      </c>
      <c r="F398" s="112" t="s">
        <v>1504</v>
      </c>
      <c r="G398" s="112" t="s">
        <v>1478</v>
      </c>
      <c r="H398" s="112" t="s">
        <v>1464</v>
      </c>
      <c r="I398" s="112">
        <v>1163.630116</v>
      </c>
    </row>
    <row r="399" spans="1:9">
      <c r="A399" s="112" t="s">
        <v>1479</v>
      </c>
      <c r="B399" s="112" t="s">
        <v>1509</v>
      </c>
      <c r="C399" s="112">
        <v>0</v>
      </c>
      <c r="D399" s="112" t="s">
        <v>1504</v>
      </c>
      <c r="E399" s="112" t="s">
        <v>1464</v>
      </c>
      <c r="F399" s="112" t="s">
        <v>1504</v>
      </c>
      <c r="G399" s="112" t="s">
        <v>1479</v>
      </c>
      <c r="H399" s="112" t="s">
        <v>1464</v>
      </c>
      <c r="I399" s="112">
        <v>0</v>
      </c>
    </row>
    <row r="400" spans="1:9">
      <c r="A400" s="112" t="s">
        <v>1480</v>
      </c>
      <c r="B400" s="112" t="s">
        <v>1509</v>
      </c>
      <c r="C400" s="112">
        <v>0</v>
      </c>
      <c r="D400" s="112" t="s">
        <v>1504</v>
      </c>
      <c r="E400" s="112" t="s">
        <v>1464</v>
      </c>
      <c r="F400" s="112" t="s">
        <v>1504</v>
      </c>
      <c r="G400" s="112" t="s">
        <v>1480</v>
      </c>
      <c r="H400" s="112" t="s">
        <v>1464</v>
      </c>
      <c r="I400" s="112">
        <v>0</v>
      </c>
    </row>
    <row r="401" spans="1:9">
      <c r="A401" s="112" t="s">
        <v>1481</v>
      </c>
      <c r="B401" s="112" t="s">
        <v>1509</v>
      </c>
      <c r="C401" s="112">
        <v>0</v>
      </c>
      <c r="D401" s="112" t="s">
        <v>1504</v>
      </c>
      <c r="E401" s="112" t="s">
        <v>1464</v>
      </c>
      <c r="F401" s="112" t="s">
        <v>1504</v>
      </c>
      <c r="G401" s="112" t="s">
        <v>1481</v>
      </c>
      <c r="H401" s="112" t="s">
        <v>1464</v>
      </c>
      <c r="I401" s="112">
        <v>22.258330180000002</v>
      </c>
    </row>
    <row r="402" spans="1:9">
      <c r="A402" s="112" t="s">
        <v>1482</v>
      </c>
      <c r="B402" s="112" t="s">
        <v>1509</v>
      </c>
      <c r="C402" s="112">
        <v>0</v>
      </c>
      <c r="D402" s="112" t="s">
        <v>1504</v>
      </c>
      <c r="E402" s="112" t="s">
        <v>1464</v>
      </c>
      <c r="F402" s="112" t="s">
        <v>1504</v>
      </c>
      <c r="G402" s="112" t="s">
        <v>1482</v>
      </c>
      <c r="H402" s="112" t="s">
        <v>1464</v>
      </c>
      <c r="I402" s="112">
        <v>0</v>
      </c>
    </row>
    <row r="403" spans="1:9">
      <c r="A403" s="112" t="s">
        <v>1483</v>
      </c>
      <c r="B403" s="112" t="s">
        <v>1509</v>
      </c>
      <c r="C403" s="112">
        <v>54.203479860000002</v>
      </c>
      <c r="D403" s="112" t="s">
        <v>1504</v>
      </c>
      <c r="E403" s="112" t="s">
        <v>1464</v>
      </c>
      <c r="F403" s="112" t="s">
        <v>1504</v>
      </c>
      <c r="G403" s="112" t="s">
        <v>1483</v>
      </c>
      <c r="H403" s="112" t="s">
        <v>1464</v>
      </c>
      <c r="I403" s="112">
        <v>108.4069597</v>
      </c>
    </row>
    <row r="404" spans="1:9">
      <c r="A404" s="112" t="s">
        <v>1484</v>
      </c>
      <c r="B404" s="112" t="s">
        <v>1509</v>
      </c>
      <c r="C404" s="112">
        <v>0</v>
      </c>
      <c r="D404" s="112" t="s">
        <v>1504</v>
      </c>
      <c r="E404" s="112" t="s">
        <v>1464</v>
      </c>
      <c r="F404" s="112" t="s">
        <v>1504</v>
      </c>
      <c r="G404" s="112" t="s">
        <v>1484</v>
      </c>
      <c r="H404" s="112" t="s">
        <v>1464</v>
      </c>
      <c r="I404" s="112">
        <v>0</v>
      </c>
    </row>
    <row r="405" spans="1:9">
      <c r="A405" s="112" t="s">
        <v>1485</v>
      </c>
      <c r="B405" s="112" t="s">
        <v>1509</v>
      </c>
      <c r="C405" s="112">
        <v>0</v>
      </c>
      <c r="D405" s="112" t="s">
        <v>1504</v>
      </c>
      <c r="E405" s="112" t="s">
        <v>1464</v>
      </c>
      <c r="F405" s="112" t="s">
        <v>1504</v>
      </c>
      <c r="G405" s="112" t="s">
        <v>1485</v>
      </c>
      <c r="H405" s="112" t="s">
        <v>1464</v>
      </c>
      <c r="I405" s="112">
        <v>17.361914899999999</v>
      </c>
    </row>
    <row r="406" spans="1:9">
      <c r="A406" s="112" t="s">
        <v>1486</v>
      </c>
      <c r="B406" s="112" t="s">
        <v>1509</v>
      </c>
      <c r="C406" s="112">
        <v>0</v>
      </c>
      <c r="D406" s="112" t="s">
        <v>1504</v>
      </c>
      <c r="E406" s="112" t="s">
        <v>1464</v>
      </c>
      <c r="F406" s="112" t="s">
        <v>1504</v>
      </c>
      <c r="G406" s="112" t="s">
        <v>1486</v>
      </c>
      <c r="H406" s="112" t="s">
        <v>1464</v>
      </c>
      <c r="I406" s="112">
        <v>0</v>
      </c>
    </row>
    <row r="407" spans="1:9">
      <c r="A407" s="112" t="s">
        <v>1487</v>
      </c>
      <c r="B407" s="112" t="s">
        <v>1509</v>
      </c>
      <c r="C407" s="112">
        <v>0</v>
      </c>
      <c r="D407" s="112" t="s">
        <v>1504</v>
      </c>
      <c r="E407" s="112" t="s">
        <v>1464</v>
      </c>
      <c r="F407" s="112" t="s">
        <v>1504</v>
      </c>
      <c r="G407" s="112" t="s">
        <v>1487</v>
      </c>
      <c r="H407" s="112" t="s">
        <v>1464</v>
      </c>
      <c r="I407" s="112">
        <v>22.985335360000001</v>
      </c>
    </row>
    <row r="408" spans="1:9">
      <c r="A408" s="112" t="s">
        <v>1488</v>
      </c>
      <c r="B408" s="112" t="s">
        <v>1509</v>
      </c>
      <c r="C408" s="112">
        <v>238.94862599999999</v>
      </c>
      <c r="D408" s="112" t="s">
        <v>1504</v>
      </c>
      <c r="E408" s="112" t="s">
        <v>1464</v>
      </c>
      <c r="F408" s="112" t="s">
        <v>1504</v>
      </c>
      <c r="G408" s="112" t="s">
        <v>1488</v>
      </c>
      <c r="H408" s="112" t="s">
        <v>1464</v>
      </c>
      <c r="I408" s="112">
        <v>14536.04142</v>
      </c>
    </row>
    <row r="409" spans="1:9">
      <c r="A409" s="112" t="s">
        <v>1489</v>
      </c>
      <c r="B409" s="112" t="s">
        <v>1509</v>
      </c>
      <c r="C409" s="112">
        <v>23.29956838</v>
      </c>
      <c r="D409" s="112" t="s">
        <v>1504</v>
      </c>
      <c r="E409" s="112" t="s">
        <v>1464</v>
      </c>
      <c r="F409" s="112" t="s">
        <v>1504</v>
      </c>
      <c r="G409" s="112" t="s">
        <v>1489</v>
      </c>
      <c r="H409" s="112" t="s">
        <v>1464</v>
      </c>
      <c r="I409" s="112">
        <v>174.7467628</v>
      </c>
    </row>
    <row r="410" spans="1:9">
      <c r="A410" s="112" t="s">
        <v>1490</v>
      </c>
      <c r="B410" s="112" t="s">
        <v>1509</v>
      </c>
      <c r="C410" s="112">
        <v>0</v>
      </c>
      <c r="D410" s="112" t="s">
        <v>1504</v>
      </c>
      <c r="E410" s="112" t="s">
        <v>1464</v>
      </c>
      <c r="F410" s="112" t="s">
        <v>1504</v>
      </c>
      <c r="G410" s="112" t="s">
        <v>1490</v>
      </c>
      <c r="H410" s="112" t="s">
        <v>1464</v>
      </c>
      <c r="I410" s="112">
        <v>0</v>
      </c>
    </row>
    <row r="411" spans="1:9">
      <c r="A411" s="112" t="s">
        <v>1461</v>
      </c>
      <c r="B411" s="112" t="s">
        <v>1510</v>
      </c>
      <c r="C411" s="112">
        <v>1149.1866620000001</v>
      </c>
      <c r="D411" s="112" t="s">
        <v>1511</v>
      </c>
      <c r="E411" s="112" t="s">
        <v>1512</v>
      </c>
      <c r="F411" s="112" t="s">
        <v>1511</v>
      </c>
      <c r="G411" s="112" t="s">
        <v>1461</v>
      </c>
      <c r="H411" s="112" t="s">
        <v>1512</v>
      </c>
      <c r="I411" s="112">
        <v>3559.3980820000002</v>
      </c>
    </row>
    <row r="412" spans="1:9">
      <c r="A412" s="112" t="s">
        <v>1465</v>
      </c>
      <c r="B412" s="112" t="s">
        <v>1510</v>
      </c>
      <c r="C412" s="112">
        <v>2256.2229269999998</v>
      </c>
      <c r="D412" s="112" t="s">
        <v>1511</v>
      </c>
      <c r="E412" s="112" t="s">
        <v>1512</v>
      </c>
      <c r="F412" s="112" t="s">
        <v>1511</v>
      </c>
      <c r="G412" s="112" t="s">
        <v>1465</v>
      </c>
      <c r="H412" s="112" t="s">
        <v>1512</v>
      </c>
      <c r="I412" s="112">
        <v>7073.8937420000002</v>
      </c>
    </row>
    <row r="413" spans="1:9">
      <c r="A413" s="112" t="s">
        <v>1466</v>
      </c>
      <c r="B413" s="112" t="s">
        <v>1510</v>
      </c>
      <c r="C413" s="112">
        <v>162.6677511</v>
      </c>
      <c r="D413" s="112" t="s">
        <v>1511</v>
      </c>
      <c r="E413" s="112" t="s">
        <v>1512</v>
      </c>
      <c r="F413" s="112" t="s">
        <v>1511</v>
      </c>
      <c r="G413" s="112" t="s">
        <v>1466</v>
      </c>
      <c r="H413" s="112" t="s">
        <v>1512</v>
      </c>
      <c r="I413" s="112">
        <v>197.52512630000001</v>
      </c>
    </row>
    <row r="414" spans="1:9">
      <c r="A414" s="112" t="s">
        <v>1467</v>
      </c>
      <c r="B414" s="112" t="s">
        <v>1510</v>
      </c>
      <c r="C414" s="112">
        <v>591.37275820000002</v>
      </c>
      <c r="D414" s="112" t="s">
        <v>1511</v>
      </c>
      <c r="E414" s="112" t="s">
        <v>1512</v>
      </c>
      <c r="F414" s="112" t="s">
        <v>1511</v>
      </c>
      <c r="G414" s="112" t="s">
        <v>1467</v>
      </c>
      <c r="H414" s="112" t="s">
        <v>1512</v>
      </c>
      <c r="I414" s="112">
        <v>1770.1180079999999</v>
      </c>
    </row>
    <row r="415" spans="1:9">
      <c r="A415" s="112" t="s">
        <v>1468</v>
      </c>
      <c r="B415" s="112" t="s">
        <v>1510</v>
      </c>
      <c r="C415" s="112">
        <v>2932.9215939999999</v>
      </c>
      <c r="D415" s="112" t="s">
        <v>1511</v>
      </c>
      <c r="E415" s="112" t="s">
        <v>1512</v>
      </c>
      <c r="F415" s="112" t="s">
        <v>1511</v>
      </c>
      <c r="G415" s="112" t="s">
        <v>1468</v>
      </c>
      <c r="H415" s="112" t="s">
        <v>1512</v>
      </c>
      <c r="I415" s="112">
        <v>7593.8498829999999</v>
      </c>
    </row>
    <row r="416" spans="1:9">
      <c r="A416" s="112" t="s">
        <v>1469</v>
      </c>
      <c r="B416" s="112" t="s">
        <v>1510</v>
      </c>
      <c r="C416" s="112">
        <v>48.073225139999998</v>
      </c>
      <c r="D416" s="112" t="s">
        <v>1511</v>
      </c>
      <c r="E416" s="112" t="s">
        <v>1512</v>
      </c>
      <c r="F416" s="112" t="s">
        <v>1511</v>
      </c>
      <c r="G416" s="112" t="s">
        <v>1469</v>
      </c>
      <c r="H416" s="112" t="s">
        <v>1512</v>
      </c>
      <c r="I416" s="112">
        <v>57.687870169999997</v>
      </c>
    </row>
    <row r="417" spans="1:9">
      <c r="A417" s="112" t="s">
        <v>1470</v>
      </c>
      <c r="B417" s="112" t="s">
        <v>1510</v>
      </c>
      <c r="C417" s="112">
        <v>0</v>
      </c>
      <c r="D417" s="112" t="s">
        <v>1511</v>
      </c>
      <c r="E417" s="112" t="s">
        <v>1512</v>
      </c>
      <c r="F417" s="112" t="s">
        <v>1511</v>
      </c>
      <c r="G417" s="112" t="s">
        <v>1470</v>
      </c>
      <c r="H417" s="112" t="s">
        <v>1512</v>
      </c>
      <c r="I417" s="112">
        <v>751.25835770000003</v>
      </c>
    </row>
    <row r="418" spans="1:9">
      <c r="A418" s="112" t="s">
        <v>1471</v>
      </c>
      <c r="B418" s="112" t="s">
        <v>1510</v>
      </c>
      <c r="C418" s="112">
        <v>1208.8407569999999</v>
      </c>
      <c r="D418" s="112" t="s">
        <v>1511</v>
      </c>
      <c r="E418" s="112" t="s">
        <v>1512</v>
      </c>
      <c r="F418" s="112" t="s">
        <v>1511</v>
      </c>
      <c r="G418" s="112" t="s">
        <v>1471</v>
      </c>
      <c r="H418" s="112" t="s">
        <v>1512</v>
      </c>
      <c r="I418" s="112">
        <v>2932.3314399999999</v>
      </c>
    </row>
    <row r="419" spans="1:9">
      <c r="A419" s="112" t="s">
        <v>1472</v>
      </c>
      <c r="B419" s="112" t="s">
        <v>1510</v>
      </c>
      <c r="C419" s="112">
        <v>0</v>
      </c>
      <c r="D419" s="112" t="s">
        <v>1511</v>
      </c>
      <c r="E419" s="112" t="s">
        <v>1512</v>
      </c>
      <c r="F419" s="112" t="s">
        <v>1511</v>
      </c>
      <c r="G419" s="112" t="s">
        <v>1472</v>
      </c>
      <c r="H419" s="112" t="s">
        <v>1512</v>
      </c>
      <c r="I419" s="112">
        <v>0</v>
      </c>
    </row>
    <row r="420" spans="1:9">
      <c r="A420" s="112" t="s">
        <v>1473</v>
      </c>
      <c r="B420" s="112" t="s">
        <v>1510</v>
      </c>
      <c r="C420" s="112">
        <v>246.8662684</v>
      </c>
      <c r="D420" s="112" t="s">
        <v>1511</v>
      </c>
      <c r="E420" s="112" t="s">
        <v>1512</v>
      </c>
      <c r="F420" s="112" t="s">
        <v>1511</v>
      </c>
      <c r="G420" s="112" t="s">
        <v>1473</v>
      </c>
      <c r="H420" s="112" t="s">
        <v>1512</v>
      </c>
      <c r="I420" s="112">
        <v>1071.1055960000001</v>
      </c>
    </row>
    <row r="421" spans="1:9">
      <c r="A421" s="112" t="s">
        <v>1474</v>
      </c>
      <c r="B421" s="112" t="s">
        <v>1510</v>
      </c>
      <c r="C421" s="112">
        <v>0</v>
      </c>
      <c r="D421" s="112" t="s">
        <v>1511</v>
      </c>
      <c r="E421" s="112" t="s">
        <v>1512</v>
      </c>
      <c r="F421" s="112" t="s">
        <v>1511</v>
      </c>
      <c r="G421" s="112" t="s">
        <v>1474</v>
      </c>
      <c r="H421" s="112" t="s">
        <v>1512</v>
      </c>
      <c r="I421" s="112">
        <v>11.061335100000001</v>
      </c>
    </row>
    <row r="422" spans="1:9">
      <c r="A422" s="112" t="s">
        <v>1475</v>
      </c>
      <c r="B422" s="112" t="s">
        <v>1510</v>
      </c>
      <c r="C422" s="112">
        <v>31.754096279999999</v>
      </c>
      <c r="D422" s="112" t="s">
        <v>1511</v>
      </c>
      <c r="E422" s="112" t="s">
        <v>1512</v>
      </c>
      <c r="F422" s="112" t="s">
        <v>1511</v>
      </c>
      <c r="G422" s="112" t="s">
        <v>1475</v>
      </c>
      <c r="H422" s="112" t="s">
        <v>1512</v>
      </c>
      <c r="I422" s="112">
        <v>31.754096279999999</v>
      </c>
    </row>
    <row r="423" spans="1:9">
      <c r="A423" s="112" t="s">
        <v>1476</v>
      </c>
      <c r="B423" s="112" t="s">
        <v>1510</v>
      </c>
      <c r="C423" s="112">
        <v>0</v>
      </c>
      <c r="D423" s="112" t="s">
        <v>1511</v>
      </c>
      <c r="E423" s="112" t="s">
        <v>1512</v>
      </c>
      <c r="F423" s="112" t="s">
        <v>1511</v>
      </c>
      <c r="G423" s="112" t="s">
        <v>1476</v>
      </c>
      <c r="H423" s="112" t="s">
        <v>1512</v>
      </c>
      <c r="I423" s="112">
        <v>0</v>
      </c>
    </row>
    <row r="424" spans="1:9">
      <c r="A424" s="112" t="s">
        <v>1477</v>
      </c>
      <c r="B424" s="112" t="s">
        <v>1510</v>
      </c>
      <c r="C424" s="112">
        <v>0</v>
      </c>
      <c r="D424" s="112" t="s">
        <v>1511</v>
      </c>
      <c r="E424" s="112" t="s">
        <v>1512</v>
      </c>
      <c r="F424" s="112" t="s">
        <v>1511</v>
      </c>
      <c r="G424" s="112" t="s">
        <v>1477</v>
      </c>
      <c r="H424" s="112" t="s">
        <v>1512</v>
      </c>
      <c r="I424" s="112">
        <v>0</v>
      </c>
    </row>
    <row r="425" spans="1:9">
      <c r="A425" s="112" t="s">
        <v>1478</v>
      </c>
      <c r="B425" s="112" t="s">
        <v>1510</v>
      </c>
      <c r="C425" s="112">
        <v>485.3267204</v>
      </c>
      <c r="D425" s="112" t="s">
        <v>1511</v>
      </c>
      <c r="E425" s="112" t="s">
        <v>1512</v>
      </c>
      <c r="F425" s="112" t="s">
        <v>1511</v>
      </c>
      <c r="G425" s="112" t="s">
        <v>1478</v>
      </c>
      <c r="H425" s="112" t="s">
        <v>1512</v>
      </c>
      <c r="I425" s="112">
        <v>1523.9387240000001</v>
      </c>
    </row>
    <row r="426" spans="1:9">
      <c r="A426" s="112" t="s">
        <v>1479</v>
      </c>
      <c r="B426" s="112" t="s">
        <v>1510</v>
      </c>
      <c r="C426" s="112">
        <v>669.7923644</v>
      </c>
      <c r="D426" s="112" t="s">
        <v>1511</v>
      </c>
      <c r="E426" s="112" t="s">
        <v>1512</v>
      </c>
      <c r="F426" s="112" t="s">
        <v>1511</v>
      </c>
      <c r="G426" s="112" t="s">
        <v>1479</v>
      </c>
      <c r="H426" s="112" t="s">
        <v>1512</v>
      </c>
      <c r="I426" s="112">
        <v>837.24045550000005</v>
      </c>
    </row>
    <row r="427" spans="1:9">
      <c r="A427" s="112" t="s">
        <v>1480</v>
      </c>
      <c r="B427" s="112" t="s">
        <v>1510</v>
      </c>
      <c r="C427" s="112">
        <v>7.9697150829999996</v>
      </c>
      <c r="D427" s="112" t="s">
        <v>1511</v>
      </c>
      <c r="E427" s="112" t="s">
        <v>1512</v>
      </c>
      <c r="F427" s="112" t="s">
        <v>1511</v>
      </c>
      <c r="G427" s="112" t="s">
        <v>1480</v>
      </c>
      <c r="H427" s="112" t="s">
        <v>1512</v>
      </c>
      <c r="I427" s="112">
        <v>23.909145250000002</v>
      </c>
    </row>
    <row r="428" spans="1:9">
      <c r="A428" s="112" t="s">
        <v>1481</v>
      </c>
      <c r="B428" s="112" t="s">
        <v>1510</v>
      </c>
      <c r="C428" s="112">
        <v>600.97491490000004</v>
      </c>
      <c r="D428" s="112" t="s">
        <v>1511</v>
      </c>
      <c r="E428" s="112" t="s">
        <v>1512</v>
      </c>
      <c r="F428" s="112" t="s">
        <v>1511</v>
      </c>
      <c r="G428" s="112" t="s">
        <v>1481</v>
      </c>
      <c r="H428" s="112" t="s">
        <v>1512</v>
      </c>
      <c r="I428" s="112">
        <v>1980.9913859999999</v>
      </c>
    </row>
    <row r="429" spans="1:9">
      <c r="A429" s="112" t="s">
        <v>1482</v>
      </c>
      <c r="B429" s="112" t="s">
        <v>1510</v>
      </c>
      <c r="C429" s="112">
        <v>0</v>
      </c>
      <c r="D429" s="112" t="s">
        <v>1511</v>
      </c>
      <c r="E429" s="112" t="s">
        <v>1512</v>
      </c>
      <c r="F429" s="112" t="s">
        <v>1511</v>
      </c>
      <c r="G429" s="112" t="s">
        <v>1482</v>
      </c>
      <c r="H429" s="112" t="s">
        <v>1512</v>
      </c>
      <c r="I429" s="112">
        <v>0</v>
      </c>
    </row>
    <row r="430" spans="1:9">
      <c r="A430" s="112" t="s">
        <v>1483</v>
      </c>
      <c r="B430" s="112" t="s">
        <v>1510</v>
      </c>
      <c r="C430" s="112">
        <v>2493.3600740000002</v>
      </c>
      <c r="D430" s="112" t="s">
        <v>1511</v>
      </c>
      <c r="E430" s="112" t="s">
        <v>1512</v>
      </c>
      <c r="F430" s="112" t="s">
        <v>1511</v>
      </c>
      <c r="G430" s="112" t="s">
        <v>1483</v>
      </c>
      <c r="H430" s="112" t="s">
        <v>1512</v>
      </c>
      <c r="I430" s="112">
        <v>4119.4644699999999</v>
      </c>
    </row>
    <row r="431" spans="1:9">
      <c r="A431" s="112" t="s">
        <v>1484</v>
      </c>
      <c r="B431" s="112" t="s">
        <v>1510</v>
      </c>
      <c r="C431" s="112">
        <v>60.060060059999998</v>
      </c>
      <c r="D431" s="112" t="s">
        <v>1511</v>
      </c>
      <c r="E431" s="112" t="s">
        <v>1512</v>
      </c>
      <c r="F431" s="112" t="s">
        <v>1511</v>
      </c>
      <c r="G431" s="112" t="s">
        <v>1484</v>
      </c>
      <c r="H431" s="112" t="s">
        <v>1512</v>
      </c>
      <c r="I431" s="112">
        <v>180.1801802</v>
      </c>
    </row>
    <row r="432" spans="1:9">
      <c r="A432" s="112" t="s">
        <v>1485</v>
      </c>
      <c r="B432" s="112" t="s">
        <v>1510</v>
      </c>
      <c r="C432" s="112">
        <v>23.14921987</v>
      </c>
      <c r="D432" s="112" t="s">
        <v>1511</v>
      </c>
      <c r="E432" s="112" t="s">
        <v>1512</v>
      </c>
      <c r="F432" s="112" t="s">
        <v>1511</v>
      </c>
      <c r="G432" s="112" t="s">
        <v>1485</v>
      </c>
      <c r="H432" s="112" t="s">
        <v>1512</v>
      </c>
      <c r="I432" s="112">
        <v>28.936524840000001</v>
      </c>
    </row>
    <row r="433" spans="1:9">
      <c r="A433" s="112" t="s">
        <v>1486</v>
      </c>
      <c r="B433" s="112" t="s">
        <v>1510</v>
      </c>
      <c r="C433" s="112">
        <v>886.59032139999999</v>
      </c>
      <c r="D433" s="112" t="s">
        <v>1511</v>
      </c>
      <c r="E433" s="112" t="s">
        <v>1512</v>
      </c>
      <c r="F433" s="112" t="s">
        <v>1511</v>
      </c>
      <c r="G433" s="112" t="s">
        <v>1486</v>
      </c>
      <c r="H433" s="112" t="s">
        <v>1512</v>
      </c>
      <c r="I433" s="112">
        <v>2438.123384</v>
      </c>
    </row>
    <row r="434" spans="1:9">
      <c r="A434" s="112" t="s">
        <v>1487</v>
      </c>
      <c r="B434" s="112" t="s">
        <v>1510</v>
      </c>
      <c r="C434" s="112">
        <v>5056.7737779999998</v>
      </c>
      <c r="D434" s="112" t="s">
        <v>1511</v>
      </c>
      <c r="E434" s="112" t="s">
        <v>1512</v>
      </c>
      <c r="F434" s="112" t="s">
        <v>1511</v>
      </c>
      <c r="G434" s="112" t="s">
        <v>1487</v>
      </c>
      <c r="H434" s="112" t="s">
        <v>1512</v>
      </c>
      <c r="I434" s="112">
        <v>9607.8701789999996</v>
      </c>
    </row>
    <row r="435" spans="1:9">
      <c r="A435" s="112" t="s">
        <v>1488</v>
      </c>
      <c r="B435" s="112" t="s">
        <v>1510</v>
      </c>
      <c r="C435" s="112">
        <v>3584.2293909999999</v>
      </c>
      <c r="D435" s="112" t="s">
        <v>1511</v>
      </c>
      <c r="E435" s="112" t="s">
        <v>1512</v>
      </c>
      <c r="F435" s="112" t="s">
        <v>1511</v>
      </c>
      <c r="G435" s="112" t="s">
        <v>1488</v>
      </c>
      <c r="H435" s="112" t="s">
        <v>1512</v>
      </c>
      <c r="I435" s="112">
        <v>9597.7698130000008</v>
      </c>
    </row>
    <row r="436" spans="1:9">
      <c r="A436" s="112" t="s">
        <v>1489</v>
      </c>
      <c r="B436" s="112" t="s">
        <v>1510</v>
      </c>
      <c r="C436" s="112">
        <v>570.83942520000005</v>
      </c>
      <c r="D436" s="112" t="s">
        <v>1511</v>
      </c>
      <c r="E436" s="112" t="s">
        <v>1512</v>
      </c>
      <c r="F436" s="112" t="s">
        <v>1511</v>
      </c>
      <c r="G436" s="112" t="s">
        <v>1489</v>
      </c>
      <c r="H436" s="112" t="s">
        <v>1512</v>
      </c>
      <c r="I436" s="112">
        <v>1217.402448</v>
      </c>
    </row>
    <row r="437" spans="1:9">
      <c r="A437" s="112" t="s">
        <v>1490</v>
      </c>
      <c r="B437" s="112" t="s">
        <v>1510</v>
      </c>
      <c r="C437" s="112">
        <v>0</v>
      </c>
      <c r="D437" s="112" t="s">
        <v>1511</v>
      </c>
      <c r="E437" s="112" t="s">
        <v>1512</v>
      </c>
      <c r="F437" s="112" t="s">
        <v>1511</v>
      </c>
      <c r="G437" s="112" t="s">
        <v>1490</v>
      </c>
      <c r="H437" s="112" t="s">
        <v>1512</v>
      </c>
      <c r="I437" s="112">
        <v>0</v>
      </c>
    </row>
    <row r="438" spans="1:9">
      <c r="A438" s="112" t="s">
        <v>1461</v>
      </c>
      <c r="B438" s="112" t="s">
        <v>1513</v>
      </c>
      <c r="C438" s="112">
        <v>695.13738669999998</v>
      </c>
      <c r="D438" s="112" t="s">
        <v>1511</v>
      </c>
      <c r="E438" s="112" t="s">
        <v>1512</v>
      </c>
      <c r="F438" s="112" t="s">
        <v>1511</v>
      </c>
      <c r="G438" s="112" t="s">
        <v>1461</v>
      </c>
      <c r="H438" s="112" t="s">
        <v>1512</v>
      </c>
      <c r="I438" s="112">
        <v>3559.3980820000002</v>
      </c>
    </row>
    <row r="439" spans="1:9">
      <c r="A439" s="112" t="s">
        <v>1465</v>
      </c>
      <c r="B439" s="112" t="s">
        <v>1513</v>
      </c>
      <c r="C439" s="112">
        <v>1489.4978189999999</v>
      </c>
      <c r="D439" s="112" t="s">
        <v>1511</v>
      </c>
      <c r="E439" s="112" t="s">
        <v>1512</v>
      </c>
      <c r="F439" s="112" t="s">
        <v>1511</v>
      </c>
      <c r="G439" s="112" t="s">
        <v>1465</v>
      </c>
      <c r="H439" s="112" t="s">
        <v>1512</v>
      </c>
      <c r="I439" s="112">
        <v>7073.8937420000002</v>
      </c>
    </row>
    <row r="440" spans="1:9">
      <c r="A440" s="112" t="s">
        <v>1466</v>
      </c>
      <c r="B440" s="112" t="s">
        <v>1513</v>
      </c>
      <c r="C440" s="112">
        <v>34.857375240000003</v>
      </c>
      <c r="D440" s="112" t="s">
        <v>1511</v>
      </c>
      <c r="E440" s="112" t="s">
        <v>1512</v>
      </c>
      <c r="F440" s="112" t="s">
        <v>1511</v>
      </c>
      <c r="G440" s="112" t="s">
        <v>1466</v>
      </c>
      <c r="H440" s="112" t="s">
        <v>1512</v>
      </c>
      <c r="I440" s="112">
        <v>197.52512630000001</v>
      </c>
    </row>
    <row r="441" spans="1:9">
      <c r="A441" s="112" t="s">
        <v>1467</v>
      </c>
      <c r="B441" s="112" t="s">
        <v>1513</v>
      </c>
      <c r="C441" s="112">
        <v>300.02000129999999</v>
      </c>
      <c r="D441" s="112" t="s">
        <v>1511</v>
      </c>
      <c r="E441" s="112" t="s">
        <v>1512</v>
      </c>
      <c r="F441" s="112" t="s">
        <v>1511</v>
      </c>
      <c r="G441" s="112" t="s">
        <v>1467</v>
      </c>
      <c r="H441" s="112" t="s">
        <v>1512</v>
      </c>
      <c r="I441" s="112">
        <v>1770.1180079999999</v>
      </c>
    </row>
    <row r="442" spans="1:9">
      <c r="A442" s="112" t="s">
        <v>1468</v>
      </c>
      <c r="B442" s="112" t="s">
        <v>1513</v>
      </c>
      <c r="C442" s="112">
        <v>1681.1088099999999</v>
      </c>
      <c r="D442" s="112" t="s">
        <v>1511</v>
      </c>
      <c r="E442" s="112" t="s">
        <v>1512</v>
      </c>
      <c r="F442" s="112" t="s">
        <v>1511</v>
      </c>
      <c r="G442" s="112" t="s">
        <v>1468</v>
      </c>
      <c r="H442" s="112" t="s">
        <v>1512</v>
      </c>
      <c r="I442" s="112">
        <v>7593.8498829999999</v>
      </c>
    </row>
    <row r="443" spans="1:9">
      <c r="A443" s="112" t="s">
        <v>1469</v>
      </c>
      <c r="B443" s="112" t="s">
        <v>1513</v>
      </c>
      <c r="C443" s="112">
        <v>0</v>
      </c>
      <c r="D443" s="112" t="s">
        <v>1511</v>
      </c>
      <c r="E443" s="112" t="s">
        <v>1512</v>
      </c>
      <c r="F443" s="112" t="s">
        <v>1511</v>
      </c>
      <c r="G443" s="112" t="s">
        <v>1469</v>
      </c>
      <c r="H443" s="112" t="s">
        <v>1512</v>
      </c>
      <c r="I443" s="112">
        <v>57.687870169999997</v>
      </c>
    </row>
    <row r="444" spans="1:9">
      <c r="A444" s="112" t="s">
        <v>1470</v>
      </c>
      <c r="B444" s="112" t="s">
        <v>1513</v>
      </c>
      <c r="C444" s="112">
        <v>0</v>
      </c>
      <c r="D444" s="112" t="s">
        <v>1511</v>
      </c>
      <c r="E444" s="112" t="s">
        <v>1512</v>
      </c>
      <c r="F444" s="112" t="s">
        <v>1511</v>
      </c>
      <c r="G444" s="112" t="s">
        <v>1470</v>
      </c>
      <c r="H444" s="112" t="s">
        <v>1512</v>
      </c>
      <c r="I444" s="112">
        <v>751.25835770000003</v>
      </c>
    </row>
    <row r="445" spans="1:9">
      <c r="A445" s="112" t="s">
        <v>1471</v>
      </c>
      <c r="B445" s="112" t="s">
        <v>1513</v>
      </c>
      <c r="C445" s="112">
        <v>591.15883450000001</v>
      </c>
      <c r="D445" s="112" t="s">
        <v>1511</v>
      </c>
      <c r="E445" s="112" t="s">
        <v>1512</v>
      </c>
      <c r="F445" s="112" t="s">
        <v>1511</v>
      </c>
      <c r="G445" s="112" t="s">
        <v>1471</v>
      </c>
      <c r="H445" s="112" t="s">
        <v>1512</v>
      </c>
      <c r="I445" s="112">
        <v>2932.3314399999999</v>
      </c>
    </row>
    <row r="446" spans="1:9">
      <c r="A446" s="112" t="s">
        <v>1472</v>
      </c>
      <c r="B446" s="112" t="s">
        <v>1513</v>
      </c>
      <c r="C446" s="112">
        <v>0</v>
      </c>
      <c r="D446" s="112" t="s">
        <v>1511</v>
      </c>
      <c r="E446" s="112" t="s">
        <v>1512</v>
      </c>
      <c r="F446" s="112" t="s">
        <v>1511</v>
      </c>
      <c r="G446" s="112" t="s">
        <v>1472</v>
      </c>
      <c r="H446" s="112" t="s">
        <v>1512</v>
      </c>
      <c r="I446" s="112">
        <v>0</v>
      </c>
    </row>
    <row r="447" spans="1:9">
      <c r="A447" s="112" t="s">
        <v>1473</v>
      </c>
      <c r="B447" s="112" t="s">
        <v>1513</v>
      </c>
      <c r="C447" s="112">
        <v>282.09667020000001</v>
      </c>
      <c r="D447" s="112" t="s">
        <v>1511</v>
      </c>
      <c r="E447" s="112" t="s">
        <v>1512</v>
      </c>
      <c r="F447" s="112" t="s">
        <v>1511</v>
      </c>
      <c r="G447" s="112" t="s">
        <v>1473</v>
      </c>
      <c r="H447" s="112" t="s">
        <v>1512</v>
      </c>
      <c r="I447" s="112">
        <v>1071.1055960000001</v>
      </c>
    </row>
    <row r="448" spans="1:9">
      <c r="A448" s="112" t="s">
        <v>1474</v>
      </c>
      <c r="B448" s="112" t="s">
        <v>1513</v>
      </c>
      <c r="C448" s="112">
        <v>0</v>
      </c>
      <c r="D448" s="112" t="s">
        <v>1511</v>
      </c>
      <c r="E448" s="112" t="s">
        <v>1512</v>
      </c>
      <c r="F448" s="112" t="s">
        <v>1511</v>
      </c>
      <c r="G448" s="112" t="s">
        <v>1474</v>
      </c>
      <c r="H448" s="112" t="s">
        <v>1512</v>
      </c>
      <c r="I448" s="112">
        <v>11.061335100000001</v>
      </c>
    </row>
    <row r="449" spans="1:9">
      <c r="A449" s="112" t="s">
        <v>1475</v>
      </c>
      <c r="B449" s="112" t="s">
        <v>1513</v>
      </c>
      <c r="C449" s="112">
        <v>0</v>
      </c>
      <c r="D449" s="112" t="s">
        <v>1511</v>
      </c>
      <c r="E449" s="112" t="s">
        <v>1512</v>
      </c>
      <c r="F449" s="112" t="s">
        <v>1511</v>
      </c>
      <c r="G449" s="112" t="s">
        <v>1475</v>
      </c>
      <c r="H449" s="112" t="s">
        <v>1512</v>
      </c>
      <c r="I449" s="112">
        <v>31.754096279999999</v>
      </c>
    </row>
    <row r="450" spans="1:9">
      <c r="A450" s="112" t="s">
        <v>1476</v>
      </c>
      <c r="B450" s="112" t="s">
        <v>1513</v>
      </c>
      <c r="C450" s="112">
        <v>0</v>
      </c>
      <c r="D450" s="112" t="s">
        <v>1511</v>
      </c>
      <c r="E450" s="112" t="s">
        <v>1512</v>
      </c>
      <c r="F450" s="112" t="s">
        <v>1511</v>
      </c>
      <c r="G450" s="112" t="s">
        <v>1476</v>
      </c>
      <c r="H450" s="112" t="s">
        <v>1512</v>
      </c>
      <c r="I450" s="112">
        <v>0</v>
      </c>
    </row>
    <row r="451" spans="1:9">
      <c r="A451" s="112" t="s">
        <v>1477</v>
      </c>
      <c r="B451" s="112" t="s">
        <v>1513</v>
      </c>
      <c r="C451" s="112">
        <v>0</v>
      </c>
      <c r="D451" s="112" t="s">
        <v>1511</v>
      </c>
      <c r="E451" s="112" t="s">
        <v>1512</v>
      </c>
      <c r="F451" s="112" t="s">
        <v>1511</v>
      </c>
      <c r="G451" s="112" t="s">
        <v>1477</v>
      </c>
      <c r="H451" s="112" t="s">
        <v>1512</v>
      </c>
      <c r="I451" s="112">
        <v>0</v>
      </c>
    </row>
    <row r="452" spans="1:9">
      <c r="A452" s="112" t="s">
        <v>1478</v>
      </c>
      <c r="B452" s="112" t="s">
        <v>1513</v>
      </c>
      <c r="C452" s="112">
        <v>257.08852689999998</v>
      </c>
      <c r="D452" s="112" t="s">
        <v>1511</v>
      </c>
      <c r="E452" s="112" t="s">
        <v>1512</v>
      </c>
      <c r="F452" s="112" t="s">
        <v>1511</v>
      </c>
      <c r="G452" s="112" t="s">
        <v>1478</v>
      </c>
      <c r="H452" s="112" t="s">
        <v>1512</v>
      </c>
      <c r="I452" s="112">
        <v>1523.9387240000001</v>
      </c>
    </row>
    <row r="453" spans="1:9">
      <c r="A453" s="112" t="s">
        <v>1479</v>
      </c>
      <c r="B453" s="112" t="s">
        <v>1513</v>
      </c>
      <c r="C453" s="112">
        <v>0</v>
      </c>
      <c r="D453" s="112" t="s">
        <v>1511</v>
      </c>
      <c r="E453" s="112" t="s">
        <v>1512</v>
      </c>
      <c r="F453" s="112" t="s">
        <v>1511</v>
      </c>
      <c r="G453" s="112" t="s">
        <v>1479</v>
      </c>
      <c r="H453" s="112" t="s">
        <v>1512</v>
      </c>
      <c r="I453" s="112">
        <v>837.24045550000005</v>
      </c>
    </row>
    <row r="454" spans="1:9">
      <c r="A454" s="112" t="s">
        <v>1480</v>
      </c>
      <c r="B454" s="112" t="s">
        <v>1513</v>
      </c>
      <c r="C454" s="112">
        <v>0</v>
      </c>
      <c r="D454" s="112" t="s">
        <v>1511</v>
      </c>
      <c r="E454" s="112" t="s">
        <v>1512</v>
      </c>
      <c r="F454" s="112" t="s">
        <v>1511</v>
      </c>
      <c r="G454" s="112" t="s">
        <v>1480</v>
      </c>
      <c r="H454" s="112" t="s">
        <v>1512</v>
      </c>
      <c r="I454" s="112">
        <v>23.909145250000002</v>
      </c>
    </row>
    <row r="455" spans="1:9">
      <c r="A455" s="112" t="s">
        <v>1481</v>
      </c>
      <c r="B455" s="112" t="s">
        <v>1513</v>
      </c>
      <c r="C455" s="112">
        <v>957.10819770000001</v>
      </c>
      <c r="D455" s="112" t="s">
        <v>1511</v>
      </c>
      <c r="E455" s="112" t="s">
        <v>1512</v>
      </c>
      <c r="F455" s="112" t="s">
        <v>1511</v>
      </c>
      <c r="G455" s="112" t="s">
        <v>1481</v>
      </c>
      <c r="H455" s="112" t="s">
        <v>1512</v>
      </c>
      <c r="I455" s="112">
        <v>1980.9913859999999</v>
      </c>
    </row>
    <row r="456" spans="1:9">
      <c r="A456" s="112" t="s">
        <v>1482</v>
      </c>
      <c r="B456" s="112" t="s">
        <v>1513</v>
      </c>
      <c r="C456" s="112">
        <v>0</v>
      </c>
      <c r="D456" s="112" t="s">
        <v>1511</v>
      </c>
      <c r="E456" s="112" t="s">
        <v>1512</v>
      </c>
      <c r="F456" s="112" t="s">
        <v>1511</v>
      </c>
      <c r="G456" s="112" t="s">
        <v>1482</v>
      </c>
      <c r="H456" s="112" t="s">
        <v>1512</v>
      </c>
      <c r="I456" s="112">
        <v>0</v>
      </c>
    </row>
    <row r="457" spans="1:9">
      <c r="A457" s="112" t="s">
        <v>1483</v>
      </c>
      <c r="B457" s="112" t="s">
        <v>1513</v>
      </c>
      <c r="C457" s="112">
        <v>379.42435899999998</v>
      </c>
      <c r="D457" s="112" t="s">
        <v>1511</v>
      </c>
      <c r="E457" s="112" t="s">
        <v>1512</v>
      </c>
      <c r="F457" s="112" t="s">
        <v>1511</v>
      </c>
      <c r="G457" s="112" t="s">
        <v>1483</v>
      </c>
      <c r="H457" s="112" t="s">
        <v>1512</v>
      </c>
      <c r="I457" s="112">
        <v>4119.4644699999999</v>
      </c>
    </row>
    <row r="458" spans="1:9">
      <c r="A458" s="112" t="s">
        <v>1484</v>
      </c>
      <c r="B458" s="112" t="s">
        <v>1513</v>
      </c>
      <c r="C458" s="112">
        <v>0</v>
      </c>
      <c r="D458" s="112" t="s">
        <v>1511</v>
      </c>
      <c r="E458" s="112" t="s">
        <v>1512</v>
      </c>
      <c r="F458" s="112" t="s">
        <v>1511</v>
      </c>
      <c r="G458" s="112" t="s">
        <v>1484</v>
      </c>
      <c r="H458" s="112" t="s">
        <v>1512</v>
      </c>
      <c r="I458" s="112">
        <v>180.1801802</v>
      </c>
    </row>
    <row r="459" spans="1:9">
      <c r="A459" s="112" t="s">
        <v>1485</v>
      </c>
      <c r="B459" s="112" t="s">
        <v>1513</v>
      </c>
      <c r="C459" s="112">
        <v>0</v>
      </c>
      <c r="D459" s="112" t="s">
        <v>1511</v>
      </c>
      <c r="E459" s="112" t="s">
        <v>1512</v>
      </c>
      <c r="F459" s="112" t="s">
        <v>1511</v>
      </c>
      <c r="G459" s="112" t="s">
        <v>1485</v>
      </c>
      <c r="H459" s="112" t="s">
        <v>1512</v>
      </c>
      <c r="I459" s="112">
        <v>28.936524840000001</v>
      </c>
    </row>
    <row r="460" spans="1:9">
      <c r="A460" s="112" t="s">
        <v>1486</v>
      </c>
      <c r="B460" s="112" t="s">
        <v>1513</v>
      </c>
      <c r="C460" s="112">
        <v>443.2951607</v>
      </c>
      <c r="D460" s="112" t="s">
        <v>1511</v>
      </c>
      <c r="E460" s="112" t="s">
        <v>1512</v>
      </c>
      <c r="F460" s="112" t="s">
        <v>1511</v>
      </c>
      <c r="G460" s="112" t="s">
        <v>1486</v>
      </c>
      <c r="H460" s="112" t="s">
        <v>1512</v>
      </c>
      <c r="I460" s="112">
        <v>2438.123384</v>
      </c>
    </row>
    <row r="461" spans="1:9">
      <c r="A461" s="112" t="s">
        <v>1487</v>
      </c>
      <c r="B461" s="112" t="s">
        <v>1513</v>
      </c>
      <c r="C461" s="112">
        <v>1241.2081089999999</v>
      </c>
      <c r="D461" s="112" t="s">
        <v>1511</v>
      </c>
      <c r="E461" s="112" t="s">
        <v>1512</v>
      </c>
      <c r="F461" s="112" t="s">
        <v>1511</v>
      </c>
      <c r="G461" s="112" t="s">
        <v>1487</v>
      </c>
      <c r="H461" s="112" t="s">
        <v>1512</v>
      </c>
      <c r="I461" s="112">
        <v>9607.8701789999996</v>
      </c>
    </row>
    <row r="462" spans="1:9">
      <c r="A462" s="112" t="s">
        <v>1488</v>
      </c>
      <c r="B462" s="112" t="s">
        <v>1513</v>
      </c>
      <c r="C462" s="112">
        <v>1632.815611</v>
      </c>
      <c r="D462" s="112" t="s">
        <v>1511</v>
      </c>
      <c r="E462" s="112" t="s">
        <v>1512</v>
      </c>
      <c r="F462" s="112" t="s">
        <v>1511</v>
      </c>
      <c r="G462" s="112" t="s">
        <v>1488</v>
      </c>
      <c r="H462" s="112" t="s">
        <v>1512</v>
      </c>
      <c r="I462" s="112">
        <v>9597.7698130000008</v>
      </c>
    </row>
    <row r="463" spans="1:9">
      <c r="A463" s="112" t="s">
        <v>1489</v>
      </c>
      <c r="B463" s="112" t="s">
        <v>1513</v>
      </c>
      <c r="C463" s="112">
        <v>232.99568379999999</v>
      </c>
      <c r="D463" s="112" t="s">
        <v>1511</v>
      </c>
      <c r="E463" s="112" t="s">
        <v>1512</v>
      </c>
      <c r="F463" s="112" t="s">
        <v>1511</v>
      </c>
      <c r="G463" s="112" t="s">
        <v>1489</v>
      </c>
      <c r="H463" s="112" t="s">
        <v>1512</v>
      </c>
      <c r="I463" s="112">
        <v>1217.402448</v>
      </c>
    </row>
    <row r="464" spans="1:9">
      <c r="A464" s="112" t="s">
        <v>1490</v>
      </c>
      <c r="B464" s="112" t="s">
        <v>1513</v>
      </c>
      <c r="C464" s="112">
        <v>0</v>
      </c>
      <c r="D464" s="112" t="s">
        <v>1511</v>
      </c>
      <c r="E464" s="112" t="s">
        <v>1512</v>
      </c>
      <c r="F464" s="112" t="s">
        <v>1511</v>
      </c>
      <c r="G464" s="112" t="s">
        <v>1490</v>
      </c>
      <c r="H464" s="112" t="s">
        <v>1512</v>
      </c>
      <c r="I464" s="112">
        <v>0</v>
      </c>
    </row>
    <row r="465" spans="1:9">
      <c r="A465" s="112" t="s">
        <v>1461</v>
      </c>
      <c r="B465" s="112" t="s">
        <v>1514</v>
      </c>
      <c r="C465" s="112">
        <v>1485.370639</v>
      </c>
      <c r="D465" s="112" t="s">
        <v>1511</v>
      </c>
      <c r="E465" s="112" t="s">
        <v>1512</v>
      </c>
      <c r="F465" s="112" t="s">
        <v>1511</v>
      </c>
      <c r="G465" s="112" t="s">
        <v>1461</v>
      </c>
      <c r="H465" s="112" t="s">
        <v>1512</v>
      </c>
      <c r="I465" s="112">
        <v>3559.3980820000002</v>
      </c>
    </row>
    <row r="466" spans="1:9">
      <c r="A466" s="112" t="s">
        <v>1465</v>
      </c>
      <c r="B466" s="112" t="s">
        <v>1514</v>
      </c>
      <c r="C466" s="112">
        <v>2578.5404870000002</v>
      </c>
      <c r="D466" s="112" t="s">
        <v>1511</v>
      </c>
      <c r="E466" s="112" t="s">
        <v>1512</v>
      </c>
      <c r="F466" s="112" t="s">
        <v>1511</v>
      </c>
      <c r="G466" s="112" t="s">
        <v>1465</v>
      </c>
      <c r="H466" s="112" t="s">
        <v>1512</v>
      </c>
      <c r="I466" s="112">
        <v>7073.8937420000002</v>
      </c>
    </row>
    <row r="467" spans="1:9">
      <c r="A467" s="112" t="s">
        <v>1466</v>
      </c>
      <c r="B467" s="112" t="s">
        <v>1514</v>
      </c>
      <c r="C467" s="112">
        <v>0</v>
      </c>
      <c r="D467" s="112" t="s">
        <v>1511</v>
      </c>
      <c r="E467" s="112" t="s">
        <v>1512</v>
      </c>
      <c r="F467" s="112" t="s">
        <v>1511</v>
      </c>
      <c r="G467" s="112" t="s">
        <v>1466</v>
      </c>
      <c r="H467" s="112" t="s">
        <v>1512</v>
      </c>
      <c r="I467" s="112">
        <v>197.52512630000001</v>
      </c>
    </row>
    <row r="468" spans="1:9">
      <c r="A468" s="112" t="s">
        <v>1467</v>
      </c>
      <c r="B468" s="112" t="s">
        <v>1514</v>
      </c>
      <c r="C468" s="112">
        <v>772.7181812</v>
      </c>
      <c r="D468" s="112" t="s">
        <v>1511</v>
      </c>
      <c r="E468" s="112" t="s">
        <v>1512</v>
      </c>
      <c r="F468" s="112" t="s">
        <v>1511</v>
      </c>
      <c r="G468" s="112" t="s">
        <v>1467</v>
      </c>
      <c r="H468" s="112" t="s">
        <v>1512</v>
      </c>
      <c r="I468" s="112">
        <v>1770.1180079999999</v>
      </c>
    </row>
    <row r="469" spans="1:9">
      <c r="A469" s="112" t="s">
        <v>1468</v>
      </c>
      <c r="B469" s="112" t="s">
        <v>1514</v>
      </c>
      <c r="C469" s="112">
        <v>2557.7385119999999</v>
      </c>
      <c r="D469" s="112" t="s">
        <v>1511</v>
      </c>
      <c r="E469" s="112" t="s">
        <v>1512</v>
      </c>
      <c r="F469" s="112" t="s">
        <v>1511</v>
      </c>
      <c r="G469" s="112" t="s">
        <v>1468</v>
      </c>
      <c r="H469" s="112" t="s">
        <v>1512</v>
      </c>
      <c r="I469" s="112">
        <v>7593.8498829999999</v>
      </c>
    </row>
    <row r="470" spans="1:9">
      <c r="A470" s="112" t="s">
        <v>1469</v>
      </c>
      <c r="B470" s="112" t="s">
        <v>1514</v>
      </c>
      <c r="C470" s="112">
        <v>9.6146450269999999</v>
      </c>
      <c r="D470" s="112" t="s">
        <v>1511</v>
      </c>
      <c r="E470" s="112" t="s">
        <v>1512</v>
      </c>
      <c r="F470" s="112" t="s">
        <v>1511</v>
      </c>
      <c r="G470" s="112" t="s">
        <v>1469</v>
      </c>
      <c r="H470" s="112" t="s">
        <v>1512</v>
      </c>
      <c r="I470" s="112">
        <v>57.687870169999997</v>
      </c>
    </row>
    <row r="471" spans="1:9">
      <c r="A471" s="112" t="s">
        <v>1470</v>
      </c>
      <c r="B471" s="112" t="s">
        <v>1514</v>
      </c>
      <c r="C471" s="112">
        <v>0</v>
      </c>
      <c r="D471" s="112" t="s">
        <v>1511</v>
      </c>
      <c r="E471" s="112" t="s">
        <v>1512</v>
      </c>
      <c r="F471" s="112" t="s">
        <v>1511</v>
      </c>
      <c r="G471" s="112" t="s">
        <v>1470</v>
      </c>
      <c r="H471" s="112" t="s">
        <v>1512</v>
      </c>
      <c r="I471" s="112">
        <v>751.25835770000003</v>
      </c>
    </row>
    <row r="472" spans="1:9">
      <c r="A472" s="112" t="s">
        <v>1471</v>
      </c>
      <c r="B472" s="112" t="s">
        <v>1514</v>
      </c>
      <c r="C472" s="112">
        <v>993.08563489999995</v>
      </c>
      <c r="D472" s="112" t="s">
        <v>1511</v>
      </c>
      <c r="E472" s="112" t="s">
        <v>1512</v>
      </c>
      <c r="F472" s="112" t="s">
        <v>1511</v>
      </c>
      <c r="G472" s="112" t="s">
        <v>1471</v>
      </c>
      <c r="H472" s="112" t="s">
        <v>1512</v>
      </c>
      <c r="I472" s="112">
        <v>2932.3314399999999</v>
      </c>
    </row>
    <row r="473" spans="1:9">
      <c r="A473" s="112" t="s">
        <v>1472</v>
      </c>
      <c r="B473" s="112" t="s">
        <v>1514</v>
      </c>
      <c r="C473" s="112">
        <v>0</v>
      </c>
      <c r="D473" s="112" t="s">
        <v>1511</v>
      </c>
      <c r="E473" s="112" t="s">
        <v>1512</v>
      </c>
      <c r="F473" s="112" t="s">
        <v>1511</v>
      </c>
      <c r="G473" s="112" t="s">
        <v>1472</v>
      </c>
      <c r="H473" s="112" t="s">
        <v>1512</v>
      </c>
      <c r="I473" s="112">
        <v>0</v>
      </c>
    </row>
    <row r="474" spans="1:9">
      <c r="A474" s="112" t="s">
        <v>1473</v>
      </c>
      <c r="B474" s="112" t="s">
        <v>1514</v>
      </c>
      <c r="C474" s="112">
        <v>463.82471379999998</v>
      </c>
      <c r="D474" s="112" t="s">
        <v>1511</v>
      </c>
      <c r="E474" s="112" t="s">
        <v>1512</v>
      </c>
      <c r="F474" s="112" t="s">
        <v>1511</v>
      </c>
      <c r="G474" s="112" t="s">
        <v>1473</v>
      </c>
      <c r="H474" s="112" t="s">
        <v>1512</v>
      </c>
      <c r="I474" s="112">
        <v>1071.1055960000001</v>
      </c>
    </row>
    <row r="475" spans="1:9">
      <c r="A475" s="112" t="s">
        <v>1474</v>
      </c>
      <c r="B475" s="112" t="s">
        <v>1514</v>
      </c>
      <c r="C475" s="112">
        <v>0</v>
      </c>
      <c r="D475" s="112" t="s">
        <v>1511</v>
      </c>
      <c r="E475" s="112" t="s">
        <v>1512</v>
      </c>
      <c r="F475" s="112" t="s">
        <v>1511</v>
      </c>
      <c r="G475" s="112" t="s">
        <v>1474</v>
      </c>
      <c r="H475" s="112" t="s">
        <v>1512</v>
      </c>
      <c r="I475" s="112">
        <v>11.061335100000001</v>
      </c>
    </row>
    <row r="476" spans="1:9">
      <c r="A476" s="112" t="s">
        <v>1475</v>
      </c>
      <c r="B476" s="112" t="s">
        <v>1514</v>
      </c>
      <c r="C476" s="112">
        <v>0</v>
      </c>
      <c r="D476" s="112" t="s">
        <v>1511</v>
      </c>
      <c r="E476" s="112" t="s">
        <v>1512</v>
      </c>
      <c r="F476" s="112" t="s">
        <v>1511</v>
      </c>
      <c r="G476" s="112" t="s">
        <v>1475</v>
      </c>
      <c r="H476" s="112" t="s">
        <v>1512</v>
      </c>
      <c r="I476" s="112">
        <v>31.754096279999999</v>
      </c>
    </row>
    <row r="477" spans="1:9">
      <c r="A477" s="112" t="s">
        <v>1476</v>
      </c>
      <c r="B477" s="112" t="s">
        <v>1514</v>
      </c>
      <c r="C477" s="112">
        <v>0</v>
      </c>
      <c r="D477" s="112" t="s">
        <v>1511</v>
      </c>
      <c r="E477" s="112" t="s">
        <v>1512</v>
      </c>
      <c r="F477" s="112" t="s">
        <v>1511</v>
      </c>
      <c r="G477" s="112" t="s">
        <v>1476</v>
      </c>
      <c r="H477" s="112" t="s">
        <v>1512</v>
      </c>
      <c r="I477" s="112">
        <v>0</v>
      </c>
    </row>
    <row r="478" spans="1:9">
      <c r="A478" s="112" t="s">
        <v>1477</v>
      </c>
      <c r="B478" s="112" t="s">
        <v>1514</v>
      </c>
      <c r="C478" s="112">
        <v>0</v>
      </c>
      <c r="D478" s="112" t="s">
        <v>1511</v>
      </c>
      <c r="E478" s="112" t="s">
        <v>1512</v>
      </c>
      <c r="F478" s="112" t="s">
        <v>1511</v>
      </c>
      <c r="G478" s="112" t="s">
        <v>1477</v>
      </c>
      <c r="H478" s="112" t="s">
        <v>1512</v>
      </c>
      <c r="I478" s="112">
        <v>0</v>
      </c>
    </row>
    <row r="479" spans="1:9">
      <c r="A479" s="112" t="s">
        <v>1478</v>
      </c>
      <c r="B479" s="112" t="s">
        <v>1514</v>
      </c>
      <c r="C479" s="112">
        <v>757.16097330000002</v>
      </c>
      <c r="D479" s="112" t="s">
        <v>1511</v>
      </c>
      <c r="E479" s="112" t="s">
        <v>1512</v>
      </c>
      <c r="F479" s="112" t="s">
        <v>1511</v>
      </c>
      <c r="G479" s="112" t="s">
        <v>1478</v>
      </c>
      <c r="H479" s="112" t="s">
        <v>1512</v>
      </c>
      <c r="I479" s="112">
        <v>1523.9387240000001</v>
      </c>
    </row>
    <row r="480" spans="1:9">
      <c r="A480" s="112" t="s">
        <v>1479</v>
      </c>
      <c r="B480" s="112" t="s">
        <v>1514</v>
      </c>
      <c r="C480" s="112">
        <v>0</v>
      </c>
      <c r="D480" s="112" t="s">
        <v>1511</v>
      </c>
      <c r="E480" s="112" t="s">
        <v>1512</v>
      </c>
      <c r="F480" s="112" t="s">
        <v>1511</v>
      </c>
      <c r="G480" s="112" t="s">
        <v>1479</v>
      </c>
      <c r="H480" s="112" t="s">
        <v>1512</v>
      </c>
      <c r="I480" s="112">
        <v>837.24045550000005</v>
      </c>
    </row>
    <row r="481" spans="1:9">
      <c r="A481" s="112" t="s">
        <v>1480</v>
      </c>
      <c r="B481" s="112" t="s">
        <v>1514</v>
      </c>
      <c r="C481" s="112">
        <v>0</v>
      </c>
      <c r="D481" s="112" t="s">
        <v>1511</v>
      </c>
      <c r="E481" s="112" t="s">
        <v>1512</v>
      </c>
      <c r="F481" s="112" t="s">
        <v>1511</v>
      </c>
      <c r="G481" s="112" t="s">
        <v>1480</v>
      </c>
      <c r="H481" s="112" t="s">
        <v>1512</v>
      </c>
      <c r="I481" s="112">
        <v>23.909145250000002</v>
      </c>
    </row>
    <row r="482" spans="1:9">
      <c r="A482" s="112" t="s">
        <v>1481</v>
      </c>
      <c r="B482" s="112" t="s">
        <v>1514</v>
      </c>
      <c r="C482" s="112">
        <v>422.90827339999998</v>
      </c>
      <c r="D482" s="112" t="s">
        <v>1511</v>
      </c>
      <c r="E482" s="112" t="s">
        <v>1512</v>
      </c>
      <c r="F482" s="112" t="s">
        <v>1511</v>
      </c>
      <c r="G482" s="112" t="s">
        <v>1481</v>
      </c>
      <c r="H482" s="112" t="s">
        <v>1512</v>
      </c>
      <c r="I482" s="112">
        <v>1980.9913859999999</v>
      </c>
    </row>
    <row r="483" spans="1:9">
      <c r="A483" s="112" t="s">
        <v>1482</v>
      </c>
      <c r="B483" s="112" t="s">
        <v>1514</v>
      </c>
      <c r="C483" s="112">
        <v>0</v>
      </c>
      <c r="D483" s="112" t="s">
        <v>1511</v>
      </c>
      <c r="E483" s="112" t="s">
        <v>1512</v>
      </c>
      <c r="F483" s="112" t="s">
        <v>1511</v>
      </c>
      <c r="G483" s="112" t="s">
        <v>1482</v>
      </c>
      <c r="H483" s="112" t="s">
        <v>1512</v>
      </c>
      <c r="I483" s="112">
        <v>0</v>
      </c>
    </row>
    <row r="484" spans="1:9">
      <c r="A484" s="112" t="s">
        <v>1483</v>
      </c>
      <c r="B484" s="112" t="s">
        <v>1514</v>
      </c>
      <c r="C484" s="112">
        <v>1084.0695969999999</v>
      </c>
      <c r="D484" s="112" t="s">
        <v>1511</v>
      </c>
      <c r="E484" s="112" t="s">
        <v>1512</v>
      </c>
      <c r="F484" s="112" t="s">
        <v>1511</v>
      </c>
      <c r="G484" s="112" t="s">
        <v>1483</v>
      </c>
      <c r="H484" s="112" t="s">
        <v>1512</v>
      </c>
      <c r="I484" s="112">
        <v>4119.4644699999999</v>
      </c>
    </row>
    <row r="485" spans="1:9">
      <c r="A485" s="112" t="s">
        <v>1484</v>
      </c>
      <c r="B485" s="112" t="s">
        <v>1514</v>
      </c>
      <c r="C485" s="112">
        <v>120.12012009999999</v>
      </c>
      <c r="D485" s="112" t="s">
        <v>1511</v>
      </c>
      <c r="E485" s="112" t="s">
        <v>1512</v>
      </c>
      <c r="F485" s="112" t="s">
        <v>1511</v>
      </c>
      <c r="G485" s="112" t="s">
        <v>1484</v>
      </c>
      <c r="H485" s="112" t="s">
        <v>1512</v>
      </c>
      <c r="I485" s="112">
        <v>180.1801802</v>
      </c>
    </row>
    <row r="486" spans="1:9">
      <c r="A486" s="112" t="s">
        <v>1485</v>
      </c>
      <c r="B486" s="112" t="s">
        <v>1514</v>
      </c>
      <c r="C486" s="112">
        <v>0</v>
      </c>
      <c r="D486" s="112" t="s">
        <v>1511</v>
      </c>
      <c r="E486" s="112" t="s">
        <v>1512</v>
      </c>
      <c r="F486" s="112" t="s">
        <v>1511</v>
      </c>
      <c r="G486" s="112" t="s">
        <v>1485</v>
      </c>
      <c r="H486" s="112" t="s">
        <v>1512</v>
      </c>
      <c r="I486" s="112">
        <v>28.936524840000001</v>
      </c>
    </row>
    <row r="487" spans="1:9">
      <c r="A487" s="112" t="s">
        <v>1486</v>
      </c>
      <c r="B487" s="112" t="s">
        <v>1514</v>
      </c>
      <c r="C487" s="112">
        <v>628.00147770000001</v>
      </c>
      <c r="D487" s="112" t="s">
        <v>1511</v>
      </c>
      <c r="E487" s="112" t="s">
        <v>1512</v>
      </c>
      <c r="F487" s="112" t="s">
        <v>1511</v>
      </c>
      <c r="G487" s="112" t="s">
        <v>1486</v>
      </c>
      <c r="H487" s="112" t="s">
        <v>1512</v>
      </c>
      <c r="I487" s="112">
        <v>2438.123384</v>
      </c>
    </row>
    <row r="488" spans="1:9">
      <c r="A488" s="112" t="s">
        <v>1487</v>
      </c>
      <c r="B488" s="112" t="s">
        <v>1514</v>
      </c>
      <c r="C488" s="112">
        <v>2873.1669200000001</v>
      </c>
      <c r="D488" s="112" t="s">
        <v>1511</v>
      </c>
      <c r="E488" s="112" t="s">
        <v>1512</v>
      </c>
      <c r="F488" s="112" t="s">
        <v>1511</v>
      </c>
      <c r="G488" s="112" t="s">
        <v>1487</v>
      </c>
      <c r="H488" s="112" t="s">
        <v>1512</v>
      </c>
      <c r="I488" s="112">
        <v>9607.8701789999996</v>
      </c>
    </row>
    <row r="489" spans="1:9">
      <c r="A489" s="112" t="s">
        <v>1488</v>
      </c>
      <c r="B489" s="112" t="s">
        <v>1514</v>
      </c>
      <c r="C489" s="112">
        <v>4340.9000400000004</v>
      </c>
      <c r="D489" s="112" t="s">
        <v>1511</v>
      </c>
      <c r="E489" s="112" t="s">
        <v>1512</v>
      </c>
      <c r="F489" s="112" t="s">
        <v>1511</v>
      </c>
      <c r="G489" s="112" t="s">
        <v>1488</v>
      </c>
      <c r="H489" s="112" t="s">
        <v>1512</v>
      </c>
      <c r="I489" s="112">
        <v>9597.7698130000008</v>
      </c>
    </row>
    <row r="490" spans="1:9">
      <c r="A490" s="112" t="s">
        <v>1489</v>
      </c>
      <c r="B490" s="112" t="s">
        <v>1514</v>
      </c>
      <c r="C490" s="112">
        <v>355.3184177</v>
      </c>
      <c r="D490" s="112" t="s">
        <v>1511</v>
      </c>
      <c r="E490" s="112" t="s">
        <v>1512</v>
      </c>
      <c r="F490" s="112" t="s">
        <v>1511</v>
      </c>
      <c r="G490" s="112" t="s">
        <v>1489</v>
      </c>
      <c r="H490" s="112" t="s">
        <v>1512</v>
      </c>
      <c r="I490" s="112">
        <v>1217.402448</v>
      </c>
    </row>
    <row r="491" spans="1:9">
      <c r="A491" s="112" t="s">
        <v>1490</v>
      </c>
      <c r="B491" s="112" t="s">
        <v>1514</v>
      </c>
      <c r="C491" s="112">
        <v>0</v>
      </c>
      <c r="D491" s="112" t="s">
        <v>1511</v>
      </c>
      <c r="E491" s="112" t="s">
        <v>1512</v>
      </c>
      <c r="F491" s="112" t="s">
        <v>1511</v>
      </c>
      <c r="G491" s="112" t="s">
        <v>1490</v>
      </c>
      <c r="H491" s="112" t="s">
        <v>1512</v>
      </c>
      <c r="I491" s="112">
        <v>0</v>
      </c>
    </row>
    <row r="492" spans="1:9">
      <c r="A492" s="112" t="s">
        <v>1461</v>
      </c>
      <c r="B492" s="112" t="s">
        <v>1515</v>
      </c>
      <c r="C492" s="112">
        <v>212.96116470000001</v>
      </c>
      <c r="D492" s="112" t="s">
        <v>1511</v>
      </c>
      <c r="E492" s="112" t="s">
        <v>1512</v>
      </c>
      <c r="F492" s="112" t="s">
        <v>1511</v>
      </c>
      <c r="G492" s="112" t="s">
        <v>1461</v>
      </c>
      <c r="H492" s="112" t="s">
        <v>1512</v>
      </c>
      <c r="I492" s="112">
        <v>3559.3980820000002</v>
      </c>
    </row>
    <row r="493" spans="1:9">
      <c r="A493" s="112" t="s">
        <v>1465</v>
      </c>
      <c r="B493" s="112" t="s">
        <v>1515</v>
      </c>
      <c r="C493" s="112">
        <v>720.3309127</v>
      </c>
      <c r="D493" s="112" t="s">
        <v>1511</v>
      </c>
      <c r="E493" s="112" t="s">
        <v>1512</v>
      </c>
      <c r="F493" s="112" t="s">
        <v>1511</v>
      </c>
      <c r="G493" s="112" t="s">
        <v>1465</v>
      </c>
      <c r="H493" s="112" t="s">
        <v>1512</v>
      </c>
      <c r="I493" s="112">
        <v>7073.8937420000002</v>
      </c>
    </row>
    <row r="494" spans="1:9">
      <c r="A494" s="112" t="s">
        <v>1466</v>
      </c>
      <c r="B494" s="112" t="s">
        <v>1515</v>
      </c>
      <c r="C494" s="112">
        <v>0</v>
      </c>
      <c r="D494" s="112" t="s">
        <v>1511</v>
      </c>
      <c r="E494" s="112" t="s">
        <v>1512</v>
      </c>
      <c r="F494" s="112" t="s">
        <v>1511</v>
      </c>
      <c r="G494" s="112" t="s">
        <v>1466</v>
      </c>
      <c r="H494" s="112" t="s">
        <v>1512</v>
      </c>
      <c r="I494" s="112">
        <v>197.52512630000001</v>
      </c>
    </row>
    <row r="495" spans="1:9">
      <c r="A495" s="112" t="s">
        <v>1467</v>
      </c>
      <c r="B495" s="112" t="s">
        <v>1515</v>
      </c>
      <c r="C495" s="112">
        <v>66.004400290000007</v>
      </c>
      <c r="D495" s="112" t="s">
        <v>1511</v>
      </c>
      <c r="E495" s="112" t="s">
        <v>1512</v>
      </c>
      <c r="F495" s="112" t="s">
        <v>1511</v>
      </c>
      <c r="G495" s="112" t="s">
        <v>1467</v>
      </c>
      <c r="H495" s="112" t="s">
        <v>1512</v>
      </c>
      <c r="I495" s="112">
        <v>1770.1180079999999</v>
      </c>
    </row>
    <row r="496" spans="1:9">
      <c r="A496" s="112" t="s">
        <v>1468</v>
      </c>
      <c r="B496" s="112" t="s">
        <v>1515</v>
      </c>
      <c r="C496" s="112">
        <v>422.08096740000002</v>
      </c>
      <c r="D496" s="112" t="s">
        <v>1511</v>
      </c>
      <c r="E496" s="112" t="s">
        <v>1512</v>
      </c>
      <c r="F496" s="112" t="s">
        <v>1511</v>
      </c>
      <c r="G496" s="112" t="s">
        <v>1468</v>
      </c>
      <c r="H496" s="112" t="s">
        <v>1512</v>
      </c>
      <c r="I496" s="112">
        <v>7593.8498829999999</v>
      </c>
    </row>
    <row r="497" spans="1:9">
      <c r="A497" s="112" t="s">
        <v>1469</v>
      </c>
      <c r="B497" s="112" t="s">
        <v>1515</v>
      </c>
      <c r="C497" s="112">
        <v>0</v>
      </c>
      <c r="D497" s="112" t="s">
        <v>1511</v>
      </c>
      <c r="E497" s="112" t="s">
        <v>1512</v>
      </c>
      <c r="F497" s="112" t="s">
        <v>1511</v>
      </c>
      <c r="G497" s="112" t="s">
        <v>1469</v>
      </c>
      <c r="H497" s="112" t="s">
        <v>1512</v>
      </c>
      <c r="I497" s="112">
        <v>57.687870169999997</v>
      </c>
    </row>
    <row r="498" spans="1:9">
      <c r="A498" s="112" t="s">
        <v>1470</v>
      </c>
      <c r="B498" s="112" t="s">
        <v>1515</v>
      </c>
      <c r="C498" s="112">
        <v>0</v>
      </c>
      <c r="D498" s="112" t="s">
        <v>1511</v>
      </c>
      <c r="E498" s="112" t="s">
        <v>1512</v>
      </c>
      <c r="F498" s="112" t="s">
        <v>1511</v>
      </c>
      <c r="G498" s="112" t="s">
        <v>1470</v>
      </c>
      <c r="H498" s="112" t="s">
        <v>1512</v>
      </c>
      <c r="I498" s="112">
        <v>751.25835770000003</v>
      </c>
    </row>
    <row r="499" spans="1:9">
      <c r="A499" s="112" t="s">
        <v>1471</v>
      </c>
      <c r="B499" s="112" t="s">
        <v>1515</v>
      </c>
      <c r="C499" s="112">
        <v>106.09235339999999</v>
      </c>
      <c r="D499" s="112" t="s">
        <v>1511</v>
      </c>
      <c r="E499" s="112" t="s">
        <v>1512</v>
      </c>
      <c r="F499" s="112" t="s">
        <v>1511</v>
      </c>
      <c r="G499" s="112" t="s">
        <v>1471</v>
      </c>
      <c r="H499" s="112" t="s">
        <v>1512</v>
      </c>
      <c r="I499" s="112">
        <v>2932.3314399999999</v>
      </c>
    </row>
    <row r="500" spans="1:9">
      <c r="A500" s="112" t="s">
        <v>1472</v>
      </c>
      <c r="B500" s="112" t="s">
        <v>1515</v>
      </c>
      <c r="C500" s="112">
        <v>0</v>
      </c>
      <c r="D500" s="112" t="s">
        <v>1511</v>
      </c>
      <c r="E500" s="112" t="s">
        <v>1512</v>
      </c>
      <c r="F500" s="112" t="s">
        <v>1511</v>
      </c>
      <c r="G500" s="112" t="s">
        <v>1472</v>
      </c>
      <c r="H500" s="112" t="s">
        <v>1512</v>
      </c>
      <c r="I500" s="112">
        <v>0</v>
      </c>
    </row>
    <row r="501" spans="1:9">
      <c r="A501" s="112" t="s">
        <v>1473</v>
      </c>
      <c r="B501" s="112" t="s">
        <v>1515</v>
      </c>
      <c r="C501" s="112">
        <v>48.410120399999997</v>
      </c>
      <c r="D501" s="112" t="s">
        <v>1511</v>
      </c>
      <c r="E501" s="112" t="s">
        <v>1512</v>
      </c>
      <c r="F501" s="112" t="s">
        <v>1511</v>
      </c>
      <c r="G501" s="112" t="s">
        <v>1473</v>
      </c>
      <c r="H501" s="112" t="s">
        <v>1512</v>
      </c>
      <c r="I501" s="112">
        <v>1071.1055960000001</v>
      </c>
    </row>
    <row r="502" spans="1:9">
      <c r="A502" s="112" t="s">
        <v>1474</v>
      </c>
      <c r="B502" s="112" t="s">
        <v>1515</v>
      </c>
      <c r="C502" s="112">
        <v>0</v>
      </c>
      <c r="D502" s="112" t="s">
        <v>1511</v>
      </c>
      <c r="E502" s="112" t="s">
        <v>1512</v>
      </c>
      <c r="F502" s="112" t="s">
        <v>1511</v>
      </c>
      <c r="G502" s="112" t="s">
        <v>1474</v>
      </c>
      <c r="H502" s="112" t="s">
        <v>1512</v>
      </c>
      <c r="I502" s="112">
        <v>11.061335100000001</v>
      </c>
    </row>
    <row r="503" spans="1:9">
      <c r="A503" s="112" t="s">
        <v>1475</v>
      </c>
      <c r="B503" s="112" t="s">
        <v>1515</v>
      </c>
      <c r="C503" s="112">
        <v>0</v>
      </c>
      <c r="D503" s="112" t="s">
        <v>1511</v>
      </c>
      <c r="E503" s="112" t="s">
        <v>1512</v>
      </c>
      <c r="F503" s="112" t="s">
        <v>1511</v>
      </c>
      <c r="G503" s="112" t="s">
        <v>1475</v>
      </c>
      <c r="H503" s="112" t="s">
        <v>1512</v>
      </c>
      <c r="I503" s="112">
        <v>31.754096279999999</v>
      </c>
    </row>
    <row r="504" spans="1:9">
      <c r="A504" s="112" t="s">
        <v>1476</v>
      </c>
      <c r="B504" s="112" t="s">
        <v>1515</v>
      </c>
      <c r="C504" s="112">
        <v>0</v>
      </c>
      <c r="D504" s="112" t="s">
        <v>1511</v>
      </c>
      <c r="E504" s="112" t="s">
        <v>1512</v>
      </c>
      <c r="F504" s="112" t="s">
        <v>1511</v>
      </c>
      <c r="G504" s="112" t="s">
        <v>1476</v>
      </c>
      <c r="H504" s="112" t="s">
        <v>1512</v>
      </c>
      <c r="I504" s="112">
        <v>0</v>
      </c>
    </row>
    <row r="505" spans="1:9">
      <c r="A505" s="112" t="s">
        <v>1477</v>
      </c>
      <c r="B505" s="112" t="s">
        <v>1515</v>
      </c>
      <c r="C505" s="112">
        <v>0</v>
      </c>
      <c r="D505" s="112" t="s">
        <v>1511</v>
      </c>
      <c r="E505" s="112" t="s">
        <v>1512</v>
      </c>
      <c r="F505" s="112" t="s">
        <v>1511</v>
      </c>
      <c r="G505" s="112" t="s">
        <v>1477</v>
      </c>
      <c r="H505" s="112" t="s">
        <v>1512</v>
      </c>
      <c r="I505" s="112">
        <v>0</v>
      </c>
    </row>
    <row r="506" spans="1:9">
      <c r="A506" s="112" t="s">
        <v>1478</v>
      </c>
      <c r="B506" s="112" t="s">
        <v>1515</v>
      </c>
      <c r="C506" s="112">
        <v>24.362503799999999</v>
      </c>
      <c r="D506" s="112" t="s">
        <v>1511</v>
      </c>
      <c r="E506" s="112" t="s">
        <v>1512</v>
      </c>
      <c r="F506" s="112" t="s">
        <v>1511</v>
      </c>
      <c r="G506" s="112" t="s">
        <v>1478</v>
      </c>
      <c r="H506" s="112" t="s">
        <v>1512</v>
      </c>
      <c r="I506" s="112">
        <v>1523.9387240000001</v>
      </c>
    </row>
    <row r="507" spans="1:9">
      <c r="A507" s="112" t="s">
        <v>1479</v>
      </c>
      <c r="B507" s="112" t="s">
        <v>1515</v>
      </c>
      <c r="C507" s="112">
        <v>0</v>
      </c>
      <c r="D507" s="112" t="s">
        <v>1511</v>
      </c>
      <c r="E507" s="112" t="s">
        <v>1512</v>
      </c>
      <c r="F507" s="112" t="s">
        <v>1511</v>
      </c>
      <c r="G507" s="112" t="s">
        <v>1479</v>
      </c>
      <c r="H507" s="112" t="s">
        <v>1512</v>
      </c>
      <c r="I507" s="112">
        <v>837.24045550000005</v>
      </c>
    </row>
    <row r="508" spans="1:9">
      <c r="A508" s="112" t="s">
        <v>1480</v>
      </c>
      <c r="B508" s="112" t="s">
        <v>1515</v>
      </c>
      <c r="C508" s="112">
        <v>0</v>
      </c>
      <c r="D508" s="112" t="s">
        <v>1511</v>
      </c>
      <c r="E508" s="112" t="s">
        <v>1512</v>
      </c>
      <c r="F508" s="112" t="s">
        <v>1511</v>
      </c>
      <c r="G508" s="112" t="s">
        <v>1480</v>
      </c>
      <c r="H508" s="112" t="s">
        <v>1512</v>
      </c>
      <c r="I508" s="112">
        <v>23.909145250000002</v>
      </c>
    </row>
    <row r="509" spans="1:9">
      <c r="A509" s="112" t="s">
        <v>1481</v>
      </c>
      <c r="B509" s="112" t="s">
        <v>1515</v>
      </c>
      <c r="C509" s="112">
        <v>0</v>
      </c>
      <c r="D509" s="112" t="s">
        <v>1511</v>
      </c>
      <c r="E509" s="112" t="s">
        <v>1512</v>
      </c>
      <c r="F509" s="112" t="s">
        <v>1511</v>
      </c>
      <c r="G509" s="112" t="s">
        <v>1481</v>
      </c>
      <c r="H509" s="112" t="s">
        <v>1512</v>
      </c>
      <c r="I509" s="112">
        <v>1980.9913859999999</v>
      </c>
    </row>
    <row r="510" spans="1:9">
      <c r="A510" s="112" t="s">
        <v>1482</v>
      </c>
      <c r="B510" s="112" t="s">
        <v>1515</v>
      </c>
      <c r="C510" s="112">
        <v>0</v>
      </c>
      <c r="D510" s="112" t="s">
        <v>1511</v>
      </c>
      <c r="E510" s="112" t="s">
        <v>1512</v>
      </c>
      <c r="F510" s="112" t="s">
        <v>1511</v>
      </c>
      <c r="G510" s="112" t="s">
        <v>1482</v>
      </c>
      <c r="H510" s="112" t="s">
        <v>1512</v>
      </c>
      <c r="I510" s="112">
        <v>0</v>
      </c>
    </row>
    <row r="511" spans="1:9">
      <c r="A511" s="112" t="s">
        <v>1483</v>
      </c>
      <c r="B511" s="112" t="s">
        <v>1515</v>
      </c>
      <c r="C511" s="112">
        <v>162.61043960000001</v>
      </c>
      <c r="D511" s="112" t="s">
        <v>1511</v>
      </c>
      <c r="E511" s="112" t="s">
        <v>1512</v>
      </c>
      <c r="F511" s="112" t="s">
        <v>1511</v>
      </c>
      <c r="G511" s="112" t="s">
        <v>1483</v>
      </c>
      <c r="H511" s="112" t="s">
        <v>1512</v>
      </c>
      <c r="I511" s="112">
        <v>4119.4644699999999</v>
      </c>
    </row>
    <row r="512" spans="1:9">
      <c r="A512" s="112" t="s">
        <v>1484</v>
      </c>
      <c r="B512" s="112" t="s">
        <v>1515</v>
      </c>
      <c r="C512" s="112">
        <v>0</v>
      </c>
      <c r="D512" s="112" t="s">
        <v>1511</v>
      </c>
      <c r="E512" s="112" t="s">
        <v>1512</v>
      </c>
      <c r="F512" s="112" t="s">
        <v>1511</v>
      </c>
      <c r="G512" s="112" t="s">
        <v>1484</v>
      </c>
      <c r="H512" s="112" t="s">
        <v>1512</v>
      </c>
      <c r="I512" s="112">
        <v>180.1801802</v>
      </c>
    </row>
    <row r="513" spans="1:9">
      <c r="A513" s="112" t="s">
        <v>1485</v>
      </c>
      <c r="B513" s="112" t="s">
        <v>1515</v>
      </c>
      <c r="C513" s="112">
        <v>0</v>
      </c>
      <c r="D513" s="112" t="s">
        <v>1511</v>
      </c>
      <c r="E513" s="112" t="s">
        <v>1512</v>
      </c>
      <c r="F513" s="112" t="s">
        <v>1511</v>
      </c>
      <c r="G513" s="112" t="s">
        <v>1485</v>
      </c>
      <c r="H513" s="112" t="s">
        <v>1512</v>
      </c>
      <c r="I513" s="112">
        <v>28.936524840000001</v>
      </c>
    </row>
    <row r="514" spans="1:9">
      <c r="A514" s="112" t="s">
        <v>1486</v>
      </c>
      <c r="B514" s="112" t="s">
        <v>1515</v>
      </c>
      <c r="C514" s="112">
        <v>480.23642410000002</v>
      </c>
      <c r="D514" s="112" t="s">
        <v>1511</v>
      </c>
      <c r="E514" s="112" t="s">
        <v>1512</v>
      </c>
      <c r="F514" s="112" t="s">
        <v>1511</v>
      </c>
      <c r="G514" s="112" t="s">
        <v>1486</v>
      </c>
      <c r="H514" s="112" t="s">
        <v>1512</v>
      </c>
      <c r="I514" s="112">
        <v>2438.123384</v>
      </c>
    </row>
    <row r="515" spans="1:9">
      <c r="A515" s="112" t="s">
        <v>1487</v>
      </c>
      <c r="B515" s="112" t="s">
        <v>1515</v>
      </c>
      <c r="C515" s="112">
        <v>436.72137179999999</v>
      </c>
      <c r="D515" s="112" t="s">
        <v>1511</v>
      </c>
      <c r="E515" s="112" t="s">
        <v>1512</v>
      </c>
      <c r="F515" s="112" t="s">
        <v>1511</v>
      </c>
      <c r="G515" s="112" t="s">
        <v>1487</v>
      </c>
      <c r="H515" s="112" t="s">
        <v>1512</v>
      </c>
      <c r="I515" s="112">
        <v>9607.8701789999996</v>
      </c>
    </row>
    <row r="516" spans="1:9">
      <c r="A516" s="112" t="s">
        <v>1488</v>
      </c>
      <c r="B516" s="112" t="s">
        <v>1515</v>
      </c>
      <c r="C516" s="112">
        <v>39.824771009999999</v>
      </c>
      <c r="D516" s="112" t="s">
        <v>1511</v>
      </c>
      <c r="E516" s="112" t="s">
        <v>1512</v>
      </c>
      <c r="F516" s="112" t="s">
        <v>1511</v>
      </c>
      <c r="G516" s="112" t="s">
        <v>1488</v>
      </c>
      <c r="H516" s="112" t="s">
        <v>1512</v>
      </c>
      <c r="I516" s="112">
        <v>9597.7698130000008</v>
      </c>
    </row>
    <row r="517" spans="1:9">
      <c r="A517" s="112" t="s">
        <v>1489</v>
      </c>
      <c r="B517" s="112" t="s">
        <v>1515</v>
      </c>
      <c r="C517" s="112">
        <v>58.248920939999998</v>
      </c>
      <c r="D517" s="112" t="s">
        <v>1511</v>
      </c>
      <c r="E517" s="112" t="s">
        <v>1512</v>
      </c>
      <c r="F517" s="112" t="s">
        <v>1511</v>
      </c>
      <c r="G517" s="112" t="s">
        <v>1489</v>
      </c>
      <c r="H517" s="112" t="s">
        <v>1512</v>
      </c>
      <c r="I517" s="112">
        <v>1217.402448</v>
      </c>
    </row>
    <row r="518" spans="1:9">
      <c r="A518" s="112" t="s">
        <v>1490</v>
      </c>
      <c r="B518" s="112" t="s">
        <v>1515</v>
      </c>
      <c r="C518" s="112">
        <v>0</v>
      </c>
      <c r="D518" s="112" t="s">
        <v>1511</v>
      </c>
      <c r="E518" s="112" t="s">
        <v>1512</v>
      </c>
      <c r="F518" s="112" t="s">
        <v>1511</v>
      </c>
      <c r="G518" s="112" t="s">
        <v>1490</v>
      </c>
      <c r="H518" s="112" t="s">
        <v>1512</v>
      </c>
      <c r="I518" s="112">
        <v>0</v>
      </c>
    </row>
    <row r="519" spans="1:9">
      <c r="A519" s="112" t="s">
        <v>1461</v>
      </c>
      <c r="B519" s="112" t="s">
        <v>1516</v>
      </c>
      <c r="C519" s="112">
        <v>673.03764320000005</v>
      </c>
      <c r="D519" s="112" t="s">
        <v>1517</v>
      </c>
      <c r="E519" s="112" t="s">
        <v>1512</v>
      </c>
      <c r="F519" s="112" t="s">
        <v>1517</v>
      </c>
      <c r="G519" s="112" t="s">
        <v>1461</v>
      </c>
      <c r="H519" s="112" t="s">
        <v>1512</v>
      </c>
      <c r="I519" s="112">
        <v>1725.7890609999999</v>
      </c>
    </row>
    <row r="520" spans="1:9">
      <c r="A520" s="112" t="s">
        <v>1465</v>
      </c>
      <c r="B520" s="112" t="s">
        <v>1516</v>
      </c>
      <c r="C520" s="112">
        <v>61.0449926</v>
      </c>
      <c r="D520" s="112" t="s">
        <v>1517</v>
      </c>
      <c r="E520" s="112" t="s">
        <v>1512</v>
      </c>
      <c r="F520" s="112" t="s">
        <v>1517</v>
      </c>
      <c r="G520" s="112" t="s">
        <v>1465</v>
      </c>
      <c r="H520" s="112" t="s">
        <v>1512</v>
      </c>
      <c r="I520" s="112">
        <v>65.928592010000003</v>
      </c>
    </row>
    <row r="521" spans="1:9">
      <c r="A521" s="112" t="s">
        <v>1466</v>
      </c>
      <c r="B521" s="112" t="s">
        <v>1516</v>
      </c>
      <c r="C521" s="112">
        <v>11.61912508</v>
      </c>
      <c r="D521" s="112" t="s">
        <v>1517</v>
      </c>
      <c r="E521" s="112" t="s">
        <v>1512</v>
      </c>
      <c r="F521" s="112" t="s">
        <v>1517</v>
      </c>
      <c r="G521" s="112" t="s">
        <v>1466</v>
      </c>
      <c r="H521" s="112" t="s">
        <v>1512</v>
      </c>
      <c r="I521" s="112">
        <v>81.333875559999996</v>
      </c>
    </row>
    <row r="522" spans="1:9">
      <c r="A522" s="112" t="s">
        <v>1467</v>
      </c>
      <c r="B522" s="112" t="s">
        <v>1516</v>
      </c>
      <c r="C522" s="112">
        <v>1262.0841390000001</v>
      </c>
      <c r="D522" s="112" t="s">
        <v>1517</v>
      </c>
      <c r="E522" s="112" t="s">
        <v>1512</v>
      </c>
      <c r="F522" s="112" t="s">
        <v>1517</v>
      </c>
      <c r="G522" s="112" t="s">
        <v>1467</v>
      </c>
      <c r="H522" s="112" t="s">
        <v>1512</v>
      </c>
      <c r="I522" s="112">
        <v>2075.4716979999998</v>
      </c>
    </row>
    <row r="523" spans="1:9">
      <c r="A523" s="112" t="s">
        <v>1468</v>
      </c>
      <c r="B523" s="112" t="s">
        <v>1516</v>
      </c>
      <c r="C523" s="112">
        <v>21.645177820000001</v>
      </c>
      <c r="D523" s="112" t="s">
        <v>1517</v>
      </c>
      <c r="E523" s="112" t="s">
        <v>1512</v>
      </c>
      <c r="F523" s="112" t="s">
        <v>1517</v>
      </c>
      <c r="G523" s="112" t="s">
        <v>1468</v>
      </c>
      <c r="H523" s="112" t="s">
        <v>1512</v>
      </c>
      <c r="I523" s="112">
        <v>25.25270746</v>
      </c>
    </row>
    <row r="524" spans="1:9">
      <c r="A524" s="112" t="s">
        <v>1469</v>
      </c>
      <c r="B524" s="112" t="s">
        <v>1516</v>
      </c>
      <c r="C524" s="112">
        <v>153.8343204</v>
      </c>
      <c r="D524" s="112" t="s">
        <v>1517</v>
      </c>
      <c r="E524" s="112" t="s">
        <v>1512</v>
      </c>
      <c r="F524" s="112" t="s">
        <v>1517</v>
      </c>
      <c r="G524" s="112" t="s">
        <v>1469</v>
      </c>
      <c r="H524" s="112" t="s">
        <v>1512</v>
      </c>
      <c r="I524" s="112">
        <v>163.44896539999999</v>
      </c>
    </row>
    <row r="525" spans="1:9">
      <c r="A525" s="112" t="s">
        <v>1470</v>
      </c>
      <c r="B525" s="112" t="s">
        <v>1516</v>
      </c>
      <c r="C525" s="112">
        <v>525.88085039999999</v>
      </c>
      <c r="D525" s="112" t="s">
        <v>1517</v>
      </c>
      <c r="E525" s="112" t="s">
        <v>1512</v>
      </c>
      <c r="F525" s="112" t="s">
        <v>1517</v>
      </c>
      <c r="G525" s="112" t="s">
        <v>1470</v>
      </c>
      <c r="H525" s="112" t="s">
        <v>1512</v>
      </c>
      <c r="I525" s="112">
        <v>525.88085039999999</v>
      </c>
    </row>
    <row r="526" spans="1:9">
      <c r="A526" s="112" t="s">
        <v>1471</v>
      </c>
      <c r="B526" s="112" t="s">
        <v>1516</v>
      </c>
      <c r="C526" s="112">
        <v>1406.7438010000001</v>
      </c>
      <c r="D526" s="112" t="s">
        <v>1517</v>
      </c>
      <c r="E526" s="112" t="s">
        <v>1512</v>
      </c>
      <c r="F526" s="112" t="s">
        <v>1517</v>
      </c>
      <c r="G526" s="112" t="s">
        <v>1471</v>
      </c>
      <c r="H526" s="112" t="s">
        <v>1512</v>
      </c>
      <c r="I526" s="112">
        <v>2976.7066070000001</v>
      </c>
    </row>
    <row r="527" spans="1:9">
      <c r="A527" s="112" t="s">
        <v>1472</v>
      </c>
      <c r="B527" s="112" t="s">
        <v>1516</v>
      </c>
      <c r="C527" s="112">
        <v>4.8378357459999997</v>
      </c>
      <c r="D527" s="112" t="s">
        <v>1517</v>
      </c>
      <c r="E527" s="112" t="s">
        <v>1512</v>
      </c>
      <c r="F527" s="112" t="s">
        <v>1517</v>
      </c>
      <c r="G527" s="112" t="s">
        <v>1472</v>
      </c>
      <c r="H527" s="112" t="s">
        <v>1512</v>
      </c>
      <c r="I527" s="112">
        <v>4.8378357459999997</v>
      </c>
    </row>
    <row r="528" spans="1:9">
      <c r="A528" s="112" t="s">
        <v>1473</v>
      </c>
      <c r="B528" s="112" t="s">
        <v>1516</v>
      </c>
      <c r="C528" s="112">
        <v>532.51132440000003</v>
      </c>
      <c r="D528" s="112" t="s">
        <v>1517</v>
      </c>
      <c r="E528" s="112" t="s">
        <v>1512</v>
      </c>
      <c r="F528" s="112" t="s">
        <v>1517</v>
      </c>
      <c r="G528" s="112" t="s">
        <v>1473</v>
      </c>
      <c r="H528" s="112" t="s">
        <v>1512</v>
      </c>
      <c r="I528" s="112">
        <v>779.12413679999997</v>
      </c>
    </row>
    <row r="529" spans="1:9">
      <c r="A529" s="112" t="s">
        <v>1474</v>
      </c>
      <c r="B529" s="112" t="s">
        <v>1516</v>
      </c>
      <c r="C529" s="112">
        <v>121.6746861</v>
      </c>
      <c r="D529" s="112" t="s">
        <v>1517</v>
      </c>
      <c r="E529" s="112" t="s">
        <v>1512</v>
      </c>
      <c r="F529" s="112" t="s">
        <v>1517</v>
      </c>
      <c r="G529" s="112" t="s">
        <v>1474</v>
      </c>
      <c r="H529" s="112" t="s">
        <v>1512</v>
      </c>
      <c r="I529" s="112">
        <v>160.38935900000001</v>
      </c>
    </row>
    <row r="530" spans="1:9">
      <c r="A530" s="112" t="s">
        <v>1475</v>
      </c>
      <c r="B530" s="112" t="s">
        <v>1516</v>
      </c>
      <c r="C530" s="112">
        <v>116.4316864</v>
      </c>
      <c r="D530" s="112" t="s">
        <v>1517</v>
      </c>
      <c r="E530" s="112" t="s">
        <v>1512</v>
      </c>
      <c r="F530" s="112" t="s">
        <v>1517</v>
      </c>
      <c r="G530" s="112" t="s">
        <v>1475</v>
      </c>
      <c r="H530" s="112" t="s">
        <v>1512</v>
      </c>
      <c r="I530" s="112">
        <v>179.93987899999999</v>
      </c>
    </row>
    <row r="531" spans="1:9">
      <c r="A531" s="112" t="s">
        <v>1476</v>
      </c>
      <c r="B531" s="112" t="s">
        <v>1516</v>
      </c>
      <c r="C531" s="112">
        <v>0</v>
      </c>
      <c r="D531" s="112" t="s">
        <v>1517</v>
      </c>
      <c r="E531" s="112" t="s">
        <v>1512</v>
      </c>
      <c r="F531" s="112" t="s">
        <v>1517</v>
      </c>
      <c r="G531" s="112" t="s">
        <v>1476</v>
      </c>
      <c r="H531" s="112" t="s">
        <v>1512</v>
      </c>
      <c r="I531" s="112">
        <v>0</v>
      </c>
    </row>
    <row r="532" spans="1:9">
      <c r="A532" s="112" t="s">
        <v>1477</v>
      </c>
      <c r="B532" s="112" t="s">
        <v>1516</v>
      </c>
      <c r="C532" s="112">
        <v>100.0450203</v>
      </c>
      <c r="D532" s="112" t="s">
        <v>1517</v>
      </c>
      <c r="E532" s="112" t="s">
        <v>1512</v>
      </c>
      <c r="F532" s="112" t="s">
        <v>1517</v>
      </c>
      <c r="G532" s="112" t="s">
        <v>1477</v>
      </c>
      <c r="H532" s="112" t="s">
        <v>1512</v>
      </c>
      <c r="I532" s="112">
        <v>100.0450203</v>
      </c>
    </row>
    <row r="533" spans="1:9">
      <c r="A533" s="112" t="s">
        <v>1478</v>
      </c>
      <c r="B533" s="112" t="s">
        <v>1516</v>
      </c>
      <c r="C533" s="112">
        <v>1766.2815250000001</v>
      </c>
      <c r="D533" s="112" t="s">
        <v>1517</v>
      </c>
      <c r="E533" s="112" t="s">
        <v>1512</v>
      </c>
      <c r="F533" s="112" t="s">
        <v>1517</v>
      </c>
      <c r="G533" s="112" t="s">
        <v>1478</v>
      </c>
      <c r="H533" s="112" t="s">
        <v>1512</v>
      </c>
      <c r="I533" s="112">
        <v>2797.2001070000001</v>
      </c>
    </row>
    <row r="534" spans="1:9">
      <c r="A534" s="112" t="s">
        <v>1479</v>
      </c>
      <c r="B534" s="112" t="s">
        <v>1516</v>
      </c>
      <c r="C534" s="112">
        <v>167.4480911</v>
      </c>
      <c r="D534" s="112" t="s">
        <v>1517</v>
      </c>
      <c r="E534" s="112" t="s">
        <v>1512</v>
      </c>
      <c r="F534" s="112" t="s">
        <v>1517</v>
      </c>
      <c r="G534" s="112" t="s">
        <v>1479</v>
      </c>
      <c r="H534" s="112" t="s">
        <v>1512</v>
      </c>
      <c r="I534" s="112">
        <v>837.24045550000005</v>
      </c>
    </row>
    <row r="535" spans="1:9">
      <c r="A535" s="112" t="s">
        <v>1480</v>
      </c>
      <c r="B535" s="112" t="s">
        <v>1516</v>
      </c>
      <c r="C535" s="112">
        <v>31.878860329999998</v>
      </c>
      <c r="D535" s="112" t="s">
        <v>1517</v>
      </c>
      <c r="E535" s="112" t="s">
        <v>1512</v>
      </c>
      <c r="F535" s="112" t="s">
        <v>1517</v>
      </c>
      <c r="G535" s="112" t="s">
        <v>1480</v>
      </c>
      <c r="H535" s="112" t="s">
        <v>1512</v>
      </c>
      <c r="I535" s="112">
        <v>31.878860329999998</v>
      </c>
    </row>
    <row r="536" spans="1:9">
      <c r="A536" s="112" t="s">
        <v>1481</v>
      </c>
      <c r="B536" s="112" t="s">
        <v>1516</v>
      </c>
      <c r="C536" s="112">
        <v>22.258330180000002</v>
      </c>
      <c r="D536" s="112" t="s">
        <v>1517</v>
      </c>
      <c r="E536" s="112" t="s">
        <v>1512</v>
      </c>
      <c r="F536" s="112" t="s">
        <v>1517</v>
      </c>
      <c r="G536" s="112" t="s">
        <v>1481</v>
      </c>
      <c r="H536" s="112" t="s">
        <v>1512</v>
      </c>
      <c r="I536" s="112">
        <v>44.516660360000003</v>
      </c>
    </row>
    <row r="537" spans="1:9">
      <c r="A537" s="112" t="s">
        <v>1482</v>
      </c>
      <c r="B537" s="112" t="s">
        <v>1516</v>
      </c>
      <c r="C537" s="112">
        <v>0</v>
      </c>
      <c r="D537" s="112" t="s">
        <v>1517</v>
      </c>
      <c r="E537" s="112" t="s">
        <v>1512</v>
      </c>
      <c r="F537" s="112" t="s">
        <v>1517</v>
      </c>
      <c r="G537" s="112" t="s">
        <v>1482</v>
      </c>
      <c r="H537" s="112" t="s">
        <v>1512</v>
      </c>
      <c r="I537" s="112">
        <v>0</v>
      </c>
    </row>
    <row r="538" spans="1:9">
      <c r="A538" s="112" t="s">
        <v>1483</v>
      </c>
      <c r="B538" s="112" t="s">
        <v>1516</v>
      </c>
      <c r="C538" s="112">
        <v>0</v>
      </c>
      <c r="D538" s="112" t="s">
        <v>1517</v>
      </c>
      <c r="E538" s="112" t="s">
        <v>1512</v>
      </c>
      <c r="F538" s="112" t="s">
        <v>1517</v>
      </c>
      <c r="G538" s="112" t="s">
        <v>1483</v>
      </c>
      <c r="H538" s="112" t="s">
        <v>1512</v>
      </c>
      <c r="I538" s="112">
        <v>0</v>
      </c>
    </row>
    <row r="539" spans="1:9">
      <c r="A539" s="112" t="s">
        <v>1484</v>
      </c>
      <c r="B539" s="112" t="s">
        <v>1516</v>
      </c>
      <c r="C539" s="112">
        <v>120.12012009999999</v>
      </c>
      <c r="D539" s="112" t="s">
        <v>1517</v>
      </c>
      <c r="E539" s="112" t="s">
        <v>1512</v>
      </c>
      <c r="F539" s="112" t="s">
        <v>1517</v>
      </c>
      <c r="G539" s="112" t="s">
        <v>1484</v>
      </c>
      <c r="H539" s="112" t="s">
        <v>1512</v>
      </c>
      <c r="I539" s="112">
        <v>120.12012009999999</v>
      </c>
    </row>
    <row r="540" spans="1:9">
      <c r="A540" s="112" t="s">
        <v>1485</v>
      </c>
      <c r="B540" s="112" t="s">
        <v>1516</v>
      </c>
      <c r="C540" s="112">
        <v>0</v>
      </c>
      <c r="D540" s="112" t="s">
        <v>1517</v>
      </c>
      <c r="E540" s="112" t="s">
        <v>1512</v>
      </c>
      <c r="F540" s="112" t="s">
        <v>1517</v>
      </c>
      <c r="G540" s="112" t="s">
        <v>1485</v>
      </c>
      <c r="H540" s="112" t="s">
        <v>1512</v>
      </c>
      <c r="I540" s="112">
        <v>0</v>
      </c>
    </row>
    <row r="541" spans="1:9">
      <c r="A541" s="112" t="s">
        <v>1486</v>
      </c>
      <c r="B541" s="112" t="s">
        <v>1516</v>
      </c>
      <c r="C541" s="112">
        <v>0</v>
      </c>
      <c r="D541" s="112" t="s">
        <v>1517</v>
      </c>
      <c r="E541" s="112" t="s">
        <v>1512</v>
      </c>
      <c r="F541" s="112" t="s">
        <v>1517</v>
      </c>
      <c r="G541" s="112" t="s">
        <v>1486</v>
      </c>
      <c r="H541" s="112" t="s">
        <v>1512</v>
      </c>
      <c r="I541" s="112">
        <v>0</v>
      </c>
    </row>
    <row r="542" spans="1:9">
      <c r="A542" s="112" t="s">
        <v>1487</v>
      </c>
      <c r="B542" s="112" t="s">
        <v>1516</v>
      </c>
      <c r="C542" s="112">
        <v>45.97067071</v>
      </c>
      <c r="D542" s="112" t="s">
        <v>1517</v>
      </c>
      <c r="E542" s="112" t="s">
        <v>1512</v>
      </c>
      <c r="F542" s="112" t="s">
        <v>1517</v>
      </c>
      <c r="G542" s="112" t="s">
        <v>1487</v>
      </c>
      <c r="H542" s="112" t="s">
        <v>1512</v>
      </c>
      <c r="I542" s="112">
        <v>45.97067071</v>
      </c>
    </row>
    <row r="543" spans="1:9">
      <c r="A543" s="112" t="s">
        <v>1488</v>
      </c>
      <c r="B543" s="112" t="s">
        <v>1516</v>
      </c>
      <c r="C543" s="112">
        <v>199.12385499999999</v>
      </c>
      <c r="D543" s="112" t="s">
        <v>1517</v>
      </c>
      <c r="E543" s="112" t="s">
        <v>1512</v>
      </c>
      <c r="F543" s="112" t="s">
        <v>1517</v>
      </c>
      <c r="G543" s="112" t="s">
        <v>1488</v>
      </c>
      <c r="H543" s="112" t="s">
        <v>1512</v>
      </c>
      <c r="I543" s="112">
        <v>398.24770999999998</v>
      </c>
    </row>
    <row r="544" spans="1:9">
      <c r="A544" s="112" t="s">
        <v>1489</v>
      </c>
      <c r="B544" s="112" t="s">
        <v>1516</v>
      </c>
      <c r="C544" s="112">
        <v>0</v>
      </c>
      <c r="D544" s="112" t="s">
        <v>1517</v>
      </c>
      <c r="E544" s="112" t="s">
        <v>1512</v>
      </c>
      <c r="F544" s="112" t="s">
        <v>1517</v>
      </c>
      <c r="G544" s="112" t="s">
        <v>1489</v>
      </c>
      <c r="H544" s="112" t="s">
        <v>1512</v>
      </c>
      <c r="I544" s="112">
        <v>5.824892094</v>
      </c>
    </row>
    <row r="545" spans="1:9">
      <c r="A545" s="112" t="s">
        <v>1490</v>
      </c>
      <c r="B545" s="112" t="s">
        <v>1516</v>
      </c>
      <c r="C545" s="112">
        <v>0</v>
      </c>
      <c r="D545" s="112" t="s">
        <v>1517</v>
      </c>
      <c r="E545" s="112" t="s">
        <v>1512</v>
      </c>
      <c r="F545" s="112" t="s">
        <v>1517</v>
      </c>
      <c r="G545" s="112" t="s">
        <v>1490</v>
      </c>
      <c r="H545" s="112" t="s">
        <v>1512</v>
      </c>
      <c r="I545" s="112">
        <v>420.3446826</v>
      </c>
    </row>
    <row r="546" spans="1:9">
      <c r="A546" s="112" t="s">
        <v>1461</v>
      </c>
      <c r="B546" s="112" t="s">
        <v>1518</v>
      </c>
      <c r="C546" s="112">
        <v>776.83946879999996</v>
      </c>
      <c r="D546" s="112" t="s">
        <v>1517</v>
      </c>
      <c r="E546" s="112" t="s">
        <v>1512</v>
      </c>
      <c r="F546" s="112" t="s">
        <v>1517</v>
      </c>
      <c r="G546" s="112" t="s">
        <v>1461</v>
      </c>
      <c r="H546" s="112" t="s">
        <v>1512</v>
      </c>
      <c r="I546" s="112">
        <v>1725.7890609999999</v>
      </c>
    </row>
    <row r="547" spans="1:9">
      <c r="A547" s="112" t="s">
        <v>1465</v>
      </c>
      <c r="B547" s="112" t="s">
        <v>1518</v>
      </c>
      <c r="C547" s="112">
        <v>0</v>
      </c>
      <c r="D547" s="112" t="s">
        <v>1517</v>
      </c>
      <c r="E547" s="112" t="s">
        <v>1512</v>
      </c>
      <c r="F547" s="112" t="s">
        <v>1517</v>
      </c>
      <c r="G547" s="112" t="s">
        <v>1465</v>
      </c>
      <c r="H547" s="112" t="s">
        <v>1512</v>
      </c>
      <c r="I547" s="112">
        <v>65.928592010000003</v>
      </c>
    </row>
    <row r="548" spans="1:9">
      <c r="A548" s="112" t="s">
        <v>1466</v>
      </c>
      <c r="B548" s="112" t="s">
        <v>1518</v>
      </c>
      <c r="C548" s="112">
        <v>0</v>
      </c>
      <c r="D548" s="112" t="s">
        <v>1517</v>
      </c>
      <c r="E548" s="112" t="s">
        <v>1512</v>
      </c>
      <c r="F548" s="112" t="s">
        <v>1517</v>
      </c>
      <c r="G548" s="112" t="s">
        <v>1466</v>
      </c>
      <c r="H548" s="112" t="s">
        <v>1512</v>
      </c>
      <c r="I548" s="112">
        <v>81.333875559999996</v>
      </c>
    </row>
    <row r="549" spans="1:9">
      <c r="A549" s="112" t="s">
        <v>1467</v>
      </c>
      <c r="B549" s="112" t="s">
        <v>1518</v>
      </c>
      <c r="C549" s="112">
        <v>788.71924790000003</v>
      </c>
      <c r="D549" s="112" t="s">
        <v>1517</v>
      </c>
      <c r="E549" s="112" t="s">
        <v>1512</v>
      </c>
      <c r="F549" s="112" t="s">
        <v>1517</v>
      </c>
      <c r="G549" s="112" t="s">
        <v>1467</v>
      </c>
      <c r="H549" s="112" t="s">
        <v>1512</v>
      </c>
      <c r="I549" s="112">
        <v>2075.4716979999998</v>
      </c>
    </row>
    <row r="550" spans="1:9">
      <c r="A550" s="112" t="s">
        <v>1468</v>
      </c>
      <c r="B550" s="112" t="s">
        <v>1518</v>
      </c>
      <c r="C550" s="112">
        <v>0</v>
      </c>
      <c r="D550" s="112" t="s">
        <v>1517</v>
      </c>
      <c r="E550" s="112" t="s">
        <v>1512</v>
      </c>
      <c r="F550" s="112" t="s">
        <v>1517</v>
      </c>
      <c r="G550" s="112" t="s">
        <v>1468</v>
      </c>
      <c r="H550" s="112" t="s">
        <v>1512</v>
      </c>
      <c r="I550" s="112">
        <v>25.25270746</v>
      </c>
    </row>
    <row r="551" spans="1:9">
      <c r="A551" s="112" t="s">
        <v>1469</v>
      </c>
      <c r="B551" s="112" t="s">
        <v>1518</v>
      </c>
      <c r="C551" s="112">
        <v>0</v>
      </c>
      <c r="D551" s="112" t="s">
        <v>1517</v>
      </c>
      <c r="E551" s="112" t="s">
        <v>1512</v>
      </c>
      <c r="F551" s="112" t="s">
        <v>1517</v>
      </c>
      <c r="G551" s="112" t="s">
        <v>1469</v>
      </c>
      <c r="H551" s="112" t="s">
        <v>1512</v>
      </c>
      <c r="I551" s="112">
        <v>163.44896539999999</v>
      </c>
    </row>
    <row r="552" spans="1:9">
      <c r="A552" s="112" t="s">
        <v>1470</v>
      </c>
      <c r="B552" s="112" t="s">
        <v>1518</v>
      </c>
      <c r="C552" s="112">
        <v>0</v>
      </c>
      <c r="D552" s="112" t="s">
        <v>1517</v>
      </c>
      <c r="E552" s="112" t="s">
        <v>1512</v>
      </c>
      <c r="F552" s="112" t="s">
        <v>1517</v>
      </c>
      <c r="G552" s="112" t="s">
        <v>1470</v>
      </c>
      <c r="H552" s="112" t="s">
        <v>1512</v>
      </c>
      <c r="I552" s="112">
        <v>525.88085039999999</v>
      </c>
    </row>
    <row r="553" spans="1:9">
      <c r="A553" s="112" t="s">
        <v>1471</v>
      </c>
      <c r="B553" s="112" t="s">
        <v>1518</v>
      </c>
      <c r="C553" s="112">
        <v>1193.028916</v>
      </c>
      <c r="D553" s="112" t="s">
        <v>1517</v>
      </c>
      <c r="E553" s="112" t="s">
        <v>1512</v>
      </c>
      <c r="F553" s="112" t="s">
        <v>1517</v>
      </c>
      <c r="G553" s="112" t="s">
        <v>1471</v>
      </c>
      <c r="H553" s="112" t="s">
        <v>1512</v>
      </c>
      <c r="I553" s="112">
        <v>2976.7066070000001</v>
      </c>
    </row>
    <row r="554" spans="1:9">
      <c r="A554" s="112" t="s">
        <v>1472</v>
      </c>
      <c r="B554" s="112" t="s">
        <v>1518</v>
      </c>
      <c r="C554" s="112">
        <v>0</v>
      </c>
      <c r="D554" s="112" t="s">
        <v>1517</v>
      </c>
      <c r="E554" s="112" t="s">
        <v>1512</v>
      </c>
      <c r="F554" s="112" t="s">
        <v>1517</v>
      </c>
      <c r="G554" s="112" t="s">
        <v>1472</v>
      </c>
      <c r="H554" s="112" t="s">
        <v>1512</v>
      </c>
      <c r="I554" s="112">
        <v>4.8378357459999997</v>
      </c>
    </row>
    <row r="555" spans="1:9">
      <c r="A555" s="112" t="s">
        <v>1473</v>
      </c>
      <c r="B555" s="112" t="s">
        <v>1518</v>
      </c>
      <c r="C555" s="112">
        <v>182.23495589999999</v>
      </c>
      <c r="D555" s="112" t="s">
        <v>1517</v>
      </c>
      <c r="E555" s="112" t="s">
        <v>1512</v>
      </c>
      <c r="F555" s="112" t="s">
        <v>1517</v>
      </c>
      <c r="G555" s="112" t="s">
        <v>1473</v>
      </c>
      <c r="H555" s="112" t="s">
        <v>1512</v>
      </c>
      <c r="I555" s="112">
        <v>779.12413679999997</v>
      </c>
    </row>
    <row r="556" spans="1:9">
      <c r="A556" s="112" t="s">
        <v>1474</v>
      </c>
      <c r="B556" s="112" t="s">
        <v>1518</v>
      </c>
      <c r="C556" s="112">
        <v>0</v>
      </c>
      <c r="D556" s="112" t="s">
        <v>1517</v>
      </c>
      <c r="E556" s="112" t="s">
        <v>1512</v>
      </c>
      <c r="F556" s="112" t="s">
        <v>1517</v>
      </c>
      <c r="G556" s="112" t="s">
        <v>1474</v>
      </c>
      <c r="H556" s="112" t="s">
        <v>1512</v>
      </c>
      <c r="I556" s="112">
        <v>160.38935900000001</v>
      </c>
    </row>
    <row r="557" spans="1:9">
      <c r="A557" s="112" t="s">
        <v>1475</v>
      </c>
      <c r="B557" s="112" t="s">
        <v>1518</v>
      </c>
      <c r="C557" s="112">
        <v>0</v>
      </c>
      <c r="D557" s="112" t="s">
        <v>1517</v>
      </c>
      <c r="E557" s="112" t="s">
        <v>1512</v>
      </c>
      <c r="F557" s="112" t="s">
        <v>1517</v>
      </c>
      <c r="G557" s="112" t="s">
        <v>1475</v>
      </c>
      <c r="H557" s="112" t="s">
        <v>1512</v>
      </c>
      <c r="I557" s="112">
        <v>179.93987899999999</v>
      </c>
    </row>
    <row r="558" spans="1:9">
      <c r="A558" s="112" t="s">
        <v>1476</v>
      </c>
      <c r="B558" s="112" t="s">
        <v>1518</v>
      </c>
      <c r="C558" s="112">
        <v>0</v>
      </c>
      <c r="D558" s="112" t="s">
        <v>1517</v>
      </c>
      <c r="E558" s="112" t="s">
        <v>1512</v>
      </c>
      <c r="F558" s="112" t="s">
        <v>1517</v>
      </c>
      <c r="G558" s="112" t="s">
        <v>1476</v>
      </c>
      <c r="H558" s="112" t="s">
        <v>1512</v>
      </c>
      <c r="I558" s="112">
        <v>0</v>
      </c>
    </row>
    <row r="559" spans="1:9">
      <c r="A559" s="112" t="s">
        <v>1477</v>
      </c>
      <c r="B559" s="112" t="s">
        <v>1518</v>
      </c>
      <c r="C559" s="112">
        <v>0</v>
      </c>
      <c r="D559" s="112" t="s">
        <v>1517</v>
      </c>
      <c r="E559" s="112" t="s">
        <v>1512</v>
      </c>
      <c r="F559" s="112" t="s">
        <v>1517</v>
      </c>
      <c r="G559" s="112" t="s">
        <v>1477</v>
      </c>
      <c r="H559" s="112" t="s">
        <v>1512</v>
      </c>
      <c r="I559" s="112">
        <v>100.0450203</v>
      </c>
    </row>
    <row r="560" spans="1:9">
      <c r="A560" s="112" t="s">
        <v>1478</v>
      </c>
      <c r="B560" s="112" t="s">
        <v>1518</v>
      </c>
      <c r="C560" s="112">
        <v>986.04028530000005</v>
      </c>
      <c r="D560" s="112" t="s">
        <v>1517</v>
      </c>
      <c r="E560" s="112" t="s">
        <v>1512</v>
      </c>
      <c r="F560" s="112" t="s">
        <v>1517</v>
      </c>
      <c r="G560" s="112" t="s">
        <v>1478</v>
      </c>
      <c r="H560" s="112" t="s">
        <v>1512</v>
      </c>
      <c r="I560" s="112">
        <v>2797.2001070000001</v>
      </c>
    </row>
    <row r="561" spans="1:9">
      <c r="A561" s="112" t="s">
        <v>1479</v>
      </c>
      <c r="B561" s="112" t="s">
        <v>1518</v>
      </c>
      <c r="C561" s="112">
        <v>0</v>
      </c>
      <c r="D561" s="112" t="s">
        <v>1517</v>
      </c>
      <c r="E561" s="112" t="s">
        <v>1512</v>
      </c>
      <c r="F561" s="112" t="s">
        <v>1517</v>
      </c>
      <c r="G561" s="112" t="s">
        <v>1479</v>
      </c>
      <c r="H561" s="112" t="s">
        <v>1512</v>
      </c>
      <c r="I561" s="112">
        <v>837.24045550000005</v>
      </c>
    </row>
    <row r="562" spans="1:9">
      <c r="A562" s="112" t="s">
        <v>1480</v>
      </c>
      <c r="B562" s="112" t="s">
        <v>1518</v>
      </c>
      <c r="C562" s="112">
        <v>0</v>
      </c>
      <c r="D562" s="112" t="s">
        <v>1517</v>
      </c>
      <c r="E562" s="112" t="s">
        <v>1512</v>
      </c>
      <c r="F562" s="112" t="s">
        <v>1517</v>
      </c>
      <c r="G562" s="112" t="s">
        <v>1480</v>
      </c>
      <c r="H562" s="112" t="s">
        <v>1512</v>
      </c>
      <c r="I562" s="112">
        <v>31.878860329999998</v>
      </c>
    </row>
    <row r="563" spans="1:9">
      <c r="A563" s="112" t="s">
        <v>1481</v>
      </c>
      <c r="B563" s="112" t="s">
        <v>1518</v>
      </c>
      <c r="C563" s="112">
        <v>0</v>
      </c>
      <c r="D563" s="112" t="s">
        <v>1517</v>
      </c>
      <c r="E563" s="112" t="s">
        <v>1512</v>
      </c>
      <c r="F563" s="112" t="s">
        <v>1517</v>
      </c>
      <c r="G563" s="112" t="s">
        <v>1481</v>
      </c>
      <c r="H563" s="112" t="s">
        <v>1512</v>
      </c>
      <c r="I563" s="112">
        <v>44.516660360000003</v>
      </c>
    </row>
    <row r="564" spans="1:9">
      <c r="A564" s="112" t="s">
        <v>1482</v>
      </c>
      <c r="B564" s="112" t="s">
        <v>1518</v>
      </c>
      <c r="C564" s="112">
        <v>0</v>
      </c>
      <c r="D564" s="112" t="s">
        <v>1517</v>
      </c>
      <c r="E564" s="112" t="s">
        <v>1512</v>
      </c>
      <c r="F564" s="112" t="s">
        <v>1517</v>
      </c>
      <c r="G564" s="112" t="s">
        <v>1482</v>
      </c>
      <c r="H564" s="112" t="s">
        <v>1512</v>
      </c>
      <c r="I564" s="112">
        <v>0</v>
      </c>
    </row>
    <row r="565" spans="1:9">
      <c r="A565" s="112" t="s">
        <v>1483</v>
      </c>
      <c r="B565" s="112" t="s">
        <v>1518</v>
      </c>
      <c r="C565" s="112">
        <v>0</v>
      </c>
      <c r="D565" s="112" t="s">
        <v>1517</v>
      </c>
      <c r="E565" s="112" t="s">
        <v>1512</v>
      </c>
      <c r="F565" s="112" t="s">
        <v>1517</v>
      </c>
      <c r="G565" s="112" t="s">
        <v>1483</v>
      </c>
      <c r="H565" s="112" t="s">
        <v>1512</v>
      </c>
      <c r="I565" s="112">
        <v>0</v>
      </c>
    </row>
    <row r="566" spans="1:9">
      <c r="A566" s="112" t="s">
        <v>1484</v>
      </c>
      <c r="B566" s="112" t="s">
        <v>1518</v>
      </c>
      <c r="C566" s="112">
        <v>0</v>
      </c>
      <c r="D566" s="112" t="s">
        <v>1517</v>
      </c>
      <c r="E566" s="112" t="s">
        <v>1512</v>
      </c>
      <c r="F566" s="112" t="s">
        <v>1517</v>
      </c>
      <c r="G566" s="112" t="s">
        <v>1484</v>
      </c>
      <c r="H566" s="112" t="s">
        <v>1512</v>
      </c>
      <c r="I566" s="112">
        <v>120.12012009999999</v>
      </c>
    </row>
    <row r="567" spans="1:9">
      <c r="A567" s="112" t="s">
        <v>1485</v>
      </c>
      <c r="B567" s="112" t="s">
        <v>1518</v>
      </c>
      <c r="C567" s="112">
        <v>0</v>
      </c>
      <c r="D567" s="112" t="s">
        <v>1517</v>
      </c>
      <c r="E567" s="112" t="s">
        <v>1512</v>
      </c>
      <c r="F567" s="112" t="s">
        <v>1517</v>
      </c>
      <c r="G567" s="112" t="s">
        <v>1485</v>
      </c>
      <c r="H567" s="112" t="s">
        <v>1512</v>
      </c>
      <c r="I567" s="112">
        <v>0</v>
      </c>
    </row>
    <row r="568" spans="1:9">
      <c r="A568" s="112" t="s">
        <v>1486</v>
      </c>
      <c r="B568" s="112" t="s">
        <v>1518</v>
      </c>
      <c r="C568" s="112">
        <v>0</v>
      </c>
      <c r="D568" s="112" t="s">
        <v>1517</v>
      </c>
      <c r="E568" s="112" t="s">
        <v>1512</v>
      </c>
      <c r="F568" s="112" t="s">
        <v>1517</v>
      </c>
      <c r="G568" s="112" t="s">
        <v>1486</v>
      </c>
      <c r="H568" s="112" t="s">
        <v>1512</v>
      </c>
      <c r="I568" s="112">
        <v>0</v>
      </c>
    </row>
    <row r="569" spans="1:9">
      <c r="A569" s="112" t="s">
        <v>1487</v>
      </c>
      <c r="B569" s="112" t="s">
        <v>1518</v>
      </c>
      <c r="C569" s="112">
        <v>0</v>
      </c>
      <c r="D569" s="112" t="s">
        <v>1517</v>
      </c>
      <c r="E569" s="112" t="s">
        <v>1512</v>
      </c>
      <c r="F569" s="112" t="s">
        <v>1517</v>
      </c>
      <c r="G569" s="112" t="s">
        <v>1487</v>
      </c>
      <c r="H569" s="112" t="s">
        <v>1512</v>
      </c>
      <c r="I569" s="112">
        <v>45.97067071</v>
      </c>
    </row>
    <row r="570" spans="1:9">
      <c r="A570" s="112" t="s">
        <v>1488</v>
      </c>
      <c r="B570" s="112" t="s">
        <v>1518</v>
      </c>
      <c r="C570" s="112">
        <v>199.12385499999999</v>
      </c>
      <c r="D570" s="112" t="s">
        <v>1517</v>
      </c>
      <c r="E570" s="112" t="s">
        <v>1512</v>
      </c>
      <c r="F570" s="112" t="s">
        <v>1517</v>
      </c>
      <c r="G570" s="112" t="s">
        <v>1488</v>
      </c>
      <c r="H570" s="112" t="s">
        <v>1512</v>
      </c>
      <c r="I570" s="112">
        <v>398.24770999999998</v>
      </c>
    </row>
    <row r="571" spans="1:9">
      <c r="A571" s="112" t="s">
        <v>1489</v>
      </c>
      <c r="B571" s="112" t="s">
        <v>1518</v>
      </c>
      <c r="C571" s="112">
        <v>0</v>
      </c>
      <c r="D571" s="112" t="s">
        <v>1517</v>
      </c>
      <c r="E571" s="112" t="s">
        <v>1512</v>
      </c>
      <c r="F571" s="112" t="s">
        <v>1517</v>
      </c>
      <c r="G571" s="112" t="s">
        <v>1489</v>
      </c>
      <c r="H571" s="112" t="s">
        <v>1512</v>
      </c>
      <c r="I571" s="112">
        <v>5.824892094</v>
      </c>
    </row>
    <row r="572" spans="1:9">
      <c r="A572" s="112" t="s">
        <v>1490</v>
      </c>
      <c r="B572" s="112" t="s">
        <v>1518</v>
      </c>
      <c r="C572" s="112">
        <v>0</v>
      </c>
      <c r="D572" s="112" t="s">
        <v>1517</v>
      </c>
      <c r="E572" s="112" t="s">
        <v>1512</v>
      </c>
      <c r="F572" s="112" t="s">
        <v>1517</v>
      </c>
      <c r="G572" s="112" t="s">
        <v>1490</v>
      </c>
      <c r="H572" s="112" t="s">
        <v>1512</v>
      </c>
      <c r="I572" s="112">
        <v>420.3446826</v>
      </c>
    </row>
    <row r="573" spans="1:9">
      <c r="A573" s="112" t="s">
        <v>1461</v>
      </c>
      <c r="B573" s="112" t="s">
        <v>1519</v>
      </c>
      <c r="C573" s="112">
        <v>275.9119493</v>
      </c>
      <c r="D573" s="112" t="s">
        <v>1517</v>
      </c>
      <c r="E573" s="112" t="s">
        <v>1512</v>
      </c>
      <c r="F573" s="112" t="s">
        <v>1517</v>
      </c>
      <c r="G573" s="112" t="s">
        <v>1461</v>
      </c>
      <c r="H573" s="112" t="s">
        <v>1512</v>
      </c>
      <c r="I573" s="112">
        <v>1725.7890609999999</v>
      </c>
    </row>
    <row r="574" spans="1:9">
      <c r="A574" s="112" t="s">
        <v>1465</v>
      </c>
      <c r="B574" s="112" t="s">
        <v>1519</v>
      </c>
      <c r="C574" s="112">
        <v>4.8835994080000003</v>
      </c>
      <c r="D574" s="112" t="s">
        <v>1517</v>
      </c>
      <c r="E574" s="112" t="s">
        <v>1512</v>
      </c>
      <c r="F574" s="112" t="s">
        <v>1517</v>
      </c>
      <c r="G574" s="112" t="s">
        <v>1465</v>
      </c>
      <c r="H574" s="112" t="s">
        <v>1512</v>
      </c>
      <c r="I574" s="112">
        <v>65.928592010000003</v>
      </c>
    </row>
    <row r="575" spans="1:9">
      <c r="A575" s="112" t="s">
        <v>1466</v>
      </c>
      <c r="B575" s="112" t="s">
        <v>1519</v>
      </c>
      <c r="C575" s="112">
        <v>69.714750480000006</v>
      </c>
      <c r="D575" s="112" t="s">
        <v>1517</v>
      </c>
      <c r="E575" s="112" t="s">
        <v>1512</v>
      </c>
      <c r="F575" s="112" t="s">
        <v>1517</v>
      </c>
      <c r="G575" s="112" t="s">
        <v>1466</v>
      </c>
      <c r="H575" s="112" t="s">
        <v>1512</v>
      </c>
      <c r="I575" s="112">
        <v>81.333875559999996</v>
      </c>
    </row>
    <row r="576" spans="1:9">
      <c r="A576" s="112" t="s">
        <v>1467</v>
      </c>
      <c r="B576" s="112" t="s">
        <v>1519</v>
      </c>
      <c r="C576" s="112">
        <v>24.66831122</v>
      </c>
      <c r="D576" s="112" t="s">
        <v>1517</v>
      </c>
      <c r="E576" s="112" t="s">
        <v>1512</v>
      </c>
      <c r="F576" s="112" t="s">
        <v>1517</v>
      </c>
      <c r="G576" s="112" t="s">
        <v>1467</v>
      </c>
      <c r="H576" s="112" t="s">
        <v>1512</v>
      </c>
      <c r="I576" s="112">
        <v>2075.4716979999998</v>
      </c>
    </row>
    <row r="577" spans="1:9">
      <c r="A577" s="112" t="s">
        <v>1468</v>
      </c>
      <c r="B577" s="112" t="s">
        <v>1519</v>
      </c>
      <c r="C577" s="112">
        <v>3.6075296360000002</v>
      </c>
      <c r="D577" s="112" t="s">
        <v>1517</v>
      </c>
      <c r="E577" s="112" t="s">
        <v>1512</v>
      </c>
      <c r="F577" s="112" t="s">
        <v>1517</v>
      </c>
      <c r="G577" s="112" t="s">
        <v>1468</v>
      </c>
      <c r="H577" s="112" t="s">
        <v>1512</v>
      </c>
      <c r="I577" s="112">
        <v>25.25270746</v>
      </c>
    </row>
    <row r="578" spans="1:9">
      <c r="A578" s="112" t="s">
        <v>1469</v>
      </c>
      <c r="B578" s="112" t="s">
        <v>1519</v>
      </c>
      <c r="C578" s="112">
        <v>9.6146450269999999</v>
      </c>
      <c r="D578" s="112" t="s">
        <v>1517</v>
      </c>
      <c r="E578" s="112" t="s">
        <v>1512</v>
      </c>
      <c r="F578" s="112" t="s">
        <v>1517</v>
      </c>
      <c r="G578" s="112" t="s">
        <v>1469</v>
      </c>
      <c r="H578" s="112" t="s">
        <v>1512</v>
      </c>
      <c r="I578" s="112">
        <v>163.44896539999999</v>
      </c>
    </row>
    <row r="579" spans="1:9">
      <c r="A579" s="112" t="s">
        <v>1470</v>
      </c>
      <c r="B579" s="112" t="s">
        <v>1519</v>
      </c>
      <c r="C579" s="112">
        <v>0</v>
      </c>
      <c r="D579" s="112" t="s">
        <v>1517</v>
      </c>
      <c r="E579" s="112" t="s">
        <v>1512</v>
      </c>
      <c r="F579" s="112" t="s">
        <v>1517</v>
      </c>
      <c r="G579" s="112" t="s">
        <v>1470</v>
      </c>
      <c r="H579" s="112" t="s">
        <v>1512</v>
      </c>
      <c r="I579" s="112">
        <v>525.88085039999999</v>
      </c>
    </row>
    <row r="580" spans="1:9">
      <c r="A580" s="112" t="s">
        <v>1471</v>
      </c>
      <c r="B580" s="112" t="s">
        <v>1519</v>
      </c>
      <c r="C580" s="112">
        <v>374.8936526</v>
      </c>
      <c r="D580" s="112" t="s">
        <v>1517</v>
      </c>
      <c r="E580" s="112" t="s">
        <v>1512</v>
      </c>
      <c r="F580" s="112" t="s">
        <v>1517</v>
      </c>
      <c r="G580" s="112" t="s">
        <v>1471</v>
      </c>
      <c r="H580" s="112" t="s">
        <v>1512</v>
      </c>
      <c r="I580" s="112">
        <v>2976.7066070000001</v>
      </c>
    </row>
    <row r="581" spans="1:9">
      <c r="A581" s="112" t="s">
        <v>1472</v>
      </c>
      <c r="B581" s="112" t="s">
        <v>1519</v>
      </c>
      <c r="C581" s="112">
        <v>0</v>
      </c>
      <c r="D581" s="112" t="s">
        <v>1517</v>
      </c>
      <c r="E581" s="112" t="s">
        <v>1512</v>
      </c>
      <c r="F581" s="112" t="s">
        <v>1517</v>
      </c>
      <c r="G581" s="112" t="s">
        <v>1472</v>
      </c>
      <c r="H581" s="112" t="s">
        <v>1512</v>
      </c>
      <c r="I581" s="112">
        <v>4.8378357459999997</v>
      </c>
    </row>
    <row r="582" spans="1:9">
      <c r="A582" s="112" t="s">
        <v>1473</v>
      </c>
      <c r="B582" s="112" t="s">
        <v>1519</v>
      </c>
      <c r="C582" s="112">
        <v>40.806436570000002</v>
      </c>
      <c r="D582" s="112" t="s">
        <v>1517</v>
      </c>
      <c r="E582" s="112" t="s">
        <v>1512</v>
      </c>
      <c r="F582" s="112" t="s">
        <v>1517</v>
      </c>
      <c r="G582" s="112" t="s">
        <v>1473</v>
      </c>
      <c r="H582" s="112" t="s">
        <v>1512</v>
      </c>
      <c r="I582" s="112">
        <v>779.12413679999997</v>
      </c>
    </row>
    <row r="583" spans="1:9">
      <c r="A583" s="112" t="s">
        <v>1474</v>
      </c>
      <c r="B583" s="112" t="s">
        <v>1519</v>
      </c>
      <c r="C583" s="112">
        <v>38.71467286</v>
      </c>
      <c r="D583" s="112" t="s">
        <v>1517</v>
      </c>
      <c r="E583" s="112" t="s">
        <v>1512</v>
      </c>
      <c r="F583" s="112" t="s">
        <v>1517</v>
      </c>
      <c r="G583" s="112" t="s">
        <v>1474</v>
      </c>
      <c r="H583" s="112" t="s">
        <v>1512</v>
      </c>
      <c r="I583" s="112">
        <v>160.38935900000001</v>
      </c>
    </row>
    <row r="584" spans="1:9">
      <c r="A584" s="112" t="s">
        <v>1475</v>
      </c>
      <c r="B584" s="112" t="s">
        <v>1519</v>
      </c>
      <c r="C584" s="112">
        <v>63.508192559999998</v>
      </c>
      <c r="D584" s="112" t="s">
        <v>1517</v>
      </c>
      <c r="E584" s="112" t="s">
        <v>1512</v>
      </c>
      <c r="F584" s="112" t="s">
        <v>1517</v>
      </c>
      <c r="G584" s="112" t="s">
        <v>1475</v>
      </c>
      <c r="H584" s="112" t="s">
        <v>1512</v>
      </c>
      <c r="I584" s="112">
        <v>179.93987899999999</v>
      </c>
    </row>
    <row r="585" spans="1:9">
      <c r="A585" s="112" t="s">
        <v>1476</v>
      </c>
      <c r="B585" s="112" t="s">
        <v>1519</v>
      </c>
      <c r="C585" s="112">
        <v>0</v>
      </c>
      <c r="D585" s="112" t="s">
        <v>1517</v>
      </c>
      <c r="E585" s="112" t="s">
        <v>1512</v>
      </c>
      <c r="F585" s="112" t="s">
        <v>1517</v>
      </c>
      <c r="G585" s="112" t="s">
        <v>1476</v>
      </c>
      <c r="H585" s="112" t="s">
        <v>1512</v>
      </c>
      <c r="I585" s="112">
        <v>0</v>
      </c>
    </row>
    <row r="586" spans="1:9">
      <c r="A586" s="112" t="s">
        <v>1477</v>
      </c>
      <c r="B586" s="112" t="s">
        <v>1519</v>
      </c>
      <c r="C586" s="112">
        <v>0</v>
      </c>
      <c r="D586" s="112" t="s">
        <v>1517</v>
      </c>
      <c r="E586" s="112" t="s">
        <v>1512</v>
      </c>
      <c r="F586" s="112" t="s">
        <v>1517</v>
      </c>
      <c r="G586" s="112" t="s">
        <v>1477</v>
      </c>
      <c r="H586" s="112" t="s">
        <v>1512</v>
      </c>
      <c r="I586" s="112">
        <v>100.0450203</v>
      </c>
    </row>
    <row r="587" spans="1:9">
      <c r="A587" s="112" t="s">
        <v>1478</v>
      </c>
      <c r="B587" s="112" t="s">
        <v>1519</v>
      </c>
      <c r="C587" s="112">
        <v>44.878296470000002</v>
      </c>
      <c r="D587" s="112" t="s">
        <v>1517</v>
      </c>
      <c r="E587" s="112" t="s">
        <v>1512</v>
      </c>
      <c r="F587" s="112" t="s">
        <v>1517</v>
      </c>
      <c r="G587" s="112" t="s">
        <v>1478</v>
      </c>
      <c r="H587" s="112" t="s">
        <v>1512</v>
      </c>
      <c r="I587" s="112">
        <v>2797.2001070000001</v>
      </c>
    </row>
    <row r="588" spans="1:9">
      <c r="A588" s="112" t="s">
        <v>1479</v>
      </c>
      <c r="B588" s="112" t="s">
        <v>1519</v>
      </c>
      <c r="C588" s="112">
        <v>669.7923644</v>
      </c>
      <c r="D588" s="112" t="s">
        <v>1517</v>
      </c>
      <c r="E588" s="112" t="s">
        <v>1512</v>
      </c>
      <c r="F588" s="112" t="s">
        <v>1517</v>
      </c>
      <c r="G588" s="112" t="s">
        <v>1479</v>
      </c>
      <c r="H588" s="112" t="s">
        <v>1512</v>
      </c>
      <c r="I588" s="112">
        <v>837.24045550000005</v>
      </c>
    </row>
    <row r="589" spans="1:9">
      <c r="A589" s="112" t="s">
        <v>1480</v>
      </c>
      <c r="B589" s="112" t="s">
        <v>1519</v>
      </c>
      <c r="C589" s="112">
        <v>0</v>
      </c>
      <c r="D589" s="112" t="s">
        <v>1517</v>
      </c>
      <c r="E589" s="112" t="s">
        <v>1512</v>
      </c>
      <c r="F589" s="112" t="s">
        <v>1517</v>
      </c>
      <c r="G589" s="112" t="s">
        <v>1480</v>
      </c>
      <c r="H589" s="112" t="s">
        <v>1512</v>
      </c>
      <c r="I589" s="112">
        <v>31.878860329999998</v>
      </c>
    </row>
    <row r="590" spans="1:9">
      <c r="A590" s="112" t="s">
        <v>1481</v>
      </c>
      <c r="B590" s="112" t="s">
        <v>1519</v>
      </c>
      <c r="C590" s="112">
        <v>22.258330180000002</v>
      </c>
      <c r="D590" s="112" t="s">
        <v>1517</v>
      </c>
      <c r="E590" s="112" t="s">
        <v>1512</v>
      </c>
      <c r="F590" s="112" t="s">
        <v>1517</v>
      </c>
      <c r="G590" s="112" t="s">
        <v>1481</v>
      </c>
      <c r="H590" s="112" t="s">
        <v>1512</v>
      </c>
      <c r="I590" s="112">
        <v>44.516660360000003</v>
      </c>
    </row>
    <row r="591" spans="1:9">
      <c r="A591" s="112" t="s">
        <v>1482</v>
      </c>
      <c r="B591" s="112" t="s">
        <v>1519</v>
      </c>
      <c r="C591" s="112">
        <v>0</v>
      </c>
      <c r="D591" s="112" t="s">
        <v>1517</v>
      </c>
      <c r="E591" s="112" t="s">
        <v>1512</v>
      </c>
      <c r="F591" s="112" t="s">
        <v>1517</v>
      </c>
      <c r="G591" s="112" t="s">
        <v>1482</v>
      </c>
      <c r="H591" s="112" t="s">
        <v>1512</v>
      </c>
      <c r="I591" s="112">
        <v>0</v>
      </c>
    </row>
    <row r="592" spans="1:9">
      <c r="A592" s="112" t="s">
        <v>1483</v>
      </c>
      <c r="B592" s="112" t="s">
        <v>1519</v>
      </c>
      <c r="C592" s="112">
        <v>0</v>
      </c>
      <c r="D592" s="112" t="s">
        <v>1517</v>
      </c>
      <c r="E592" s="112" t="s">
        <v>1512</v>
      </c>
      <c r="F592" s="112" t="s">
        <v>1517</v>
      </c>
      <c r="G592" s="112" t="s">
        <v>1483</v>
      </c>
      <c r="H592" s="112" t="s">
        <v>1512</v>
      </c>
      <c r="I592" s="112">
        <v>0</v>
      </c>
    </row>
    <row r="593" spans="1:9">
      <c r="A593" s="112" t="s">
        <v>1484</v>
      </c>
      <c r="B593" s="112" t="s">
        <v>1519</v>
      </c>
      <c r="C593" s="112">
        <v>0</v>
      </c>
      <c r="D593" s="112" t="s">
        <v>1517</v>
      </c>
      <c r="E593" s="112" t="s">
        <v>1512</v>
      </c>
      <c r="F593" s="112" t="s">
        <v>1517</v>
      </c>
      <c r="G593" s="112" t="s">
        <v>1484</v>
      </c>
      <c r="H593" s="112" t="s">
        <v>1512</v>
      </c>
      <c r="I593" s="112">
        <v>120.12012009999999</v>
      </c>
    </row>
    <row r="594" spans="1:9">
      <c r="A594" s="112" t="s">
        <v>1485</v>
      </c>
      <c r="B594" s="112" t="s">
        <v>1519</v>
      </c>
      <c r="C594" s="112">
        <v>0</v>
      </c>
      <c r="D594" s="112" t="s">
        <v>1517</v>
      </c>
      <c r="E594" s="112" t="s">
        <v>1512</v>
      </c>
      <c r="F594" s="112" t="s">
        <v>1517</v>
      </c>
      <c r="G594" s="112" t="s">
        <v>1485</v>
      </c>
      <c r="H594" s="112" t="s">
        <v>1512</v>
      </c>
      <c r="I594" s="112">
        <v>0</v>
      </c>
    </row>
    <row r="595" spans="1:9">
      <c r="A595" s="112" t="s">
        <v>1486</v>
      </c>
      <c r="B595" s="112" t="s">
        <v>1519</v>
      </c>
      <c r="C595" s="112">
        <v>0</v>
      </c>
      <c r="D595" s="112" t="s">
        <v>1517</v>
      </c>
      <c r="E595" s="112" t="s">
        <v>1512</v>
      </c>
      <c r="F595" s="112" t="s">
        <v>1517</v>
      </c>
      <c r="G595" s="112" t="s">
        <v>1486</v>
      </c>
      <c r="H595" s="112" t="s">
        <v>1512</v>
      </c>
      <c r="I595" s="112">
        <v>0</v>
      </c>
    </row>
    <row r="596" spans="1:9">
      <c r="A596" s="112" t="s">
        <v>1487</v>
      </c>
      <c r="B596" s="112" t="s">
        <v>1519</v>
      </c>
      <c r="C596" s="112">
        <v>0</v>
      </c>
      <c r="D596" s="112" t="s">
        <v>1517</v>
      </c>
      <c r="E596" s="112" t="s">
        <v>1512</v>
      </c>
      <c r="F596" s="112" t="s">
        <v>1517</v>
      </c>
      <c r="G596" s="112" t="s">
        <v>1487</v>
      </c>
      <c r="H596" s="112" t="s">
        <v>1512</v>
      </c>
      <c r="I596" s="112">
        <v>45.97067071</v>
      </c>
    </row>
    <row r="597" spans="1:9">
      <c r="A597" s="112" t="s">
        <v>1488</v>
      </c>
      <c r="B597" s="112" t="s">
        <v>1519</v>
      </c>
      <c r="C597" s="112">
        <v>0</v>
      </c>
      <c r="D597" s="112" t="s">
        <v>1517</v>
      </c>
      <c r="E597" s="112" t="s">
        <v>1512</v>
      </c>
      <c r="F597" s="112" t="s">
        <v>1517</v>
      </c>
      <c r="G597" s="112" t="s">
        <v>1488</v>
      </c>
      <c r="H597" s="112" t="s">
        <v>1512</v>
      </c>
      <c r="I597" s="112">
        <v>398.24770999999998</v>
      </c>
    </row>
    <row r="598" spans="1:9">
      <c r="A598" s="112" t="s">
        <v>1489</v>
      </c>
      <c r="B598" s="112" t="s">
        <v>1519</v>
      </c>
      <c r="C598" s="112">
        <v>5.824892094</v>
      </c>
      <c r="D598" s="112" t="s">
        <v>1517</v>
      </c>
      <c r="E598" s="112" t="s">
        <v>1512</v>
      </c>
      <c r="F598" s="112" t="s">
        <v>1517</v>
      </c>
      <c r="G598" s="112" t="s">
        <v>1489</v>
      </c>
      <c r="H598" s="112" t="s">
        <v>1512</v>
      </c>
      <c r="I598" s="112">
        <v>5.824892094</v>
      </c>
    </row>
    <row r="599" spans="1:9">
      <c r="A599" s="112" t="s">
        <v>1490</v>
      </c>
      <c r="B599" s="112" t="s">
        <v>1519</v>
      </c>
      <c r="C599" s="112">
        <v>420.3446826</v>
      </c>
      <c r="D599" s="112" t="s">
        <v>1517</v>
      </c>
      <c r="E599" s="112" t="s">
        <v>1512</v>
      </c>
      <c r="F599" s="112" t="s">
        <v>1517</v>
      </c>
      <c r="G599" s="112" t="s">
        <v>1490</v>
      </c>
      <c r="H599" s="112" t="s">
        <v>1512</v>
      </c>
      <c r="I599" s="112">
        <v>420.3446826</v>
      </c>
    </row>
    <row r="600" spans="1:9">
      <c r="A600" s="112" t="s">
        <v>1461</v>
      </c>
      <c r="B600" s="112" t="s">
        <v>1520</v>
      </c>
      <c r="C600" s="112">
        <v>0</v>
      </c>
      <c r="D600" s="112" t="s">
        <v>1517</v>
      </c>
      <c r="E600" s="112" t="s">
        <v>1512</v>
      </c>
      <c r="F600" s="112" t="s">
        <v>1517</v>
      </c>
      <c r="G600" s="112" t="s">
        <v>1461</v>
      </c>
      <c r="H600" s="112" t="s">
        <v>1512</v>
      </c>
      <c r="I600" s="112">
        <v>1725.7890609999999</v>
      </c>
    </row>
    <row r="601" spans="1:9">
      <c r="A601" s="112" t="s">
        <v>1465</v>
      </c>
      <c r="B601" s="112" t="s">
        <v>1520</v>
      </c>
      <c r="C601" s="112">
        <v>0</v>
      </c>
      <c r="D601" s="112" t="s">
        <v>1517</v>
      </c>
      <c r="E601" s="112" t="s">
        <v>1512</v>
      </c>
      <c r="F601" s="112" t="s">
        <v>1517</v>
      </c>
      <c r="G601" s="112" t="s">
        <v>1465</v>
      </c>
      <c r="H601" s="112" t="s">
        <v>1512</v>
      </c>
      <c r="I601" s="112">
        <v>65.928592010000003</v>
      </c>
    </row>
    <row r="602" spans="1:9">
      <c r="A602" s="112" t="s">
        <v>1466</v>
      </c>
      <c r="B602" s="112" t="s">
        <v>1520</v>
      </c>
      <c r="C602" s="112">
        <v>0</v>
      </c>
      <c r="D602" s="112" t="s">
        <v>1517</v>
      </c>
      <c r="E602" s="112" t="s">
        <v>1512</v>
      </c>
      <c r="F602" s="112" t="s">
        <v>1517</v>
      </c>
      <c r="G602" s="112" t="s">
        <v>1466</v>
      </c>
      <c r="H602" s="112" t="s">
        <v>1512</v>
      </c>
      <c r="I602" s="112">
        <v>81.333875559999996</v>
      </c>
    </row>
    <row r="603" spans="1:9">
      <c r="A603" s="112" t="s">
        <v>1467</v>
      </c>
      <c r="B603" s="112" t="s">
        <v>1520</v>
      </c>
      <c r="C603" s="112">
        <v>0</v>
      </c>
      <c r="D603" s="112" t="s">
        <v>1517</v>
      </c>
      <c r="E603" s="112" t="s">
        <v>1512</v>
      </c>
      <c r="F603" s="112" t="s">
        <v>1517</v>
      </c>
      <c r="G603" s="112" t="s">
        <v>1467</v>
      </c>
      <c r="H603" s="112" t="s">
        <v>1512</v>
      </c>
      <c r="I603" s="112">
        <v>2075.4716979999998</v>
      </c>
    </row>
    <row r="604" spans="1:9">
      <c r="A604" s="112" t="s">
        <v>1468</v>
      </c>
      <c r="B604" s="112" t="s">
        <v>1520</v>
      </c>
      <c r="C604" s="112">
        <v>0</v>
      </c>
      <c r="D604" s="112" t="s">
        <v>1517</v>
      </c>
      <c r="E604" s="112" t="s">
        <v>1512</v>
      </c>
      <c r="F604" s="112" t="s">
        <v>1517</v>
      </c>
      <c r="G604" s="112" t="s">
        <v>1468</v>
      </c>
      <c r="H604" s="112" t="s">
        <v>1512</v>
      </c>
      <c r="I604" s="112">
        <v>25.25270746</v>
      </c>
    </row>
    <row r="605" spans="1:9">
      <c r="A605" s="112" t="s">
        <v>1469</v>
      </c>
      <c r="B605" s="112" t="s">
        <v>1520</v>
      </c>
      <c r="C605" s="112">
        <v>0</v>
      </c>
      <c r="D605" s="112" t="s">
        <v>1517</v>
      </c>
      <c r="E605" s="112" t="s">
        <v>1512</v>
      </c>
      <c r="F605" s="112" t="s">
        <v>1517</v>
      </c>
      <c r="G605" s="112" t="s">
        <v>1469</v>
      </c>
      <c r="H605" s="112" t="s">
        <v>1512</v>
      </c>
      <c r="I605" s="112">
        <v>163.44896539999999</v>
      </c>
    </row>
    <row r="606" spans="1:9">
      <c r="A606" s="112" t="s">
        <v>1470</v>
      </c>
      <c r="B606" s="112" t="s">
        <v>1520</v>
      </c>
      <c r="C606" s="112">
        <v>0</v>
      </c>
      <c r="D606" s="112" t="s">
        <v>1517</v>
      </c>
      <c r="E606" s="112" t="s">
        <v>1512</v>
      </c>
      <c r="F606" s="112" t="s">
        <v>1517</v>
      </c>
      <c r="G606" s="112" t="s">
        <v>1470</v>
      </c>
      <c r="H606" s="112" t="s">
        <v>1512</v>
      </c>
      <c r="I606" s="112">
        <v>525.88085039999999</v>
      </c>
    </row>
    <row r="607" spans="1:9">
      <c r="A607" s="112" t="s">
        <v>1471</v>
      </c>
      <c r="B607" s="112" t="s">
        <v>1520</v>
      </c>
      <c r="C607" s="112">
        <v>2.040237565</v>
      </c>
      <c r="D607" s="112" t="s">
        <v>1517</v>
      </c>
      <c r="E607" s="112" t="s">
        <v>1512</v>
      </c>
      <c r="F607" s="112" t="s">
        <v>1517</v>
      </c>
      <c r="G607" s="112" t="s">
        <v>1471</v>
      </c>
      <c r="H607" s="112" t="s">
        <v>1512</v>
      </c>
      <c r="I607" s="112">
        <v>2976.7066070000001</v>
      </c>
    </row>
    <row r="608" spans="1:9">
      <c r="A608" s="112" t="s">
        <v>1472</v>
      </c>
      <c r="B608" s="112" t="s">
        <v>1520</v>
      </c>
      <c r="C608" s="112">
        <v>0</v>
      </c>
      <c r="D608" s="112" t="s">
        <v>1517</v>
      </c>
      <c r="E608" s="112" t="s">
        <v>1512</v>
      </c>
      <c r="F608" s="112" t="s">
        <v>1517</v>
      </c>
      <c r="G608" s="112" t="s">
        <v>1472</v>
      </c>
      <c r="H608" s="112" t="s">
        <v>1512</v>
      </c>
      <c r="I608" s="112">
        <v>4.8378357459999997</v>
      </c>
    </row>
    <row r="609" spans="1:9">
      <c r="A609" s="112" t="s">
        <v>1473</v>
      </c>
      <c r="B609" s="112" t="s">
        <v>1520</v>
      </c>
      <c r="C609" s="112">
        <v>23.571419880000001</v>
      </c>
      <c r="D609" s="112" t="s">
        <v>1517</v>
      </c>
      <c r="E609" s="112" t="s">
        <v>1512</v>
      </c>
      <c r="F609" s="112" t="s">
        <v>1517</v>
      </c>
      <c r="G609" s="112" t="s">
        <v>1473</v>
      </c>
      <c r="H609" s="112" t="s">
        <v>1512</v>
      </c>
      <c r="I609" s="112">
        <v>779.12413679999997</v>
      </c>
    </row>
    <row r="610" spans="1:9">
      <c r="A610" s="112" t="s">
        <v>1474</v>
      </c>
      <c r="B610" s="112" t="s">
        <v>1520</v>
      </c>
      <c r="C610" s="112">
        <v>0</v>
      </c>
      <c r="D610" s="112" t="s">
        <v>1517</v>
      </c>
      <c r="E610" s="112" t="s">
        <v>1512</v>
      </c>
      <c r="F610" s="112" t="s">
        <v>1517</v>
      </c>
      <c r="G610" s="112" t="s">
        <v>1474</v>
      </c>
      <c r="H610" s="112" t="s">
        <v>1512</v>
      </c>
      <c r="I610" s="112">
        <v>160.38935900000001</v>
      </c>
    </row>
    <row r="611" spans="1:9">
      <c r="A611" s="112" t="s">
        <v>1475</v>
      </c>
      <c r="B611" s="112" t="s">
        <v>1520</v>
      </c>
      <c r="C611" s="112">
        <v>0</v>
      </c>
      <c r="D611" s="112" t="s">
        <v>1517</v>
      </c>
      <c r="E611" s="112" t="s">
        <v>1512</v>
      </c>
      <c r="F611" s="112" t="s">
        <v>1517</v>
      </c>
      <c r="G611" s="112" t="s">
        <v>1475</v>
      </c>
      <c r="H611" s="112" t="s">
        <v>1512</v>
      </c>
      <c r="I611" s="112">
        <v>179.93987899999999</v>
      </c>
    </row>
    <row r="612" spans="1:9">
      <c r="A612" s="112" t="s">
        <v>1476</v>
      </c>
      <c r="B612" s="112" t="s">
        <v>1520</v>
      </c>
      <c r="C612" s="112">
        <v>0</v>
      </c>
      <c r="D612" s="112" t="s">
        <v>1517</v>
      </c>
      <c r="E612" s="112" t="s">
        <v>1512</v>
      </c>
      <c r="F612" s="112" t="s">
        <v>1517</v>
      </c>
      <c r="G612" s="112" t="s">
        <v>1476</v>
      </c>
      <c r="H612" s="112" t="s">
        <v>1512</v>
      </c>
      <c r="I612" s="112">
        <v>0</v>
      </c>
    </row>
    <row r="613" spans="1:9">
      <c r="A613" s="112" t="s">
        <v>1477</v>
      </c>
      <c r="B613" s="112" t="s">
        <v>1520</v>
      </c>
      <c r="C613" s="112">
        <v>0</v>
      </c>
      <c r="D613" s="112" t="s">
        <v>1517</v>
      </c>
      <c r="E613" s="112" t="s">
        <v>1512</v>
      </c>
      <c r="F613" s="112" t="s">
        <v>1517</v>
      </c>
      <c r="G613" s="112" t="s">
        <v>1477</v>
      </c>
      <c r="H613" s="112" t="s">
        <v>1512</v>
      </c>
      <c r="I613" s="112">
        <v>100.0450203</v>
      </c>
    </row>
    <row r="614" spans="1:9">
      <c r="A614" s="112" t="s">
        <v>1478</v>
      </c>
      <c r="B614" s="112" t="s">
        <v>1520</v>
      </c>
      <c r="C614" s="112">
        <v>0</v>
      </c>
      <c r="D614" s="112" t="s">
        <v>1517</v>
      </c>
      <c r="E614" s="112" t="s">
        <v>1512</v>
      </c>
      <c r="F614" s="112" t="s">
        <v>1517</v>
      </c>
      <c r="G614" s="112" t="s">
        <v>1478</v>
      </c>
      <c r="H614" s="112" t="s">
        <v>1512</v>
      </c>
      <c r="I614" s="112">
        <v>2797.2001070000001</v>
      </c>
    </row>
    <row r="615" spans="1:9">
      <c r="A615" s="112" t="s">
        <v>1479</v>
      </c>
      <c r="B615" s="112" t="s">
        <v>1520</v>
      </c>
      <c r="C615" s="112">
        <v>0</v>
      </c>
      <c r="D615" s="112" t="s">
        <v>1517</v>
      </c>
      <c r="E615" s="112" t="s">
        <v>1512</v>
      </c>
      <c r="F615" s="112" t="s">
        <v>1517</v>
      </c>
      <c r="G615" s="112" t="s">
        <v>1479</v>
      </c>
      <c r="H615" s="112" t="s">
        <v>1512</v>
      </c>
      <c r="I615" s="112">
        <v>837.24045550000005</v>
      </c>
    </row>
    <row r="616" spans="1:9">
      <c r="A616" s="112" t="s">
        <v>1480</v>
      </c>
      <c r="B616" s="112" t="s">
        <v>1520</v>
      </c>
      <c r="C616" s="112">
        <v>0</v>
      </c>
      <c r="D616" s="112" t="s">
        <v>1517</v>
      </c>
      <c r="E616" s="112" t="s">
        <v>1512</v>
      </c>
      <c r="F616" s="112" t="s">
        <v>1517</v>
      </c>
      <c r="G616" s="112" t="s">
        <v>1480</v>
      </c>
      <c r="H616" s="112" t="s">
        <v>1512</v>
      </c>
      <c r="I616" s="112">
        <v>31.878860329999998</v>
      </c>
    </row>
    <row r="617" spans="1:9">
      <c r="A617" s="112" t="s">
        <v>1481</v>
      </c>
      <c r="B617" s="112" t="s">
        <v>1520</v>
      </c>
      <c r="C617" s="112">
        <v>0</v>
      </c>
      <c r="D617" s="112" t="s">
        <v>1517</v>
      </c>
      <c r="E617" s="112" t="s">
        <v>1512</v>
      </c>
      <c r="F617" s="112" t="s">
        <v>1517</v>
      </c>
      <c r="G617" s="112" t="s">
        <v>1481</v>
      </c>
      <c r="H617" s="112" t="s">
        <v>1512</v>
      </c>
      <c r="I617" s="112">
        <v>44.516660360000003</v>
      </c>
    </row>
    <row r="618" spans="1:9">
      <c r="A618" s="112" t="s">
        <v>1482</v>
      </c>
      <c r="B618" s="112" t="s">
        <v>1520</v>
      </c>
      <c r="C618" s="112">
        <v>0</v>
      </c>
      <c r="D618" s="112" t="s">
        <v>1517</v>
      </c>
      <c r="E618" s="112" t="s">
        <v>1512</v>
      </c>
      <c r="F618" s="112" t="s">
        <v>1517</v>
      </c>
      <c r="G618" s="112" t="s">
        <v>1482</v>
      </c>
      <c r="H618" s="112" t="s">
        <v>1512</v>
      </c>
      <c r="I618" s="112">
        <v>0</v>
      </c>
    </row>
    <row r="619" spans="1:9">
      <c r="A619" s="112" t="s">
        <v>1483</v>
      </c>
      <c r="B619" s="112" t="s">
        <v>1520</v>
      </c>
      <c r="C619" s="112">
        <v>0</v>
      </c>
      <c r="D619" s="112" t="s">
        <v>1517</v>
      </c>
      <c r="E619" s="112" t="s">
        <v>1512</v>
      </c>
      <c r="F619" s="112" t="s">
        <v>1517</v>
      </c>
      <c r="G619" s="112" t="s">
        <v>1483</v>
      </c>
      <c r="H619" s="112" t="s">
        <v>1512</v>
      </c>
      <c r="I619" s="112">
        <v>0</v>
      </c>
    </row>
    <row r="620" spans="1:9">
      <c r="A620" s="112" t="s">
        <v>1484</v>
      </c>
      <c r="B620" s="112" t="s">
        <v>1520</v>
      </c>
      <c r="C620" s="112">
        <v>0</v>
      </c>
      <c r="D620" s="112" t="s">
        <v>1517</v>
      </c>
      <c r="E620" s="112" t="s">
        <v>1512</v>
      </c>
      <c r="F620" s="112" t="s">
        <v>1517</v>
      </c>
      <c r="G620" s="112" t="s">
        <v>1484</v>
      </c>
      <c r="H620" s="112" t="s">
        <v>1512</v>
      </c>
      <c r="I620" s="112">
        <v>120.12012009999999</v>
      </c>
    </row>
    <row r="621" spans="1:9">
      <c r="A621" s="112" t="s">
        <v>1485</v>
      </c>
      <c r="B621" s="112" t="s">
        <v>1520</v>
      </c>
      <c r="C621" s="112">
        <v>0</v>
      </c>
      <c r="D621" s="112" t="s">
        <v>1517</v>
      </c>
      <c r="E621" s="112" t="s">
        <v>1512</v>
      </c>
      <c r="F621" s="112" t="s">
        <v>1517</v>
      </c>
      <c r="G621" s="112" t="s">
        <v>1485</v>
      </c>
      <c r="H621" s="112" t="s">
        <v>1512</v>
      </c>
      <c r="I621" s="112">
        <v>0</v>
      </c>
    </row>
    <row r="622" spans="1:9">
      <c r="A622" s="112" t="s">
        <v>1486</v>
      </c>
      <c r="B622" s="112" t="s">
        <v>1520</v>
      </c>
      <c r="C622" s="112">
        <v>0</v>
      </c>
      <c r="D622" s="112" t="s">
        <v>1517</v>
      </c>
      <c r="E622" s="112" t="s">
        <v>1512</v>
      </c>
      <c r="F622" s="112" t="s">
        <v>1517</v>
      </c>
      <c r="G622" s="112" t="s">
        <v>1486</v>
      </c>
      <c r="H622" s="112" t="s">
        <v>1512</v>
      </c>
      <c r="I622" s="112">
        <v>0</v>
      </c>
    </row>
    <row r="623" spans="1:9">
      <c r="A623" s="112" t="s">
        <v>1487</v>
      </c>
      <c r="B623" s="112" t="s">
        <v>1520</v>
      </c>
      <c r="C623" s="112">
        <v>0</v>
      </c>
      <c r="D623" s="112" t="s">
        <v>1517</v>
      </c>
      <c r="E623" s="112" t="s">
        <v>1512</v>
      </c>
      <c r="F623" s="112" t="s">
        <v>1517</v>
      </c>
      <c r="G623" s="112" t="s">
        <v>1487</v>
      </c>
      <c r="H623" s="112" t="s">
        <v>1512</v>
      </c>
      <c r="I623" s="112">
        <v>45.97067071</v>
      </c>
    </row>
    <row r="624" spans="1:9">
      <c r="A624" s="112" t="s">
        <v>1488</v>
      </c>
      <c r="B624" s="112" t="s">
        <v>1520</v>
      </c>
      <c r="C624" s="112">
        <v>0</v>
      </c>
      <c r="D624" s="112" t="s">
        <v>1517</v>
      </c>
      <c r="E624" s="112" t="s">
        <v>1512</v>
      </c>
      <c r="F624" s="112" t="s">
        <v>1517</v>
      </c>
      <c r="G624" s="112" t="s">
        <v>1488</v>
      </c>
      <c r="H624" s="112" t="s">
        <v>1512</v>
      </c>
      <c r="I624" s="112">
        <v>398.24770999999998</v>
      </c>
    </row>
    <row r="625" spans="1:9">
      <c r="A625" s="112" t="s">
        <v>1489</v>
      </c>
      <c r="B625" s="112" t="s">
        <v>1520</v>
      </c>
      <c r="C625" s="112">
        <v>0</v>
      </c>
      <c r="D625" s="112" t="s">
        <v>1517</v>
      </c>
      <c r="E625" s="112" t="s">
        <v>1512</v>
      </c>
      <c r="F625" s="112" t="s">
        <v>1517</v>
      </c>
      <c r="G625" s="112" t="s">
        <v>1489</v>
      </c>
      <c r="H625" s="112" t="s">
        <v>1512</v>
      </c>
      <c r="I625" s="112">
        <v>5.824892094</v>
      </c>
    </row>
    <row r="626" spans="1:9">
      <c r="A626" s="112" t="s">
        <v>1490</v>
      </c>
      <c r="B626" s="112" t="s">
        <v>1520</v>
      </c>
      <c r="C626" s="112">
        <v>0</v>
      </c>
      <c r="D626" s="112" t="s">
        <v>1517</v>
      </c>
      <c r="E626" s="112" t="s">
        <v>1512</v>
      </c>
      <c r="F626" s="112" t="s">
        <v>1517</v>
      </c>
      <c r="G626" s="112" t="s">
        <v>1490</v>
      </c>
      <c r="H626" s="112" t="s">
        <v>1512</v>
      </c>
      <c r="I626" s="112">
        <v>420.3446826</v>
      </c>
    </row>
    <row r="627" spans="1:9">
      <c r="A627" s="112" t="s">
        <v>1461</v>
      </c>
      <c r="B627" s="112" t="s">
        <v>1521</v>
      </c>
      <c r="C627" s="112">
        <v>16.742229930000001</v>
      </c>
      <c r="D627" s="112" t="s">
        <v>1511</v>
      </c>
      <c r="E627" s="112" t="s">
        <v>1512</v>
      </c>
      <c r="F627" s="112" t="s">
        <v>1511</v>
      </c>
      <c r="G627" s="112" t="s">
        <v>1461</v>
      </c>
      <c r="H627" s="112" t="s">
        <v>1512</v>
      </c>
      <c r="I627" s="112">
        <v>3559.3980820000002</v>
      </c>
    </row>
    <row r="628" spans="1:9">
      <c r="A628" s="112" t="s">
        <v>1465</v>
      </c>
      <c r="B628" s="112" t="s">
        <v>1521</v>
      </c>
      <c r="C628" s="112">
        <v>29.301596450000002</v>
      </c>
      <c r="D628" s="112" t="s">
        <v>1511</v>
      </c>
      <c r="E628" s="112" t="s">
        <v>1512</v>
      </c>
      <c r="F628" s="112" t="s">
        <v>1511</v>
      </c>
      <c r="G628" s="112" t="s">
        <v>1465</v>
      </c>
      <c r="H628" s="112" t="s">
        <v>1512</v>
      </c>
      <c r="I628" s="112">
        <v>7073.8937420000002</v>
      </c>
    </row>
    <row r="629" spans="1:9">
      <c r="A629" s="112" t="s">
        <v>1466</v>
      </c>
      <c r="B629" s="112" t="s">
        <v>1521</v>
      </c>
      <c r="C629" s="112">
        <v>0</v>
      </c>
      <c r="D629" s="112" t="s">
        <v>1511</v>
      </c>
      <c r="E629" s="112" t="s">
        <v>1512</v>
      </c>
      <c r="F629" s="112" t="s">
        <v>1511</v>
      </c>
      <c r="G629" s="112" t="s">
        <v>1466</v>
      </c>
      <c r="H629" s="112" t="s">
        <v>1512</v>
      </c>
      <c r="I629" s="112">
        <v>197.52512630000001</v>
      </c>
    </row>
    <row r="630" spans="1:9">
      <c r="A630" s="112" t="s">
        <v>1467</v>
      </c>
      <c r="B630" s="112" t="s">
        <v>1521</v>
      </c>
      <c r="C630" s="112">
        <v>40.002666840000003</v>
      </c>
      <c r="D630" s="112" t="s">
        <v>1511</v>
      </c>
      <c r="E630" s="112" t="s">
        <v>1512</v>
      </c>
      <c r="F630" s="112" t="s">
        <v>1511</v>
      </c>
      <c r="G630" s="112" t="s">
        <v>1467</v>
      </c>
      <c r="H630" s="112" t="s">
        <v>1512</v>
      </c>
      <c r="I630" s="112">
        <v>1770.1180079999999</v>
      </c>
    </row>
    <row r="631" spans="1:9">
      <c r="A631" s="112" t="s">
        <v>1468</v>
      </c>
      <c r="B631" s="112" t="s">
        <v>1521</v>
      </c>
      <c r="C631" s="112">
        <v>0</v>
      </c>
      <c r="D631" s="112" t="s">
        <v>1511</v>
      </c>
      <c r="E631" s="112" t="s">
        <v>1512</v>
      </c>
      <c r="F631" s="112" t="s">
        <v>1511</v>
      </c>
      <c r="G631" s="112" t="s">
        <v>1468</v>
      </c>
      <c r="H631" s="112" t="s">
        <v>1512</v>
      </c>
      <c r="I631" s="112">
        <v>7593.8498829999999</v>
      </c>
    </row>
    <row r="632" spans="1:9">
      <c r="A632" s="112" t="s">
        <v>1469</v>
      </c>
      <c r="B632" s="112" t="s">
        <v>1521</v>
      </c>
      <c r="C632" s="112">
        <v>0</v>
      </c>
      <c r="D632" s="112" t="s">
        <v>1511</v>
      </c>
      <c r="E632" s="112" t="s">
        <v>1512</v>
      </c>
      <c r="F632" s="112" t="s">
        <v>1511</v>
      </c>
      <c r="G632" s="112" t="s">
        <v>1469</v>
      </c>
      <c r="H632" s="112" t="s">
        <v>1512</v>
      </c>
      <c r="I632" s="112">
        <v>57.687870169999997</v>
      </c>
    </row>
    <row r="633" spans="1:9">
      <c r="A633" s="112" t="s">
        <v>1470</v>
      </c>
      <c r="B633" s="112" t="s">
        <v>1521</v>
      </c>
      <c r="C633" s="112">
        <v>751.25835770000003</v>
      </c>
      <c r="D633" s="112" t="s">
        <v>1511</v>
      </c>
      <c r="E633" s="112" t="s">
        <v>1512</v>
      </c>
      <c r="F633" s="112" t="s">
        <v>1511</v>
      </c>
      <c r="G633" s="112" t="s">
        <v>1470</v>
      </c>
      <c r="H633" s="112" t="s">
        <v>1512</v>
      </c>
      <c r="I633" s="112">
        <v>751.25835770000003</v>
      </c>
    </row>
    <row r="634" spans="1:9">
      <c r="A634" s="112" t="s">
        <v>1471</v>
      </c>
      <c r="B634" s="112" t="s">
        <v>1521</v>
      </c>
      <c r="C634" s="112">
        <v>33.153860440000003</v>
      </c>
      <c r="D634" s="112" t="s">
        <v>1511</v>
      </c>
      <c r="E634" s="112" t="s">
        <v>1512</v>
      </c>
      <c r="F634" s="112" t="s">
        <v>1511</v>
      </c>
      <c r="G634" s="112" t="s">
        <v>1471</v>
      </c>
      <c r="H634" s="112" t="s">
        <v>1512</v>
      </c>
      <c r="I634" s="112">
        <v>2932.3314399999999</v>
      </c>
    </row>
    <row r="635" spans="1:9">
      <c r="A635" s="112" t="s">
        <v>1472</v>
      </c>
      <c r="B635" s="112" t="s">
        <v>1521</v>
      </c>
      <c r="C635" s="112">
        <v>0</v>
      </c>
      <c r="D635" s="112" t="s">
        <v>1511</v>
      </c>
      <c r="E635" s="112" t="s">
        <v>1512</v>
      </c>
      <c r="F635" s="112" t="s">
        <v>1511</v>
      </c>
      <c r="G635" s="112" t="s">
        <v>1472</v>
      </c>
      <c r="H635" s="112" t="s">
        <v>1512</v>
      </c>
      <c r="I635" s="112">
        <v>0</v>
      </c>
    </row>
    <row r="636" spans="1:9">
      <c r="A636" s="112" t="s">
        <v>1473</v>
      </c>
      <c r="B636" s="112" t="s">
        <v>1521</v>
      </c>
      <c r="C636" s="112">
        <v>29.90782308</v>
      </c>
      <c r="D636" s="112" t="s">
        <v>1511</v>
      </c>
      <c r="E636" s="112" t="s">
        <v>1512</v>
      </c>
      <c r="F636" s="112" t="s">
        <v>1511</v>
      </c>
      <c r="G636" s="112" t="s">
        <v>1473</v>
      </c>
      <c r="H636" s="112" t="s">
        <v>1512</v>
      </c>
      <c r="I636" s="112">
        <v>1071.1055960000001</v>
      </c>
    </row>
    <row r="637" spans="1:9">
      <c r="A637" s="112" t="s">
        <v>1474</v>
      </c>
      <c r="B637" s="112" t="s">
        <v>1521</v>
      </c>
      <c r="C637" s="112">
        <v>11.061335100000001</v>
      </c>
      <c r="D637" s="112" t="s">
        <v>1511</v>
      </c>
      <c r="E637" s="112" t="s">
        <v>1512</v>
      </c>
      <c r="F637" s="112" t="s">
        <v>1511</v>
      </c>
      <c r="G637" s="112" t="s">
        <v>1474</v>
      </c>
      <c r="H637" s="112" t="s">
        <v>1512</v>
      </c>
      <c r="I637" s="112">
        <v>11.061335100000001</v>
      </c>
    </row>
    <row r="638" spans="1:9">
      <c r="A638" s="112" t="s">
        <v>1475</v>
      </c>
      <c r="B638" s="112" t="s">
        <v>1521</v>
      </c>
      <c r="C638" s="112">
        <v>0</v>
      </c>
      <c r="D638" s="112" t="s">
        <v>1511</v>
      </c>
      <c r="E638" s="112" t="s">
        <v>1512</v>
      </c>
      <c r="F638" s="112" t="s">
        <v>1511</v>
      </c>
      <c r="G638" s="112" t="s">
        <v>1475</v>
      </c>
      <c r="H638" s="112" t="s">
        <v>1512</v>
      </c>
      <c r="I638" s="112">
        <v>31.754096279999999</v>
      </c>
    </row>
    <row r="639" spans="1:9">
      <c r="A639" s="112" t="s">
        <v>1476</v>
      </c>
      <c r="B639" s="112" t="s">
        <v>1521</v>
      </c>
      <c r="C639" s="112">
        <v>0</v>
      </c>
      <c r="D639" s="112" t="s">
        <v>1511</v>
      </c>
      <c r="E639" s="112" t="s">
        <v>1512</v>
      </c>
      <c r="F639" s="112" t="s">
        <v>1511</v>
      </c>
      <c r="G639" s="112" t="s">
        <v>1476</v>
      </c>
      <c r="H639" s="112" t="s">
        <v>1512</v>
      </c>
      <c r="I639" s="112">
        <v>0</v>
      </c>
    </row>
    <row r="640" spans="1:9">
      <c r="A640" s="112" t="s">
        <v>1477</v>
      </c>
      <c r="B640" s="112" t="s">
        <v>1521</v>
      </c>
      <c r="C640" s="112">
        <v>0</v>
      </c>
      <c r="D640" s="112" t="s">
        <v>1511</v>
      </c>
      <c r="E640" s="112" t="s">
        <v>1512</v>
      </c>
      <c r="F640" s="112" t="s">
        <v>1511</v>
      </c>
      <c r="G640" s="112" t="s">
        <v>1477</v>
      </c>
      <c r="H640" s="112" t="s">
        <v>1512</v>
      </c>
      <c r="I640" s="112">
        <v>0</v>
      </c>
    </row>
    <row r="641" spans="1:9">
      <c r="A641" s="112" t="s">
        <v>1478</v>
      </c>
      <c r="B641" s="112" t="s">
        <v>1521</v>
      </c>
      <c r="C641" s="112">
        <v>0</v>
      </c>
      <c r="D641" s="112" t="s">
        <v>1511</v>
      </c>
      <c r="E641" s="112" t="s">
        <v>1512</v>
      </c>
      <c r="F641" s="112" t="s">
        <v>1511</v>
      </c>
      <c r="G641" s="112" t="s">
        <v>1478</v>
      </c>
      <c r="H641" s="112" t="s">
        <v>1512</v>
      </c>
      <c r="I641" s="112">
        <v>1523.9387240000001</v>
      </c>
    </row>
    <row r="642" spans="1:9">
      <c r="A642" s="112" t="s">
        <v>1479</v>
      </c>
      <c r="B642" s="112" t="s">
        <v>1521</v>
      </c>
      <c r="C642" s="112">
        <v>167.4480911</v>
      </c>
      <c r="D642" s="112" t="s">
        <v>1511</v>
      </c>
      <c r="E642" s="112" t="s">
        <v>1512</v>
      </c>
      <c r="F642" s="112" t="s">
        <v>1511</v>
      </c>
      <c r="G642" s="112" t="s">
        <v>1479</v>
      </c>
      <c r="H642" s="112" t="s">
        <v>1512</v>
      </c>
      <c r="I642" s="112">
        <v>837.24045550000005</v>
      </c>
    </row>
    <row r="643" spans="1:9">
      <c r="A643" s="112" t="s">
        <v>1480</v>
      </c>
      <c r="B643" s="112" t="s">
        <v>1521</v>
      </c>
      <c r="C643" s="112">
        <v>15.93943017</v>
      </c>
      <c r="D643" s="112" t="s">
        <v>1511</v>
      </c>
      <c r="E643" s="112" t="s">
        <v>1512</v>
      </c>
      <c r="F643" s="112" t="s">
        <v>1511</v>
      </c>
      <c r="G643" s="112" t="s">
        <v>1480</v>
      </c>
      <c r="H643" s="112" t="s">
        <v>1512</v>
      </c>
      <c r="I643" s="112">
        <v>23.909145250000002</v>
      </c>
    </row>
    <row r="644" spans="1:9">
      <c r="A644" s="112" t="s">
        <v>1481</v>
      </c>
      <c r="B644" s="112" t="s">
        <v>1521</v>
      </c>
      <c r="C644" s="112">
        <v>0</v>
      </c>
      <c r="D644" s="112" t="s">
        <v>1511</v>
      </c>
      <c r="E644" s="112" t="s">
        <v>1512</v>
      </c>
      <c r="F644" s="112" t="s">
        <v>1511</v>
      </c>
      <c r="G644" s="112" t="s">
        <v>1481</v>
      </c>
      <c r="H644" s="112" t="s">
        <v>1512</v>
      </c>
      <c r="I644" s="112">
        <v>1980.9913859999999</v>
      </c>
    </row>
    <row r="645" spans="1:9">
      <c r="A645" s="112" t="s">
        <v>1482</v>
      </c>
      <c r="B645" s="112" t="s">
        <v>1521</v>
      </c>
      <c r="C645" s="112">
        <v>0</v>
      </c>
      <c r="D645" s="112" t="s">
        <v>1511</v>
      </c>
      <c r="E645" s="112" t="s">
        <v>1512</v>
      </c>
      <c r="F645" s="112" t="s">
        <v>1511</v>
      </c>
      <c r="G645" s="112" t="s">
        <v>1482</v>
      </c>
      <c r="H645" s="112" t="s">
        <v>1512</v>
      </c>
      <c r="I645" s="112">
        <v>0</v>
      </c>
    </row>
    <row r="646" spans="1:9">
      <c r="A646" s="112" t="s">
        <v>1483</v>
      </c>
      <c r="B646" s="112" t="s">
        <v>1521</v>
      </c>
      <c r="C646" s="112">
        <v>0</v>
      </c>
      <c r="D646" s="112" t="s">
        <v>1511</v>
      </c>
      <c r="E646" s="112" t="s">
        <v>1512</v>
      </c>
      <c r="F646" s="112" t="s">
        <v>1511</v>
      </c>
      <c r="G646" s="112" t="s">
        <v>1483</v>
      </c>
      <c r="H646" s="112" t="s">
        <v>1512</v>
      </c>
      <c r="I646" s="112">
        <v>4119.4644699999999</v>
      </c>
    </row>
    <row r="647" spans="1:9">
      <c r="A647" s="112" t="s">
        <v>1484</v>
      </c>
      <c r="B647" s="112" t="s">
        <v>1521</v>
      </c>
      <c r="C647" s="112">
        <v>0</v>
      </c>
      <c r="D647" s="112" t="s">
        <v>1511</v>
      </c>
      <c r="E647" s="112" t="s">
        <v>1512</v>
      </c>
      <c r="F647" s="112" t="s">
        <v>1511</v>
      </c>
      <c r="G647" s="112" t="s">
        <v>1484</v>
      </c>
      <c r="H647" s="112" t="s">
        <v>1512</v>
      </c>
      <c r="I647" s="112">
        <v>180.1801802</v>
      </c>
    </row>
    <row r="648" spans="1:9">
      <c r="A648" s="112" t="s">
        <v>1485</v>
      </c>
      <c r="B648" s="112" t="s">
        <v>1521</v>
      </c>
      <c r="C648" s="112">
        <v>5.7873049679999999</v>
      </c>
      <c r="D648" s="112" t="s">
        <v>1511</v>
      </c>
      <c r="E648" s="112" t="s">
        <v>1512</v>
      </c>
      <c r="F648" s="112" t="s">
        <v>1511</v>
      </c>
      <c r="G648" s="112" t="s">
        <v>1485</v>
      </c>
      <c r="H648" s="112" t="s">
        <v>1512</v>
      </c>
      <c r="I648" s="112">
        <v>28.936524840000001</v>
      </c>
    </row>
    <row r="649" spans="1:9">
      <c r="A649" s="112" t="s">
        <v>1486</v>
      </c>
      <c r="B649" s="112" t="s">
        <v>1521</v>
      </c>
      <c r="C649" s="112">
        <v>0</v>
      </c>
      <c r="D649" s="112" t="s">
        <v>1511</v>
      </c>
      <c r="E649" s="112" t="s">
        <v>1512</v>
      </c>
      <c r="F649" s="112" t="s">
        <v>1511</v>
      </c>
      <c r="G649" s="112" t="s">
        <v>1486</v>
      </c>
      <c r="H649" s="112" t="s">
        <v>1512</v>
      </c>
      <c r="I649" s="112">
        <v>2438.123384</v>
      </c>
    </row>
    <row r="650" spans="1:9">
      <c r="A650" s="112" t="s">
        <v>1487</v>
      </c>
      <c r="B650" s="112" t="s">
        <v>1521</v>
      </c>
      <c r="C650" s="112">
        <v>0</v>
      </c>
      <c r="D650" s="112" t="s">
        <v>1511</v>
      </c>
      <c r="E650" s="112" t="s">
        <v>1512</v>
      </c>
      <c r="F650" s="112" t="s">
        <v>1511</v>
      </c>
      <c r="G650" s="112" t="s">
        <v>1487</v>
      </c>
      <c r="H650" s="112" t="s">
        <v>1512</v>
      </c>
      <c r="I650" s="112">
        <v>9607.8701789999996</v>
      </c>
    </row>
    <row r="651" spans="1:9">
      <c r="A651" s="112" t="s">
        <v>1488</v>
      </c>
      <c r="B651" s="112" t="s">
        <v>1521</v>
      </c>
      <c r="C651" s="112">
        <v>0</v>
      </c>
      <c r="D651" s="112" t="s">
        <v>1511</v>
      </c>
      <c r="E651" s="112" t="s">
        <v>1512</v>
      </c>
      <c r="F651" s="112" t="s">
        <v>1511</v>
      </c>
      <c r="G651" s="112" t="s">
        <v>1488</v>
      </c>
      <c r="H651" s="112" t="s">
        <v>1512</v>
      </c>
      <c r="I651" s="112">
        <v>9597.7698130000008</v>
      </c>
    </row>
    <row r="652" spans="1:9">
      <c r="A652" s="112" t="s">
        <v>1489</v>
      </c>
      <c r="B652" s="112" t="s">
        <v>1521</v>
      </c>
      <c r="C652" s="112">
        <v>0</v>
      </c>
      <c r="D652" s="112" t="s">
        <v>1511</v>
      </c>
      <c r="E652" s="112" t="s">
        <v>1512</v>
      </c>
      <c r="F652" s="112" t="s">
        <v>1511</v>
      </c>
      <c r="G652" s="112" t="s">
        <v>1489</v>
      </c>
      <c r="H652" s="112" t="s">
        <v>1512</v>
      </c>
      <c r="I652" s="112">
        <v>1217.402448</v>
      </c>
    </row>
    <row r="653" spans="1:9">
      <c r="A653" s="112" t="s">
        <v>1490</v>
      </c>
      <c r="B653" s="112" t="s">
        <v>1521</v>
      </c>
      <c r="C653" s="112">
        <v>0</v>
      </c>
      <c r="D653" s="112" t="s">
        <v>1511</v>
      </c>
      <c r="E653" s="112" t="s">
        <v>1512</v>
      </c>
      <c r="F653" s="112" t="s">
        <v>1511</v>
      </c>
      <c r="G653" s="112" t="s">
        <v>1490</v>
      </c>
      <c r="H653" s="112" t="s">
        <v>1512</v>
      </c>
      <c r="I653" s="112">
        <v>0</v>
      </c>
    </row>
    <row r="654" spans="1:9">
      <c r="A654" s="112" t="s">
        <v>1461</v>
      </c>
      <c r="B654" s="112" t="s">
        <v>1522</v>
      </c>
      <c r="C654" s="112">
        <v>79.693014469999994</v>
      </c>
      <c r="D654" s="112" t="s">
        <v>1523</v>
      </c>
      <c r="E654" s="112" t="s">
        <v>1524</v>
      </c>
      <c r="F654" s="112" t="s">
        <v>1523</v>
      </c>
      <c r="G654" s="112" t="s">
        <v>1461</v>
      </c>
      <c r="H654" s="112" t="s">
        <v>1524</v>
      </c>
      <c r="I654" s="112">
        <v>79.693014469999994</v>
      </c>
    </row>
    <row r="655" spans="1:9">
      <c r="A655" s="112" t="s">
        <v>1465</v>
      </c>
      <c r="B655" s="112" t="s">
        <v>1522</v>
      </c>
      <c r="C655" s="112">
        <v>0</v>
      </c>
      <c r="D655" s="112" t="s">
        <v>1523</v>
      </c>
      <c r="E655" s="112" t="s">
        <v>1524</v>
      </c>
      <c r="F655" s="112" t="s">
        <v>1523</v>
      </c>
      <c r="G655" s="112" t="s">
        <v>1465</v>
      </c>
      <c r="H655" s="112" t="s">
        <v>1524</v>
      </c>
      <c r="I655" s="112">
        <v>8131.1930140000004</v>
      </c>
    </row>
    <row r="656" spans="1:9">
      <c r="A656" s="112" t="s">
        <v>1466</v>
      </c>
      <c r="B656" s="112" t="s">
        <v>1522</v>
      </c>
      <c r="C656" s="112">
        <v>11.61912508</v>
      </c>
      <c r="D656" s="112" t="s">
        <v>1523</v>
      </c>
      <c r="E656" s="112" t="s">
        <v>1524</v>
      </c>
      <c r="F656" s="112" t="s">
        <v>1523</v>
      </c>
      <c r="G656" s="112" t="s">
        <v>1466</v>
      </c>
      <c r="H656" s="112" t="s">
        <v>1524</v>
      </c>
      <c r="I656" s="112">
        <v>11.61912508</v>
      </c>
    </row>
    <row r="657" spans="1:9">
      <c r="A657" s="112" t="s">
        <v>1467</v>
      </c>
      <c r="B657" s="112" t="s">
        <v>1522</v>
      </c>
      <c r="C657" s="112">
        <v>40.002666840000003</v>
      </c>
      <c r="D657" s="112" t="s">
        <v>1523</v>
      </c>
      <c r="E657" s="112" t="s">
        <v>1524</v>
      </c>
      <c r="F657" s="112" t="s">
        <v>1523</v>
      </c>
      <c r="G657" s="112" t="s">
        <v>1467</v>
      </c>
      <c r="H657" s="112" t="s">
        <v>1524</v>
      </c>
      <c r="I657" s="112">
        <v>40.002666840000003</v>
      </c>
    </row>
    <row r="658" spans="1:9">
      <c r="A658" s="112" t="s">
        <v>1468</v>
      </c>
      <c r="B658" s="112" t="s">
        <v>1522</v>
      </c>
      <c r="C658" s="112">
        <v>10.82258891</v>
      </c>
      <c r="D658" s="112" t="s">
        <v>1523</v>
      </c>
      <c r="E658" s="112" t="s">
        <v>1524</v>
      </c>
      <c r="F658" s="112" t="s">
        <v>1523</v>
      </c>
      <c r="G658" s="112" t="s">
        <v>1468</v>
      </c>
      <c r="H658" s="112" t="s">
        <v>1524</v>
      </c>
      <c r="I658" s="112">
        <v>3430.7606839999999</v>
      </c>
    </row>
    <row r="659" spans="1:9">
      <c r="A659" s="112" t="s">
        <v>1469</v>
      </c>
      <c r="B659" s="112" t="s">
        <v>1522</v>
      </c>
      <c r="C659" s="112">
        <v>9.6146450269999999</v>
      </c>
      <c r="D659" s="112" t="s">
        <v>1523</v>
      </c>
      <c r="E659" s="112" t="s">
        <v>1524</v>
      </c>
      <c r="F659" s="112" t="s">
        <v>1523</v>
      </c>
      <c r="G659" s="112" t="s">
        <v>1469</v>
      </c>
      <c r="H659" s="112" t="s">
        <v>1524</v>
      </c>
      <c r="I659" s="112">
        <v>19.229290049999999</v>
      </c>
    </row>
    <row r="660" spans="1:9">
      <c r="A660" s="112" t="s">
        <v>1470</v>
      </c>
      <c r="B660" s="112" t="s">
        <v>1522</v>
      </c>
      <c r="C660" s="112">
        <v>225.37750729999999</v>
      </c>
      <c r="D660" s="112" t="s">
        <v>1523</v>
      </c>
      <c r="E660" s="112" t="s">
        <v>1524</v>
      </c>
      <c r="F660" s="112" t="s">
        <v>1523</v>
      </c>
      <c r="G660" s="112" t="s">
        <v>1470</v>
      </c>
      <c r="H660" s="112" t="s">
        <v>1524</v>
      </c>
      <c r="I660" s="112">
        <v>225.37750729999999</v>
      </c>
    </row>
    <row r="661" spans="1:9">
      <c r="A661" s="112" t="s">
        <v>1471</v>
      </c>
      <c r="B661" s="112" t="s">
        <v>1522</v>
      </c>
      <c r="C661" s="112">
        <v>37.234335569999999</v>
      </c>
      <c r="D661" s="112" t="s">
        <v>1523</v>
      </c>
      <c r="E661" s="112" t="s">
        <v>1524</v>
      </c>
      <c r="F661" s="112" t="s">
        <v>1523</v>
      </c>
      <c r="G661" s="112" t="s">
        <v>1471</v>
      </c>
      <c r="H661" s="112" t="s">
        <v>1524</v>
      </c>
      <c r="I661" s="112">
        <v>37.234335569999999</v>
      </c>
    </row>
    <row r="662" spans="1:9">
      <c r="A662" s="112" t="s">
        <v>1472</v>
      </c>
      <c r="B662" s="112" t="s">
        <v>1522</v>
      </c>
      <c r="C662" s="112">
        <v>0</v>
      </c>
      <c r="D662" s="112" t="s">
        <v>1523</v>
      </c>
      <c r="E662" s="112" t="s">
        <v>1524</v>
      </c>
      <c r="F662" s="112" t="s">
        <v>1523</v>
      </c>
      <c r="G662" s="112" t="s">
        <v>1472</v>
      </c>
      <c r="H662" s="112" t="s">
        <v>1524</v>
      </c>
      <c r="I662" s="112">
        <v>0</v>
      </c>
    </row>
    <row r="663" spans="1:9">
      <c r="A663" s="112" t="s">
        <v>1473</v>
      </c>
      <c r="B663" s="112" t="s">
        <v>1522</v>
      </c>
      <c r="C663" s="112">
        <v>82.880153780000001</v>
      </c>
      <c r="D663" s="112" t="s">
        <v>1523</v>
      </c>
      <c r="E663" s="112" t="s">
        <v>1524</v>
      </c>
      <c r="F663" s="112" t="s">
        <v>1523</v>
      </c>
      <c r="G663" s="112" t="s">
        <v>1473</v>
      </c>
      <c r="H663" s="112" t="s">
        <v>1524</v>
      </c>
      <c r="I663" s="112">
        <v>82.880153780000001</v>
      </c>
    </row>
    <row r="664" spans="1:9">
      <c r="A664" s="112" t="s">
        <v>1474</v>
      </c>
      <c r="B664" s="112" t="s">
        <v>1522</v>
      </c>
      <c r="C664" s="112">
        <v>237.81870470000001</v>
      </c>
      <c r="D664" s="112" t="s">
        <v>1523</v>
      </c>
      <c r="E664" s="112" t="s">
        <v>1524</v>
      </c>
      <c r="F664" s="112" t="s">
        <v>1523</v>
      </c>
      <c r="G664" s="112" t="s">
        <v>1474</v>
      </c>
      <c r="H664" s="112" t="s">
        <v>1524</v>
      </c>
      <c r="I664" s="112">
        <v>237.81870470000001</v>
      </c>
    </row>
    <row r="665" spans="1:9">
      <c r="A665" s="112" t="s">
        <v>1475</v>
      </c>
      <c r="B665" s="112" t="s">
        <v>1522</v>
      </c>
      <c r="C665" s="112">
        <v>52.923493800000003</v>
      </c>
      <c r="D665" s="112" t="s">
        <v>1523</v>
      </c>
      <c r="E665" s="112" t="s">
        <v>1524</v>
      </c>
      <c r="F665" s="112" t="s">
        <v>1523</v>
      </c>
      <c r="G665" s="112" t="s">
        <v>1475</v>
      </c>
      <c r="H665" s="112" t="s">
        <v>1524</v>
      </c>
      <c r="I665" s="112">
        <v>52.923493800000003</v>
      </c>
    </row>
    <row r="666" spans="1:9">
      <c r="A666" s="112" t="s">
        <v>1476</v>
      </c>
      <c r="B666" s="112" t="s">
        <v>1522</v>
      </c>
      <c r="C666" s="112">
        <v>0</v>
      </c>
      <c r="D666" s="112" t="s">
        <v>1523</v>
      </c>
      <c r="E666" s="112" t="s">
        <v>1524</v>
      </c>
      <c r="F666" s="112" t="s">
        <v>1523</v>
      </c>
      <c r="G666" s="112" t="s">
        <v>1476</v>
      </c>
      <c r="H666" s="112" t="s">
        <v>1524</v>
      </c>
      <c r="I666" s="112">
        <v>0</v>
      </c>
    </row>
    <row r="667" spans="1:9">
      <c r="A667" s="112" t="s">
        <v>1477</v>
      </c>
      <c r="B667" s="112" t="s">
        <v>1522</v>
      </c>
      <c r="C667" s="112">
        <v>12.50562753</v>
      </c>
      <c r="D667" s="112" t="s">
        <v>1523</v>
      </c>
      <c r="E667" s="112" t="s">
        <v>1524</v>
      </c>
      <c r="F667" s="112" t="s">
        <v>1523</v>
      </c>
      <c r="G667" s="112" t="s">
        <v>1477</v>
      </c>
      <c r="H667" s="112" t="s">
        <v>1524</v>
      </c>
      <c r="I667" s="112">
        <v>12.50562753</v>
      </c>
    </row>
    <row r="668" spans="1:9">
      <c r="A668" s="112" t="s">
        <v>1478</v>
      </c>
      <c r="B668" s="112" t="s">
        <v>1522</v>
      </c>
      <c r="C668" s="112">
        <v>59.624022449999998</v>
      </c>
      <c r="D668" s="112" t="s">
        <v>1523</v>
      </c>
      <c r="E668" s="112" t="s">
        <v>1524</v>
      </c>
      <c r="F668" s="112" t="s">
        <v>1523</v>
      </c>
      <c r="G668" s="112" t="s">
        <v>1478</v>
      </c>
      <c r="H668" s="112" t="s">
        <v>1524</v>
      </c>
      <c r="I668" s="112">
        <v>59.624022449999998</v>
      </c>
    </row>
    <row r="669" spans="1:9">
      <c r="A669" s="112" t="s">
        <v>1479</v>
      </c>
      <c r="B669" s="112" t="s">
        <v>1522</v>
      </c>
      <c r="C669" s="112">
        <v>334.8961822</v>
      </c>
      <c r="D669" s="112" t="s">
        <v>1523</v>
      </c>
      <c r="E669" s="112" t="s">
        <v>1524</v>
      </c>
      <c r="F669" s="112" t="s">
        <v>1523</v>
      </c>
      <c r="G669" s="112" t="s">
        <v>1479</v>
      </c>
      <c r="H669" s="112" t="s">
        <v>1524</v>
      </c>
      <c r="I669" s="112">
        <v>334.8961822</v>
      </c>
    </row>
    <row r="670" spans="1:9">
      <c r="A670" s="112" t="s">
        <v>1480</v>
      </c>
      <c r="B670" s="112" t="s">
        <v>1522</v>
      </c>
      <c r="C670" s="112">
        <v>111.5760112</v>
      </c>
      <c r="D670" s="112" t="s">
        <v>1523</v>
      </c>
      <c r="E670" s="112" t="s">
        <v>1524</v>
      </c>
      <c r="F670" s="112" t="s">
        <v>1523</v>
      </c>
      <c r="G670" s="112" t="s">
        <v>1480</v>
      </c>
      <c r="H670" s="112" t="s">
        <v>1524</v>
      </c>
      <c r="I670" s="112">
        <v>111.5760112</v>
      </c>
    </row>
    <row r="671" spans="1:9">
      <c r="A671" s="112" t="s">
        <v>1481</v>
      </c>
      <c r="B671" s="112" t="s">
        <v>1522</v>
      </c>
      <c r="C671" s="112">
        <v>0</v>
      </c>
      <c r="D671" s="112" t="s">
        <v>1523</v>
      </c>
      <c r="E671" s="112" t="s">
        <v>1524</v>
      </c>
      <c r="F671" s="112" t="s">
        <v>1523</v>
      </c>
      <c r="G671" s="112" t="s">
        <v>1481</v>
      </c>
      <c r="H671" s="112" t="s">
        <v>1524</v>
      </c>
      <c r="I671" s="112">
        <v>0</v>
      </c>
    </row>
    <row r="672" spans="1:9">
      <c r="A672" s="112" t="s">
        <v>1482</v>
      </c>
      <c r="B672" s="112" t="s">
        <v>1522</v>
      </c>
      <c r="C672" s="112">
        <v>0</v>
      </c>
      <c r="D672" s="112" t="s">
        <v>1523</v>
      </c>
      <c r="E672" s="112" t="s">
        <v>1524</v>
      </c>
      <c r="F672" s="112" t="s">
        <v>1523</v>
      </c>
      <c r="G672" s="112" t="s">
        <v>1482</v>
      </c>
      <c r="H672" s="112" t="s">
        <v>1524</v>
      </c>
      <c r="I672" s="112">
        <v>0</v>
      </c>
    </row>
    <row r="673" spans="1:9">
      <c r="A673" s="112" t="s">
        <v>1483</v>
      </c>
      <c r="B673" s="112" t="s">
        <v>1522</v>
      </c>
      <c r="C673" s="112">
        <v>0</v>
      </c>
      <c r="D673" s="112" t="s">
        <v>1523</v>
      </c>
      <c r="E673" s="112" t="s">
        <v>1524</v>
      </c>
      <c r="F673" s="112" t="s">
        <v>1523</v>
      </c>
      <c r="G673" s="112" t="s">
        <v>1483</v>
      </c>
      <c r="H673" s="112" t="s">
        <v>1524</v>
      </c>
      <c r="I673" s="112">
        <v>1626.104396</v>
      </c>
    </row>
    <row r="674" spans="1:9">
      <c r="A674" s="112" t="s">
        <v>1484</v>
      </c>
      <c r="B674" s="112" t="s">
        <v>1522</v>
      </c>
      <c r="C674" s="112">
        <v>0</v>
      </c>
      <c r="D674" s="112" t="s">
        <v>1523</v>
      </c>
      <c r="E674" s="112" t="s">
        <v>1524</v>
      </c>
      <c r="F674" s="112" t="s">
        <v>1523</v>
      </c>
      <c r="G674" s="112" t="s">
        <v>1484</v>
      </c>
      <c r="H674" s="112" t="s">
        <v>1524</v>
      </c>
      <c r="I674" s="112">
        <v>0</v>
      </c>
    </row>
    <row r="675" spans="1:9">
      <c r="A675" s="112" t="s">
        <v>1485</v>
      </c>
      <c r="B675" s="112" t="s">
        <v>1522</v>
      </c>
      <c r="C675" s="112">
        <v>0</v>
      </c>
      <c r="D675" s="112" t="s">
        <v>1523</v>
      </c>
      <c r="E675" s="112" t="s">
        <v>1524</v>
      </c>
      <c r="F675" s="112" t="s">
        <v>1523</v>
      </c>
      <c r="G675" s="112" t="s">
        <v>1485</v>
      </c>
      <c r="H675" s="112" t="s">
        <v>1524</v>
      </c>
      <c r="I675" s="112">
        <v>0</v>
      </c>
    </row>
    <row r="676" spans="1:9">
      <c r="A676" s="112" t="s">
        <v>1486</v>
      </c>
      <c r="B676" s="112" t="s">
        <v>1522</v>
      </c>
      <c r="C676" s="112">
        <v>0</v>
      </c>
      <c r="D676" s="112" t="s">
        <v>1523</v>
      </c>
      <c r="E676" s="112" t="s">
        <v>1524</v>
      </c>
      <c r="F676" s="112" t="s">
        <v>1523</v>
      </c>
      <c r="G676" s="112" t="s">
        <v>1486</v>
      </c>
      <c r="H676" s="112" t="s">
        <v>1524</v>
      </c>
      <c r="I676" s="112">
        <v>0</v>
      </c>
    </row>
    <row r="677" spans="1:9">
      <c r="A677" s="112" t="s">
        <v>1487</v>
      </c>
      <c r="B677" s="112" t="s">
        <v>1522</v>
      </c>
      <c r="C677" s="112">
        <v>0</v>
      </c>
      <c r="D677" s="112" t="s">
        <v>1523</v>
      </c>
      <c r="E677" s="112" t="s">
        <v>1524</v>
      </c>
      <c r="F677" s="112" t="s">
        <v>1523</v>
      </c>
      <c r="G677" s="112" t="s">
        <v>1487</v>
      </c>
      <c r="H677" s="112" t="s">
        <v>1524</v>
      </c>
      <c r="I677" s="112">
        <v>6688.7325890000002</v>
      </c>
    </row>
    <row r="678" spans="1:9">
      <c r="A678" s="112" t="s">
        <v>1488</v>
      </c>
      <c r="B678" s="112" t="s">
        <v>1522</v>
      </c>
      <c r="C678" s="112">
        <v>0</v>
      </c>
      <c r="D678" s="112" t="s">
        <v>1523</v>
      </c>
      <c r="E678" s="112" t="s">
        <v>1524</v>
      </c>
      <c r="F678" s="112" t="s">
        <v>1523</v>
      </c>
      <c r="G678" s="112" t="s">
        <v>1488</v>
      </c>
      <c r="H678" s="112" t="s">
        <v>1524</v>
      </c>
      <c r="I678" s="112">
        <v>637.19633610000005</v>
      </c>
    </row>
    <row r="679" spans="1:9">
      <c r="A679" s="112" t="s">
        <v>1489</v>
      </c>
      <c r="B679" s="112" t="s">
        <v>1522</v>
      </c>
      <c r="C679" s="112">
        <v>0</v>
      </c>
      <c r="D679" s="112" t="s">
        <v>1523</v>
      </c>
      <c r="E679" s="112" t="s">
        <v>1524</v>
      </c>
      <c r="F679" s="112" t="s">
        <v>1523</v>
      </c>
      <c r="G679" s="112" t="s">
        <v>1489</v>
      </c>
      <c r="H679" s="112" t="s">
        <v>1524</v>
      </c>
      <c r="I679" s="112">
        <v>0</v>
      </c>
    </row>
    <row r="680" spans="1:9">
      <c r="A680" s="112" t="s">
        <v>1490</v>
      </c>
      <c r="B680" s="112" t="s">
        <v>1522</v>
      </c>
      <c r="C680" s="112">
        <v>0</v>
      </c>
      <c r="D680" s="112" t="s">
        <v>1523</v>
      </c>
      <c r="E680" s="112" t="s">
        <v>1524</v>
      </c>
      <c r="F680" s="112" t="s">
        <v>1523</v>
      </c>
      <c r="G680" s="112" t="s">
        <v>1490</v>
      </c>
      <c r="H680" s="112" t="s">
        <v>1524</v>
      </c>
      <c r="I680" s="112">
        <v>0</v>
      </c>
    </row>
    <row r="681" spans="1:9">
      <c r="A681" s="112" t="s">
        <v>1461</v>
      </c>
      <c r="B681" s="112" t="s">
        <v>1525</v>
      </c>
      <c r="C681" s="112">
        <v>134.60752859999999</v>
      </c>
      <c r="D681" s="112" t="s">
        <v>1526</v>
      </c>
      <c r="E681" s="112" t="s">
        <v>1524</v>
      </c>
      <c r="F681" s="112" t="s">
        <v>1526</v>
      </c>
      <c r="G681" s="112" t="s">
        <v>1461</v>
      </c>
      <c r="H681" s="112" t="s">
        <v>1524</v>
      </c>
      <c r="I681" s="112">
        <v>134.60752859999999</v>
      </c>
    </row>
    <row r="682" spans="1:9">
      <c r="A682" s="112" t="s">
        <v>1465</v>
      </c>
      <c r="B682" s="112" t="s">
        <v>1525</v>
      </c>
      <c r="C682" s="112">
        <v>11376.34482</v>
      </c>
      <c r="D682" s="112" t="s">
        <v>1526</v>
      </c>
      <c r="E682" s="112" t="s">
        <v>1524</v>
      </c>
      <c r="F682" s="112" t="s">
        <v>1526</v>
      </c>
      <c r="G682" s="112" t="s">
        <v>1465</v>
      </c>
      <c r="H682" s="112" t="s">
        <v>1524</v>
      </c>
      <c r="I682" s="112">
        <v>11376.34482</v>
      </c>
    </row>
    <row r="683" spans="1:9">
      <c r="A683" s="112" t="s">
        <v>1466</v>
      </c>
      <c r="B683" s="112" t="s">
        <v>1525</v>
      </c>
      <c r="C683" s="112">
        <v>0</v>
      </c>
      <c r="D683" s="112" t="s">
        <v>1526</v>
      </c>
      <c r="E683" s="112" t="s">
        <v>1524</v>
      </c>
      <c r="F683" s="112" t="s">
        <v>1526</v>
      </c>
      <c r="G683" s="112" t="s">
        <v>1466</v>
      </c>
      <c r="H683" s="112" t="s">
        <v>1524</v>
      </c>
      <c r="I683" s="112">
        <v>0</v>
      </c>
    </row>
    <row r="684" spans="1:9">
      <c r="A684" s="112" t="s">
        <v>1467</v>
      </c>
      <c r="B684" s="112" t="s">
        <v>1525</v>
      </c>
      <c r="C684" s="112">
        <v>5.3336889129999996</v>
      </c>
      <c r="D684" s="112" t="s">
        <v>1526</v>
      </c>
      <c r="E684" s="112" t="s">
        <v>1524</v>
      </c>
      <c r="F684" s="112" t="s">
        <v>1526</v>
      </c>
      <c r="G684" s="112" t="s">
        <v>1467</v>
      </c>
      <c r="H684" s="112" t="s">
        <v>1524</v>
      </c>
      <c r="I684" s="112">
        <v>5.3336889129999996</v>
      </c>
    </row>
    <row r="685" spans="1:9">
      <c r="A685" s="112" t="s">
        <v>1468</v>
      </c>
      <c r="B685" s="112" t="s">
        <v>1525</v>
      </c>
      <c r="C685" s="112">
        <v>216.45177820000001</v>
      </c>
      <c r="D685" s="112" t="s">
        <v>1526</v>
      </c>
      <c r="E685" s="112" t="s">
        <v>1524</v>
      </c>
      <c r="F685" s="112" t="s">
        <v>1526</v>
      </c>
      <c r="G685" s="112" t="s">
        <v>1468</v>
      </c>
      <c r="H685" s="112" t="s">
        <v>1524</v>
      </c>
      <c r="I685" s="112">
        <v>216.45177820000001</v>
      </c>
    </row>
    <row r="686" spans="1:9">
      <c r="A686" s="112" t="s">
        <v>1469</v>
      </c>
      <c r="B686" s="112" t="s">
        <v>1525</v>
      </c>
      <c r="C686" s="112">
        <v>0</v>
      </c>
      <c r="D686" s="112" t="s">
        <v>1526</v>
      </c>
      <c r="E686" s="112" t="s">
        <v>1524</v>
      </c>
      <c r="F686" s="112" t="s">
        <v>1526</v>
      </c>
      <c r="G686" s="112" t="s">
        <v>1469</v>
      </c>
      <c r="H686" s="112" t="s">
        <v>1524</v>
      </c>
      <c r="I686" s="112">
        <v>0</v>
      </c>
    </row>
    <row r="687" spans="1:9">
      <c r="A687" s="112" t="s">
        <v>1470</v>
      </c>
      <c r="B687" s="112" t="s">
        <v>1525</v>
      </c>
      <c r="C687" s="112">
        <v>0</v>
      </c>
      <c r="D687" s="112" t="s">
        <v>1526</v>
      </c>
      <c r="E687" s="112" t="s">
        <v>1524</v>
      </c>
      <c r="F687" s="112" t="s">
        <v>1526</v>
      </c>
      <c r="G687" s="112" t="s">
        <v>1470</v>
      </c>
      <c r="H687" s="112" t="s">
        <v>1524</v>
      </c>
      <c r="I687" s="112">
        <v>0</v>
      </c>
    </row>
    <row r="688" spans="1:9">
      <c r="A688" s="112" t="s">
        <v>1471</v>
      </c>
      <c r="B688" s="112" t="s">
        <v>1525</v>
      </c>
      <c r="C688" s="112">
        <v>131.59532300000001</v>
      </c>
      <c r="D688" s="112" t="s">
        <v>1526</v>
      </c>
      <c r="E688" s="112" t="s">
        <v>1524</v>
      </c>
      <c r="F688" s="112" t="s">
        <v>1526</v>
      </c>
      <c r="G688" s="112" t="s">
        <v>1471</v>
      </c>
      <c r="H688" s="112" t="s">
        <v>1524</v>
      </c>
      <c r="I688" s="112">
        <v>131.59532300000001</v>
      </c>
    </row>
    <row r="689" spans="1:9">
      <c r="A689" s="112" t="s">
        <v>1472</v>
      </c>
      <c r="B689" s="112" t="s">
        <v>1525</v>
      </c>
      <c r="C689" s="112">
        <v>0</v>
      </c>
      <c r="D689" s="112" t="s">
        <v>1526</v>
      </c>
      <c r="E689" s="112" t="s">
        <v>1524</v>
      </c>
      <c r="F689" s="112" t="s">
        <v>1526</v>
      </c>
      <c r="G689" s="112" t="s">
        <v>1472</v>
      </c>
      <c r="H689" s="112" t="s">
        <v>1524</v>
      </c>
      <c r="I689" s="112">
        <v>0</v>
      </c>
    </row>
    <row r="690" spans="1:9">
      <c r="A690" s="112" t="s">
        <v>1473</v>
      </c>
      <c r="B690" s="112" t="s">
        <v>1525</v>
      </c>
      <c r="C690" s="112">
        <v>501.58967680000001</v>
      </c>
      <c r="D690" s="112" t="s">
        <v>1526</v>
      </c>
      <c r="E690" s="112" t="s">
        <v>1524</v>
      </c>
      <c r="F690" s="112" t="s">
        <v>1526</v>
      </c>
      <c r="G690" s="112" t="s">
        <v>1473</v>
      </c>
      <c r="H690" s="112" t="s">
        <v>1524</v>
      </c>
      <c r="I690" s="112">
        <v>501.58967680000001</v>
      </c>
    </row>
    <row r="691" spans="1:9">
      <c r="A691" s="112" t="s">
        <v>1474</v>
      </c>
      <c r="B691" s="112" t="s">
        <v>1525</v>
      </c>
      <c r="C691" s="112">
        <v>0</v>
      </c>
      <c r="D691" s="112" t="s">
        <v>1526</v>
      </c>
      <c r="E691" s="112" t="s">
        <v>1524</v>
      </c>
      <c r="F691" s="112" t="s">
        <v>1526</v>
      </c>
      <c r="G691" s="112" t="s">
        <v>1474</v>
      </c>
      <c r="H691" s="112" t="s">
        <v>1524</v>
      </c>
      <c r="I691" s="112">
        <v>0</v>
      </c>
    </row>
    <row r="692" spans="1:9">
      <c r="A692" s="112" t="s">
        <v>1475</v>
      </c>
      <c r="B692" s="112" t="s">
        <v>1525</v>
      </c>
      <c r="C692" s="112">
        <v>0</v>
      </c>
      <c r="D692" s="112" t="s">
        <v>1526</v>
      </c>
      <c r="E692" s="112" t="s">
        <v>1524</v>
      </c>
      <c r="F692" s="112" t="s">
        <v>1526</v>
      </c>
      <c r="G692" s="112" t="s">
        <v>1475</v>
      </c>
      <c r="H692" s="112" t="s">
        <v>1524</v>
      </c>
      <c r="I692" s="112">
        <v>0</v>
      </c>
    </row>
    <row r="693" spans="1:9">
      <c r="A693" s="112" t="s">
        <v>1476</v>
      </c>
      <c r="B693" s="112" t="s">
        <v>1525</v>
      </c>
      <c r="C693" s="112">
        <v>0</v>
      </c>
      <c r="D693" s="112" t="s">
        <v>1526</v>
      </c>
      <c r="E693" s="112" t="s">
        <v>1524</v>
      </c>
      <c r="F693" s="112" t="s">
        <v>1526</v>
      </c>
      <c r="G693" s="112" t="s">
        <v>1476</v>
      </c>
      <c r="H693" s="112" t="s">
        <v>1524</v>
      </c>
      <c r="I693" s="112">
        <v>0</v>
      </c>
    </row>
    <row r="694" spans="1:9">
      <c r="A694" s="112" t="s">
        <v>1477</v>
      </c>
      <c r="B694" s="112" t="s">
        <v>1525</v>
      </c>
      <c r="C694" s="112">
        <v>0</v>
      </c>
      <c r="D694" s="112" t="s">
        <v>1526</v>
      </c>
      <c r="E694" s="112" t="s">
        <v>1524</v>
      </c>
      <c r="F694" s="112" t="s">
        <v>1526</v>
      </c>
      <c r="G694" s="112" t="s">
        <v>1477</v>
      </c>
      <c r="H694" s="112" t="s">
        <v>1524</v>
      </c>
      <c r="I694" s="112">
        <v>0</v>
      </c>
    </row>
    <row r="695" spans="1:9">
      <c r="A695" s="112" t="s">
        <v>1478</v>
      </c>
      <c r="B695" s="112" t="s">
        <v>1525</v>
      </c>
      <c r="C695" s="112">
        <v>11.54013338</v>
      </c>
      <c r="D695" s="112" t="s">
        <v>1526</v>
      </c>
      <c r="E695" s="112" t="s">
        <v>1524</v>
      </c>
      <c r="F695" s="112" t="s">
        <v>1526</v>
      </c>
      <c r="G695" s="112" t="s">
        <v>1478</v>
      </c>
      <c r="H695" s="112" t="s">
        <v>1524</v>
      </c>
      <c r="I695" s="112">
        <v>11.54013338</v>
      </c>
    </row>
    <row r="696" spans="1:9">
      <c r="A696" s="112" t="s">
        <v>1479</v>
      </c>
      <c r="B696" s="112" t="s">
        <v>1525</v>
      </c>
      <c r="C696" s="112">
        <v>0</v>
      </c>
      <c r="D696" s="112" t="s">
        <v>1526</v>
      </c>
      <c r="E696" s="112" t="s">
        <v>1524</v>
      </c>
      <c r="F696" s="112" t="s">
        <v>1526</v>
      </c>
      <c r="G696" s="112" t="s">
        <v>1479</v>
      </c>
      <c r="H696" s="112" t="s">
        <v>1524</v>
      </c>
      <c r="I696" s="112">
        <v>0</v>
      </c>
    </row>
    <row r="697" spans="1:9">
      <c r="A697" s="112" t="s">
        <v>1480</v>
      </c>
      <c r="B697" s="112" t="s">
        <v>1525</v>
      </c>
      <c r="C697" s="112">
        <v>0</v>
      </c>
      <c r="D697" s="112" t="s">
        <v>1526</v>
      </c>
      <c r="E697" s="112" t="s">
        <v>1524</v>
      </c>
      <c r="F697" s="112" t="s">
        <v>1526</v>
      </c>
      <c r="G697" s="112" t="s">
        <v>1480</v>
      </c>
      <c r="H697" s="112" t="s">
        <v>1524</v>
      </c>
      <c r="I697" s="112">
        <v>0</v>
      </c>
    </row>
    <row r="698" spans="1:9">
      <c r="A698" s="112" t="s">
        <v>1481</v>
      </c>
      <c r="B698" s="112" t="s">
        <v>1525</v>
      </c>
      <c r="C698" s="112">
        <v>511.94159409999997</v>
      </c>
      <c r="D698" s="112" t="s">
        <v>1526</v>
      </c>
      <c r="E698" s="112" t="s">
        <v>1524</v>
      </c>
      <c r="F698" s="112" t="s">
        <v>1526</v>
      </c>
      <c r="G698" s="112" t="s">
        <v>1481</v>
      </c>
      <c r="H698" s="112" t="s">
        <v>1524</v>
      </c>
      <c r="I698" s="112">
        <v>511.94159409999997</v>
      </c>
    </row>
    <row r="699" spans="1:9">
      <c r="A699" s="112" t="s">
        <v>1482</v>
      </c>
      <c r="B699" s="112" t="s">
        <v>1525</v>
      </c>
      <c r="C699" s="112">
        <v>0</v>
      </c>
      <c r="D699" s="112" t="s">
        <v>1526</v>
      </c>
      <c r="E699" s="112" t="s">
        <v>1524</v>
      </c>
      <c r="F699" s="112" t="s">
        <v>1526</v>
      </c>
      <c r="G699" s="112" t="s">
        <v>1482</v>
      </c>
      <c r="H699" s="112" t="s">
        <v>1524</v>
      </c>
      <c r="I699" s="112">
        <v>0</v>
      </c>
    </row>
    <row r="700" spans="1:9">
      <c r="A700" s="112" t="s">
        <v>1483</v>
      </c>
      <c r="B700" s="112" t="s">
        <v>1525</v>
      </c>
      <c r="C700" s="112">
        <v>0</v>
      </c>
      <c r="D700" s="112" t="s">
        <v>1526</v>
      </c>
      <c r="E700" s="112" t="s">
        <v>1524</v>
      </c>
      <c r="F700" s="112" t="s">
        <v>1526</v>
      </c>
      <c r="G700" s="112" t="s">
        <v>1483</v>
      </c>
      <c r="H700" s="112" t="s">
        <v>1524</v>
      </c>
      <c r="I700" s="112">
        <v>0</v>
      </c>
    </row>
    <row r="701" spans="1:9">
      <c r="A701" s="112" t="s">
        <v>1484</v>
      </c>
      <c r="B701" s="112" t="s">
        <v>1525</v>
      </c>
      <c r="C701" s="112">
        <v>0</v>
      </c>
      <c r="D701" s="112" t="s">
        <v>1526</v>
      </c>
      <c r="E701" s="112" t="s">
        <v>1524</v>
      </c>
      <c r="F701" s="112" t="s">
        <v>1526</v>
      </c>
      <c r="G701" s="112" t="s">
        <v>1484</v>
      </c>
      <c r="H701" s="112" t="s">
        <v>1524</v>
      </c>
      <c r="I701" s="112">
        <v>0</v>
      </c>
    </row>
    <row r="702" spans="1:9">
      <c r="A702" s="112" t="s">
        <v>1485</v>
      </c>
      <c r="B702" s="112" t="s">
        <v>1525</v>
      </c>
      <c r="C702" s="112">
        <v>0</v>
      </c>
      <c r="D702" s="112" t="s">
        <v>1526</v>
      </c>
      <c r="E702" s="112" t="s">
        <v>1524</v>
      </c>
      <c r="F702" s="112" t="s">
        <v>1526</v>
      </c>
      <c r="G702" s="112" t="s">
        <v>1485</v>
      </c>
      <c r="H702" s="112" t="s">
        <v>1524</v>
      </c>
      <c r="I702" s="112">
        <v>0</v>
      </c>
    </row>
    <row r="703" spans="1:9">
      <c r="A703" s="112" t="s">
        <v>1486</v>
      </c>
      <c r="B703" s="112" t="s">
        <v>1525</v>
      </c>
      <c r="C703" s="112">
        <v>36.941263390000003</v>
      </c>
      <c r="D703" s="112" t="s">
        <v>1526</v>
      </c>
      <c r="E703" s="112" t="s">
        <v>1524</v>
      </c>
      <c r="F703" s="112" t="s">
        <v>1526</v>
      </c>
      <c r="G703" s="112" t="s">
        <v>1486</v>
      </c>
      <c r="H703" s="112" t="s">
        <v>1524</v>
      </c>
      <c r="I703" s="112">
        <v>36.941263390000003</v>
      </c>
    </row>
    <row r="704" spans="1:9">
      <c r="A704" s="112" t="s">
        <v>1487</v>
      </c>
      <c r="B704" s="112" t="s">
        <v>1525</v>
      </c>
      <c r="C704" s="112">
        <v>344.78003030000002</v>
      </c>
      <c r="D704" s="112" t="s">
        <v>1526</v>
      </c>
      <c r="E704" s="112" t="s">
        <v>1524</v>
      </c>
      <c r="F704" s="112" t="s">
        <v>1526</v>
      </c>
      <c r="G704" s="112" t="s">
        <v>1487</v>
      </c>
      <c r="H704" s="112" t="s">
        <v>1524</v>
      </c>
      <c r="I704" s="112">
        <v>344.78003030000002</v>
      </c>
    </row>
    <row r="705" spans="1:9">
      <c r="A705" s="112" t="s">
        <v>1488</v>
      </c>
      <c r="B705" s="112" t="s">
        <v>1525</v>
      </c>
      <c r="C705" s="112">
        <v>915.96973319999995</v>
      </c>
      <c r="D705" s="112" t="s">
        <v>1526</v>
      </c>
      <c r="E705" s="112" t="s">
        <v>1524</v>
      </c>
      <c r="F705" s="112" t="s">
        <v>1526</v>
      </c>
      <c r="G705" s="112" t="s">
        <v>1488</v>
      </c>
      <c r="H705" s="112" t="s">
        <v>1524</v>
      </c>
      <c r="I705" s="112">
        <v>915.96973319999995</v>
      </c>
    </row>
    <row r="706" spans="1:9">
      <c r="A706" s="112" t="s">
        <v>1489</v>
      </c>
      <c r="B706" s="112" t="s">
        <v>1525</v>
      </c>
      <c r="C706" s="112">
        <v>11.64978419</v>
      </c>
      <c r="D706" s="112" t="s">
        <v>1526</v>
      </c>
      <c r="E706" s="112" t="s">
        <v>1524</v>
      </c>
      <c r="F706" s="112" t="s">
        <v>1526</v>
      </c>
      <c r="G706" s="112" t="s">
        <v>1489</v>
      </c>
      <c r="H706" s="112" t="s">
        <v>1524</v>
      </c>
      <c r="I706" s="112">
        <v>11.64978419</v>
      </c>
    </row>
    <row r="707" spans="1:9">
      <c r="A707" s="112" t="s">
        <v>1490</v>
      </c>
      <c r="B707" s="112" t="s">
        <v>1525</v>
      </c>
      <c r="C707" s="112">
        <v>0</v>
      </c>
      <c r="D707" s="112" t="s">
        <v>1526</v>
      </c>
      <c r="E707" s="112" t="s">
        <v>1524</v>
      </c>
      <c r="F707" s="112" t="s">
        <v>1526</v>
      </c>
      <c r="G707" s="112" t="s">
        <v>1490</v>
      </c>
      <c r="H707" s="112" t="s">
        <v>1524</v>
      </c>
      <c r="I707" s="112">
        <v>0</v>
      </c>
    </row>
    <row r="708" spans="1:9">
      <c r="A708" s="112" t="s">
        <v>1461</v>
      </c>
      <c r="B708" s="112" t="s">
        <v>1527</v>
      </c>
      <c r="C708" s="112">
        <v>1815.5274139999999</v>
      </c>
      <c r="D708" s="112" t="s">
        <v>1528</v>
      </c>
      <c r="E708" s="112" t="s">
        <v>1524</v>
      </c>
      <c r="F708" s="112" t="s">
        <v>1528</v>
      </c>
      <c r="G708" s="112" t="s">
        <v>1461</v>
      </c>
      <c r="H708" s="112" t="s">
        <v>1524</v>
      </c>
      <c r="I708" s="112">
        <v>5725.8426369999997</v>
      </c>
    </row>
    <row r="709" spans="1:9">
      <c r="A709" s="112" t="s">
        <v>1465</v>
      </c>
      <c r="B709" s="112" t="s">
        <v>1527</v>
      </c>
      <c r="C709" s="112">
        <v>0</v>
      </c>
      <c r="D709" s="112" t="s">
        <v>1528</v>
      </c>
      <c r="E709" s="112" t="s">
        <v>1524</v>
      </c>
      <c r="F709" s="112" t="s">
        <v>1528</v>
      </c>
      <c r="G709" s="112" t="s">
        <v>1465</v>
      </c>
      <c r="H709" s="112" t="s">
        <v>1524</v>
      </c>
      <c r="I709" s="112">
        <v>0</v>
      </c>
    </row>
    <row r="710" spans="1:9">
      <c r="A710" s="112" t="s">
        <v>1466</v>
      </c>
      <c r="B710" s="112" t="s">
        <v>1527</v>
      </c>
      <c r="C710" s="112">
        <v>0</v>
      </c>
      <c r="D710" s="112" t="s">
        <v>1528</v>
      </c>
      <c r="E710" s="112" t="s">
        <v>1524</v>
      </c>
      <c r="F710" s="112" t="s">
        <v>1528</v>
      </c>
      <c r="G710" s="112" t="s">
        <v>1466</v>
      </c>
      <c r="H710" s="112" t="s">
        <v>1524</v>
      </c>
      <c r="I710" s="112">
        <v>0</v>
      </c>
    </row>
    <row r="711" spans="1:9">
      <c r="A711" s="112" t="s">
        <v>1467</v>
      </c>
      <c r="B711" s="112" t="s">
        <v>1527</v>
      </c>
      <c r="C711" s="112">
        <v>481.36542439999999</v>
      </c>
      <c r="D711" s="112" t="s">
        <v>1528</v>
      </c>
      <c r="E711" s="112" t="s">
        <v>1524</v>
      </c>
      <c r="F711" s="112" t="s">
        <v>1528</v>
      </c>
      <c r="G711" s="112" t="s">
        <v>1467</v>
      </c>
      <c r="H711" s="112" t="s">
        <v>1524</v>
      </c>
      <c r="I711" s="112">
        <v>3884.9256610000002</v>
      </c>
    </row>
    <row r="712" spans="1:9">
      <c r="A712" s="112" t="s">
        <v>1468</v>
      </c>
      <c r="B712" s="112" t="s">
        <v>1527</v>
      </c>
      <c r="C712" s="112">
        <v>0</v>
      </c>
      <c r="D712" s="112" t="s">
        <v>1528</v>
      </c>
      <c r="E712" s="112" t="s">
        <v>1524</v>
      </c>
      <c r="F712" s="112" t="s">
        <v>1528</v>
      </c>
      <c r="G712" s="112" t="s">
        <v>1468</v>
      </c>
      <c r="H712" s="112" t="s">
        <v>1524</v>
      </c>
      <c r="I712" s="112">
        <v>64.935533449999994</v>
      </c>
    </row>
    <row r="713" spans="1:9">
      <c r="A713" s="112" t="s">
        <v>1469</v>
      </c>
      <c r="B713" s="112" t="s">
        <v>1527</v>
      </c>
      <c r="C713" s="112">
        <v>0</v>
      </c>
      <c r="D713" s="112" t="s">
        <v>1528</v>
      </c>
      <c r="E713" s="112" t="s">
        <v>1524</v>
      </c>
      <c r="F713" s="112" t="s">
        <v>1528</v>
      </c>
      <c r="G713" s="112" t="s">
        <v>1469</v>
      </c>
      <c r="H713" s="112" t="s">
        <v>1524</v>
      </c>
      <c r="I713" s="112">
        <v>0</v>
      </c>
    </row>
    <row r="714" spans="1:9">
      <c r="A714" s="112" t="s">
        <v>1470</v>
      </c>
      <c r="B714" s="112" t="s">
        <v>1527</v>
      </c>
      <c r="C714" s="112">
        <v>0</v>
      </c>
      <c r="D714" s="112" t="s">
        <v>1528</v>
      </c>
      <c r="E714" s="112" t="s">
        <v>1524</v>
      </c>
      <c r="F714" s="112" t="s">
        <v>1528</v>
      </c>
      <c r="G714" s="112" t="s">
        <v>1470</v>
      </c>
      <c r="H714" s="112" t="s">
        <v>1524</v>
      </c>
      <c r="I714" s="112">
        <v>0</v>
      </c>
    </row>
    <row r="715" spans="1:9">
      <c r="A715" s="112" t="s">
        <v>1471</v>
      </c>
      <c r="B715" s="112" t="s">
        <v>1527</v>
      </c>
      <c r="C715" s="112">
        <v>514.64992580000001</v>
      </c>
      <c r="D715" s="112" t="s">
        <v>1528</v>
      </c>
      <c r="E715" s="112" t="s">
        <v>1524</v>
      </c>
      <c r="F715" s="112" t="s">
        <v>1528</v>
      </c>
      <c r="G715" s="112" t="s">
        <v>1471</v>
      </c>
      <c r="H715" s="112" t="s">
        <v>1524</v>
      </c>
      <c r="I715" s="112">
        <v>7159.7036760000001</v>
      </c>
    </row>
    <row r="716" spans="1:9">
      <c r="A716" s="112" t="s">
        <v>1472</v>
      </c>
      <c r="B716" s="112" t="s">
        <v>1527</v>
      </c>
      <c r="C716" s="112">
        <v>0</v>
      </c>
      <c r="D716" s="112" t="s">
        <v>1528</v>
      </c>
      <c r="E716" s="112" t="s">
        <v>1524</v>
      </c>
      <c r="F716" s="112" t="s">
        <v>1528</v>
      </c>
      <c r="G716" s="112" t="s">
        <v>1472</v>
      </c>
      <c r="H716" s="112" t="s">
        <v>1524</v>
      </c>
      <c r="I716" s="112">
        <v>0</v>
      </c>
    </row>
    <row r="717" spans="1:9">
      <c r="A717" s="112" t="s">
        <v>1473</v>
      </c>
      <c r="B717" s="112" t="s">
        <v>1527</v>
      </c>
      <c r="C717" s="112">
        <v>37.004594650000001</v>
      </c>
      <c r="D717" s="112" t="s">
        <v>1528</v>
      </c>
      <c r="E717" s="112" t="s">
        <v>1524</v>
      </c>
      <c r="F717" s="112" t="s">
        <v>1528</v>
      </c>
      <c r="G717" s="112" t="s">
        <v>1473</v>
      </c>
      <c r="H717" s="112" t="s">
        <v>1524</v>
      </c>
      <c r="I717" s="112">
        <v>636.42833680000001</v>
      </c>
    </row>
    <row r="718" spans="1:9">
      <c r="A718" s="112" t="s">
        <v>1474</v>
      </c>
      <c r="B718" s="112" t="s">
        <v>1527</v>
      </c>
      <c r="C718" s="112">
        <v>0</v>
      </c>
      <c r="D718" s="112" t="s">
        <v>1528</v>
      </c>
      <c r="E718" s="112" t="s">
        <v>1524</v>
      </c>
      <c r="F718" s="112" t="s">
        <v>1528</v>
      </c>
      <c r="G718" s="112" t="s">
        <v>1474</v>
      </c>
      <c r="H718" s="112" t="s">
        <v>1524</v>
      </c>
      <c r="I718" s="112">
        <v>0</v>
      </c>
    </row>
    <row r="719" spans="1:9">
      <c r="A719" s="112" t="s">
        <v>1475</v>
      </c>
      <c r="B719" s="112" t="s">
        <v>1527</v>
      </c>
      <c r="C719" s="112">
        <v>0</v>
      </c>
      <c r="D719" s="112" t="s">
        <v>1528</v>
      </c>
      <c r="E719" s="112" t="s">
        <v>1524</v>
      </c>
      <c r="F719" s="112" t="s">
        <v>1528</v>
      </c>
      <c r="G719" s="112" t="s">
        <v>1475</v>
      </c>
      <c r="H719" s="112" t="s">
        <v>1524</v>
      </c>
      <c r="I719" s="112">
        <v>0</v>
      </c>
    </row>
    <row r="720" spans="1:9">
      <c r="A720" s="112" t="s">
        <v>1476</v>
      </c>
      <c r="B720" s="112" t="s">
        <v>1527</v>
      </c>
      <c r="C720" s="112">
        <v>0</v>
      </c>
      <c r="D720" s="112" t="s">
        <v>1528</v>
      </c>
      <c r="E720" s="112" t="s">
        <v>1524</v>
      </c>
      <c r="F720" s="112" t="s">
        <v>1528</v>
      </c>
      <c r="G720" s="112" t="s">
        <v>1476</v>
      </c>
      <c r="H720" s="112" t="s">
        <v>1524</v>
      </c>
      <c r="I720" s="112">
        <v>0</v>
      </c>
    </row>
    <row r="721" spans="1:9">
      <c r="A721" s="112" t="s">
        <v>1477</v>
      </c>
      <c r="B721" s="112" t="s">
        <v>1527</v>
      </c>
      <c r="C721" s="112">
        <v>0</v>
      </c>
      <c r="D721" s="112" t="s">
        <v>1528</v>
      </c>
      <c r="E721" s="112" t="s">
        <v>1524</v>
      </c>
      <c r="F721" s="112" t="s">
        <v>1528</v>
      </c>
      <c r="G721" s="112" t="s">
        <v>1477</v>
      </c>
      <c r="H721" s="112" t="s">
        <v>1524</v>
      </c>
      <c r="I721" s="112">
        <v>0</v>
      </c>
    </row>
    <row r="722" spans="1:9">
      <c r="A722" s="112" t="s">
        <v>1478</v>
      </c>
      <c r="B722" s="112" t="s">
        <v>1527</v>
      </c>
      <c r="C722" s="112">
        <v>521.22935759999996</v>
      </c>
      <c r="D722" s="112" t="s">
        <v>1528</v>
      </c>
      <c r="E722" s="112" t="s">
        <v>1524</v>
      </c>
      <c r="F722" s="112" t="s">
        <v>1528</v>
      </c>
      <c r="G722" s="112" t="s">
        <v>1478</v>
      </c>
      <c r="H722" s="112" t="s">
        <v>1524</v>
      </c>
      <c r="I722" s="112">
        <v>5073.1708570000001</v>
      </c>
    </row>
    <row r="723" spans="1:9">
      <c r="A723" s="112" t="s">
        <v>1479</v>
      </c>
      <c r="B723" s="112" t="s">
        <v>1527</v>
      </c>
      <c r="C723" s="112">
        <v>0</v>
      </c>
      <c r="D723" s="112" t="s">
        <v>1528</v>
      </c>
      <c r="E723" s="112" t="s">
        <v>1524</v>
      </c>
      <c r="F723" s="112" t="s">
        <v>1528</v>
      </c>
      <c r="G723" s="112" t="s">
        <v>1479</v>
      </c>
      <c r="H723" s="112" t="s">
        <v>1524</v>
      </c>
      <c r="I723" s="112">
        <v>0</v>
      </c>
    </row>
    <row r="724" spans="1:9">
      <c r="A724" s="112" t="s">
        <v>1480</v>
      </c>
      <c r="B724" s="112" t="s">
        <v>1527</v>
      </c>
      <c r="C724" s="112">
        <v>0</v>
      </c>
      <c r="D724" s="112" t="s">
        <v>1528</v>
      </c>
      <c r="E724" s="112" t="s">
        <v>1524</v>
      </c>
      <c r="F724" s="112" t="s">
        <v>1528</v>
      </c>
      <c r="G724" s="112" t="s">
        <v>1480</v>
      </c>
      <c r="H724" s="112" t="s">
        <v>1524</v>
      </c>
      <c r="I724" s="112">
        <v>0</v>
      </c>
    </row>
    <row r="725" spans="1:9">
      <c r="A725" s="112" t="s">
        <v>1481</v>
      </c>
      <c r="B725" s="112" t="s">
        <v>1527</v>
      </c>
      <c r="C725" s="112">
        <v>0</v>
      </c>
      <c r="D725" s="112" t="s">
        <v>1528</v>
      </c>
      <c r="E725" s="112" t="s">
        <v>1524</v>
      </c>
      <c r="F725" s="112" t="s">
        <v>1528</v>
      </c>
      <c r="G725" s="112" t="s">
        <v>1481</v>
      </c>
      <c r="H725" s="112" t="s">
        <v>1524</v>
      </c>
      <c r="I725" s="112">
        <v>22.258330180000002</v>
      </c>
    </row>
    <row r="726" spans="1:9">
      <c r="A726" s="112" t="s">
        <v>1482</v>
      </c>
      <c r="B726" s="112" t="s">
        <v>1527</v>
      </c>
      <c r="C726" s="112">
        <v>0</v>
      </c>
      <c r="D726" s="112" t="s">
        <v>1528</v>
      </c>
      <c r="E726" s="112" t="s">
        <v>1524</v>
      </c>
      <c r="F726" s="112" t="s">
        <v>1528</v>
      </c>
      <c r="G726" s="112" t="s">
        <v>1482</v>
      </c>
      <c r="H726" s="112" t="s">
        <v>1524</v>
      </c>
      <c r="I726" s="112">
        <v>0</v>
      </c>
    </row>
    <row r="727" spans="1:9">
      <c r="A727" s="112" t="s">
        <v>1483</v>
      </c>
      <c r="B727" s="112" t="s">
        <v>1527</v>
      </c>
      <c r="C727" s="112">
        <v>0</v>
      </c>
      <c r="D727" s="112" t="s">
        <v>1528</v>
      </c>
      <c r="E727" s="112" t="s">
        <v>1524</v>
      </c>
      <c r="F727" s="112" t="s">
        <v>1528</v>
      </c>
      <c r="G727" s="112" t="s">
        <v>1483</v>
      </c>
      <c r="H727" s="112" t="s">
        <v>1524</v>
      </c>
      <c r="I727" s="112">
        <v>108.4069597</v>
      </c>
    </row>
    <row r="728" spans="1:9">
      <c r="A728" s="112" t="s">
        <v>1484</v>
      </c>
      <c r="B728" s="112" t="s">
        <v>1527</v>
      </c>
      <c r="C728" s="112">
        <v>0</v>
      </c>
      <c r="D728" s="112" t="s">
        <v>1528</v>
      </c>
      <c r="E728" s="112" t="s">
        <v>1524</v>
      </c>
      <c r="F728" s="112" t="s">
        <v>1528</v>
      </c>
      <c r="G728" s="112" t="s">
        <v>1484</v>
      </c>
      <c r="H728" s="112" t="s">
        <v>1524</v>
      </c>
      <c r="I728" s="112">
        <v>0</v>
      </c>
    </row>
    <row r="729" spans="1:9">
      <c r="A729" s="112" t="s">
        <v>1485</v>
      </c>
      <c r="B729" s="112" t="s">
        <v>1527</v>
      </c>
      <c r="C729" s="112">
        <v>0</v>
      </c>
      <c r="D729" s="112" t="s">
        <v>1528</v>
      </c>
      <c r="E729" s="112" t="s">
        <v>1524</v>
      </c>
      <c r="F729" s="112" t="s">
        <v>1528</v>
      </c>
      <c r="G729" s="112" t="s">
        <v>1485</v>
      </c>
      <c r="H729" s="112" t="s">
        <v>1524</v>
      </c>
      <c r="I729" s="112">
        <v>0</v>
      </c>
    </row>
    <row r="730" spans="1:9">
      <c r="A730" s="112" t="s">
        <v>1486</v>
      </c>
      <c r="B730" s="112" t="s">
        <v>1527</v>
      </c>
      <c r="C730" s="112">
        <v>0</v>
      </c>
      <c r="D730" s="112" t="s">
        <v>1528</v>
      </c>
      <c r="E730" s="112" t="s">
        <v>1524</v>
      </c>
      <c r="F730" s="112" t="s">
        <v>1528</v>
      </c>
      <c r="G730" s="112" t="s">
        <v>1486</v>
      </c>
      <c r="H730" s="112" t="s">
        <v>1524</v>
      </c>
      <c r="I730" s="112">
        <v>0</v>
      </c>
    </row>
    <row r="731" spans="1:9">
      <c r="A731" s="112" t="s">
        <v>1487</v>
      </c>
      <c r="B731" s="112" t="s">
        <v>1527</v>
      </c>
      <c r="C731" s="112">
        <v>0</v>
      </c>
      <c r="D731" s="112" t="s">
        <v>1528</v>
      </c>
      <c r="E731" s="112" t="s">
        <v>1524</v>
      </c>
      <c r="F731" s="112" t="s">
        <v>1528</v>
      </c>
      <c r="G731" s="112" t="s">
        <v>1487</v>
      </c>
      <c r="H731" s="112" t="s">
        <v>1524</v>
      </c>
      <c r="I731" s="112">
        <v>114.9266768</v>
      </c>
    </row>
    <row r="732" spans="1:9">
      <c r="A732" s="112" t="s">
        <v>1488</v>
      </c>
      <c r="B732" s="112" t="s">
        <v>1527</v>
      </c>
      <c r="C732" s="112">
        <v>0</v>
      </c>
      <c r="D732" s="112" t="s">
        <v>1528</v>
      </c>
      <c r="E732" s="112" t="s">
        <v>1524</v>
      </c>
      <c r="F732" s="112" t="s">
        <v>1528</v>
      </c>
      <c r="G732" s="112" t="s">
        <v>1488</v>
      </c>
      <c r="H732" s="112" t="s">
        <v>1524</v>
      </c>
      <c r="I732" s="112">
        <v>39.824771009999999</v>
      </c>
    </row>
    <row r="733" spans="1:9">
      <c r="A733" s="112" t="s">
        <v>1489</v>
      </c>
      <c r="B733" s="112" t="s">
        <v>1527</v>
      </c>
      <c r="C733" s="112">
        <v>0</v>
      </c>
      <c r="D733" s="112" t="s">
        <v>1528</v>
      </c>
      <c r="E733" s="112" t="s">
        <v>1524</v>
      </c>
      <c r="F733" s="112" t="s">
        <v>1528</v>
      </c>
      <c r="G733" s="112" t="s">
        <v>1489</v>
      </c>
      <c r="H733" s="112" t="s">
        <v>1524</v>
      </c>
      <c r="I733" s="112">
        <v>343.6686335</v>
      </c>
    </row>
    <row r="734" spans="1:9">
      <c r="A734" s="112" t="s">
        <v>1490</v>
      </c>
      <c r="B734" s="112" t="s">
        <v>1527</v>
      </c>
      <c r="C734" s="112">
        <v>0</v>
      </c>
      <c r="D734" s="112" t="s">
        <v>1528</v>
      </c>
      <c r="E734" s="112" t="s">
        <v>1524</v>
      </c>
      <c r="F734" s="112" t="s">
        <v>1528</v>
      </c>
      <c r="G734" s="112" t="s">
        <v>1490</v>
      </c>
      <c r="H734" s="112" t="s">
        <v>1524</v>
      </c>
      <c r="I734" s="112">
        <v>0</v>
      </c>
    </row>
    <row r="735" spans="1:9">
      <c r="A735" s="112" t="s">
        <v>1461</v>
      </c>
      <c r="B735" s="112" t="s">
        <v>1529</v>
      </c>
      <c r="C735" s="112">
        <v>6419.6406450000004</v>
      </c>
      <c r="D735" s="112" t="s">
        <v>1530</v>
      </c>
      <c r="E735" s="112" t="s">
        <v>1524</v>
      </c>
      <c r="F735" s="112" t="s">
        <v>1530</v>
      </c>
      <c r="G735" s="112" t="s">
        <v>1461</v>
      </c>
      <c r="H735" s="112" t="s">
        <v>1524</v>
      </c>
      <c r="I735" s="112">
        <v>6419.6406450000004</v>
      </c>
    </row>
    <row r="736" spans="1:9">
      <c r="A736" s="112" t="s">
        <v>1465</v>
      </c>
      <c r="B736" s="112" t="s">
        <v>1529</v>
      </c>
      <c r="C736" s="112">
        <v>2.4417997040000001</v>
      </c>
      <c r="D736" s="112" t="s">
        <v>1530</v>
      </c>
      <c r="E736" s="112" t="s">
        <v>1524</v>
      </c>
      <c r="F736" s="112" t="s">
        <v>1530</v>
      </c>
      <c r="G736" s="112" t="s">
        <v>1465</v>
      </c>
      <c r="H736" s="112" t="s">
        <v>1524</v>
      </c>
      <c r="I736" s="112">
        <v>2.4417997040000001</v>
      </c>
    </row>
    <row r="737" spans="1:9">
      <c r="A737" s="112" t="s">
        <v>1466</v>
      </c>
      <c r="B737" s="112" t="s">
        <v>1529</v>
      </c>
      <c r="C737" s="112">
        <v>360.19287750000001</v>
      </c>
      <c r="D737" s="112" t="s">
        <v>1530</v>
      </c>
      <c r="E737" s="112" t="s">
        <v>1524</v>
      </c>
      <c r="F737" s="112" t="s">
        <v>1530</v>
      </c>
      <c r="G737" s="112" t="s">
        <v>1466</v>
      </c>
      <c r="H737" s="112" t="s">
        <v>1524</v>
      </c>
      <c r="I737" s="112">
        <v>360.19287750000001</v>
      </c>
    </row>
    <row r="738" spans="1:9">
      <c r="A738" s="112" t="s">
        <v>1467</v>
      </c>
      <c r="B738" s="112" t="s">
        <v>1529</v>
      </c>
      <c r="C738" s="112">
        <v>496.03306889999999</v>
      </c>
      <c r="D738" s="112" t="s">
        <v>1530</v>
      </c>
      <c r="E738" s="112" t="s">
        <v>1524</v>
      </c>
      <c r="F738" s="112" t="s">
        <v>1530</v>
      </c>
      <c r="G738" s="112" t="s">
        <v>1467</v>
      </c>
      <c r="H738" s="112" t="s">
        <v>1524</v>
      </c>
      <c r="I738" s="112">
        <v>496.03306889999999</v>
      </c>
    </row>
    <row r="739" spans="1:9">
      <c r="A739" s="112" t="s">
        <v>1468</v>
      </c>
      <c r="B739" s="112" t="s">
        <v>1529</v>
      </c>
      <c r="C739" s="112">
        <v>5036.1113720000003</v>
      </c>
      <c r="D739" s="112" t="s">
        <v>1530</v>
      </c>
      <c r="E739" s="112" t="s">
        <v>1524</v>
      </c>
      <c r="F739" s="112" t="s">
        <v>1530</v>
      </c>
      <c r="G739" s="112" t="s">
        <v>1468</v>
      </c>
      <c r="H739" s="112" t="s">
        <v>1524</v>
      </c>
      <c r="I739" s="112">
        <v>5036.1113720000003</v>
      </c>
    </row>
    <row r="740" spans="1:9">
      <c r="A740" s="112" t="s">
        <v>1469</v>
      </c>
      <c r="B740" s="112" t="s">
        <v>1529</v>
      </c>
      <c r="C740" s="112">
        <v>0</v>
      </c>
      <c r="D740" s="112" t="s">
        <v>1530</v>
      </c>
      <c r="E740" s="112" t="s">
        <v>1524</v>
      </c>
      <c r="F740" s="112" t="s">
        <v>1530</v>
      </c>
      <c r="G740" s="112" t="s">
        <v>1469</v>
      </c>
      <c r="H740" s="112" t="s">
        <v>1524</v>
      </c>
      <c r="I740" s="112">
        <v>0</v>
      </c>
    </row>
    <row r="741" spans="1:9">
      <c r="A741" s="112" t="s">
        <v>1470</v>
      </c>
      <c r="B741" s="112" t="s">
        <v>1529</v>
      </c>
      <c r="C741" s="112">
        <v>0</v>
      </c>
      <c r="D741" s="112" t="s">
        <v>1530</v>
      </c>
      <c r="E741" s="112" t="s">
        <v>1524</v>
      </c>
      <c r="F741" s="112" t="s">
        <v>1530</v>
      </c>
      <c r="G741" s="112" t="s">
        <v>1470</v>
      </c>
      <c r="H741" s="112" t="s">
        <v>1524</v>
      </c>
      <c r="I741" s="112">
        <v>0</v>
      </c>
    </row>
    <row r="742" spans="1:9">
      <c r="A742" s="112" t="s">
        <v>1471</v>
      </c>
      <c r="B742" s="112" t="s">
        <v>1529</v>
      </c>
      <c r="C742" s="112">
        <v>2243.7512620000002</v>
      </c>
      <c r="D742" s="112" t="s">
        <v>1530</v>
      </c>
      <c r="E742" s="112" t="s">
        <v>1524</v>
      </c>
      <c r="F742" s="112" t="s">
        <v>1530</v>
      </c>
      <c r="G742" s="112" t="s">
        <v>1471</v>
      </c>
      <c r="H742" s="112" t="s">
        <v>1524</v>
      </c>
      <c r="I742" s="112">
        <v>2243.7512620000002</v>
      </c>
    </row>
    <row r="743" spans="1:9">
      <c r="A743" s="112" t="s">
        <v>1472</v>
      </c>
      <c r="B743" s="112" t="s">
        <v>1529</v>
      </c>
      <c r="C743" s="112">
        <v>0</v>
      </c>
      <c r="D743" s="112" t="s">
        <v>1530</v>
      </c>
      <c r="E743" s="112" t="s">
        <v>1524</v>
      </c>
      <c r="F743" s="112" t="s">
        <v>1530</v>
      </c>
      <c r="G743" s="112" t="s">
        <v>1472</v>
      </c>
      <c r="H743" s="112" t="s">
        <v>1524</v>
      </c>
      <c r="I743" s="112">
        <v>0</v>
      </c>
    </row>
    <row r="744" spans="1:9">
      <c r="A744" s="112" t="s">
        <v>1473</v>
      </c>
      <c r="B744" s="112" t="s">
        <v>1529</v>
      </c>
      <c r="C744" s="112">
        <v>169.5621495</v>
      </c>
      <c r="D744" s="112" t="s">
        <v>1530</v>
      </c>
      <c r="E744" s="112" t="s">
        <v>1524</v>
      </c>
      <c r="F744" s="112" t="s">
        <v>1530</v>
      </c>
      <c r="G744" s="112" t="s">
        <v>1473</v>
      </c>
      <c r="H744" s="112" t="s">
        <v>1524</v>
      </c>
      <c r="I744" s="112">
        <v>169.5621495</v>
      </c>
    </row>
    <row r="745" spans="1:9">
      <c r="A745" s="112" t="s">
        <v>1474</v>
      </c>
      <c r="B745" s="112" t="s">
        <v>1529</v>
      </c>
      <c r="C745" s="112">
        <v>1382.666888</v>
      </c>
      <c r="D745" s="112" t="s">
        <v>1530</v>
      </c>
      <c r="E745" s="112" t="s">
        <v>1524</v>
      </c>
      <c r="F745" s="112" t="s">
        <v>1530</v>
      </c>
      <c r="G745" s="112" t="s">
        <v>1474</v>
      </c>
      <c r="H745" s="112" t="s">
        <v>1524</v>
      </c>
      <c r="I745" s="112">
        <v>1382.666888</v>
      </c>
    </row>
    <row r="746" spans="1:9">
      <c r="A746" s="112" t="s">
        <v>1475</v>
      </c>
      <c r="B746" s="112" t="s">
        <v>1529</v>
      </c>
      <c r="C746" s="112">
        <v>211.69397520000001</v>
      </c>
      <c r="D746" s="112" t="s">
        <v>1530</v>
      </c>
      <c r="E746" s="112" t="s">
        <v>1524</v>
      </c>
      <c r="F746" s="112" t="s">
        <v>1530</v>
      </c>
      <c r="G746" s="112" t="s">
        <v>1475</v>
      </c>
      <c r="H746" s="112" t="s">
        <v>1524</v>
      </c>
      <c r="I746" s="112">
        <v>211.69397520000001</v>
      </c>
    </row>
    <row r="747" spans="1:9">
      <c r="A747" s="112" t="s">
        <v>1476</v>
      </c>
      <c r="B747" s="112" t="s">
        <v>1529</v>
      </c>
      <c r="C747" s="112">
        <v>0</v>
      </c>
      <c r="D747" s="112" t="s">
        <v>1530</v>
      </c>
      <c r="E747" s="112" t="s">
        <v>1524</v>
      </c>
      <c r="F747" s="112" t="s">
        <v>1530</v>
      </c>
      <c r="G747" s="112" t="s">
        <v>1476</v>
      </c>
      <c r="H747" s="112" t="s">
        <v>1524</v>
      </c>
      <c r="I747" s="112">
        <v>0</v>
      </c>
    </row>
    <row r="748" spans="1:9">
      <c r="A748" s="112" t="s">
        <v>1477</v>
      </c>
      <c r="B748" s="112" t="s">
        <v>1529</v>
      </c>
      <c r="C748" s="112">
        <v>0</v>
      </c>
      <c r="D748" s="112" t="s">
        <v>1530</v>
      </c>
      <c r="E748" s="112" t="s">
        <v>1524</v>
      </c>
      <c r="F748" s="112" t="s">
        <v>1530</v>
      </c>
      <c r="G748" s="112" t="s">
        <v>1477</v>
      </c>
      <c r="H748" s="112" t="s">
        <v>1524</v>
      </c>
      <c r="I748" s="112">
        <v>0</v>
      </c>
    </row>
    <row r="749" spans="1:9">
      <c r="A749" s="112" t="s">
        <v>1478</v>
      </c>
      <c r="B749" s="112" t="s">
        <v>1529</v>
      </c>
      <c r="C749" s="112">
        <v>240.4194454</v>
      </c>
      <c r="D749" s="112" t="s">
        <v>1530</v>
      </c>
      <c r="E749" s="112" t="s">
        <v>1524</v>
      </c>
      <c r="F749" s="112" t="s">
        <v>1530</v>
      </c>
      <c r="G749" s="112" t="s">
        <v>1478</v>
      </c>
      <c r="H749" s="112" t="s">
        <v>1524</v>
      </c>
      <c r="I749" s="112">
        <v>240.4194454</v>
      </c>
    </row>
    <row r="750" spans="1:9">
      <c r="A750" s="112" t="s">
        <v>1479</v>
      </c>
      <c r="B750" s="112" t="s">
        <v>1529</v>
      </c>
      <c r="C750" s="112">
        <v>0</v>
      </c>
      <c r="D750" s="112" t="s">
        <v>1530</v>
      </c>
      <c r="E750" s="112" t="s">
        <v>1524</v>
      </c>
      <c r="F750" s="112" t="s">
        <v>1530</v>
      </c>
      <c r="G750" s="112" t="s">
        <v>1479</v>
      </c>
      <c r="H750" s="112" t="s">
        <v>1524</v>
      </c>
      <c r="I750" s="112">
        <v>0</v>
      </c>
    </row>
    <row r="751" spans="1:9">
      <c r="A751" s="112" t="s">
        <v>1480</v>
      </c>
      <c r="B751" s="112" t="s">
        <v>1529</v>
      </c>
      <c r="C751" s="112">
        <v>956.36580990000004</v>
      </c>
      <c r="D751" s="112" t="s">
        <v>1530</v>
      </c>
      <c r="E751" s="112" t="s">
        <v>1524</v>
      </c>
      <c r="F751" s="112" t="s">
        <v>1530</v>
      </c>
      <c r="G751" s="112" t="s">
        <v>1480</v>
      </c>
      <c r="H751" s="112" t="s">
        <v>1524</v>
      </c>
      <c r="I751" s="112">
        <v>956.36580990000004</v>
      </c>
    </row>
    <row r="752" spans="1:9">
      <c r="A752" s="112" t="s">
        <v>1481</v>
      </c>
      <c r="B752" s="112" t="s">
        <v>1529</v>
      </c>
      <c r="C752" s="112">
        <v>5008.1242910000001</v>
      </c>
      <c r="D752" s="112" t="s">
        <v>1530</v>
      </c>
      <c r="E752" s="112" t="s">
        <v>1524</v>
      </c>
      <c r="F752" s="112" t="s">
        <v>1530</v>
      </c>
      <c r="G752" s="112" t="s">
        <v>1481</v>
      </c>
      <c r="H752" s="112" t="s">
        <v>1524</v>
      </c>
      <c r="I752" s="112">
        <v>5008.1242910000001</v>
      </c>
    </row>
    <row r="753" spans="1:9">
      <c r="A753" s="112" t="s">
        <v>1482</v>
      </c>
      <c r="B753" s="112" t="s">
        <v>1529</v>
      </c>
      <c r="C753" s="112">
        <v>0</v>
      </c>
      <c r="D753" s="112" t="s">
        <v>1530</v>
      </c>
      <c r="E753" s="112" t="s">
        <v>1524</v>
      </c>
      <c r="F753" s="112" t="s">
        <v>1530</v>
      </c>
      <c r="G753" s="112" t="s">
        <v>1482</v>
      </c>
      <c r="H753" s="112" t="s">
        <v>1524</v>
      </c>
      <c r="I753" s="112">
        <v>0</v>
      </c>
    </row>
    <row r="754" spans="1:9">
      <c r="A754" s="112" t="s">
        <v>1483</v>
      </c>
      <c r="B754" s="112" t="s">
        <v>1529</v>
      </c>
      <c r="C754" s="112">
        <v>54.203479860000002</v>
      </c>
      <c r="D754" s="112" t="s">
        <v>1530</v>
      </c>
      <c r="E754" s="112" t="s">
        <v>1524</v>
      </c>
      <c r="F754" s="112" t="s">
        <v>1530</v>
      </c>
      <c r="G754" s="112" t="s">
        <v>1483</v>
      </c>
      <c r="H754" s="112" t="s">
        <v>1524</v>
      </c>
      <c r="I754" s="112">
        <v>54.203479860000002</v>
      </c>
    </row>
    <row r="755" spans="1:9">
      <c r="A755" s="112" t="s">
        <v>1484</v>
      </c>
      <c r="B755" s="112" t="s">
        <v>1529</v>
      </c>
      <c r="C755" s="112">
        <v>180.1801802</v>
      </c>
      <c r="D755" s="112" t="s">
        <v>1530</v>
      </c>
      <c r="E755" s="112" t="s">
        <v>1524</v>
      </c>
      <c r="F755" s="112" t="s">
        <v>1530</v>
      </c>
      <c r="G755" s="112" t="s">
        <v>1484</v>
      </c>
      <c r="H755" s="112" t="s">
        <v>1524</v>
      </c>
      <c r="I755" s="112">
        <v>180.1801802</v>
      </c>
    </row>
    <row r="756" spans="1:9">
      <c r="A756" s="112" t="s">
        <v>1485</v>
      </c>
      <c r="B756" s="112" t="s">
        <v>1529</v>
      </c>
      <c r="C756" s="112">
        <v>0</v>
      </c>
      <c r="D756" s="112" t="s">
        <v>1530</v>
      </c>
      <c r="E756" s="112" t="s">
        <v>1524</v>
      </c>
      <c r="F756" s="112" t="s">
        <v>1530</v>
      </c>
      <c r="G756" s="112" t="s">
        <v>1485</v>
      </c>
      <c r="H756" s="112" t="s">
        <v>1524</v>
      </c>
      <c r="I756" s="112">
        <v>0</v>
      </c>
    </row>
    <row r="757" spans="1:9">
      <c r="A757" s="112" t="s">
        <v>1486</v>
      </c>
      <c r="B757" s="112" t="s">
        <v>1529</v>
      </c>
      <c r="C757" s="112">
        <v>1957.88696</v>
      </c>
      <c r="D757" s="112" t="s">
        <v>1530</v>
      </c>
      <c r="E757" s="112" t="s">
        <v>1524</v>
      </c>
      <c r="F757" s="112" t="s">
        <v>1530</v>
      </c>
      <c r="G757" s="112" t="s">
        <v>1486</v>
      </c>
      <c r="H757" s="112" t="s">
        <v>1524</v>
      </c>
      <c r="I757" s="112">
        <v>1957.88696</v>
      </c>
    </row>
    <row r="758" spans="1:9">
      <c r="A758" s="112" t="s">
        <v>1487</v>
      </c>
      <c r="B758" s="112" t="s">
        <v>1529</v>
      </c>
      <c r="C758" s="112">
        <v>505.67737779999999</v>
      </c>
      <c r="D758" s="112" t="s">
        <v>1530</v>
      </c>
      <c r="E758" s="112" t="s">
        <v>1524</v>
      </c>
      <c r="F758" s="112" t="s">
        <v>1530</v>
      </c>
      <c r="G758" s="112" t="s">
        <v>1487</v>
      </c>
      <c r="H758" s="112" t="s">
        <v>1524</v>
      </c>
      <c r="I758" s="112">
        <v>505.67737779999999</v>
      </c>
    </row>
    <row r="759" spans="1:9">
      <c r="A759" s="112" t="s">
        <v>1488</v>
      </c>
      <c r="B759" s="112" t="s">
        <v>1529</v>
      </c>
      <c r="C759" s="112">
        <v>1433.6917559999999</v>
      </c>
      <c r="D759" s="112" t="s">
        <v>1530</v>
      </c>
      <c r="E759" s="112" t="s">
        <v>1524</v>
      </c>
      <c r="F759" s="112" t="s">
        <v>1530</v>
      </c>
      <c r="G759" s="112" t="s">
        <v>1488</v>
      </c>
      <c r="H759" s="112" t="s">
        <v>1524</v>
      </c>
      <c r="I759" s="112">
        <v>1433.6917559999999</v>
      </c>
    </row>
    <row r="760" spans="1:9">
      <c r="A760" s="112" t="s">
        <v>1489</v>
      </c>
      <c r="B760" s="112" t="s">
        <v>1529</v>
      </c>
      <c r="C760" s="112">
        <v>355.3184177</v>
      </c>
      <c r="D760" s="112" t="s">
        <v>1530</v>
      </c>
      <c r="E760" s="112" t="s">
        <v>1524</v>
      </c>
      <c r="F760" s="112" t="s">
        <v>1530</v>
      </c>
      <c r="G760" s="112" t="s">
        <v>1489</v>
      </c>
      <c r="H760" s="112" t="s">
        <v>1524</v>
      </c>
      <c r="I760" s="112">
        <v>355.3184177</v>
      </c>
    </row>
    <row r="761" spans="1:9">
      <c r="A761" s="112" t="s">
        <v>1490</v>
      </c>
      <c r="B761" s="112" t="s">
        <v>1529</v>
      </c>
      <c r="C761" s="112">
        <v>0</v>
      </c>
      <c r="D761" s="112" t="s">
        <v>1530</v>
      </c>
      <c r="E761" s="112" t="s">
        <v>1524</v>
      </c>
      <c r="F761" s="112" t="s">
        <v>1530</v>
      </c>
      <c r="G761" s="112" t="s">
        <v>1490</v>
      </c>
      <c r="H761" s="112" t="s">
        <v>1524</v>
      </c>
      <c r="I761" s="112">
        <v>0</v>
      </c>
    </row>
    <row r="762" spans="1:9">
      <c r="A762" s="112" t="s">
        <v>1461</v>
      </c>
      <c r="B762" s="112" t="s">
        <v>1531</v>
      </c>
      <c r="C762" s="112">
        <v>3533.9498939999999</v>
      </c>
      <c r="D762" s="112" t="s">
        <v>1532</v>
      </c>
      <c r="E762" s="112" t="s">
        <v>1524</v>
      </c>
      <c r="F762" s="112" t="s">
        <v>1532</v>
      </c>
      <c r="G762" s="112" t="s">
        <v>1461</v>
      </c>
      <c r="H762" s="112" t="s">
        <v>1524</v>
      </c>
      <c r="I762" s="112">
        <v>3533.9498939999999</v>
      </c>
    </row>
    <row r="763" spans="1:9">
      <c r="A763" s="112" t="s">
        <v>1465</v>
      </c>
      <c r="B763" s="112" t="s">
        <v>1531</v>
      </c>
      <c r="C763" s="112">
        <v>21.976197339999999</v>
      </c>
      <c r="D763" s="112" t="s">
        <v>1532</v>
      </c>
      <c r="E763" s="112" t="s">
        <v>1524</v>
      </c>
      <c r="F763" s="112" t="s">
        <v>1532</v>
      </c>
      <c r="G763" s="112" t="s">
        <v>1465</v>
      </c>
      <c r="H763" s="112" t="s">
        <v>1524</v>
      </c>
      <c r="I763" s="112">
        <v>21.976197339999999</v>
      </c>
    </row>
    <row r="764" spans="1:9">
      <c r="A764" s="112" t="s">
        <v>1466</v>
      </c>
      <c r="B764" s="112" t="s">
        <v>1531</v>
      </c>
      <c r="C764" s="112">
        <v>58.095625400000003</v>
      </c>
      <c r="D764" s="112" t="s">
        <v>1532</v>
      </c>
      <c r="E764" s="112" t="s">
        <v>1524</v>
      </c>
      <c r="F764" s="112" t="s">
        <v>1532</v>
      </c>
      <c r="G764" s="112" t="s">
        <v>1466</v>
      </c>
      <c r="H764" s="112" t="s">
        <v>1524</v>
      </c>
      <c r="I764" s="112">
        <v>58.095625400000003</v>
      </c>
    </row>
    <row r="765" spans="1:9">
      <c r="A765" s="112" t="s">
        <v>1467</v>
      </c>
      <c r="B765" s="112" t="s">
        <v>1531</v>
      </c>
      <c r="C765" s="112">
        <v>2130.1420090000001</v>
      </c>
      <c r="D765" s="112" t="s">
        <v>1532</v>
      </c>
      <c r="E765" s="112" t="s">
        <v>1524</v>
      </c>
      <c r="F765" s="112" t="s">
        <v>1532</v>
      </c>
      <c r="G765" s="112" t="s">
        <v>1467</v>
      </c>
      <c r="H765" s="112" t="s">
        <v>1524</v>
      </c>
      <c r="I765" s="112">
        <v>2130.1420090000001</v>
      </c>
    </row>
    <row r="766" spans="1:9">
      <c r="A766" s="112" t="s">
        <v>1468</v>
      </c>
      <c r="B766" s="112" t="s">
        <v>1531</v>
      </c>
      <c r="C766" s="112">
        <v>999.28570909999996</v>
      </c>
      <c r="D766" s="112" t="s">
        <v>1532</v>
      </c>
      <c r="E766" s="112" t="s">
        <v>1524</v>
      </c>
      <c r="F766" s="112" t="s">
        <v>1532</v>
      </c>
      <c r="G766" s="112" t="s">
        <v>1468</v>
      </c>
      <c r="H766" s="112" t="s">
        <v>1524</v>
      </c>
      <c r="I766" s="112">
        <v>999.28570909999996</v>
      </c>
    </row>
    <row r="767" spans="1:9">
      <c r="A767" s="112" t="s">
        <v>1469</v>
      </c>
      <c r="B767" s="112" t="s">
        <v>1531</v>
      </c>
      <c r="C767" s="112">
        <v>0</v>
      </c>
      <c r="D767" s="112" t="s">
        <v>1532</v>
      </c>
      <c r="E767" s="112" t="s">
        <v>1524</v>
      </c>
      <c r="F767" s="112" t="s">
        <v>1532</v>
      </c>
      <c r="G767" s="112" t="s">
        <v>1469</v>
      </c>
      <c r="H767" s="112" t="s">
        <v>1524</v>
      </c>
      <c r="I767" s="112">
        <v>0</v>
      </c>
    </row>
    <row r="768" spans="1:9">
      <c r="A768" s="112" t="s">
        <v>1470</v>
      </c>
      <c r="B768" s="112" t="s">
        <v>1531</v>
      </c>
      <c r="C768" s="112">
        <v>0</v>
      </c>
      <c r="D768" s="112" t="s">
        <v>1532</v>
      </c>
      <c r="E768" s="112" t="s">
        <v>1524</v>
      </c>
      <c r="F768" s="112" t="s">
        <v>1532</v>
      </c>
      <c r="G768" s="112" t="s">
        <v>1470</v>
      </c>
      <c r="H768" s="112" t="s">
        <v>1524</v>
      </c>
      <c r="I768" s="112">
        <v>0</v>
      </c>
    </row>
    <row r="769" spans="1:9">
      <c r="A769" s="112" t="s">
        <v>1471</v>
      </c>
      <c r="B769" s="112" t="s">
        <v>1531</v>
      </c>
      <c r="C769" s="112">
        <v>3335.788419</v>
      </c>
      <c r="D769" s="112" t="s">
        <v>1532</v>
      </c>
      <c r="E769" s="112" t="s">
        <v>1524</v>
      </c>
      <c r="F769" s="112" t="s">
        <v>1532</v>
      </c>
      <c r="G769" s="112" t="s">
        <v>1471</v>
      </c>
      <c r="H769" s="112" t="s">
        <v>1524</v>
      </c>
      <c r="I769" s="112">
        <v>3335.788419</v>
      </c>
    </row>
    <row r="770" spans="1:9">
      <c r="A770" s="112" t="s">
        <v>1472</v>
      </c>
      <c r="B770" s="112" t="s">
        <v>1531</v>
      </c>
      <c r="C770" s="112">
        <v>0</v>
      </c>
      <c r="D770" s="112" t="s">
        <v>1532</v>
      </c>
      <c r="E770" s="112" t="s">
        <v>1524</v>
      </c>
      <c r="F770" s="112" t="s">
        <v>1532</v>
      </c>
      <c r="G770" s="112" t="s">
        <v>1472</v>
      </c>
      <c r="H770" s="112" t="s">
        <v>1524</v>
      </c>
      <c r="I770" s="112">
        <v>0</v>
      </c>
    </row>
    <row r="771" spans="1:9">
      <c r="A771" s="112" t="s">
        <v>1473</v>
      </c>
      <c r="B771" s="112" t="s">
        <v>1531</v>
      </c>
      <c r="C771" s="112">
        <v>326.19803639999998</v>
      </c>
      <c r="D771" s="112" t="s">
        <v>1532</v>
      </c>
      <c r="E771" s="112" t="s">
        <v>1524</v>
      </c>
      <c r="F771" s="112" t="s">
        <v>1532</v>
      </c>
      <c r="G771" s="112" t="s">
        <v>1473</v>
      </c>
      <c r="H771" s="112" t="s">
        <v>1524</v>
      </c>
      <c r="I771" s="112">
        <v>326.19803639999998</v>
      </c>
    </row>
    <row r="772" spans="1:9">
      <c r="A772" s="112" t="s">
        <v>1474</v>
      </c>
      <c r="B772" s="112" t="s">
        <v>1531</v>
      </c>
      <c r="C772" s="112">
        <v>0</v>
      </c>
      <c r="D772" s="112" t="s">
        <v>1532</v>
      </c>
      <c r="E772" s="112" t="s">
        <v>1524</v>
      </c>
      <c r="F772" s="112" t="s">
        <v>1532</v>
      </c>
      <c r="G772" s="112" t="s">
        <v>1474</v>
      </c>
      <c r="H772" s="112" t="s">
        <v>1524</v>
      </c>
      <c r="I772" s="112">
        <v>0</v>
      </c>
    </row>
    <row r="773" spans="1:9">
      <c r="A773" s="112" t="s">
        <v>1475</v>
      </c>
      <c r="B773" s="112" t="s">
        <v>1531</v>
      </c>
      <c r="C773" s="112">
        <v>0</v>
      </c>
      <c r="D773" s="112" t="s">
        <v>1532</v>
      </c>
      <c r="E773" s="112" t="s">
        <v>1524</v>
      </c>
      <c r="F773" s="112" t="s">
        <v>1532</v>
      </c>
      <c r="G773" s="112" t="s">
        <v>1475</v>
      </c>
      <c r="H773" s="112" t="s">
        <v>1524</v>
      </c>
      <c r="I773" s="112">
        <v>0</v>
      </c>
    </row>
    <row r="774" spans="1:9">
      <c r="A774" s="112" t="s">
        <v>1476</v>
      </c>
      <c r="B774" s="112" t="s">
        <v>1531</v>
      </c>
      <c r="C774" s="112">
        <v>0</v>
      </c>
      <c r="D774" s="112" t="s">
        <v>1532</v>
      </c>
      <c r="E774" s="112" t="s">
        <v>1524</v>
      </c>
      <c r="F774" s="112" t="s">
        <v>1532</v>
      </c>
      <c r="G774" s="112" t="s">
        <v>1476</v>
      </c>
      <c r="H774" s="112" t="s">
        <v>1524</v>
      </c>
      <c r="I774" s="112">
        <v>0</v>
      </c>
    </row>
    <row r="775" spans="1:9">
      <c r="A775" s="112" t="s">
        <v>1477</v>
      </c>
      <c r="B775" s="112" t="s">
        <v>1531</v>
      </c>
      <c r="C775" s="112">
        <v>0</v>
      </c>
      <c r="D775" s="112" t="s">
        <v>1532</v>
      </c>
      <c r="E775" s="112" t="s">
        <v>1524</v>
      </c>
      <c r="F775" s="112" t="s">
        <v>1532</v>
      </c>
      <c r="G775" s="112" t="s">
        <v>1477</v>
      </c>
      <c r="H775" s="112" t="s">
        <v>1524</v>
      </c>
      <c r="I775" s="112">
        <v>0</v>
      </c>
    </row>
    <row r="776" spans="1:9">
      <c r="A776" s="112" t="s">
        <v>1478</v>
      </c>
      <c r="B776" s="112" t="s">
        <v>1531</v>
      </c>
      <c r="C776" s="112">
        <v>2407.4000460000002</v>
      </c>
      <c r="D776" s="112" t="s">
        <v>1532</v>
      </c>
      <c r="E776" s="112" t="s">
        <v>1524</v>
      </c>
      <c r="F776" s="112" t="s">
        <v>1532</v>
      </c>
      <c r="G776" s="112" t="s">
        <v>1478</v>
      </c>
      <c r="H776" s="112" t="s">
        <v>1524</v>
      </c>
      <c r="I776" s="112">
        <v>2407.4000460000002</v>
      </c>
    </row>
    <row r="777" spans="1:9">
      <c r="A777" s="112" t="s">
        <v>1479</v>
      </c>
      <c r="B777" s="112" t="s">
        <v>1531</v>
      </c>
      <c r="C777" s="112">
        <v>0</v>
      </c>
      <c r="D777" s="112" t="s">
        <v>1532</v>
      </c>
      <c r="E777" s="112" t="s">
        <v>1524</v>
      </c>
      <c r="F777" s="112" t="s">
        <v>1532</v>
      </c>
      <c r="G777" s="112" t="s">
        <v>1479</v>
      </c>
      <c r="H777" s="112" t="s">
        <v>1524</v>
      </c>
      <c r="I777" s="112">
        <v>0</v>
      </c>
    </row>
    <row r="778" spans="1:9">
      <c r="A778" s="112" t="s">
        <v>1480</v>
      </c>
      <c r="B778" s="112" t="s">
        <v>1531</v>
      </c>
      <c r="C778" s="112">
        <v>0</v>
      </c>
      <c r="D778" s="112" t="s">
        <v>1532</v>
      </c>
      <c r="E778" s="112" t="s">
        <v>1524</v>
      </c>
      <c r="F778" s="112" t="s">
        <v>1532</v>
      </c>
      <c r="G778" s="112" t="s">
        <v>1480</v>
      </c>
      <c r="H778" s="112" t="s">
        <v>1524</v>
      </c>
      <c r="I778" s="112">
        <v>0</v>
      </c>
    </row>
    <row r="779" spans="1:9">
      <c r="A779" s="112" t="s">
        <v>1481</v>
      </c>
      <c r="B779" s="112" t="s">
        <v>1531</v>
      </c>
      <c r="C779" s="112">
        <v>89.033320720000006</v>
      </c>
      <c r="D779" s="112" t="s">
        <v>1532</v>
      </c>
      <c r="E779" s="112" t="s">
        <v>1524</v>
      </c>
      <c r="F779" s="112" t="s">
        <v>1532</v>
      </c>
      <c r="G779" s="112" t="s">
        <v>1481</v>
      </c>
      <c r="H779" s="112" t="s">
        <v>1524</v>
      </c>
      <c r="I779" s="112">
        <v>89.033320720000006</v>
      </c>
    </row>
    <row r="780" spans="1:9">
      <c r="A780" s="112" t="s">
        <v>1482</v>
      </c>
      <c r="B780" s="112" t="s">
        <v>1531</v>
      </c>
      <c r="C780" s="112">
        <v>0</v>
      </c>
      <c r="D780" s="112" t="s">
        <v>1532</v>
      </c>
      <c r="E780" s="112" t="s">
        <v>1524</v>
      </c>
      <c r="F780" s="112" t="s">
        <v>1532</v>
      </c>
      <c r="G780" s="112" t="s">
        <v>1482</v>
      </c>
      <c r="H780" s="112" t="s">
        <v>1524</v>
      </c>
      <c r="I780" s="112">
        <v>0</v>
      </c>
    </row>
    <row r="781" spans="1:9">
      <c r="A781" s="112" t="s">
        <v>1483</v>
      </c>
      <c r="B781" s="112" t="s">
        <v>1531</v>
      </c>
      <c r="C781" s="112">
        <v>433.62783889999997</v>
      </c>
      <c r="D781" s="112" t="s">
        <v>1532</v>
      </c>
      <c r="E781" s="112" t="s">
        <v>1524</v>
      </c>
      <c r="F781" s="112" t="s">
        <v>1532</v>
      </c>
      <c r="G781" s="112" t="s">
        <v>1483</v>
      </c>
      <c r="H781" s="112" t="s">
        <v>1524</v>
      </c>
      <c r="I781" s="112">
        <v>433.62783889999997</v>
      </c>
    </row>
    <row r="782" spans="1:9">
      <c r="A782" s="112" t="s">
        <v>1484</v>
      </c>
      <c r="B782" s="112" t="s">
        <v>1531</v>
      </c>
      <c r="C782" s="112">
        <v>120.12012009999999</v>
      </c>
      <c r="D782" s="112" t="s">
        <v>1532</v>
      </c>
      <c r="E782" s="112" t="s">
        <v>1524</v>
      </c>
      <c r="F782" s="112" t="s">
        <v>1532</v>
      </c>
      <c r="G782" s="112" t="s">
        <v>1484</v>
      </c>
      <c r="H782" s="112" t="s">
        <v>1524</v>
      </c>
      <c r="I782" s="112">
        <v>120.12012009999999</v>
      </c>
    </row>
    <row r="783" spans="1:9">
      <c r="A783" s="112" t="s">
        <v>1485</v>
      </c>
      <c r="B783" s="112" t="s">
        <v>1531</v>
      </c>
      <c r="C783" s="112">
        <v>0</v>
      </c>
      <c r="D783" s="112" t="s">
        <v>1532</v>
      </c>
      <c r="E783" s="112" t="s">
        <v>1524</v>
      </c>
      <c r="F783" s="112" t="s">
        <v>1532</v>
      </c>
      <c r="G783" s="112" t="s">
        <v>1485</v>
      </c>
      <c r="H783" s="112" t="s">
        <v>1524</v>
      </c>
      <c r="I783" s="112">
        <v>0</v>
      </c>
    </row>
    <row r="784" spans="1:9">
      <c r="A784" s="112" t="s">
        <v>1486</v>
      </c>
      <c r="B784" s="112" t="s">
        <v>1531</v>
      </c>
      <c r="C784" s="112">
        <v>258.58884369999998</v>
      </c>
      <c r="D784" s="112" t="s">
        <v>1532</v>
      </c>
      <c r="E784" s="112" t="s">
        <v>1524</v>
      </c>
      <c r="F784" s="112" t="s">
        <v>1532</v>
      </c>
      <c r="G784" s="112" t="s">
        <v>1486</v>
      </c>
      <c r="H784" s="112" t="s">
        <v>1524</v>
      </c>
      <c r="I784" s="112">
        <v>258.58884369999998</v>
      </c>
    </row>
    <row r="785" spans="1:9">
      <c r="A785" s="112" t="s">
        <v>1487</v>
      </c>
      <c r="B785" s="112" t="s">
        <v>1531</v>
      </c>
      <c r="C785" s="112">
        <v>735.53073140000004</v>
      </c>
      <c r="D785" s="112" t="s">
        <v>1532</v>
      </c>
      <c r="E785" s="112" t="s">
        <v>1524</v>
      </c>
      <c r="F785" s="112" t="s">
        <v>1532</v>
      </c>
      <c r="G785" s="112" t="s">
        <v>1487</v>
      </c>
      <c r="H785" s="112" t="s">
        <v>1524</v>
      </c>
      <c r="I785" s="112">
        <v>735.53073140000004</v>
      </c>
    </row>
    <row r="786" spans="1:9">
      <c r="A786" s="112" t="s">
        <v>1488</v>
      </c>
      <c r="B786" s="112" t="s">
        <v>1531</v>
      </c>
      <c r="C786" s="112">
        <v>199.12385499999999</v>
      </c>
      <c r="D786" s="112" t="s">
        <v>1532</v>
      </c>
      <c r="E786" s="112" t="s">
        <v>1524</v>
      </c>
      <c r="F786" s="112" t="s">
        <v>1532</v>
      </c>
      <c r="G786" s="112" t="s">
        <v>1488</v>
      </c>
      <c r="H786" s="112" t="s">
        <v>1524</v>
      </c>
      <c r="I786" s="112">
        <v>199.12385499999999</v>
      </c>
    </row>
    <row r="787" spans="1:9">
      <c r="A787" s="112" t="s">
        <v>1489</v>
      </c>
      <c r="B787" s="112" t="s">
        <v>1531</v>
      </c>
      <c r="C787" s="112">
        <v>93.198273499999999</v>
      </c>
      <c r="D787" s="112" t="s">
        <v>1532</v>
      </c>
      <c r="E787" s="112" t="s">
        <v>1524</v>
      </c>
      <c r="F787" s="112" t="s">
        <v>1532</v>
      </c>
      <c r="G787" s="112" t="s">
        <v>1489</v>
      </c>
      <c r="H787" s="112" t="s">
        <v>1524</v>
      </c>
      <c r="I787" s="112">
        <v>93.198273499999999</v>
      </c>
    </row>
    <row r="788" spans="1:9">
      <c r="A788" s="112" t="s">
        <v>1490</v>
      </c>
      <c r="B788" s="112" t="s">
        <v>1531</v>
      </c>
      <c r="C788" s="112">
        <v>0</v>
      </c>
      <c r="D788" s="112" t="s">
        <v>1532</v>
      </c>
      <c r="E788" s="112" t="s">
        <v>1524</v>
      </c>
      <c r="F788" s="112" t="s">
        <v>1532</v>
      </c>
      <c r="G788" s="112" t="s">
        <v>1490</v>
      </c>
      <c r="H788" s="112" t="s">
        <v>1524</v>
      </c>
      <c r="I788" s="112">
        <v>0</v>
      </c>
    </row>
    <row r="789" spans="1:9">
      <c r="A789" s="112" t="s">
        <v>1461</v>
      </c>
      <c r="B789" s="112" t="s">
        <v>1533</v>
      </c>
      <c r="C789" s="112">
        <v>1890.532604</v>
      </c>
      <c r="D789" s="112" t="s">
        <v>1534</v>
      </c>
      <c r="E789" s="112" t="s">
        <v>1524</v>
      </c>
      <c r="F789" s="112" t="s">
        <v>1534</v>
      </c>
      <c r="G789" s="112" t="s">
        <v>1461</v>
      </c>
      <c r="H789" s="112" t="s">
        <v>1524</v>
      </c>
      <c r="I789" s="112">
        <v>7509.2249689999999</v>
      </c>
    </row>
    <row r="790" spans="1:9">
      <c r="A790" s="112" t="s">
        <v>1465</v>
      </c>
      <c r="B790" s="112" t="s">
        <v>1533</v>
      </c>
      <c r="C790" s="112">
        <v>0</v>
      </c>
      <c r="D790" s="112" t="s">
        <v>1534</v>
      </c>
      <c r="E790" s="112" t="s">
        <v>1524</v>
      </c>
      <c r="F790" s="112" t="s">
        <v>1534</v>
      </c>
      <c r="G790" s="112" t="s">
        <v>1465</v>
      </c>
      <c r="H790" s="112" t="s">
        <v>1524</v>
      </c>
      <c r="I790" s="112">
        <v>7.3253991120000004</v>
      </c>
    </row>
    <row r="791" spans="1:9">
      <c r="A791" s="112" t="s">
        <v>1466</v>
      </c>
      <c r="B791" s="112" t="s">
        <v>1533</v>
      </c>
      <c r="C791" s="112">
        <v>0</v>
      </c>
      <c r="D791" s="112" t="s">
        <v>1534</v>
      </c>
      <c r="E791" s="112" t="s">
        <v>1524</v>
      </c>
      <c r="F791" s="112" t="s">
        <v>1534</v>
      </c>
      <c r="G791" s="112" t="s">
        <v>1466</v>
      </c>
      <c r="H791" s="112" t="s">
        <v>1524</v>
      </c>
      <c r="I791" s="112">
        <v>0</v>
      </c>
    </row>
    <row r="792" spans="1:9">
      <c r="A792" s="112" t="s">
        <v>1467</v>
      </c>
      <c r="B792" s="112" t="s">
        <v>1533</v>
      </c>
      <c r="C792" s="112">
        <v>1118.0745380000001</v>
      </c>
      <c r="D792" s="112" t="s">
        <v>1534</v>
      </c>
      <c r="E792" s="112" t="s">
        <v>1524</v>
      </c>
      <c r="F792" s="112" t="s">
        <v>1534</v>
      </c>
      <c r="G792" s="112" t="s">
        <v>1467</v>
      </c>
      <c r="H792" s="112" t="s">
        <v>1524</v>
      </c>
      <c r="I792" s="112">
        <v>2315.4876989999998</v>
      </c>
    </row>
    <row r="793" spans="1:9">
      <c r="A793" s="112" t="s">
        <v>1468</v>
      </c>
      <c r="B793" s="112" t="s">
        <v>1533</v>
      </c>
      <c r="C793" s="112">
        <v>7.2150592720000004</v>
      </c>
      <c r="D793" s="112" t="s">
        <v>1534</v>
      </c>
      <c r="E793" s="112" t="s">
        <v>1524</v>
      </c>
      <c r="F793" s="112" t="s">
        <v>1534</v>
      </c>
      <c r="G793" s="112" t="s">
        <v>1468</v>
      </c>
      <c r="H793" s="112" t="s">
        <v>1524</v>
      </c>
      <c r="I793" s="112">
        <v>7.2150592720000004</v>
      </c>
    </row>
    <row r="794" spans="1:9">
      <c r="A794" s="112" t="s">
        <v>1469</v>
      </c>
      <c r="B794" s="112" t="s">
        <v>1533</v>
      </c>
      <c r="C794" s="112">
        <v>0</v>
      </c>
      <c r="D794" s="112" t="s">
        <v>1534</v>
      </c>
      <c r="E794" s="112" t="s">
        <v>1524</v>
      </c>
      <c r="F794" s="112" t="s">
        <v>1534</v>
      </c>
      <c r="G794" s="112" t="s">
        <v>1469</v>
      </c>
      <c r="H794" s="112" t="s">
        <v>1524</v>
      </c>
      <c r="I794" s="112">
        <v>355.74186600000002</v>
      </c>
    </row>
    <row r="795" spans="1:9">
      <c r="A795" s="112" t="s">
        <v>1470</v>
      </c>
      <c r="B795" s="112" t="s">
        <v>1533</v>
      </c>
      <c r="C795" s="112">
        <v>0</v>
      </c>
      <c r="D795" s="112" t="s">
        <v>1534</v>
      </c>
      <c r="E795" s="112" t="s">
        <v>1524</v>
      </c>
      <c r="F795" s="112" t="s">
        <v>1534</v>
      </c>
      <c r="G795" s="112" t="s">
        <v>1470</v>
      </c>
      <c r="H795" s="112" t="s">
        <v>1524</v>
      </c>
      <c r="I795" s="112">
        <v>0</v>
      </c>
    </row>
    <row r="796" spans="1:9">
      <c r="A796" s="112" t="s">
        <v>1471</v>
      </c>
      <c r="B796" s="112" t="s">
        <v>1533</v>
      </c>
      <c r="C796" s="112">
        <v>957.89153690000001</v>
      </c>
      <c r="D796" s="112" t="s">
        <v>1534</v>
      </c>
      <c r="E796" s="112" t="s">
        <v>1524</v>
      </c>
      <c r="F796" s="112" t="s">
        <v>1534</v>
      </c>
      <c r="G796" s="112" t="s">
        <v>1471</v>
      </c>
      <c r="H796" s="112" t="s">
        <v>1524</v>
      </c>
      <c r="I796" s="112">
        <v>3061.8865259999998</v>
      </c>
    </row>
    <row r="797" spans="1:9">
      <c r="A797" s="112" t="s">
        <v>1472</v>
      </c>
      <c r="B797" s="112" t="s">
        <v>1533</v>
      </c>
      <c r="C797" s="112">
        <v>0</v>
      </c>
      <c r="D797" s="112" t="s">
        <v>1534</v>
      </c>
      <c r="E797" s="112" t="s">
        <v>1524</v>
      </c>
      <c r="F797" s="112" t="s">
        <v>1534</v>
      </c>
      <c r="G797" s="112" t="s">
        <v>1472</v>
      </c>
      <c r="H797" s="112" t="s">
        <v>1524</v>
      </c>
      <c r="I797" s="112">
        <v>0</v>
      </c>
    </row>
    <row r="798" spans="1:9">
      <c r="A798" s="112" t="s">
        <v>1473</v>
      </c>
      <c r="B798" s="112" t="s">
        <v>1533</v>
      </c>
      <c r="C798" s="112">
        <v>260.29944319999998</v>
      </c>
      <c r="D798" s="112" t="s">
        <v>1534</v>
      </c>
      <c r="E798" s="112" t="s">
        <v>1524</v>
      </c>
      <c r="F798" s="112" t="s">
        <v>1534</v>
      </c>
      <c r="G798" s="112" t="s">
        <v>1473</v>
      </c>
      <c r="H798" s="112" t="s">
        <v>1524</v>
      </c>
      <c r="I798" s="112">
        <v>775.82920709999996</v>
      </c>
    </row>
    <row r="799" spans="1:9">
      <c r="A799" s="112" t="s">
        <v>1474</v>
      </c>
      <c r="B799" s="112" t="s">
        <v>1533</v>
      </c>
      <c r="C799" s="112">
        <v>0</v>
      </c>
      <c r="D799" s="112" t="s">
        <v>1534</v>
      </c>
      <c r="E799" s="112" t="s">
        <v>1524</v>
      </c>
      <c r="F799" s="112" t="s">
        <v>1534</v>
      </c>
      <c r="G799" s="112" t="s">
        <v>1474</v>
      </c>
      <c r="H799" s="112" t="s">
        <v>1524</v>
      </c>
      <c r="I799" s="112">
        <v>0</v>
      </c>
    </row>
    <row r="800" spans="1:9">
      <c r="A800" s="112" t="s">
        <v>1475</v>
      </c>
      <c r="B800" s="112" t="s">
        <v>1533</v>
      </c>
      <c r="C800" s="112">
        <v>0</v>
      </c>
      <c r="D800" s="112" t="s">
        <v>1534</v>
      </c>
      <c r="E800" s="112" t="s">
        <v>1524</v>
      </c>
      <c r="F800" s="112" t="s">
        <v>1534</v>
      </c>
      <c r="G800" s="112" t="s">
        <v>1475</v>
      </c>
      <c r="H800" s="112" t="s">
        <v>1524</v>
      </c>
      <c r="I800" s="112">
        <v>0</v>
      </c>
    </row>
    <row r="801" spans="1:9">
      <c r="A801" s="112" t="s">
        <v>1476</v>
      </c>
      <c r="B801" s="112" t="s">
        <v>1533</v>
      </c>
      <c r="C801" s="112">
        <v>0</v>
      </c>
      <c r="D801" s="112" t="s">
        <v>1534</v>
      </c>
      <c r="E801" s="112" t="s">
        <v>1524</v>
      </c>
      <c r="F801" s="112" t="s">
        <v>1534</v>
      </c>
      <c r="G801" s="112" t="s">
        <v>1476</v>
      </c>
      <c r="H801" s="112" t="s">
        <v>1524</v>
      </c>
      <c r="I801" s="112">
        <v>0</v>
      </c>
    </row>
    <row r="802" spans="1:9">
      <c r="A802" s="112" t="s">
        <v>1477</v>
      </c>
      <c r="B802" s="112" t="s">
        <v>1533</v>
      </c>
      <c r="C802" s="112">
        <v>0</v>
      </c>
      <c r="D802" s="112" t="s">
        <v>1534</v>
      </c>
      <c r="E802" s="112" t="s">
        <v>1524</v>
      </c>
      <c r="F802" s="112" t="s">
        <v>1534</v>
      </c>
      <c r="G802" s="112" t="s">
        <v>1477</v>
      </c>
      <c r="H802" s="112" t="s">
        <v>1524</v>
      </c>
      <c r="I802" s="112">
        <v>0</v>
      </c>
    </row>
    <row r="803" spans="1:9">
      <c r="A803" s="112" t="s">
        <v>1478</v>
      </c>
      <c r="B803" s="112" t="s">
        <v>1533</v>
      </c>
      <c r="C803" s="112">
        <v>451.98855730000002</v>
      </c>
      <c r="D803" s="112" t="s">
        <v>1534</v>
      </c>
      <c r="E803" s="112" t="s">
        <v>1524</v>
      </c>
      <c r="F803" s="112" t="s">
        <v>1534</v>
      </c>
      <c r="G803" s="112" t="s">
        <v>1478</v>
      </c>
      <c r="H803" s="112" t="s">
        <v>1524</v>
      </c>
      <c r="I803" s="112">
        <v>1220.689664</v>
      </c>
    </row>
    <row r="804" spans="1:9">
      <c r="A804" s="112" t="s">
        <v>1479</v>
      </c>
      <c r="B804" s="112" t="s">
        <v>1533</v>
      </c>
      <c r="C804" s="112">
        <v>0</v>
      </c>
      <c r="D804" s="112" t="s">
        <v>1534</v>
      </c>
      <c r="E804" s="112" t="s">
        <v>1524</v>
      </c>
      <c r="F804" s="112" t="s">
        <v>1534</v>
      </c>
      <c r="G804" s="112" t="s">
        <v>1479</v>
      </c>
      <c r="H804" s="112" t="s">
        <v>1524</v>
      </c>
      <c r="I804" s="112">
        <v>0</v>
      </c>
    </row>
    <row r="805" spans="1:9">
      <c r="A805" s="112" t="s">
        <v>1480</v>
      </c>
      <c r="B805" s="112" t="s">
        <v>1533</v>
      </c>
      <c r="C805" s="112">
        <v>0</v>
      </c>
      <c r="D805" s="112" t="s">
        <v>1534</v>
      </c>
      <c r="E805" s="112" t="s">
        <v>1524</v>
      </c>
      <c r="F805" s="112" t="s">
        <v>1534</v>
      </c>
      <c r="G805" s="112" t="s">
        <v>1480</v>
      </c>
      <c r="H805" s="112" t="s">
        <v>1524</v>
      </c>
      <c r="I805" s="112">
        <v>0</v>
      </c>
    </row>
    <row r="806" spans="1:9">
      <c r="A806" s="112" t="s">
        <v>1481</v>
      </c>
      <c r="B806" s="112" t="s">
        <v>1533</v>
      </c>
      <c r="C806" s="112">
        <v>0</v>
      </c>
      <c r="D806" s="112" t="s">
        <v>1534</v>
      </c>
      <c r="E806" s="112" t="s">
        <v>1524</v>
      </c>
      <c r="F806" s="112" t="s">
        <v>1534</v>
      </c>
      <c r="G806" s="112" t="s">
        <v>1481</v>
      </c>
      <c r="H806" s="112" t="s">
        <v>1524</v>
      </c>
      <c r="I806" s="112">
        <v>0</v>
      </c>
    </row>
    <row r="807" spans="1:9">
      <c r="A807" s="112" t="s">
        <v>1482</v>
      </c>
      <c r="B807" s="112" t="s">
        <v>1533</v>
      </c>
      <c r="C807" s="112">
        <v>0</v>
      </c>
      <c r="D807" s="112" t="s">
        <v>1534</v>
      </c>
      <c r="E807" s="112" t="s">
        <v>1524</v>
      </c>
      <c r="F807" s="112" t="s">
        <v>1534</v>
      </c>
      <c r="G807" s="112" t="s">
        <v>1482</v>
      </c>
      <c r="H807" s="112" t="s">
        <v>1524</v>
      </c>
      <c r="I807" s="112">
        <v>0</v>
      </c>
    </row>
    <row r="808" spans="1:9">
      <c r="A808" s="112" t="s">
        <v>1483</v>
      </c>
      <c r="B808" s="112" t="s">
        <v>1533</v>
      </c>
      <c r="C808" s="112">
        <v>0</v>
      </c>
      <c r="D808" s="112" t="s">
        <v>1534</v>
      </c>
      <c r="E808" s="112" t="s">
        <v>1524</v>
      </c>
      <c r="F808" s="112" t="s">
        <v>1534</v>
      </c>
      <c r="G808" s="112" t="s">
        <v>1483</v>
      </c>
      <c r="H808" s="112" t="s">
        <v>1524</v>
      </c>
      <c r="I808" s="112">
        <v>0</v>
      </c>
    </row>
    <row r="809" spans="1:9">
      <c r="A809" s="112" t="s">
        <v>1484</v>
      </c>
      <c r="B809" s="112" t="s">
        <v>1533</v>
      </c>
      <c r="C809" s="112">
        <v>120.12012009999999</v>
      </c>
      <c r="D809" s="112" t="s">
        <v>1534</v>
      </c>
      <c r="E809" s="112" t="s">
        <v>1524</v>
      </c>
      <c r="F809" s="112" t="s">
        <v>1534</v>
      </c>
      <c r="G809" s="112" t="s">
        <v>1484</v>
      </c>
      <c r="H809" s="112" t="s">
        <v>1524</v>
      </c>
      <c r="I809" s="112">
        <v>120.12012009999999</v>
      </c>
    </row>
    <row r="810" spans="1:9">
      <c r="A810" s="112" t="s">
        <v>1485</v>
      </c>
      <c r="B810" s="112" t="s">
        <v>1533</v>
      </c>
      <c r="C810" s="112">
        <v>0</v>
      </c>
      <c r="D810" s="112" t="s">
        <v>1534</v>
      </c>
      <c r="E810" s="112" t="s">
        <v>1524</v>
      </c>
      <c r="F810" s="112" t="s">
        <v>1534</v>
      </c>
      <c r="G810" s="112" t="s">
        <v>1485</v>
      </c>
      <c r="H810" s="112" t="s">
        <v>1524</v>
      </c>
      <c r="I810" s="112">
        <v>0</v>
      </c>
    </row>
    <row r="811" spans="1:9">
      <c r="A811" s="112" t="s">
        <v>1486</v>
      </c>
      <c r="B811" s="112" t="s">
        <v>1533</v>
      </c>
      <c r="C811" s="112">
        <v>0</v>
      </c>
      <c r="D811" s="112" t="s">
        <v>1534</v>
      </c>
      <c r="E811" s="112" t="s">
        <v>1524</v>
      </c>
      <c r="F811" s="112" t="s">
        <v>1534</v>
      </c>
      <c r="G811" s="112" t="s">
        <v>1486</v>
      </c>
      <c r="H811" s="112" t="s">
        <v>1524</v>
      </c>
      <c r="I811" s="112">
        <v>0</v>
      </c>
    </row>
    <row r="812" spans="1:9">
      <c r="A812" s="112" t="s">
        <v>1487</v>
      </c>
      <c r="B812" s="112" t="s">
        <v>1533</v>
      </c>
      <c r="C812" s="112">
        <v>91.941341420000001</v>
      </c>
      <c r="D812" s="112" t="s">
        <v>1534</v>
      </c>
      <c r="E812" s="112" t="s">
        <v>1524</v>
      </c>
      <c r="F812" s="112" t="s">
        <v>1534</v>
      </c>
      <c r="G812" s="112" t="s">
        <v>1487</v>
      </c>
      <c r="H812" s="112" t="s">
        <v>1524</v>
      </c>
      <c r="I812" s="112">
        <v>160.8973475</v>
      </c>
    </row>
    <row r="813" spans="1:9">
      <c r="A813" s="112" t="s">
        <v>1488</v>
      </c>
      <c r="B813" s="112" t="s">
        <v>1533</v>
      </c>
      <c r="C813" s="112">
        <v>39.824771009999999</v>
      </c>
      <c r="D813" s="112" t="s">
        <v>1534</v>
      </c>
      <c r="E813" s="112" t="s">
        <v>1524</v>
      </c>
      <c r="F813" s="112" t="s">
        <v>1534</v>
      </c>
      <c r="G813" s="112" t="s">
        <v>1488</v>
      </c>
      <c r="H813" s="112" t="s">
        <v>1524</v>
      </c>
      <c r="I813" s="112">
        <v>159.29908399999999</v>
      </c>
    </row>
    <row r="814" spans="1:9">
      <c r="A814" s="112" t="s">
        <v>1489</v>
      </c>
      <c r="B814" s="112" t="s">
        <v>1533</v>
      </c>
      <c r="C814" s="112">
        <v>11.64978419</v>
      </c>
      <c r="D814" s="112" t="s">
        <v>1534</v>
      </c>
      <c r="E814" s="112" t="s">
        <v>1524</v>
      </c>
      <c r="F814" s="112" t="s">
        <v>1534</v>
      </c>
      <c r="G814" s="112" t="s">
        <v>1489</v>
      </c>
      <c r="H814" s="112" t="s">
        <v>1524</v>
      </c>
      <c r="I814" s="112">
        <v>52.424028849999999</v>
      </c>
    </row>
    <row r="815" spans="1:9">
      <c r="A815" s="112" t="s">
        <v>1490</v>
      </c>
      <c r="B815" s="112" t="s">
        <v>1533</v>
      </c>
      <c r="C815" s="112">
        <v>0</v>
      </c>
      <c r="D815" s="112" t="s">
        <v>1534</v>
      </c>
      <c r="E815" s="112" t="s">
        <v>1524</v>
      </c>
      <c r="F815" s="112" t="s">
        <v>1534</v>
      </c>
      <c r="G815" s="112" t="s">
        <v>1490</v>
      </c>
      <c r="H815" s="112" t="s">
        <v>1524</v>
      </c>
      <c r="I815" s="112">
        <v>420.3446826</v>
      </c>
    </row>
    <row r="816" spans="1:9">
      <c r="A816" s="112" t="s">
        <v>1461</v>
      </c>
      <c r="B816" s="112" t="s">
        <v>1535</v>
      </c>
      <c r="C816" s="112">
        <v>5887.9074220000002</v>
      </c>
      <c r="D816" s="112" t="s">
        <v>1536</v>
      </c>
      <c r="E816" s="112" t="s">
        <v>1524</v>
      </c>
      <c r="F816" s="112" t="s">
        <v>1536</v>
      </c>
      <c r="G816" s="112" t="s">
        <v>1461</v>
      </c>
      <c r="H816" s="112" t="s">
        <v>1524</v>
      </c>
      <c r="I816" s="112">
        <v>41151.06179</v>
      </c>
    </row>
    <row r="817" spans="1:9">
      <c r="A817" s="112" t="s">
        <v>1465</v>
      </c>
      <c r="B817" s="112" t="s">
        <v>1535</v>
      </c>
      <c r="C817" s="112">
        <v>9791.6168130000005</v>
      </c>
      <c r="D817" s="112" t="s">
        <v>1536</v>
      </c>
      <c r="E817" s="112" t="s">
        <v>1524</v>
      </c>
      <c r="F817" s="112" t="s">
        <v>1536</v>
      </c>
      <c r="G817" s="112" t="s">
        <v>1465</v>
      </c>
      <c r="H817" s="112" t="s">
        <v>1524</v>
      </c>
      <c r="I817" s="112">
        <v>16106.110849999999</v>
      </c>
    </row>
    <row r="818" spans="1:9">
      <c r="A818" s="112" t="s">
        <v>1466</v>
      </c>
      <c r="B818" s="112" t="s">
        <v>1535</v>
      </c>
      <c r="C818" s="112">
        <v>3102.3063959999999</v>
      </c>
      <c r="D818" s="112" t="s">
        <v>1536</v>
      </c>
      <c r="E818" s="112" t="s">
        <v>1524</v>
      </c>
      <c r="F818" s="112" t="s">
        <v>1536</v>
      </c>
      <c r="G818" s="112" t="s">
        <v>1466</v>
      </c>
      <c r="H818" s="112" t="s">
        <v>1524</v>
      </c>
      <c r="I818" s="112">
        <v>3357.9271480000002</v>
      </c>
    </row>
    <row r="819" spans="1:9">
      <c r="A819" s="112" t="s">
        <v>1467</v>
      </c>
      <c r="B819" s="112" t="s">
        <v>1535</v>
      </c>
      <c r="C819" s="112">
        <v>8653.2435499999992</v>
      </c>
      <c r="D819" s="112" t="s">
        <v>1536</v>
      </c>
      <c r="E819" s="112" t="s">
        <v>1524</v>
      </c>
      <c r="F819" s="112" t="s">
        <v>1536</v>
      </c>
      <c r="G819" s="112" t="s">
        <v>1467</v>
      </c>
      <c r="H819" s="112" t="s">
        <v>1524</v>
      </c>
      <c r="I819" s="112">
        <v>13556.90379</v>
      </c>
    </row>
    <row r="820" spans="1:9">
      <c r="A820" s="112" t="s">
        <v>1468</v>
      </c>
      <c r="B820" s="112" t="s">
        <v>1535</v>
      </c>
      <c r="C820" s="112">
        <v>2582.991219</v>
      </c>
      <c r="D820" s="112" t="s">
        <v>1536</v>
      </c>
      <c r="E820" s="112" t="s">
        <v>1524</v>
      </c>
      <c r="F820" s="112" t="s">
        <v>1536</v>
      </c>
      <c r="G820" s="112" t="s">
        <v>1468</v>
      </c>
      <c r="H820" s="112" t="s">
        <v>1524</v>
      </c>
      <c r="I820" s="112">
        <v>3120.5131350000001</v>
      </c>
    </row>
    <row r="821" spans="1:9">
      <c r="A821" s="112" t="s">
        <v>1469</v>
      </c>
      <c r="B821" s="112" t="s">
        <v>1535</v>
      </c>
      <c r="C821" s="112">
        <v>3240.135374</v>
      </c>
      <c r="D821" s="112" t="s">
        <v>1536</v>
      </c>
      <c r="E821" s="112" t="s">
        <v>1524</v>
      </c>
      <c r="F821" s="112" t="s">
        <v>1536</v>
      </c>
      <c r="G821" s="112" t="s">
        <v>1469</v>
      </c>
      <c r="H821" s="112" t="s">
        <v>1524</v>
      </c>
      <c r="I821" s="112">
        <v>3865.087301</v>
      </c>
    </row>
    <row r="822" spans="1:9">
      <c r="A822" s="112" t="s">
        <v>1470</v>
      </c>
      <c r="B822" s="112" t="s">
        <v>1535</v>
      </c>
      <c r="C822" s="112">
        <v>2479.1525809999998</v>
      </c>
      <c r="D822" s="112" t="s">
        <v>1536</v>
      </c>
      <c r="E822" s="112" t="s">
        <v>1524</v>
      </c>
      <c r="F822" s="112" t="s">
        <v>1536</v>
      </c>
      <c r="G822" s="112" t="s">
        <v>1470</v>
      </c>
      <c r="H822" s="112" t="s">
        <v>1524</v>
      </c>
      <c r="I822" s="112">
        <v>2479.1525809999998</v>
      </c>
    </row>
    <row r="823" spans="1:9">
      <c r="A823" s="112" t="s">
        <v>1471</v>
      </c>
      <c r="B823" s="112" t="s">
        <v>1535</v>
      </c>
      <c r="C823" s="112">
        <v>14220.965889999999</v>
      </c>
      <c r="D823" s="112" t="s">
        <v>1536</v>
      </c>
      <c r="E823" s="112" t="s">
        <v>1524</v>
      </c>
      <c r="F823" s="112" t="s">
        <v>1536</v>
      </c>
      <c r="G823" s="112" t="s">
        <v>1471</v>
      </c>
      <c r="H823" s="112" t="s">
        <v>1524</v>
      </c>
      <c r="I823" s="112">
        <v>21100.136900000001</v>
      </c>
    </row>
    <row r="824" spans="1:9">
      <c r="A824" s="112" t="s">
        <v>1472</v>
      </c>
      <c r="B824" s="112" t="s">
        <v>1535</v>
      </c>
      <c r="C824" s="112">
        <v>15195.64208</v>
      </c>
      <c r="D824" s="112" t="s">
        <v>1536</v>
      </c>
      <c r="E824" s="112" t="s">
        <v>1524</v>
      </c>
      <c r="F824" s="112" t="s">
        <v>1536</v>
      </c>
      <c r="G824" s="112" t="s">
        <v>1472</v>
      </c>
      <c r="H824" s="112" t="s">
        <v>1524</v>
      </c>
      <c r="I824" s="112">
        <v>15195.64208</v>
      </c>
    </row>
    <row r="825" spans="1:9">
      <c r="A825" s="112" t="s">
        <v>1473</v>
      </c>
      <c r="B825" s="112" t="s">
        <v>1535</v>
      </c>
      <c r="C825" s="112">
        <v>1748.847282</v>
      </c>
      <c r="D825" s="112" t="s">
        <v>1536</v>
      </c>
      <c r="E825" s="112" t="s">
        <v>1524</v>
      </c>
      <c r="F825" s="112" t="s">
        <v>1536</v>
      </c>
      <c r="G825" s="112" t="s">
        <v>1473</v>
      </c>
      <c r="H825" s="112" t="s">
        <v>1524</v>
      </c>
      <c r="I825" s="112">
        <v>2987.7408340000002</v>
      </c>
    </row>
    <row r="826" spans="1:9">
      <c r="A826" s="112" t="s">
        <v>1474</v>
      </c>
      <c r="B826" s="112" t="s">
        <v>1535</v>
      </c>
      <c r="C826" s="112">
        <v>1393.7282230000001</v>
      </c>
      <c r="D826" s="112" t="s">
        <v>1536</v>
      </c>
      <c r="E826" s="112" t="s">
        <v>1524</v>
      </c>
      <c r="F826" s="112" t="s">
        <v>1536</v>
      </c>
      <c r="G826" s="112" t="s">
        <v>1474</v>
      </c>
      <c r="H826" s="112" t="s">
        <v>1524</v>
      </c>
      <c r="I826" s="112">
        <v>1393.7282230000001</v>
      </c>
    </row>
    <row r="827" spans="1:9">
      <c r="A827" s="112" t="s">
        <v>1475</v>
      </c>
      <c r="B827" s="112" t="s">
        <v>1535</v>
      </c>
      <c r="C827" s="112">
        <v>14257.58923</v>
      </c>
      <c r="D827" s="112" t="s">
        <v>1536</v>
      </c>
      <c r="E827" s="112" t="s">
        <v>1524</v>
      </c>
      <c r="F827" s="112" t="s">
        <v>1536</v>
      </c>
      <c r="G827" s="112" t="s">
        <v>1475</v>
      </c>
      <c r="H827" s="112" t="s">
        <v>1524</v>
      </c>
      <c r="I827" s="112">
        <v>14257.58923</v>
      </c>
    </row>
    <row r="828" spans="1:9">
      <c r="A828" s="112" t="s">
        <v>1476</v>
      </c>
      <c r="B828" s="112" t="s">
        <v>1535</v>
      </c>
      <c r="C828" s="112">
        <v>12736.969069999999</v>
      </c>
      <c r="D828" s="112" t="s">
        <v>1536</v>
      </c>
      <c r="E828" s="112" t="s">
        <v>1524</v>
      </c>
      <c r="F828" s="112" t="s">
        <v>1536</v>
      </c>
      <c r="G828" s="112" t="s">
        <v>1476</v>
      </c>
      <c r="H828" s="112" t="s">
        <v>1524</v>
      </c>
      <c r="I828" s="112">
        <v>12736.969069999999</v>
      </c>
    </row>
    <row r="829" spans="1:9">
      <c r="A829" s="112" t="s">
        <v>1477</v>
      </c>
      <c r="B829" s="112" t="s">
        <v>1535</v>
      </c>
      <c r="C829" s="112">
        <v>9929.468261</v>
      </c>
      <c r="D829" s="112" t="s">
        <v>1536</v>
      </c>
      <c r="E829" s="112" t="s">
        <v>1524</v>
      </c>
      <c r="F829" s="112" t="s">
        <v>1536</v>
      </c>
      <c r="G829" s="112" t="s">
        <v>1477</v>
      </c>
      <c r="H829" s="112" t="s">
        <v>1524</v>
      </c>
      <c r="I829" s="112">
        <v>9929.468261</v>
      </c>
    </row>
    <row r="830" spans="1:9">
      <c r="A830" s="112" t="s">
        <v>1478</v>
      </c>
      <c r="B830" s="112" t="s">
        <v>1535</v>
      </c>
      <c r="C830" s="112">
        <v>10903.502689999999</v>
      </c>
      <c r="D830" s="112" t="s">
        <v>1536</v>
      </c>
      <c r="E830" s="112" t="s">
        <v>1524</v>
      </c>
      <c r="F830" s="112" t="s">
        <v>1536</v>
      </c>
      <c r="G830" s="112" t="s">
        <v>1478</v>
      </c>
      <c r="H830" s="112" t="s">
        <v>1524</v>
      </c>
      <c r="I830" s="112">
        <v>16544.063440000002</v>
      </c>
    </row>
    <row r="831" spans="1:9">
      <c r="A831" s="112" t="s">
        <v>1479</v>
      </c>
      <c r="B831" s="112" t="s">
        <v>1535</v>
      </c>
      <c r="C831" s="112">
        <v>0</v>
      </c>
      <c r="D831" s="112" t="s">
        <v>1536</v>
      </c>
      <c r="E831" s="112" t="s">
        <v>1524</v>
      </c>
      <c r="F831" s="112" t="s">
        <v>1536</v>
      </c>
      <c r="G831" s="112" t="s">
        <v>1479</v>
      </c>
      <c r="H831" s="112" t="s">
        <v>1524</v>
      </c>
      <c r="I831" s="112">
        <v>0</v>
      </c>
    </row>
    <row r="832" spans="1:9">
      <c r="A832" s="112" t="s">
        <v>1480</v>
      </c>
      <c r="B832" s="112" t="s">
        <v>1535</v>
      </c>
      <c r="C832" s="112">
        <v>5626.6188480000001</v>
      </c>
      <c r="D832" s="112" t="s">
        <v>1536</v>
      </c>
      <c r="E832" s="112" t="s">
        <v>1524</v>
      </c>
      <c r="F832" s="112" t="s">
        <v>1536</v>
      </c>
      <c r="G832" s="112" t="s">
        <v>1480</v>
      </c>
      <c r="H832" s="112" t="s">
        <v>1524</v>
      </c>
      <c r="I832" s="112">
        <v>5626.6188480000001</v>
      </c>
    </row>
    <row r="833" spans="1:9">
      <c r="A833" s="112" t="s">
        <v>1481</v>
      </c>
      <c r="B833" s="112" t="s">
        <v>1535</v>
      </c>
      <c r="C833" s="112">
        <v>3294.2328670000002</v>
      </c>
      <c r="D833" s="112" t="s">
        <v>1536</v>
      </c>
      <c r="E833" s="112" t="s">
        <v>1524</v>
      </c>
      <c r="F833" s="112" t="s">
        <v>1536</v>
      </c>
      <c r="G833" s="112" t="s">
        <v>1481</v>
      </c>
      <c r="H833" s="112" t="s">
        <v>1524</v>
      </c>
      <c r="I833" s="112">
        <v>3961.9827719999998</v>
      </c>
    </row>
    <row r="834" spans="1:9">
      <c r="A834" s="112" t="s">
        <v>1482</v>
      </c>
      <c r="B834" s="112" t="s">
        <v>1535</v>
      </c>
      <c r="C834" s="112">
        <v>11517.615180000001</v>
      </c>
      <c r="D834" s="112" t="s">
        <v>1536</v>
      </c>
      <c r="E834" s="112" t="s">
        <v>1524</v>
      </c>
      <c r="F834" s="112" t="s">
        <v>1536</v>
      </c>
      <c r="G834" s="112" t="s">
        <v>1482</v>
      </c>
      <c r="H834" s="112" t="s">
        <v>1524</v>
      </c>
      <c r="I834" s="112">
        <v>12195.12196</v>
      </c>
    </row>
    <row r="835" spans="1:9">
      <c r="A835" s="112" t="s">
        <v>1483</v>
      </c>
      <c r="B835" s="112" t="s">
        <v>1535</v>
      </c>
      <c r="C835" s="112">
        <v>3577.4296709999999</v>
      </c>
      <c r="D835" s="112" t="s">
        <v>1536</v>
      </c>
      <c r="E835" s="112" t="s">
        <v>1524</v>
      </c>
      <c r="F835" s="112" t="s">
        <v>1536</v>
      </c>
      <c r="G835" s="112" t="s">
        <v>1483</v>
      </c>
      <c r="H835" s="112" t="s">
        <v>1524</v>
      </c>
      <c r="I835" s="112">
        <v>4390.4818690000002</v>
      </c>
    </row>
    <row r="836" spans="1:9">
      <c r="A836" s="112" t="s">
        <v>1484</v>
      </c>
      <c r="B836" s="112" t="s">
        <v>1535</v>
      </c>
      <c r="C836" s="112">
        <v>3543.5435440000001</v>
      </c>
      <c r="D836" s="112" t="s">
        <v>1536</v>
      </c>
      <c r="E836" s="112" t="s">
        <v>1524</v>
      </c>
      <c r="F836" s="112" t="s">
        <v>1536</v>
      </c>
      <c r="G836" s="112" t="s">
        <v>1484</v>
      </c>
      <c r="H836" s="112" t="s">
        <v>1524</v>
      </c>
      <c r="I836" s="112">
        <v>4684.6846850000002</v>
      </c>
    </row>
    <row r="837" spans="1:9">
      <c r="A837" s="112" t="s">
        <v>1485</v>
      </c>
      <c r="B837" s="112" t="s">
        <v>1535</v>
      </c>
      <c r="C837" s="112">
        <v>9496.9674520000008</v>
      </c>
      <c r="D837" s="112" t="s">
        <v>1536</v>
      </c>
      <c r="E837" s="112" t="s">
        <v>1524</v>
      </c>
      <c r="F837" s="112" t="s">
        <v>1536</v>
      </c>
      <c r="G837" s="112" t="s">
        <v>1485</v>
      </c>
      <c r="H837" s="112" t="s">
        <v>1524</v>
      </c>
      <c r="I837" s="112">
        <v>10648.64114</v>
      </c>
    </row>
    <row r="838" spans="1:9">
      <c r="A838" s="112" t="s">
        <v>1486</v>
      </c>
      <c r="B838" s="112" t="s">
        <v>1535</v>
      </c>
      <c r="C838" s="112">
        <v>10195.788699999999</v>
      </c>
      <c r="D838" s="112" t="s">
        <v>1536</v>
      </c>
      <c r="E838" s="112" t="s">
        <v>1524</v>
      </c>
      <c r="F838" s="112" t="s">
        <v>1536</v>
      </c>
      <c r="G838" s="112" t="s">
        <v>1486</v>
      </c>
      <c r="H838" s="112" t="s">
        <v>1524</v>
      </c>
      <c r="I838" s="112">
        <v>11710.380499999999</v>
      </c>
    </row>
    <row r="839" spans="1:9">
      <c r="A839" s="112" t="s">
        <v>1487</v>
      </c>
      <c r="B839" s="112" t="s">
        <v>1535</v>
      </c>
      <c r="C839" s="112">
        <v>1448.076127</v>
      </c>
      <c r="D839" s="112" t="s">
        <v>1536</v>
      </c>
      <c r="E839" s="112" t="s">
        <v>1524</v>
      </c>
      <c r="F839" s="112" t="s">
        <v>1536</v>
      </c>
      <c r="G839" s="112" t="s">
        <v>1487</v>
      </c>
      <c r="H839" s="112" t="s">
        <v>1524</v>
      </c>
      <c r="I839" s="112">
        <v>2091.6655169999999</v>
      </c>
    </row>
    <row r="840" spans="1:9">
      <c r="A840" s="112" t="s">
        <v>1488</v>
      </c>
      <c r="B840" s="112" t="s">
        <v>1535</v>
      </c>
      <c r="C840" s="112">
        <v>2628.434886</v>
      </c>
      <c r="D840" s="112" t="s">
        <v>1536</v>
      </c>
      <c r="E840" s="112" t="s">
        <v>1524</v>
      </c>
      <c r="F840" s="112" t="s">
        <v>1536</v>
      </c>
      <c r="G840" s="112" t="s">
        <v>1488</v>
      </c>
      <c r="H840" s="112" t="s">
        <v>1524</v>
      </c>
      <c r="I840" s="112">
        <v>2947.033054</v>
      </c>
    </row>
    <row r="841" spans="1:9">
      <c r="A841" s="112" t="s">
        <v>1489</v>
      </c>
      <c r="B841" s="112" t="s">
        <v>1535</v>
      </c>
      <c r="C841" s="112">
        <v>1811.5414410000001</v>
      </c>
      <c r="D841" s="112" t="s">
        <v>1536</v>
      </c>
      <c r="E841" s="112" t="s">
        <v>1524</v>
      </c>
      <c r="F841" s="112" t="s">
        <v>1536</v>
      </c>
      <c r="G841" s="112" t="s">
        <v>1489</v>
      </c>
      <c r="H841" s="112" t="s">
        <v>1524</v>
      </c>
      <c r="I841" s="112">
        <v>2038.712233</v>
      </c>
    </row>
    <row r="842" spans="1:9">
      <c r="A842" s="112" t="s">
        <v>1490</v>
      </c>
      <c r="B842" s="112" t="s">
        <v>1535</v>
      </c>
      <c r="C842" s="112">
        <v>7986.5489699999998</v>
      </c>
      <c r="D842" s="112" t="s">
        <v>1536</v>
      </c>
      <c r="E842" s="112" t="s">
        <v>1524</v>
      </c>
      <c r="F842" s="112" t="s">
        <v>1536</v>
      </c>
      <c r="G842" s="112" t="s">
        <v>1490</v>
      </c>
      <c r="H842" s="112" t="s">
        <v>1524</v>
      </c>
      <c r="I842" s="112">
        <v>10508.61707</v>
      </c>
    </row>
    <row r="843" spans="1:9">
      <c r="A843" s="112" t="s">
        <v>1461</v>
      </c>
      <c r="B843" s="112" t="s">
        <v>1537</v>
      </c>
      <c r="C843" s="112">
        <v>35263.154369999997</v>
      </c>
      <c r="D843" s="112" t="s">
        <v>1536</v>
      </c>
      <c r="E843" s="112" t="s">
        <v>1524</v>
      </c>
      <c r="F843" s="112" t="s">
        <v>1536</v>
      </c>
      <c r="G843" s="112" t="s">
        <v>1461</v>
      </c>
      <c r="H843" s="112" t="s">
        <v>1524</v>
      </c>
      <c r="I843" s="112">
        <v>41151.06179</v>
      </c>
    </row>
    <row r="844" spans="1:9">
      <c r="A844" s="112" t="s">
        <v>1465</v>
      </c>
      <c r="B844" s="112" t="s">
        <v>1537</v>
      </c>
      <c r="C844" s="112">
        <v>6314.4940349999997</v>
      </c>
      <c r="D844" s="112" t="s">
        <v>1536</v>
      </c>
      <c r="E844" s="112" t="s">
        <v>1524</v>
      </c>
      <c r="F844" s="112" t="s">
        <v>1536</v>
      </c>
      <c r="G844" s="112" t="s">
        <v>1465</v>
      </c>
      <c r="H844" s="112" t="s">
        <v>1524</v>
      </c>
      <c r="I844" s="112">
        <v>16106.110849999999</v>
      </c>
    </row>
    <row r="845" spans="1:9">
      <c r="A845" s="112" t="s">
        <v>1466</v>
      </c>
      <c r="B845" s="112" t="s">
        <v>1537</v>
      </c>
      <c r="C845" s="112">
        <v>255.62075179999999</v>
      </c>
      <c r="D845" s="112" t="s">
        <v>1536</v>
      </c>
      <c r="E845" s="112" t="s">
        <v>1524</v>
      </c>
      <c r="F845" s="112" t="s">
        <v>1536</v>
      </c>
      <c r="G845" s="112" t="s">
        <v>1466</v>
      </c>
      <c r="H845" s="112" t="s">
        <v>1524</v>
      </c>
      <c r="I845" s="112">
        <v>3357.9271480000002</v>
      </c>
    </row>
    <row r="846" spans="1:9">
      <c r="A846" s="112" t="s">
        <v>1467</v>
      </c>
      <c r="B846" s="112" t="s">
        <v>1537</v>
      </c>
      <c r="C846" s="112">
        <v>4903.6602439999997</v>
      </c>
      <c r="D846" s="112" t="s">
        <v>1536</v>
      </c>
      <c r="E846" s="112" t="s">
        <v>1524</v>
      </c>
      <c r="F846" s="112" t="s">
        <v>1536</v>
      </c>
      <c r="G846" s="112" t="s">
        <v>1467</v>
      </c>
      <c r="H846" s="112" t="s">
        <v>1524</v>
      </c>
      <c r="I846" s="112">
        <v>13556.90379</v>
      </c>
    </row>
    <row r="847" spans="1:9">
      <c r="A847" s="112" t="s">
        <v>1468</v>
      </c>
      <c r="B847" s="112" t="s">
        <v>1537</v>
      </c>
      <c r="C847" s="112">
        <v>537.52191570000002</v>
      </c>
      <c r="D847" s="112" t="s">
        <v>1536</v>
      </c>
      <c r="E847" s="112" t="s">
        <v>1524</v>
      </c>
      <c r="F847" s="112" t="s">
        <v>1536</v>
      </c>
      <c r="G847" s="112" t="s">
        <v>1468</v>
      </c>
      <c r="H847" s="112" t="s">
        <v>1524</v>
      </c>
      <c r="I847" s="112">
        <v>3120.5131350000001</v>
      </c>
    </row>
    <row r="848" spans="1:9">
      <c r="A848" s="112" t="s">
        <v>1469</v>
      </c>
      <c r="B848" s="112" t="s">
        <v>1537</v>
      </c>
      <c r="C848" s="112">
        <v>624.95192680000002</v>
      </c>
      <c r="D848" s="112" t="s">
        <v>1536</v>
      </c>
      <c r="E848" s="112" t="s">
        <v>1524</v>
      </c>
      <c r="F848" s="112" t="s">
        <v>1536</v>
      </c>
      <c r="G848" s="112" t="s">
        <v>1469</v>
      </c>
      <c r="H848" s="112" t="s">
        <v>1524</v>
      </c>
      <c r="I848" s="112">
        <v>3865.087301</v>
      </c>
    </row>
    <row r="849" spans="1:9">
      <c r="A849" s="112" t="s">
        <v>1470</v>
      </c>
      <c r="B849" s="112" t="s">
        <v>1537</v>
      </c>
      <c r="C849" s="112">
        <v>0</v>
      </c>
      <c r="D849" s="112" t="s">
        <v>1536</v>
      </c>
      <c r="E849" s="112" t="s">
        <v>1524</v>
      </c>
      <c r="F849" s="112" t="s">
        <v>1536</v>
      </c>
      <c r="G849" s="112" t="s">
        <v>1470</v>
      </c>
      <c r="H849" s="112" t="s">
        <v>1524</v>
      </c>
      <c r="I849" s="112">
        <v>2479.1525809999998</v>
      </c>
    </row>
    <row r="850" spans="1:9">
      <c r="A850" s="112" t="s">
        <v>1471</v>
      </c>
      <c r="B850" s="112" t="s">
        <v>1537</v>
      </c>
      <c r="C850" s="112">
        <v>6879.1710110000004</v>
      </c>
      <c r="D850" s="112" t="s">
        <v>1536</v>
      </c>
      <c r="E850" s="112" t="s">
        <v>1524</v>
      </c>
      <c r="F850" s="112" t="s">
        <v>1536</v>
      </c>
      <c r="G850" s="112" t="s">
        <v>1471</v>
      </c>
      <c r="H850" s="112" t="s">
        <v>1524</v>
      </c>
      <c r="I850" s="112">
        <v>21100.136900000001</v>
      </c>
    </row>
    <row r="851" spans="1:9">
      <c r="A851" s="112" t="s">
        <v>1472</v>
      </c>
      <c r="B851" s="112" t="s">
        <v>1537</v>
      </c>
      <c r="C851" s="112">
        <v>0</v>
      </c>
      <c r="D851" s="112" t="s">
        <v>1536</v>
      </c>
      <c r="E851" s="112" t="s">
        <v>1524</v>
      </c>
      <c r="F851" s="112" t="s">
        <v>1536</v>
      </c>
      <c r="G851" s="112" t="s">
        <v>1472</v>
      </c>
      <c r="H851" s="112" t="s">
        <v>1524</v>
      </c>
      <c r="I851" s="112">
        <v>15195.64208</v>
      </c>
    </row>
    <row r="852" spans="1:9">
      <c r="A852" s="112" t="s">
        <v>1473</v>
      </c>
      <c r="B852" s="112" t="s">
        <v>1537</v>
      </c>
      <c r="C852" s="112">
        <v>1238.893552</v>
      </c>
      <c r="D852" s="112" t="s">
        <v>1536</v>
      </c>
      <c r="E852" s="112" t="s">
        <v>1524</v>
      </c>
      <c r="F852" s="112" t="s">
        <v>1536</v>
      </c>
      <c r="G852" s="112" t="s">
        <v>1473</v>
      </c>
      <c r="H852" s="112" t="s">
        <v>1524</v>
      </c>
      <c r="I852" s="112">
        <v>2987.7408340000002</v>
      </c>
    </row>
    <row r="853" spans="1:9">
      <c r="A853" s="112" t="s">
        <v>1474</v>
      </c>
      <c r="B853" s="112" t="s">
        <v>1537</v>
      </c>
      <c r="C853" s="112">
        <v>0</v>
      </c>
      <c r="D853" s="112" t="s">
        <v>1536</v>
      </c>
      <c r="E853" s="112" t="s">
        <v>1524</v>
      </c>
      <c r="F853" s="112" t="s">
        <v>1536</v>
      </c>
      <c r="G853" s="112" t="s">
        <v>1474</v>
      </c>
      <c r="H853" s="112" t="s">
        <v>1524</v>
      </c>
      <c r="I853" s="112">
        <v>1393.7282230000001</v>
      </c>
    </row>
    <row r="854" spans="1:9">
      <c r="A854" s="112" t="s">
        <v>1475</v>
      </c>
      <c r="B854" s="112" t="s">
        <v>1537</v>
      </c>
      <c r="C854" s="112">
        <v>0</v>
      </c>
      <c r="D854" s="112" t="s">
        <v>1536</v>
      </c>
      <c r="E854" s="112" t="s">
        <v>1524</v>
      </c>
      <c r="F854" s="112" t="s">
        <v>1536</v>
      </c>
      <c r="G854" s="112" t="s">
        <v>1475</v>
      </c>
      <c r="H854" s="112" t="s">
        <v>1524</v>
      </c>
      <c r="I854" s="112">
        <v>14257.58923</v>
      </c>
    </row>
    <row r="855" spans="1:9">
      <c r="A855" s="112" t="s">
        <v>1476</v>
      </c>
      <c r="B855" s="112" t="s">
        <v>1537</v>
      </c>
      <c r="C855" s="112">
        <v>0</v>
      </c>
      <c r="D855" s="112" t="s">
        <v>1536</v>
      </c>
      <c r="E855" s="112" t="s">
        <v>1524</v>
      </c>
      <c r="F855" s="112" t="s">
        <v>1536</v>
      </c>
      <c r="G855" s="112" t="s">
        <v>1476</v>
      </c>
      <c r="H855" s="112" t="s">
        <v>1524</v>
      </c>
      <c r="I855" s="112">
        <v>12736.969069999999</v>
      </c>
    </row>
    <row r="856" spans="1:9">
      <c r="A856" s="112" t="s">
        <v>1477</v>
      </c>
      <c r="B856" s="112" t="s">
        <v>1537</v>
      </c>
      <c r="C856" s="112">
        <v>0</v>
      </c>
      <c r="D856" s="112" t="s">
        <v>1536</v>
      </c>
      <c r="E856" s="112" t="s">
        <v>1524</v>
      </c>
      <c r="F856" s="112" t="s">
        <v>1536</v>
      </c>
      <c r="G856" s="112" t="s">
        <v>1477</v>
      </c>
      <c r="H856" s="112" t="s">
        <v>1524</v>
      </c>
      <c r="I856" s="112">
        <v>9929.468261</v>
      </c>
    </row>
    <row r="857" spans="1:9">
      <c r="A857" s="112" t="s">
        <v>1478</v>
      </c>
      <c r="B857" s="112" t="s">
        <v>1537</v>
      </c>
      <c r="C857" s="112">
        <v>5640.5607479999999</v>
      </c>
      <c r="D857" s="112" t="s">
        <v>1536</v>
      </c>
      <c r="E857" s="112" t="s">
        <v>1524</v>
      </c>
      <c r="F857" s="112" t="s">
        <v>1536</v>
      </c>
      <c r="G857" s="112" t="s">
        <v>1478</v>
      </c>
      <c r="H857" s="112" t="s">
        <v>1524</v>
      </c>
      <c r="I857" s="112">
        <v>16544.063440000002</v>
      </c>
    </row>
    <row r="858" spans="1:9">
      <c r="A858" s="112" t="s">
        <v>1479</v>
      </c>
      <c r="B858" s="112" t="s">
        <v>1537</v>
      </c>
      <c r="C858" s="112">
        <v>0</v>
      </c>
      <c r="D858" s="112" t="s">
        <v>1536</v>
      </c>
      <c r="E858" s="112" t="s">
        <v>1524</v>
      </c>
      <c r="F858" s="112" t="s">
        <v>1536</v>
      </c>
      <c r="G858" s="112" t="s">
        <v>1479</v>
      </c>
      <c r="H858" s="112" t="s">
        <v>1524</v>
      </c>
      <c r="I858" s="112">
        <v>0</v>
      </c>
    </row>
    <row r="859" spans="1:9">
      <c r="A859" s="112" t="s">
        <v>1480</v>
      </c>
      <c r="B859" s="112" t="s">
        <v>1537</v>
      </c>
      <c r="C859" s="112">
        <v>0</v>
      </c>
      <c r="D859" s="112" t="s">
        <v>1536</v>
      </c>
      <c r="E859" s="112" t="s">
        <v>1524</v>
      </c>
      <c r="F859" s="112" t="s">
        <v>1536</v>
      </c>
      <c r="G859" s="112" t="s">
        <v>1480</v>
      </c>
      <c r="H859" s="112" t="s">
        <v>1524</v>
      </c>
      <c r="I859" s="112">
        <v>5626.6188480000001</v>
      </c>
    </row>
    <row r="860" spans="1:9">
      <c r="A860" s="112" t="s">
        <v>1481</v>
      </c>
      <c r="B860" s="112" t="s">
        <v>1537</v>
      </c>
      <c r="C860" s="112">
        <v>667.74990539999999</v>
      </c>
      <c r="D860" s="112" t="s">
        <v>1536</v>
      </c>
      <c r="E860" s="112" t="s">
        <v>1524</v>
      </c>
      <c r="F860" s="112" t="s">
        <v>1536</v>
      </c>
      <c r="G860" s="112" t="s">
        <v>1481</v>
      </c>
      <c r="H860" s="112" t="s">
        <v>1524</v>
      </c>
      <c r="I860" s="112">
        <v>3961.9827719999998</v>
      </c>
    </row>
    <row r="861" spans="1:9">
      <c r="A861" s="112" t="s">
        <v>1482</v>
      </c>
      <c r="B861" s="112" t="s">
        <v>1537</v>
      </c>
      <c r="C861" s="112">
        <v>677.50677510000003</v>
      </c>
      <c r="D861" s="112" t="s">
        <v>1536</v>
      </c>
      <c r="E861" s="112" t="s">
        <v>1524</v>
      </c>
      <c r="F861" s="112" t="s">
        <v>1536</v>
      </c>
      <c r="G861" s="112" t="s">
        <v>1482</v>
      </c>
      <c r="H861" s="112" t="s">
        <v>1524</v>
      </c>
      <c r="I861" s="112">
        <v>12195.12196</v>
      </c>
    </row>
    <row r="862" spans="1:9">
      <c r="A862" s="112" t="s">
        <v>1483</v>
      </c>
      <c r="B862" s="112" t="s">
        <v>1537</v>
      </c>
      <c r="C862" s="112">
        <v>813.05219799999998</v>
      </c>
      <c r="D862" s="112" t="s">
        <v>1536</v>
      </c>
      <c r="E862" s="112" t="s">
        <v>1524</v>
      </c>
      <c r="F862" s="112" t="s">
        <v>1536</v>
      </c>
      <c r="G862" s="112" t="s">
        <v>1483</v>
      </c>
      <c r="H862" s="112" t="s">
        <v>1524</v>
      </c>
      <c r="I862" s="112">
        <v>4390.4818690000002</v>
      </c>
    </row>
    <row r="863" spans="1:9">
      <c r="A863" s="112" t="s">
        <v>1484</v>
      </c>
      <c r="B863" s="112" t="s">
        <v>1537</v>
      </c>
      <c r="C863" s="112">
        <v>1141.1411410000001</v>
      </c>
      <c r="D863" s="112" t="s">
        <v>1536</v>
      </c>
      <c r="E863" s="112" t="s">
        <v>1524</v>
      </c>
      <c r="F863" s="112" t="s">
        <v>1536</v>
      </c>
      <c r="G863" s="112" t="s">
        <v>1484</v>
      </c>
      <c r="H863" s="112" t="s">
        <v>1524</v>
      </c>
      <c r="I863" s="112">
        <v>4684.6846850000002</v>
      </c>
    </row>
    <row r="864" spans="1:9">
      <c r="A864" s="112" t="s">
        <v>1485</v>
      </c>
      <c r="B864" s="112" t="s">
        <v>1537</v>
      </c>
      <c r="C864" s="112">
        <v>1151.673689</v>
      </c>
      <c r="D864" s="112" t="s">
        <v>1536</v>
      </c>
      <c r="E864" s="112" t="s">
        <v>1524</v>
      </c>
      <c r="F864" s="112" t="s">
        <v>1536</v>
      </c>
      <c r="G864" s="112" t="s">
        <v>1485</v>
      </c>
      <c r="H864" s="112" t="s">
        <v>1524</v>
      </c>
      <c r="I864" s="112">
        <v>10648.64114</v>
      </c>
    </row>
    <row r="865" spans="1:9">
      <c r="A865" s="112" t="s">
        <v>1486</v>
      </c>
      <c r="B865" s="112" t="s">
        <v>1537</v>
      </c>
      <c r="C865" s="112">
        <v>1514.591799</v>
      </c>
      <c r="D865" s="112" t="s">
        <v>1536</v>
      </c>
      <c r="E865" s="112" t="s">
        <v>1524</v>
      </c>
      <c r="F865" s="112" t="s">
        <v>1536</v>
      </c>
      <c r="G865" s="112" t="s">
        <v>1486</v>
      </c>
      <c r="H865" s="112" t="s">
        <v>1524</v>
      </c>
      <c r="I865" s="112">
        <v>11710.380499999999</v>
      </c>
    </row>
    <row r="866" spans="1:9">
      <c r="A866" s="112" t="s">
        <v>1487</v>
      </c>
      <c r="B866" s="112" t="s">
        <v>1537</v>
      </c>
      <c r="C866" s="112">
        <v>643.58938999999998</v>
      </c>
      <c r="D866" s="112" t="s">
        <v>1536</v>
      </c>
      <c r="E866" s="112" t="s">
        <v>1524</v>
      </c>
      <c r="F866" s="112" t="s">
        <v>1536</v>
      </c>
      <c r="G866" s="112" t="s">
        <v>1487</v>
      </c>
      <c r="H866" s="112" t="s">
        <v>1524</v>
      </c>
      <c r="I866" s="112">
        <v>2091.6655169999999</v>
      </c>
    </row>
    <row r="867" spans="1:9">
      <c r="A867" s="112" t="s">
        <v>1488</v>
      </c>
      <c r="B867" s="112" t="s">
        <v>1537</v>
      </c>
      <c r="C867" s="112">
        <v>318.59816810000001</v>
      </c>
      <c r="D867" s="112" t="s">
        <v>1536</v>
      </c>
      <c r="E867" s="112" t="s">
        <v>1524</v>
      </c>
      <c r="F867" s="112" t="s">
        <v>1536</v>
      </c>
      <c r="G867" s="112" t="s">
        <v>1488</v>
      </c>
      <c r="H867" s="112" t="s">
        <v>1524</v>
      </c>
      <c r="I867" s="112">
        <v>2947.033054</v>
      </c>
    </row>
    <row r="868" spans="1:9">
      <c r="A868" s="112" t="s">
        <v>1489</v>
      </c>
      <c r="B868" s="112" t="s">
        <v>1537</v>
      </c>
      <c r="C868" s="112">
        <v>227.1707917</v>
      </c>
      <c r="D868" s="112" t="s">
        <v>1536</v>
      </c>
      <c r="E868" s="112" t="s">
        <v>1524</v>
      </c>
      <c r="F868" s="112" t="s">
        <v>1536</v>
      </c>
      <c r="G868" s="112" t="s">
        <v>1489</v>
      </c>
      <c r="H868" s="112" t="s">
        <v>1524</v>
      </c>
      <c r="I868" s="112">
        <v>2038.712233</v>
      </c>
    </row>
    <row r="869" spans="1:9">
      <c r="A869" s="112" t="s">
        <v>1490</v>
      </c>
      <c r="B869" s="112" t="s">
        <v>1537</v>
      </c>
      <c r="C869" s="112">
        <v>2522.068096</v>
      </c>
      <c r="D869" s="112" t="s">
        <v>1536</v>
      </c>
      <c r="E869" s="112" t="s">
        <v>1524</v>
      </c>
      <c r="F869" s="112" t="s">
        <v>1536</v>
      </c>
      <c r="G869" s="112" t="s">
        <v>1490</v>
      </c>
      <c r="H869" s="112" t="s">
        <v>1524</v>
      </c>
      <c r="I869" s="112">
        <v>10508.61707</v>
      </c>
    </row>
    <row r="870" spans="1:9">
      <c r="A870" s="112" t="s">
        <v>1461</v>
      </c>
      <c r="B870" s="112" t="s">
        <v>1538</v>
      </c>
      <c r="C870" s="112">
        <v>0</v>
      </c>
      <c r="D870" s="112" t="s">
        <v>1523</v>
      </c>
      <c r="E870" s="112" t="s">
        <v>1524</v>
      </c>
      <c r="F870" s="112" t="s">
        <v>1523</v>
      </c>
      <c r="G870" s="112" t="s">
        <v>1461</v>
      </c>
      <c r="H870" s="112" t="s">
        <v>1524</v>
      </c>
      <c r="I870" s="112">
        <v>79.693014469999994</v>
      </c>
    </row>
    <row r="871" spans="1:9">
      <c r="A871" s="112" t="s">
        <v>1465</v>
      </c>
      <c r="B871" s="112" t="s">
        <v>1538</v>
      </c>
      <c r="C871" s="112">
        <v>8131.1930140000004</v>
      </c>
      <c r="D871" s="112" t="s">
        <v>1523</v>
      </c>
      <c r="E871" s="112" t="s">
        <v>1524</v>
      </c>
      <c r="F871" s="112" t="s">
        <v>1523</v>
      </c>
      <c r="G871" s="112" t="s">
        <v>1465</v>
      </c>
      <c r="H871" s="112" t="s">
        <v>1524</v>
      </c>
      <c r="I871" s="112">
        <v>8131.1930140000004</v>
      </c>
    </row>
    <row r="872" spans="1:9">
      <c r="A872" s="112" t="s">
        <v>1466</v>
      </c>
      <c r="B872" s="112" t="s">
        <v>1538</v>
      </c>
      <c r="C872" s="112">
        <v>0</v>
      </c>
      <c r="D872" s="112" t="s">
        <v>1523</v>
      </c>
      <c r="E872" s="112" t="s">
        <v>1524</v>
      </c>
      <c r="F872" s="112" t="s">
        <v>1523</v>
      </c>
      <c r="G872" s="112" t="s">
        <v>1466</v>
      </c>
      <c r="H872" s="112" t="s">
        <v>1524</v>
      </c>
      <c r="I872" s="112">
        <v>11.61912508</v>
      </c>
    </row>
    <row r="873" spans="1:9">
      <c r="A873" s="112" t="s">
        <v>1467</v>
      </c>
      <c r="B873" s="112" t="s">
        <v>1538</v>
      </c>
      <c r="C873" s="112">
        <v>0</v>
      </c>
      <c r="D873" s="112" t="s">
        <v>1523</v>
      </c>
      <c r="E873" s="112" t="s">
        <v>1524</v>
      </c>
      <c r="F873" s="112" t="s">
        <v>1523</v>
      </c>
      <c r="G873" s="112" t="s">
        <v>1467</v>
      </c>
      <c r="H873" s="112" t="s">
        <v>1524</v>
      </c>
      <c r="I873" s="112">
        <v>40.002666840000003</v>
      </c>
    </row>
    <row r="874" spans="1:9">
      <c r="A874" s="112" t="s">
        <v>1468</v>
      </c>
      <c r="B874" s="112" t="s">
        <v>1538</v>
      </c>
      <c r="C874" s="112">
        <v>3419.938095</v>
      </c>
      <c r="D874" s="112" t="s">
        <v>1523</v>
      </c>
      <c r="E874" s="112" t="s">
        <v>1524</v>
      </c>
      <c r="F874" s="112" t="s">
        <v>1523</v>
      </c>
      <c r="G874" s="112" t="s">
        <v>1468</v>
      </c>
      <c r="H874" s="112" t="s">
        <v>1524</v>
      </c>
      <c r="I874" s="112">
        <v>3430.7606839999999</v>
      </c>
    </row>
    <row r="875" spans="1:9">
      <c r="A875" s="112" t="s">
        <v>1469</v>
      </c>
      <c r="B875" s="112" t="s">
        <v>1538</v>
      </c>
      <c r="C875" s="112">
        <v>9.6146450269999999</v>
      </c>
      <c r="D875" s="112" t="s">
        <v>1523</v>
      </c>
      <c r="E875" s="112" t="s">
        <v>1524</v>
      </c>
      <c r="F875" s="112" t="s">
        <v>1523</v>
      </c>
      <c r="G875" s="112" t="s">
        <v>1469</v>
      </c>
      <c r="H875" s="112" t="s">
        <v>1524</v>
      </c>
      <c r="I875" s="112">
        <v>19.229290049999999</v>
      </c>
    </row>
    <row r="876" spans="1:9">
      <c r="A876" s="112" t="s">
        <v>1470</v>
      </c>
      <c r="B876" s="112" t="s">
        <v>1538</v>
      </c>
      <c r="C876" s="112">
        <v>0</v>
      </c>
      <c r="D876" s="112" t="s">
        <v>1523</v>
      </c>
      <c r="E876" s="112" t="s">
        <v>1524</v>
      </c>
      <c r="F876" s="112" t="s">
        <v>1523</v>
      </c>
      <c r="G876" s="112" t="s">
        <v>1470</v>
      </c>
      <c r="H876" s="112" t="s">
        <v>1524</v>
      </c>
      <c r="I876" s="112">
        <v>225.37750729999999</v>
      </c>
    </row>
    <row r="877" spans="1:9">
      <c r="A877" s="112" t="s">
        <v>1471</v>
      </c>
      <c r="B877" s="112" t="s">
        <v>1538</v>
      </c>
      <c r="C877" s="112">
        <v>0</v>
      </c>
      <c r="D877" s="112" t="s">
        <v>1523</v>
      </c>
      <c r="E877" s="112" t="s">
        <v>1524</v>
      </c>
      <c r="F877" s="112" t="s">
        <v>1523</v>
      </c>
      <c r="G877" s="112" t="s">
        <v>1471</v>
      </c>
      <c r="H877" s="112" t="s">
        <v>1524</v>
      </c>
      <c r="I877" s="112">
        <v>37.234335569999999</v>
      </c>
    </row>
    <row r="878" spans="1:9">
      <c r="A878" s="112" t="s">
        <v>1472</v>
      </c>
      <c r="B878" s="112" t="s">
        <v>1538</v>
      </c>
      <c r="C878" s="112">
        <v>0</v>
      </c>
      <c r="D878" s="112" t="s">
        <v>1523</v>
      </c>
      <c r="E878" s="112" t="s">
        <v>1524</v>
      </c>
      <c r="F878" s="112" t="s">
        <v>1523</v>
      </c>
      <c r="G878" s="112" t="s">
        <v>1472</v>
      </c>
      <c r="H878" s="112" t="s">
        <v>1524</v>
      </c>
      <c r="I878" s="112">
        <v>0</v>
      </c>
    </row>
    <row r="879" spans="1:9">
      <c r="A879" s="112" t="s">
        <v>1473</v>
      </c>
      <c r="B879" s="112" t="s">
        <v>1538</v>
      </c>
      <c r="C879" s="112">
        <v>0</v>
      </c>
      <c r="D879" s="112" t="s">
        <v>1523</v>
      </c>
      <c r="E879" s="112" t="s">
        <v>1524</v>
      </c>
      <c r="F879" s="112" t="s">
        <v>1523</v>
      </c>
      <c r="G879" s="112" t="s">
        <v>1473</v>
      </c>
      <c r="H879" s="112" t="s">
        <v>1524</v>
      </c>
      <c r="I879" s="112">
        <v>82.880153780000001</v>
      </c>
    </row>
    <row r="880" spans="1:9">
      <c r="A880" s="112" t="s">
        <v>1474</v>
      </c>
      <c r="B880" s="112" t="s">
        <v>1538</v>
      </c>
      <c r="C880" s="112">
        <v>0</v>
      </c>
      <c r="D880" s="112" t="s">
        <v>1523</v>
      </c>
      <c r="E880" s="112" t="s">
        <v>1524</v>
      </c>
      <c r="F880" s="112" t="s">
        <v>1523</v>
      </c>
      <c r="G880" s="112" t="s">
        <v>1474</v>
      </c>
      <c r="H880" s="112" t="s">
        <v>1524</v>
      </c>
      <c r="I880" s="112">
        <v>237.81870470000001</v>
      </c>
    </row>
    <row r="881" spans="1:9">
      <c r="A881" s="112" t="s">
        <v>1475</v>
      </c>
      <c r="B881" s="112" t="s">
        <v>1538</v>
      </c>
      <c r="C881" s="112">
        <v>0</v>
      </c>
      <c r="D881" s="112" t="s">
        <v>1523</v>
      </c>
      <c r="E881" s="112" t="s">
        <v>1524</v>
      </c>
      <c r="F881" s="112" t="s">
        <v>1523</v>
      </c>
      <c r="G881" s="112" t="s">
        <v>1475</v>
      </c>
      <c r="H881" s="112" t="s">
        <v>1524</v>
      </c>
      <c r="I881" s="112">
        <v>52.923493800000003</v>
      </c>
    </row>
    <row r="882" spans="1:9">
      <c r="A882" s="112" t="s">
        <v>1476</v>
      </c>
      <c r="B882" s="112" t="s">
        <v>1538</v>
      </c>
      <c r="C882" s="112">
        <v>0</v>
      </c>
      <c r="D882" s="112" t="s">
        <v>1523</v>
      </c>
      <c r="E882" s="112" t="s">
        <v>1524</v>
      </c>
      <c r="F882" s="112" t="s">
        <v>1523</v>
      </c>
      <c r="G882" s="112" t="s">
        <v>1476</v>
      </c>
      <c r="H882" s="112" t="s">
        <v>1524</v>
      </c>
      <c r="I882" s="112">
        <v>0</v>
      </c>
    </row>
    <row r="883" spans="1:9">
      <c r="A883" s="112" t="s">
        <v>1477</v>
      </c>
      <c r="B883" s="112" t="s">
        <v>1538</v>
      </c>
      <c r="C883" s="112">
        <v>0</v>
      </c>
      <c r="D883" s="112" t="s">
        <v>1523</v>
      </c>
      <c r="E883" s="112" t="s">
        <v>1524</v>
      </c>
      <c r="F883" s="112" t="s">
        <v>1523</v>
      </c>
      <c r="G883" s="112" t="s">
        <v>1477</v>
      </c>
      <c r="H883" s="112" t="s">
        <v>1524</v>
      </c>
      <c r="I883" s="112">
        <v>12.50562753</v>
      </c>
    </row>
    <row r="884" spans="1:9">
      <c r="A884" s="112" t="s">
        <v>1478</v>
      </c>
      <c r="B884" s="112" t="s">
        <v>1538</v>
      </c>
      <c r="C884" s="112">
        <v>0</v>
      </c>
      <c r="D884" s="112" t="s">
        <v>1523</v>
      </c>
      <c r="E884" s="112" t="s">
        <v>1524</v>
      </c>
      <c r="F884" s="112" t="s">
        <v>1523</v>
      </c>
      <c r="G884" s="112" t="s">
        <v>1478</v>
      </c>
      <c r="H884" s="112" t="s">
        <v>1524</v>
      </c>
      <c r="I884" s="112">
        <v>59.624022449999998</v>
      </c>
    </row>
    <row r="885" spans="1:9">
      <c r="A885" s="112" t="s">
        <v>1479</v>
      </c>
      <c r="B885" s="112" t="s">
        <v>1538</v>
      </c>
      <c r="C885" s="112">
        <v>0</v>
      </c>
      <c r="D885" s="112" t="s">
        <v>1523</v>
      </c>
      <c r="E885" s="112" t="s">
        <v>1524</v>
      </c>
      <c r="F885" s="112" t="s">
        <v>1523</v>
      </c>
      <c r="G885" s="112" t="s">
        <v>1479</v>
      </c>
      <c r="H885" s="112" t="s">
        <v>1524</v>
      </c>
      <c r="I885" s="112">
        <v>334.8961822</v>
      </c>
    </row>
    <row r="886" spans="1:9">
      <c r="A886" s="112" t="s">
        <v>1480</v>
      </c>
      <c r="B886" s="112" t="s">
        <v>1538</v>
      </c>
      <c r="C886" s="112">
        <v>0</v>
      </c>
      <c r="D886" s="112" t="s">
        <v>1523</v>
      </c>
      <c r="E886" s="112" t="s">
        <v>1524</v>
      </c>
      <c r="F886" s="112" t="s">
        <v>1523</v>
      </c>
      <c r="G886" s="112" t="s">
        <v>1480</v>
      </c>
      <c r="H886" s="112" t="s">
        <v>1524</v>
      </c>
      <c r="I886" s="112">
        <v>111.5760112</v>
      </c>
    </row>
    <row r="887" spans="1:9">
      <c r="A887" s="112" t="s">
        <v>1481</v>
      </c>
      <c r="B887" s="112" t="s">
        <v>1538</v>
      </c>
      <c r="C887" s="112">
        <v>0</v>
      </c>
      <c r="D887" s="112" t="s">
        <v>1523</v>
      </c>
      <c r="E887" s="112" t="s">
        <v>1524</v>
      </c>
      <c r="F887" s="112" t="s">
        <v>1523</v>
      </c>
      <c r="G887" s="112" t="s">
        <v>1481</v>
      </c>
      <c r="H887" s="112" t="s">
        <v>1524</v>
      </c>
      <c r="I887" s="112">
        <v>0</v>
      </c>
    </row>
    <row r="888" spans="1:9">
      <c r="A888" s="112" t="s">
        <v>1482</v>
      </c>
      <c r="B888" s="112" t="s">
        <v>1538</v>
      </c>
      <c r="C888" s="112">
        <v>0</v>
      </c>
      <c r="D888" s="112" t="s">
        <v>1523</v>
      </c>
      <c r="E888" s="112" t="s">
        <v>1524</v>
      </c>
      <c r="F888" s="112" t="s">
        <v>1523</v>
      </c>
      <c r="G888" s="112" t="s">
        <v>1482</v>
      </c>
      <c r="H888" s="112" t="s">
        <v>1524</v>
      </c>
      <c r="I888" s="112">
        <v>0</v>
      </c>
    </row>
    <row r="889" spans="1:9">
      <c r="A889" s="112" t="s">
        <v>1483</v>
      </c>
      <c r="B889" s="112" t="s">
        <v>1538</v>
      </c>
      <c r="C889" s="112">
        <v>1626.104396</v>
      </c>
      <c r="D889" s="112" t="s">
        <v>1523</v>
      </c>
      <c r="E889" s="112" t="s">
        <v>1524</v>
      </c>
      <c r="F889" s="112" t="s">
        <v>1523</v>
      </c>
      <c r="G889" s="112" t="s">
        <v>1483</v>
      </c>
      <c r="H889" s="112" t="s">
        <v>1524</v>
      </c>
      <c r="I889" s="112">
        <v>1626.104396</v>
      </c>
    </row>
    <row r="890" spans="1:9">
      <c r="A890" s="112" t="s">
        <v>1484</v>
      </c>
      <c r="B890" s="112" t="s">
        <v>1538</v>
      </c>
      <c r="C890" s="112">
        <v>0</v>
      </c>
      <c r="D890" s="112" t="s">
        <v>1523</v>
      </c>
      <c r="E890" s="112" t="s">
        <v>1524</v>
      </c>
      <c r="F890" s="112" t="s">
        <v>1523</v>
      </c>
      <c r="G890" s="112" t="s">
        <v>1484</v>
      </c>
      <c r="H890" s="112" t="s">
        <v>1524</v>
      </c>
      <c r="I890" s="112">
        <v>0</v>
      </c>
    </row>
    <row r="891" spans="1:9">
      <c r="A891" s="112" t="s">
        <v>1485</v>
      </c>
      <c r="B891" s="112" t="s">
        <v>1538</v>
      </c>
      <c r="C891" s="112">
        <v>0</v>
      </c>
      <c r="D891" s="112" t="s">
        <v>1523</v>
      </c>
      <c r="E891" s="112" t="s">
        <v>1524</v>
      </c>
      <c r="F891" s="112" t="s">
        <v>1523</v>
      </c>
      <c r="G891" s="112" t="s">
        <v>1485</v>
      </c>
      <c r="H891" s="112" t="s">
        <v>1524</v>
      </c>
      <c r="I891" s="112">
        <v>0</v>
      </c>
    </row>
    <row r="892" spans="1:9">
      <c r="A892" s="112" t="s">
        <v>1486</v>
      </c>
      <c r="B892" s="112" t="s">
        <v>1538</v>
      </c>
      <c r="C892" s="112">
        <v>0</v>
      </c>
      <c r="D892" s="112" t="s">
        <v>1523</v>
      </c>
      <c r="E892" s="112" t="s">
        <v>1524</v>
      </c>
      <c r="F892" s="112" t="s">
        <v>1523</v>
      </c>
      <c r="G892" s="112" t="s">
        <v>1486</v>
      </c>
      <c r="H892" s="112" t="s">
        <v>1524</v>
      </c>
      <c r="I892" s="112">
        <v>0</v>
      </c>
    </row>
    <row r="893" spans="1:9">
      <c r="A893" s="112" t="s">
        <v>1487</v>
      </c>
      <c r="B893" s="112" t="s">
        <v>1538</v>
      </c>
      <c r="C893" s="112">
        <v>6688.7325890000002</v>
      </c>
      <c r="D893" s="112" t="s">
        <v>1523</v>
      </c>
      <c r="E893" s="112" t="s">
        <v>1524</v>
      </c>
      <c r="F893" s="112" t="s">
        <v>1523</v>
      </c>
      <c r="G893" s="112" t="s">
        <v>1487</v>
      </c>
      <c r="H893" s="112" t="s">
        <v>1524</v>
      </c>
      <c r="I893" s="112">
        <v>6688.7325890000002</v>
      </c>
    </row>
    <row r="894" spans="1:9">
      <c r="A894" s="112" t="s">
        <v>1488</v>
      </c>
      <c r="B894" s="112" t="s">
        <v>1538</v>
      </c>
      <c r="C894" s="112">
        <v>637.19633610000005</v>
      </c>
      <c r="D894" s="112" t="s">
        <v>1523</v>
      </c>
      <c r="E894" s="112" t="s">
        <v>1524</v>
      </c>
      <c r="F894" s="112" t="s">
        <v>1523</v>
      </c>
      <c r="G894" s="112" t="s">
        <v>1488</v>
      </c>
      <c r="H894" s="112" t="s">
        <v>1524</v>
      </c>
      <c r="I894" s="112">
        <v>637.19633610000005</v>
      </c>
    </row>
    <row r="895" spans="1:9">
      <c r="A895" s="112" t="s">
        <v>1489</v>
      </c>
      <c r="B895" s="112" t="s">
        <v>1538</v>
      </c>
      <c r="C895" s="112">
        <v>0</v>
      </c>
      <c r="D895" s="112" t="s">
        <v>1523</v>
      </c>
      <c r="E895" s="112" t="s">
        <v>1524</v>
      </c>
      <c r="F895" s="112" t="s">
        <v>1523</v>
      </c>
      <c r="G895" s="112" t="s">
        <v>1489</v>
      </c>
      <c r="H895" s="112" t="s">
        <v>1524</v>
      </c>
      <c r="I895" s="112">
        <v>0</v>
      </c>
    </row>
    <row r="896" spans="1:9">
      <c r="A896" s="112" t="s">
        <v>1490</v>
      </c>
      <c r="B896" s="112" t="s">
        <v>1538</v>
      </c>
      <c r="C896" s="112">
        <v>0</v>
      </c>
      <c r="D896" s="112" t="s">
        <v>1523</v>
      </c>
      <c r="E896" s="112" t="s">
        <v>1524</v>
      </c>
      <c r="F896" s="112" t="s">
        <v>1523</v>
      </c>
      <c r="G896" s="112" t="s">
        <v>1490</v>
      </c>
      <c r="H896" s="112" t="s">
        <v>1524</v>
      </c>
      <c r="I896" s="112">
        <v>0</v>
      </c>
    </row>
    <row r="897" spans="1:9">
      <c r="A897" s="112" t="s">
        <v>1461</v>
      </c>
      <c r="B897" s="112" t="s">
        <v>1539</v>
      </c>
      <c r="C897" s="112">
        <v>5618.6923649999999</v>
      </c>
      <c r="D897" s="112" t="s">
        <v>1534</v>
      </c>
      <c r="E897" s="112" t="s">
        <v>1524</v>
      </c>
      <c r="F897" s="112" t="s">
        <v>1534</v>
      </c>
      <c r="G897" s="112" t="s">
        <v>1461</v>
      </c>
      <c r="H897" s="112" t="s">
        <v>1524</v>
      </c>
      <c r="I897" s="112">
        <v>7509.2249689999999</v>
      </c>
    </row>
    <row r="898" spans="1:9">
      <c r="A898" s="112" t="s">
        <v>1465</v>
      </c>
      <c r="B898" s="112" t="s">
        <v>1539</v>
      </c>
      <c r="C898" s="112">
        <v>7.3253991120000004</v>
      </c>
      <c r="D898" s="112" t="s">
        <v>1534</v>
      </c>
      <c r="E898" s="112" t="s">
        <v>1524</v>
      </c>
      <c r="F898" s="112" t="s">
        <v>1534</v>
      </c>
      <c r="G898" s="112" t="s">
        <v>1465</v>
      </c>
      <c r="H898" s="112" t="s">
        <v>1524</v>
      </c>
      <c r="I898" s="112">
        <v>7.3253991120000004</v>
      </c>
    </row>
    <row r="899" spans="1:9">
      <c r="A899" s="112" t="s">
        <v>1466</v>
      </c>
      <c r="B899" s="112" t="s">
        <v>1539</v>
      </c>
      <c r="C899" s="112">
        <v>0</v>
      </c>
      <c r="D899" s="112" t="s">
        <v>1534</v>
      </c>
      <c r="E899" s="112" t="s">
        <v>1524</v>
      </c>
      <c r="F899" s="112" t="s">
        <v>1534</v>
      </c>
      <c r="G899" s="112" t="s">
        <v>1466</v>
      </c>
      <c r="H899" s="112" t="s">
        <v>1524</v>
      </c>
      <c r="I899" s="112">
        <v>0</v>
      </c>
    </row>
    <row r="900" spans="1:9">
      <c r="A900" s="112" t="s">
        <v>1467</v>
      </c>
      <c r="B900" s="112" t="s">
        <v>1539</v>
      </c>
      <c r="C900" s="112">
        <v>1197.4131609999999</v>
      </c>
      <c r="D900" s="112" t="s">
        <v>1534</v>
      </c>
      <c r="E900" s="112" t="s">
        <v>1524</v>
      </c>
      <c r="F900" s="112" t="s">
        <v>1534</v>
      </c>
      <c r="G900" s="112" t="s">
        <v>1467</v>
      </c>
      <c r="H900" s="112" t="s">
        <v>1524</v>
      </c>
      <c r="I900" s="112">
        <v>2315.4876989999998</v>
      </c>
    </row>
    <row r="901" spans="1:9">
      <c r="A901" s="112" t="s">
        <v>1468</v>
      </c>
      <c r="B901" s="112" t="s">
        <v>1539</v>
      </c>
      <c r="C901" s="112">
        <v>0</v>
      </c>
      <c r="D901" s="112" t="s">
        <v>1534</v>
      </c>
      <c r="E901" s="112" t="s">
        <v>1524</v>
      </c>
      <c r="F901" s="112" t="s">
        <v>1534</v>
      </c>
      <c r="G901" s="112" t="s">
        <v>1468</v>
      </c>
      <c r="H901" s="112" t="s">
        <v>1524</v>
      </c>
      <c r="I901" s="112">
        <v>7.2150592720000004</v>
      </c>
    </row>
    <row r="902" spans="1:9">
      <c r="A902" s="112" t="s">
        <v>1469</v>
      </c>
      <c r="B902" s="112" t="s">
        <v>1539</v>
      </c>
      <c r="C902" s="112">
        <v>355.74186600000002</v>
      </c>
      <c r="D902" s="112" t="s">
        <v>1534</v>
      </c>
      <c r="E902" s="112" t="s">
        <v>1524</v>
      </c>
      <c r="F902" s="112" t="s">
        <v>1534</v>
      </c>
      <c r="G902" s="112" t="s">
        <v>1469</v>
      </c>
      <c r="H902" s="112" t="s">
        <v>1524</v>
      </c>
      <c r="I902" s="112">
        <v>355.74186600000002</v>
      </c>
    </row>
    <row r="903" spans="1:9">
      <c r="A903" s="112" t="s">
        <v>1470</v>
      </c>
      <c r="B903" s="112" t="s">
        <v>1539</v>
      </c>
      <c r="C903" s="112">
        <v>0</v>
      </c>
      <c r="D903" s="112" t="s">
        <v>1534</v>
      </c>
      <c r="E903" s="112" t="s">
        <v>1524</v>
      </c>
      <c r="F903" s="112" t="s">
        <v>1534</v>
      </c>
      <c r="G903" s="112" t="s">
        <v>1470</v>
      </c>
      <c r="H903" s="112" t="s">
        <v>1524</v>
      </c>
      <c r="I903" s="112">
        <v>0</v>
      </c>
    </row>
    <row r="904" spans="1:9">
      <c r="A904" s="112" t="s">
        <v>1471</v>
      </c>
      <c r="B904" s="112" t="s">
        <v>1539</v>
      </c>
      <c r="C904" s="112">
        <v>2103.9949889999998</v>
      </c>
      <c r="D904" s="112" t="s">
        <v>1534</v>
      </c>
      <c r="E904" s="112" t="s">
        <v>1524</v>
      </c>
      <c r="F904" s="112" t="s">
        <v>1534</v>
      </c>
      <c r="G904" s="112" t="s">
        <v>1471</v>
      </c>
      <c r="H904" s="112" t="s">
        <v>1524</v>
      </c>
      <c r="I904" s="112">
        <v>3061.8865259999998</v>
      </c>
    </row>
    <row r="905" spans="1:9">
      <c r="A905" s="112" t="s">
        <v>1472</v>
      </c>
      <c r="B905" s="112" t="s">
        <v>1539</v>
      </c>
      <c r="C905" s="112">
        <v>0</v>
      </c>
      <c r="D905" s="112" t="s">
        <v>1534</v>
      </c>
      <c r="E905" s="112" t="s">
        <v>1524</v>
      </c>
      <c r="F905" s="112" t="s">
        <v>1534</v>
      </c>
      <c r="G905" s="112" t="s">
        <v>1472</v>
      </c>
      <c r="H905" s="112" t="s">
        <v>1524</v>
      </c>
      <c r="I905" s="112">
        <v>0</v>
      </c>
    </row>
    <row r="906" spans="1:9">
      <c r="A906" s="112" t="s">
        <v>1473</v>
      </c>
      <c r="B906" s="112" t="s">
        <v>1539</v>
      </c>
      <c r="C906" s="112">
        <v>515.52976390000003</v>
      </c>
      <c r="D906" s="112" t="s">
        <v>1534</v>
      </c>
      <c r="E906" s="112" t="s">
        <v>1524</v>
      </c>
      <c r="F906" s="112" t="s">
        <v>1534</v>
      </c>
      <c r="G906" s="112" t="s">
        <v>1473</v>
      </c>
      <c r="H906" s="112" t="s">
        <v>1524</v>
      </c>
      <c r="I906" s="112">
        <v>775.82920709999996</v>
      </c>
    </row>
    <row r="907" spans="1:9">
      <c r="A907" s="112" t="s">
        <v>1474</v>
      </c>
      <c r="B907" s="112" t="s">
        <v>1539</v>
      </c>
      <c r="C907" s="112">
        <v>0</v>
      </c>
      <c r="D907" s="112" t="s">
        <v>1534</v>
      </c>
      <c r="E907" s="112" t="s">
        <v>1524</v>
      </c>
      <c r="F907" s="112" t="s">
        <v>1534</v>
      </c>
      <c r="G907" s="112" t="s">
        <v>1474</v>
      </c>
      <c r="H907" s="112" t="s">
        <v>1524</v>
      </c>
      <c r="I907" s="112">
        <v>0</v>
      </c>
    </row>
    <row r="908" spans="1:9">
      <c r="A908" s="112" t="s">
        <v>1475</v>
      </c>
      <c r="B908" s="112" t="s">
        <v>1539</v>
      </c>
      <c r="C908" s="112">
        <v>0</v>
      </c>
      <c r="D908" s="112" t="s">
        <v>1534</v>
      </c>
      <c r="E908" s="112" t="s">
        <v>1524</v>
      </c>
      <c r="F908" s="112" t="s">
        <v>1534</v>
      </c>
      <c r="G908" s="112" t="s">
        <v>1475</v>
      </c>
      <c r="H908" s="112" t="s">
        <v>1524</v>
      </c>
      <c r="I908" s="112">
        <v>0</v>
      </c>
    </row>
    <row r="909" spans="1:9">
      <c r="A909" s="112" t="s">
        <v>1476</v>
      </c>
      <c r="B909" s="112" t="s">
        <v>1539</v>
      </c>
      <c r="C909" s="112">
        <v>0</v>
      </c>
      <c r="D909" s="112" t="s">
        <v>1534</v>
      </c>
      <c r="E909" s="112" t="s">
        <v>1524</v>
      </c>
      <c r="F909" s="112" t="s">
        <v>1534</v>
      </c>
      <c r="G909" s="112" t="s">
        <v>1476</v>
      </c>
      <c r="H909" s="112" t="s">
        <v>1524</v>
      </c>
      <c r="I909" s="112">
        <v>0</v>
      </c>
    </row>
    <row r="910" spans="1:9">
      <c r="A910" s="112" t="s">
        <v>1477</v>
      </c>
      <c r="B910" s="112" t="s">
        <v>1539</v>
      </c>
      <c r="C910" s="112">
        <v>0</v>
      </c>
      <c r="D910" s="112" t="s">
        <v>1534</v>
      </c>
      <c r="E910" s="112" t="s">
        <v>1524</v>
      </c>
      <c r="F910" s="112" t="s">
        <v>1534</v>
      </c>
      <c r="G910" s="112" t="s">
        <v>1477</v>
      </c>
      <c r="H910" s="112" t="s">
        <v>1524</v>
      </c>
      <c r="I910" s="112">
        <v>0</v>
      </c>
    </row>
    <row r="911" spans="1:9">
      <c r="A911" s="112" t="s">
        <v>1478</v>
      </c>
      <c r="B911" s="112" t="s">
        <v>1539</v>
      </c>
      <c r="C911" s="112">
        <v>768.70110669999997</v>
      </c>
      <c r="D911" s="112" t="s">
        <v>1534</v>
      </c>
      <c r="E911" s="112" t="s">
        <v>1524</v>
      </c>
      <c r="F911" s="112" t="s">
        <v>1534</v>
      </c>
      <c r="G911" s="112" t="s">
        <v>1478</v>
      </c>
      <c r="H911" s="112" t="s">
        <v>1524</v>
      </c>
      <c r="I911" s="112">
        <v>1220.689664</v>
      </c>
    </row>
    <row r="912" spans="1:9">
      <c r="A912" s="112" t="s">
        <v>1479</v>
      </c>
      <c r="B912" s="112" t="s">
        <v>1539</v>
      </c>
      <c r="C912" s="112">
        <v>0</v>
      </c>
      <c r="D912" s="112" t="s">
        <v>1534</v>
      </c>
      <c r="E912" s="112" t="s">
        <v>1524</v>
      </c>
      <c r="F912" s="112" t="s">
        <v>1534</v>
      </c>
      <c r="G912" s="112" t="s">
        <v>1479</v>
      </c>
      <c r="H912" s="112" t="s">
        <v>1524</v>
      </c>
      <c r="I912" s="112">
        <v>0</v>
      </c>
    </row>
    <row r="913" spans="1:9">
      <c r="A913" s="112" t="s">
        <v>1480</v>
      </c>
      <c r="B913" s="112" t="s">
        <v>1539</v>
      </c>
      <c r="C913" s="112">
        <v>0</v>
      </c>
      <c r="D913" s="112" t="s">
        <v>1534</v>
      </c>
      <c r="E913" s="112" t="s">
        <v>1524</v>
      </c>
      <c r="F913" s="112" t="s">
        <v>1534</v>
      </c>
      <c r="G913" s="112" t="s">
        <v>1480</v>
      </c>
      <c r="H913" s="112" t="s">
        <v>1524</v>
      </c>
      <c r="I913" s="112">
        <v>0</v>
      </c>
    </row>
    <row r="914" spans="1:9">
      <c r="A914" s="112" t="s">
        <v>1481</v>
      </c>
      <c r="B914" s="112" t="s">
        <v>1539</v>
      </c>
      <c r="C914" s="112">
        <v>0</v>
      </c>
      <c r="D914" s="112" t="s">
        <v>1534</v>
      </c>
      <c r="E914" s="112" t="s">
        <v>1524</v>
      </c>
      <c r="F914" s="112" t="s">
        <v>1534</v>
      </c>
      <c r="G914" s="112" t="s">
        <v>1481</v>
      </c>
      <c r="H914" s="112" t="s">
        <v>1524</v>
      </c>
      <c r="I914" s="112">
        <v>0</v>
      </c>
    </row>
    <row r="915" spans="1:9">
      <c r="A915" s="112" t="s">
        <v>1482</v>
      </c>
      <c r="B915" s="112" t="s">
        <v>1539</v>
      </c>
      <c r="C915" s="112">
        <v>0</v>
      </c>
      <c r="D915" s="112" t="s">
        <v>1534</v>
      </c>
      <c r="E915" s="112" t="s">
        <v>1524</v>
      </c>
      <c r="F915" s="112" t="s">
        <v>1534</v>
      </c>
      <c r="G915" s="112" t="s">
        <v>1482</v>
      </c>
      <c r="H915" s="112" t="s">
        <v>1524</v>
      </c>
      <c r="I915" s="112">
        <v>0</v>
      </c>
    </row>
    <row r="916" spans="1:9">
      <c r="A916" s="112" t="s">
        <v>1483</v>
      </c>
      <c r="B916" s="112" t="s">
        <v>1539</v>
      </c>
      <c r="C916" s="112">
        <v>0</v>
      </c>
      <c r="D916" s="112" t="s">
        <v>1534</v>
      </c>
      <c r="E916" s="112" t="s">
        <v>1524</v>
      </c>
      <c r="F916" s="112" t="s">
        <v>1534</v>
      </c>
      <c r="G916" s="112" t="s">
        <v>1483</v>
      </c>
      <c r="H916" s="112" t="s">
        <v>1524</v>
      </c>
      <c r="I916" s="112">
        <v>0</v>
      </c>
    </row>
    <row r="917" spans="1:9">
      <c r="A917" s="112" t="s">
        <v>1484</v>
      </c>
      <c r="B917" s="112" t="s">
        <v>1539</v>
      </c>
      <c r="C917" s="112">
        <v>0</v>
      </c>
      <c r="D917" s="112" t="s">
        <v>1534</v>
      </c>
      <c r="E917" s="112" t="s">
        <v>1524</v>
      </c>
      <c r="F917" s="112" t="s">
        <v>1534</v>
      </c>
      <c r="G917" s="112" t="s">
        <v>1484</v>
      </c>
      <c r="H917" s="112" t="s">
        <v>1524</v>
      </c>
      <c r="I917" s="112">
        <v>120.12012009999999</v>
      </c>
    </row>
    <row r="918" spans="1:9">
      <c r="A918" s="112" t="s">
        <v>1485</v>
      </c>
      <c r="B918" s="112" t="s">
        <v>1539</v>
      </c>
      <c r="C918" s="112">
        <v>0</v>
      </c>
      <c r="D918" s="112" t="s">
        <v>1534</v>
      </c>
      <c r="E918" s="112" t="s">
        <v>1524</v>
      </c>
      <c r="F918" s="112" t="s">
        <v>1534</v>
      </c>
      <c r="G918" s="112" t="s">
        <v>1485</v>
      </c>
      <c r="H918" s="112" t="s">
        <v>1524</v>
      </c>
      <c r="I918" s="112">
        <v>0</v>
      </c>
    </row>
    <row r="919" spans="1:9">
      <c r="A919" s="112" t="s">
        <v>1486</v>
      </c>
      <c r="B919" s="112" t="s">
        <v>1539</v>
      </c>
      <c r="C919" s="112">
        <v>0</v>
      </c>
      <c r="D919" s="112" t="s">
        <v>1534</v>
      </c>
      <c r="E919" s="112" t="s">
        <v>1524</v>
      </c>
      <c r="F919" s="112" t="s">
        <v>1534</v>
      </c>
      <c r="G919" s="112" t="s">
        <v>1486</v>
      </c>
      <c r="H919" s="112" t="s">
        <v>1524</v>
      </c>
      <c r="I919" s="112">
        <v>0</v>
      </c>
    </row>
    <row r="920" spans="1:9">
      <c r="A920" s="112" t="s">
        <v>1487</v>
      </c>
      <c r="B920" s="112" t="s">
        <v>1539</v>
      </c>
      <c r="C920" s="112">
        <v>68.956006070000001</v>
      </c>
      <c r="D920" s="112" t="s">
        <v>1534</v>
      </c>
      <c r="E920" s="112" t="s">
        <v>1524</v>
      </c>
      <c r="F920" s="112" t="s">
        <v>1534</v>
      </c>
      <c r="G920" s="112" t="s">
        <v>1487</v>
      </c>
      <c r="H920" s="112" t="s">
        <v>1524</v>
      </c>
      <c r="I920" s="112">
        <v>160.8973475</v>
      </c>
    </row>
    <row r="921" spans="1:9">
      <c r="A921" s="112" t="s">
        <v>1488</v>
      </c>
      <c r="B921" s="112" t="s">
        <v>1539</v>
      </c>
      <c r="C921" s="112">
        <v>119.474313</v>
      </c>
      <c r="D921" s="112" t="s">
        <v>1534</v>
      </c>
      <c r="E921" s="112" t="s">
        <v>1524</v>
      </c>
      <c r="F921" s="112" t="s">
        <v>1534</v>
      </c>
      <c r="G921" s="112" t="s">
        <v>1488</v>
      </c>
      <c r="H921" s="112" t="s">
        <v>1524</v>
      </c>
      <c r="I921" s="112">
        <v>159.29908399999999</v>
      </c>
    </row>
    <row r="922" spans="1:9">
      <c r="A922" s="112" t="s">
        <v>1489</v>
      </c>
      <c r="B922" s="112" t="s">
        <v>1539</v>
      </c>
      <c r="C922" s="112">
        <v>40.774244660000001</v>
      </c>
      <c r="D922" s="112" t="s">
        <v>1534</v>
      </c>
      <c r="E922" s="112" t="s">
        <v>1524</v>
      </c>
      <c r="F922" s="112" t="s">
        <v>1534</v>
      </c>
      <c r="G922" s="112" t="s">
        <v>1489</v>
      </c>
      <c r="H922" s="112" t="s">
        <v>1524</v>
      </c>
      <c r="I922" s="112">
        <v>52.424028849999999</v>
      </c>
    </row>
    <row r="923" spans="1:9">
      <c r="A923" s="112" t="s">
        <v>1490</v>
      </c>
      <c r="B923" s="112" t="s">
        <v>1539</v>
      </c>
      <c r="C923" s="112">
        <v>420.3446826</v>
      </c>
      <c r="D923" s="112" t="s">
        <v>1534</v>
      </c>
      <c r="E923" s="112" t="s">
        <v>1524</v>
      </c>
      <c r="F923" s="112" t="s">
        <v>1534</v>
      </c>
      <c r="G923" s="112" t="s">
        <v>1490</v>
      </c>
      <c r="H923" s="112" t="s">
        <v>1524</v>
      </c>
      <c r="I923" s="112">
        <v>420.3446826</v>
      </c>
    </row>
    <row r="924" spans="1:9">
      <c r="A924" s="112" t="s">
        <v>1461</v>
      </c>
      <c r="B924" s="112" t="s">
        <v>1540</v>
      </c>
      <c r="C924" s="112">
        <v>3910.3152230000001</v>
      </c>
      <c r="D924" s="112" t="s">
        <v>1528</v>
      </c>
      <c r="E924" s="112" t="s">
        <v>1524</v>
      </c>
      <c r="F924" s="112" t="s">
        <v>1528</v>
      </c>
      <c r="G924" s="112" t="s">
        <v>1461</v>
      </c>
      <c r="H924" s="112" t="s">
        <v>1524</v>
      </c>
      <c r="I924" s="112">
        <v>5725.8426369999997</v>
      </c>
    </row>
    <row r="925" spans="1:9">
      <c r="A925" s="112" t="s">
        <v>1465</v>
      </c>
      <c r="B925" s="112" t="s">
        <v>1540</v>
      </c>
      <c r="C925" s="112">
        <v>0</v>
      </c>
      <c r="D925" s="112" t="s">
        <v>1528</v>
      </c>
      <c r="E925" s="112" t="s">
        <v>1524</v>
      </c>
      <c r="F925" s="112" t="s">
        <v>1528</v>
      </c>
      <c r="G925" s="112" t="s">
        <v>1465</v>
      </c>
      <c r="H925" s="112" t="s">
        <v>1524</v>
      </c>
      <c r="I925" s="112">
        <v>0</v>
      </c>
    </row>
    <row r="926" spans="1:9">
      <c r="A926" s="112" t="s">
        <v>1466</v>
      </c>
      <c r="B926" s="112" t="s">
        <v>1540</v>
      </c>
      <c r="C926" s="112">
        <v>0</v>
      </c>
      <c r="D926" s="112" t="s">
        <v>1528</v>
      </c>
      <c r="E926" s="112" t="s">
        <v>1524</v>
      </c>
      <c r="F926" s="112" t="s">
        <v>1528</v>
      </c>
      <c r="G926" s="112" t="s">
        <v>1466</v>
      </c>
      <c r="H926" s="112" t="s">
        <v>1524</v>
      </c>
      <c r="I926" s="112">
        <v>0</v>
      </c>
    </row>
    <row r="927" spans="1:9">
      <c r="A927" s="112" t="s">
        <v>1467</v>
      </c>
      <c r="B927" s="112" t="s">
        <v>1540</v>
      </c>
      <c r="C927" s="112">
        <v>3403.5602370000001</v>
      </c>
      <c r="D927" s="112" t="s">
        <v>1528</v>
      </c>
      <c r="E927" s="112" t="s">
        <v>1524</v>
      </c>
      <c r="F927" s="112" t="s">
        <v>1528</v>
      </c>
      <c r="G927" s="112" t="s">
        <v>1467</v>
      </c>
      <c r="H927" s="112" t="s">
        <v>1524</v>
      </c>
      <c r="I927" s="112">
        <v>3884.9256610000002</v>
      </c>
    </row>
    <row r="928" spans="1:9">
      <c r="A928" s="112" t="s">
        <v>1468</v>
      </c>
      <c r="B928" s="112" t="s">
        <v>1540</v>
      </c>
      <c r="C928" s="112">
        <v>64.935533449999994</v>
      </c>
      <c r="D928" s="112" t="s">
        <v>1528</v>
      </c>
      <c r="E928" s="112" t="s">
        <v>1524</v>
      </c>
      <c r="F928" s="112" t="s">
        <v>1528</v>
      </c>
      <c r="G928" s="112" t="s">
        <v>1468</v>
      </c>
      <c r="H928" s="112" t="s">
        <v>1524</v>
      </c>
      <c r="I928" s="112">
        <v>64.935533449999994</v>
      </c>
    </row>
    <row r="929" spans="1:9">
      <c r="A929" s="112" t="s">
        <v>1469</v>
      </c>
      <c r="B929" s="112" t="s">
        <v>1540</v>
      </c>
      <c r="C929" s="112">
        <v>0</v>
      </c>
      <c r="D929" s="112" t="s">
        <v>1528</v>
      </c>
      <c r="E929" s="112" t="s">
        <v>1524</v>
      </c>
      <c r="F929" s="112" t="s">
        <v>1528</v>
      </c>
      <c r="G929" s="112" t="s">
        <v>1469</v>
      </c>
      <c r="H929" s="112" t="s">
        <v>1524</v>
      </c>
      <c r="I929" s="112">
        <v>0</v>
      </c>
    </row>
    <row r="930" spans="1:9">
      <c r="A930" s="112" t="s">
        <v>1470</v>
      </c>
      <c r="B930" s="112" t="s">
        <v>1540</v>
      </c>
      <c r="C930" s="112">
        <v>0</v>
      </c>
      <c r="D930" s="112" t="s">
        <v>1528</v>
      </c>
      <c r="E930" s="112" t="s">
        <v>1524</v>
      </c>
      <c r="F930" s="112" t="s">
        <v>1528</v>
      </c>
      <c r="G930" s="112" t="s">
        <v>1470</v>
      </c>
      <c r="H930" s="112" t="s">
        <v>1524</v>
      </c>
      <c r="I930" s="112">
        <v>0</v>
      </c>
    </row>
    <row r="931" spans="1:9">
      <c r="A931" s="112" t="s">
        <v>1471</v>
      </c>
      <c r="B931" s="112" t="s">
        <v>1540</v>
      </c>
      <c r="C931" s="112">
        <v>6645.05375</v>
      </c>
      <c r="D931" s="112" t="s">
        <v>1528</v>
      </c>
      <c r="E931" s="112" t="s">
        <v>1524</v>
      </c>
      <c r="F931" s="112" t="s">
        <v>1528</v>
      </c>
      <c r="G931" s="112" t="s">
        <v>1471</v>
      </c>
      <c r="H931" s="112" t="s">
        <v>1524</v>
      </c>
      <c r="I931" s="112">
        <v>7159.7036760000001</v>
      </c>
    </row>
    <row r="932" spans="1:9">
      <c r="A932" s="112" t="s">
        <v>1472</v>
      </c>
      <c r="B932" s="112" t="s">
        <v>1540</v>
      </c>
      <c r="C932" s="112">
        <v>0</v>
      </c>
      <c r="D932" s="112" t="s">
        <v>1528</v>
      </c>
      <c r="E932" s="112" t="s">
        <v>1524</v>
      </c>
      <c r="F932" s="112" t="s">
        <v>1528</v>
      </c>
      <c r="G932" s="112" t="s">
        <v>1472</v>
      </c>
      <c r="H932" s="112" t="s">
        <v>1524</v>
      </c>
      <c r="I932" s="112">
        <v>0</v>
      </c>
    </row>
    <row r="933" spans="1:9">
      <c r="A933" s="112" t="s">
        <v>1473</v>
      </c>
      <c r="B933" s="112" t="s">
        <v>1540</v>
      </c>
      <c r="C933" s="112">
        <v>599.42374210000003</v>
      </c>
      <c r="D933" s="112" t="s">
        <v>1528</v>
      </c>
      <c r="E933" s="112" t="s">
        <v>1524</v>
      </c>
      <c r="F933" s="112" t="s">
        <v>1528</v>
      </c>
      <c r="G933" s="112" t="s">
        <v>1473</v>
      </c>
      <c r="H933" s="112" t="s">
        <v>1524</v>
      </c>
      <c r="I933" s="112">
        <v>636.42833680000001</v>
      </c>
    </row>
    <row r="934" spans="1:9">
      <c r="A934" s="112" t="s">
        <v>1474</v>
      </c>
      <c r="B934" s="112" t="s">
        <v>1540</v>
      </c>
      <c r="C934" s="112">
        <v>0</v>
      </c>
      <c r="D934" s="112" t="s">
        <v>1528</v>
      </c>
      <c r="E934" s="112" t="s">
        <v>1524</v>
      </c>
      <c r="F934" s="112" t="s">
        <v>1528</v>
      </c>
      <c r="G934" s="112" t="s">
        <v>1474</v>
      </c>
      <c r="H934" s="112" t="s">
        <v>1524</v>
      </c>
      <c r="I934" s="112">
        <v>0</v>
      </c>
    </row>
    <row r="935" spans="1:9">
      <c r="A935" s="112" t="s">
        <v>1475</v>
      </c>
      <c r="B935" s="112" t="s">
        <v>1540</v>
      </c>
      <c r="C935" s="112">
        <v>0</v>
      </c>
      <c r="D935" s="112" t="s">
        <v>1528</v>
      </c>
      <c r="E935" s="112" t="s">
        <v>1524</v>
      </c>
      <c r="F935" s="112" t="s">
        <v>1528</v>
      </c>
      <c r="G935" s="112" t="s">
        <v>1475</v>
      </c>
      <c r="H935" s="112" t="s">
        <v>1524</v>
      </c>
      <c r="I935" s="112">
        <v>0</v>
      </c>
    </row>
    <row r="936" spans="1:9">
      <c r="A936" s="112" t="s">
        <v>1476</v>
      </c>
      <c r="B936" s="112" t="s">
        <v>1540</v>
      </c>
      <c r="C936" s="112">
        <v>0</v>
      </c>
      <c r="D936" s="112" t="s">
        <v>1528</v>
      </c>
      <c r="E936" s="112" t="s">
        <v>1524</v>
      </c>
      <c r="F936" s="112" t="s">
        <v>1528</v>
      </c>
      <c r="G936" s="112" t="s">
        <v>1476</v>
      </c>
      <c r="H936" s="112" t="s">
        <v>1524</v>
      </c>
      <c r="I936" s="112">
        <v>0</v>
      </c>
    </row>
    <row r="937" spans="1:9">
      <c r="A937" s="112" t="s">
        <v>1477</v>
      </c>
      <c r="B937" s="112" t="s">
        <v>1540</v>
      </c>
      <c r="C937" s="112">
        <v>0</v>
      </c>
      <c r="D937" s="112" t="s">
        <v>1528</v>
      </c>
      <c r="E937" s="112" t="s">
        <v>1524</v>
      </c>
      <c r="F937" s="112" t="s">
        <v>1528</v>
      </c>
      <c r="G937" s="112" t="s">
        <v>1477</v>
      </c>
      <c r="H937" s="112" t="s">
        <v>1524</v>
      </c>
      <c r="I937" s="112">
        <v>0</v>
      </c>
    </row>
    <row r="938" spans="1:9">
      <c r="A938" s="112" t="s">
        <v>1478</v>
      </c>
      <c r="B938" s="112" t="s">
        <v>1540</v>
      </c>
      <c r="C938" s="112">
        <v>4551.9414989999996</v>
      </c>
      <c r="D938" s="112" t="s">
        <v>1528</v>
      </c>
      <c r="E938" s="112" t="s">
        <v>1524</v>
      </c>
      <c r="F938" s="112" t="s">
        <v>1528</v>
      </c>
      <c r="G938" s="112" t="s">
        <v>1478</v>
      </c>
      <c r="H938" s="112" t="s">
        <v>1524</v>
      </c>
      <c r="I938" s="112">
        <v>5073.1708570000001</v>
      </c>
    </row>
    <row r="939" spans="1:9">
      <c r="A939" s="112" t="s">
        <v>1479</v>
      </c>
      <c r="B939" s="112" t="s">
        <v>1540</v>
      </c>
      <c r="C939" s="112">
        <v>0</v>
      </c>
      <c r="D939" s="112" t="s">
        <v>1528</v>
      </c>
      <c r="E939" s="112" t="s">
        <v>1524</v>
      </c>
      <c r="F939" s="112" t="s">
        <v>1528</v>
      </c>
      <c r="G939" s="112" t="s">
        <v>1479</v>
      </c>
      <c r="H939" s="112" t="s">
        <v>1524</v>
      </c>
      <c r="I939" s="112">
        <v>0</v>
      </c>
    </row>
    <row r="940" spans="1:9">
      <c r="A940" s="112" t="s">
        <v>1480</v>
      </c>
      <c r="B940" s="112" t="s">
        <v>1540</v>
      </c>
      <c r="C940" s="112">
        <v>0</v>
      </c>
      <c r="D940" s="112" t="s">
        <v>1528</v>
      </c>
      <c r="E940" s="112" t="s">
        <v>1524</v>
      </c>
      <c r="F940" s="112" t="s">
        <v>1528</v>
      </c>
      <c r="G940" s="112" t="s">
        <v>1480</v>
      </c>
      <c r="H940" s="112" t="s">
        <v>1524</v>
      </c>
      <c r="I940" s="112">
        <v>0</v>
      </c>
    </row>
    <row r="941" spans="1:9">
      <c r="A941" s="112" t="s">
        <v>1481</v>
      </c>
      <c r="B941" s="112" t="s">
        <v>1540</v>
      </c>
      <c r="C941" s="112">
        <v>22.258330180000002</v>
      </c>
      <c r="D941" s="112" t="s">
        <v>1528</v>
      </c>
      <c r="E941" s="112" t="s">
        <v>1524</v>
      </c>
      <c r="F941" s="112" t="s">
        <v>1528</v>
      </c>
      <c r="G941" s="112" t="s">
        <v>1481</v>
      </c>
      <c r="H941" s="112" t="s">
        <v>1524</v>
      </c>
      <c r="I941" s="112">
        <v>22.258330180000002</v>
      </c>
    </row>
    <row r="942" spans="1:9">
      <c r="A942" s="112" t="s">
        <v>1482</v>
      </c>
      <c r="B942" s="112" t="s">
        <v>1540</v>
      </c>
      <c r="C942" s="112">
        <v>0</v>
      </c>
      <c r="D942" s="112" t="s">
        <v>1528</v>
      </c>
      <c r="E942" s="112" t="s">
        <v>1524</v>
      </c>
      <c r="F942" s="112" t="s">
        <v>1528</v>
      </c>
      <c r="G942" s="112" t="s">
        <v>1482</v>
      </c>
      <c r="H942" s="112" t="s">
        <v>1524</v>
      </c>
      <c r="I942" s="112">
        <v>0</v>
      </c>
    </row>
    <row r="943" spans="1:9">
      <c r="A943" s="112" t="s">
        <v>1483</v>
      </c>
      <c r="B943" s="112" t="s">
        <v>1540</v>
      </c>
      <c r="C943" s="112">
        <v>108.4069597</v>
      </c>
      <c r="D943" s="112" t="s">
        <v>1528</v>
      </c>
      <c r="E943" s="112" t="s">
        <v>1524</v>
      </c>
      <c r="F943" s="112" t="s">
        <v>1528</v>
      </c>
      <c r="G943" s="112" t="s">
        <v>1483</v>
      </c>
      <c r="H943" s="112" t="s">
        <v>1524</v>
      </c>
      <c r="I943" s="112">
        <v>108.4069597</v>
      </c>
    </row>
    <row r="944" spans="1:9">
      <c r="A944" s="112" t="s">
        <v>1484</v>
      </c>
      <c r="B944" s="112" t="s">
        <v>1540</v>
      </c>
      <c r="C944" s="112">
        <v>0</v>
      </c>
      <c r="D944" s="112" t="s">
        <v>1528</v>
      </c>
      <c r="E944" s="112" t="s">
        <v>1524</v>
      </c>
      <c r="F944" s="112" t="s">
        <v>1528</v>
      </c>
      <c r="G944" s="112" t="s">
        <v>1484</v>
      </c>
      <c r="H944" s="112" t="s">
        <v>1524</v>
      </c>
      <c r="I944" s="112">
        <v>0</v>
      </c>
    </row>
    <row r="945" spans="1:9">
      <c r="A945" s="112" t="s">
        <v>1485</v>
      </c>
      <c r="B945" s="112" t="s">
        <v>1540</v>
      </c>
      <c r="C945" s="112">
        <v>0</v>
      </c>
      <c r="D945" s="112" t="s">
        <v>1528</v>
      </c>
      <c r="E945" s="112" t="s">
        <v>1524</v>
      </c>
      <c r="F945" s="112" t="s">
        <v>1528</v>
      </c>
      <c r="G945" s="112" t="s">
        <v>1485</v>
      </c>
      <c r="H945" s="112" t="s">
        <v>1524</v>
      </c>
      <c r="I945" s="112">
        <v>0</v>
      </c>
    </row>
    <row r="946" spans="1:9">
      <c r="A946" s="112" t="s">
        <v>1486</v>
      </c>
      <c r="B946" s="112" t="s">
        <v>1540</v>
      </c>
      <c r="C946" s="112">
        <v>0</v>
      </c>
      <c r="D946" s="112" t="s">
        <v>1528</v>
      </c>
      <c r="E946" s="112" t="s">
        <v>1524</v>
      </c>
      <c r="F946" s="112" t="s">
        <v>1528</v>
      </c>
      <c r="G946" s="112" t="s">
        <v>1486</v>
      </c>
      <c r="H946" s="112" t="s">
        <v>1524</v>
      </c>
      <c r="I946" s="112">
        <v>0</v>
      </c>
    </row>
    <row r="947" spans="1:9">
      <c r="A947" s="112" t="s">
        <v>1487</v>
      </c>
      <c r="B947" s="112" t="s">
        <v>1540</v>
      </c>
      <c r="C947" s="112">
        <v>114.9266768</v>
      </c>
      <c r="D947" s="112" t="s">
        <v>1528</v>
      </c>
      <c r="E947" s="112" t="s">
        <v>1524</v>
      </c>
      <c r="F947" s="112" t="s">
        <v>1528</v>
      </c>
      <c r="G947" s="112" t="s">
        <v>1487</v>
      </c>
      <c r="H947" s="112" t="s">
        <v>1524</v>
      </c>
      <c r="I947" s="112">
        <v>114.9266768</v>
      </c>
    </row>
    <row r="948" spans="1:9">
      <c r="A948" s="112" t="s">
        <v>1488</v>
      </c>
      <c r="B948" s="112" t="s">
        <v>1540</v>
      </c>
      <c r="C948" s="112">
        <v>39.824771009999999</v>
      </c>
      <c r="D948" s="112" t="s">
        <v>1528</v>
      </c>
      <c r="E948" s="112" t="s">
        <v>1524</v>
      </c>
      <c r="F948" s="112" t="s">
        <v>1528</v>
      </c>
      <c r="G948" s="112" t="s">
        <v>1488</v>
      </c>
      <c r="H948" s="112" t="s">
        <v>1524</v>
      </c>
      <c r="I948" s="112">
        <v>39.824771009999999</v>
      </c>
    </row>
    <row r="949" spans="1:9">
      <c r="A949" s="112" t="s">
        <v>1489</v>
      </c>
      <c r="B949" s="112" t="s">
        <v>1540</v>
      </c>
      <c r="C949" s="112">
        <v>343.6686335</v>
      </c>
      <c r="D949" s="112" t="s">
        <v>1528</v>
      </c>
      <c r="E949" s="112" t="s">
        <v>1524</v>
      </c>
      <c r="F949" s="112" t="s">
        <v>1528</v>
      </c>
      <c r="G949" s="112" t="s">
        <v>1489</v>
      </c>
      <c r="H949" s="112" t="s">
        <v>1524</v>
      </c>
      <c r="I949" s="112">
        <v>343.6686335</v>
      </c>
    </row>
    <row r="950" spans="1:9">
      <c r="A950" s="112" t="s">
        <v>1490</v>
      </c>
      <c r="B950" s="112" t="s">
        <v>1540</v>
      </c>
      <c r="C950" s="112">
        <v>0</v>
      </c>
      <c r="D950" s="112" t="s">
        <v>1528</v>
      </c>
      <c r="E950" s="112" t="s">
        <v>1524</v>
      </c>
      <c r="F950" s="112" t="s">
        <v>1528</v>
      </c>
      <c r="G950" s="112" t="s">
        <v>1490</v>
      </c>
      <c r="H950" s="112" t="s">
        <v>1524</v>
      </c>
      <c r="I950" s="112">
        <v>0</v>
      </c>
    </row>
    <row r="951" spans="1:9">
      <c r="A951" s="112" t="s">
        <v>1461</v>
      </c>
      <c r="B951" s="112" t="s">
        <v>1541</v>
      </c>
      <c r="C951" s="112">
        <v>0</v>
      </c>
      <c r="D951" s="112" t="s">
        <v>1542</v>
      </c>
      <c r="E951" s="112" t="s">
        <v>1543</v>
      </c>
      <c r="F951" s="112" t="s">
        <v>1542</v>
      </c>
      <c r="G951" s="112" t="s">
        <v>1461</v>
      </c>
      <c r="H951" s="112" t="s">
        <v>1543</v>
      </c>
      <c r="I951" s="112">
        <v>14.063473139999999</v>
      </c>
    </row>
    <row r="952" spans="1:9">
      <c r="A952" s="112" t="s">
        <v>1465</v>
      </c>
      <c r="B952" s="112" t="s">
        <v>1541</v>
      </c>
      <c r="C952" s="112">
        <v>0</v>
      </c>
      <c r="D952" s="112" t="s">
        <v>1542</v>
      </c>
      <c r="E952" s="112" t="s">
        <v>1543</v>
      </c>
      <c r="F952" s="112" t="s">
        <v>1542</v>
      </c>
      <c r="G952" s="112" t="s">
        <v>1465</v>
      </c>
      <c r="H952" s="112" t="s">
        <v>1543</v>
      </c>
      <c r="I952" s="112">
        <v>0</v>
      </c>
    </row>
    <row r="953" spans="1:9">
      <c r="A953" s="112" t="s">
        <v>1466</v>
      </c>
      <c r="B953" s="112" t="s">
        <v>1541</v>
      </c>
      <c r="C953" s="112">
        <v>2207.633765</v>
      </c>
      <c r="D953" s="112" t="s">
        <v>1542</v>
      </c>
      <c r="E953" s="112" t="s">
        <v>1543</v>
      </c>
      <c r="F953" s="112" t="s">
        <v>1542</v>
      </c>
      <c r="G953" s="112" t="s">
        <v>1466</v>
      </c>
      <c r="H953" s="112" t="s">
        <v>1543</v>
      </c>
      <c r="I953" s="112">
        <v>5391.2740370000001</v>
      </c>
    </row>
    <row r="954" spans="1:9">
      <c r="A954" s="112" t="s">
        <v>1467</v>
      </c>
      <c r="B954" s="112" t="s">
        <v>1541</v>
      </c>
      <c r="C954" s="112">
        <v>640.70938060000003</v>
      </c>
      <c r="D954" s="112" t="s">
        <v>1542</v>
      </c>
      <c r="E954" s="112" t="s">
        <v>1543</v>
      </c>
      <c r="F954" s="112" t="s">
        <v>1542</v>
      </c>
      <c r="G954" s="112" t="s">
        <v>1467</v>
      </c>
      <c r="H954" s="112" t="s">
        <v>1543</v>
      </c>
      <c r="I954" s="112">
        <v>3546.2364160000002</v>
      </c>
    </row>
    <row r="955" spans="1:9">
      <c r="A955" s="112" t="s">
        <v>1468</v>
      </c>
      <c r="B955" s="112" t="s">
        <v>1541</v>
      </c>
      <c r="C955" s="112">
        <v>0</v>
      </c>
      <c r="D955" s="112" t="s">
        <v>1542</v>
      </c>
      <c r="E955" s="112" t="s">
        <v>1543</v>
      </c>
      <c r="F955" s="112" t="s">
        <v>1542</v>
      </c>
      <c r="G955" s="112" t="s">
        <v>1468</v>
      </c>
      <c r="H955" s="112" t="s">
        <v>1543</v>
      </c>
      <c r="I955" s="112">
        <v>7.2150592720000004</v>
      </c>
    </row>
    <row r="956" spans="1:9">
      <c r="A956" s="112" t="s">
        <v>1469</v>
      </c>
      <c r="B956" s="112" t="s">
        <v>1541</v>
      </c>
      <c r="C956" s="112">
        <v>673.02515189999997</v>
      </c>
      <c r="D956" s="112" t="s">
        <v>1542</v>
      </c>
      <c r="E956" s="112" t="s">
        <v>1543</v>
      </c>
      <c r="F956" s="112" t="s">
        <v>1542</v>
      </c>
      <c r="G956" s="112" t="s">
        <v>1469</v>
      </c>
      <c r="H956" s="112" t="s">
        <v>1543</v>
      </c>
      <c r="I956" s="112">
        <v>11268.36397</v>
      </c>
    </row>
    <row r="957" spans="1:9">
      <c r="A957" s="112" t="s">
        <v>1470</v>
      </c>
      <c r="B957" s="112" t="s">
        <v>1541</v>
      </c>
      <c r="C957" s="112">
        <v>0</v>
      </c>
      <c r="D957" s="112" t="s">
        <v>1542</v>
      </c>
      <c r="E957" s="112" t="s">
        <v>1543</v>
      </c>
      <c r="F957" s="112" t="s">
        <v>1542</v>
      </c>
      <c r="G957" s="112" t="s">
        <v>1470</v>
      </c>
      <c r="H957" s="112" t="s">
        <v>1543</v>
      </c>
      <c r="I957" s="112">
        <v>0</v>
      </c>
    </row>
    <row r="958" spans="1:9">
      <c r="A958" s="112" t="s">
        <v>1471</v>
      </c>
      <c r="B958" s="112" t="s">
        <v>1541</v>
      </c>
      <c r="C958" s="112">
        <v>154.54799560000001</v>
      </c>
      <c r="D958" s="112" t="s">
        <v>1542</v>
      </c>
      <c r="E958" s="112" t="s">
        <v>1543</v>
      </c>
      <c r="F958" s="112" t="s">
        <v>1542</v>
      </c>
      <c r="G958" s="112" t="s">
        <v>1471</v>
      </c>
      <c r="H958" s="112" t="s">
        <v>1543</v>
      </c>
      <c r="I958" s="112">
        <v>537.6025985</v>
      </c>
    </row>
    <row r="959" spans="1:9">
      <c r="A959" s="112" t="s">
        <v>1472</v>
      </c>
      <c r="B959" s="112" t="s">
        <v>1541</v>
      </c>
      <c r="C959" s="112">
        <v>0</v>
      </c>
      <c r="D959" s="112" t="s">
        <v>1542</v>
      </c>
      <c r="E959" s="112" t="s">
        <v>1543</v>
      </c>
      <c r="F959" s="112" t="s">
        <v>1542</v>
      </c>
      <c r="G959" s="112" t="s">
        <v>1472</v>
      </c>
      <c r="H959" s="112" t="s">
        <v>1543</v>
      </c>
      <c r="I959" s="112">
        <v>0</v>
      </c>
    </row>
    <row r="960" spans="1:9">
      <c r="A960" s="112" t="s">
        <v>1473</v>
      </c>
      <c r="B960" s="112" t="s">
        <v>1541</v>
      </c>
      <c r="C960" s="112">
        <v>503.11041360000002</v>
      </c>
      <c r="D960" s="112" t="s">
        <v>1542</v>
      </c>
      <c r="E960" s="112" t="s">
        <v>1543</v>
      </c>
      <c r="F960" s="112" t="s">
        <v>1542</v>
      </c>
      <c r="G960" s="112" t="s">
        <v>1473</v>
      </c>
      <c r="H960" s="112" t="s">
        <v>1543</v>
      </c>
      <c r="I960" s="112">
        <v>3577.5332440000002</v>
      </c>
    </row>
    <row r="961" spans="1:9">
      <c r="A961" s="112" t="s">
        <v>1474</v>
      </c>
      <c r="B961" s="112" t="s">
        <v>1541</v>
      </c>
      <c r="C961" s="112">
        <v>0</v>
      </c>
      <c r="D961" s="112" t="s">
        <v>1542</v>
      </c>
      <c r="E961" s="112" t="s">
        <v>1543</v>
      </c>
      <c r="F961" s="112" t="s">
        <v>1542</v>
      </c>
      <c r="G961" s="112" t="s">
        <v>1474</v>
      </c>
      <c r="H961" s="112" t="s">
        <v>1543</v>
      </c>
      <c r="I961" s="112">
        <v>0</v>
      </c>
    </row>
    <row r="962" spans="1:9">
      <c r="A962" s="112" t="s">
        <v>1475</v>
      </c>
      <c r="B962" s="112" t="s">
        <v>1541</v>
      </c>
      <c r="C962" s="112">
        <v>0</v>
      </c>
      <c r="D962" s="112" t="s">
        <v>1542</v>
      </c>
      <c r="E962" s="112" t="s">
        <v>1543</v>
      </c>
      <c r="F962" s="112" t="s">
        <v>1542</v>
      </c>
      <c r="G962" s="112" t="s">
        <v>1475</v>
      </c>
      <c r="H962" s="112" t="s">
        <v>1543</v>
      </c>
      <c r="I962" s="112">
        <v>0</v>
      </c>
    </row>
    <row r="963" spans="1:9">
      <c r="A963" s="112" t="s">
        <v>1476</v>
      </c>
      <c r="B963" s="112" t="s">
        <v>1541</v>
      </c>
      <c r="C963" s="112">
        <v>79.653469479999998</v>
      </c>
      <c r="D963" s="112" t="s">
        <v>1542</v>
      </c>
      <c r="E963" s="112" t="s">
        <v>1543</v>
      </c>
      <c r="F963" s="112" t="s">
        <v>1542</v>
      </c>
      <c r="G963" s="112" t="s">
        <v>1476</v>
      </c>
      <c r="H963" s="112" t="s">
        <v>1543</v>
      </c>
      <c r="I963" s="112">
        <v>231.3743637</v>
      </c>
    </row>
    <row r="964" spans="1:9">
      <c r="A964" s="112" t="s">
        <v>1477</v>
      </c>
      <c r="B964" s="112" t="s">
        <v>1541</v>
      </c>
      <c r="C964" s="112">
        <v>850.3826722</v>
      </c>
      <c r="D964" s="112" t="s">
        <v>1542</v>
      </c>
      <c r="E964" s="112" t="s">
        <v>1543</v>
      </c>
      <c r="F964" s="112" t="s">
        <v>1542</v>
      </c>
      <c r="G964" s="112" t="s">
        <v>1477</v>
      </c>
      <c r="H964" s="112" t="s">
        <v>1543</v>
      </c>
      <c r="I964" s="112">
        <v>1763.293482</v>
      </c>
    </row>
    <row r="965" spans="1:9">
      <c r="A965" s="112" t="s">
        <v>1478</v>
      </c>
      <c r="B965" s="112" t="s">
        <v>1541</v>
      </c>
      <c r="C965" s="112">
        <v>140.40495609999999</v>
      </c>
      <c r="D965" s="112" t="s">
        <v>1542</v>
      </c>
      <c r="E965" s="112" t="s">
        <v>1543</v>
      </c>
      <c r="F965" s="112" t="s">
        <v>1542</v>
      </c>
      <c r="G965" s="112" t="s">
        <v>1478</v>
      </c>
      <c r="H965" s="112" t="s">
        <v>1543</v>
      </c>
      <c r="I965" s="112">
        <v>923.21067029999995</v>
      </c>
    </row>
    <row r="966" spans="1:9">
      <c r="A966" s="112" t="s">
        <v>1479</v>
      </c>
      <c r="B966" s="112" t="s">
        <v>1541</v>
      </c>
      <c r="C966" s="112">
        <v>0</v>
      </c>
      <c r="D966" s="112" t="s">
        <v>1542</v>
      </c>
      <c r="E966" s="112" t="s">
        <v>1543</v>
      </c>
      <c r="F966" s="112" t="s">
        <v>1542</v>
      </c>
      <c r="G966" s="112" t="s">
        <v>1479</v>
      </c>
      <c r="H966" s="112" t="s">
        <v>1543</v>
      </c>
      <c r="I966" s="112">
        <v>1841.9290020000001</v>
      </c>
    </row>
    <row r="967" spans="1:9">
      <c r="A967" s="112" t="s">
        <v>1480</v>
      </c>
      <c r="B967" s="112" t="s">
        <v>1541</v>
      </c>
      <c r="C967" s="112">
        <v>31.878860329999998</v>
      </c>
      <c r="D967" s="112" t="s">
        <v>1542</v>
      </c>
      <c r="E967" s="112" t="s">
        <v>1543</v>
      </c>
      <c r="F967" s="112" t="s">
        <v>1542</v>
      </c>
      <c r="G967" s="112" t="s">
        <v>1480</v>
      </c>
      <c r="H967" s="112" t="s">
        <v>1543</v>
      </c>
      <c r="I967" s="112">
        <v>191.27316200000001</v>
      </c>
    </row>
    <row r="968" spans="1:9">
      <c r="A968" s="112" t="s">
        <v>1481</v>
      </c>
      <c r="B968" s="112" t="s">
        <v>1541</v>
      </c>
      <c r="C968" s="112">
        <v>0</v>
      </c>
      <c r="D968" s="112" t="s">
        <v>1542</v>
      </c>
      <c r="E968" s="112" t="s">
        <v>1543</v>
      </c>
      <c r="F968" s="112" t="s">
        <v>1542</v>
      </c>
      <c r="G968" s="112" t="s">
        <v>1481</v>
      </c>
      <c r="H968" s="112" t="s">
        <v>1543</v>
      </c>
      <c r="I968" s="112">
        <v>0</v>
      </c>
    </row>
    <row r="969" spans="1:9">
      <c r="A969" s="112" t="s">
        <v>1482</v>
      </c>
      <c r="B969" s="112" t="s">
        <v>1541</v>
      </c>
      <c r="C969" s="112">
        <v>0</v>
      </c>
      <c r="D969" s="112" t="s">
        <v>1542</v>
      </c>
      <c r="E969" s="112" t="s">
        <v>1543</v>
      </c>
      <c r="F969" s="112" t="s">
        <v>1542</v>
      </c>
      <c r="G969" s="112" t="s">
        <v>1482</v>
      </c>
      <c r="H969" s="112" t="s">
        <v>1543</v>
      </c>
      <c r="I969" s="112">
        <v>0</v>
      </c>
    </row>
    <row r="970" spans="1:9">
      <c r="A970" s="112" t="s">
        <v>1483</v>
      </c>
      <c r="B970" s="112" t="s">
        <v>1541</v>
      </c>
      <c r="C970" s="112">
        <v>0</v>
      </c>
      <c r="D970" s="112" t="s">
        <v>1542</v>
      </c>
      <c r="E970" s="112" t="s">
        <v>1543</v>
      </c>
      <c r="F970" s="112" t="s">
        <v>1542</v>
      </c>
      <c r="G970" s="112" t="s">
        <v>1483</v>
      </c>
      <c r="H970" s="112" t="s">
        <v>1543</v>
      </c>
      <c r="I970" s="112">
        <v>0</v>
      </c>
    </row>
    <row r="971" spans="1:9">
      <c r="A971" s="112" t="s">
        <v>1484</v>
      </c>
      <c r="B971" s="112" t="s">
        <v>1541</v>
      </c>
      <c r="C971" s="112">
        <v>0</v>
      </c>
      <c r="D971" s="112" t="s">
        <v>1542</v>
      </c>
      <c r="E971" s="112" t="s">
        <v>1543</v>
      </c>
      <c r="F971" s="112" t="s">
        <v>1542</v>
      </c>
      <c r="G971" s="112" t="s">
        <v>1484</v>
      </c>
      <c r="H971" s="112" t="s">
        <v>1543</v>
      </c>
      <c r="I971" s="112">
        <v>0</v>
      </c>
    </row>
    <row r="972" spans="1:9">
      <c r="A972" s="112" t="s">
        <v>1485</v>
      </c>
      <c r="B972" s="112" t="s">
        <v>1541</v>
      </c>
      <c r="C972" s="112">
        <v>0</v>
      </c>
      <c r="D972" s="112" t="s">
        <v>1542</v>
      </c>
      <c r="E972" s="112" t="s">
        <v>1543</v>
      </c>
      <c r="F972" s="112" t="s">
        <v>1542</v>
      </c>
      <c r="G972" s="112" t="s">
        <v>1485</v>
      </c>
      <c r="H972" s="112" t="s">
        <v>1543</v>
      </c>
      <c r="I972" s="112">
        <v>0</v>
      </c>
    </row>
    <row r="973" spans="1:9">
      <c r="A973" s="112" t="s">
        <v>1486</v>
      </c>
      <c r="B973" s="112" t="s">
        <v>1541</v>
      </c>
      <c r="C973" s="112">
        <v>0</v>
      </c>
      <c r="D973" s="112" t="s">
        <v>1542</v>
      </c>
      <c r="E973" s="112" t="s">
        <v>1543</v>
      </c>
      <c r="F973" s="112" t="s">
        <v>1542</v>
      </c>
      <c r="G973" s="112" t="s">
        <v>1486</v>
      </c>
      <c r="H973" s="112" t="s">
        <v>1543</v>
      </c>
      <c r="I973" s="112">
        <v>0</v>
      </c>
    </row>
    <row r="974" spans="1:9">
      <c r="A974" s="112" t="s">
        <v>1487</v>
      </c>
      <c r="B974" s="112" t="s">
        <v>1541</v>
      </c>
      <c r="C974" s="112">
        <v>0</v>
      </c>
      <c r="D974" s="112" t="s">
        <v>1542</v>
      </c>
      <c r="E974" s="112" t="s">
        <v>1543</v>
      </c>
      <c r="F974" s="112" t="s">
        <v>1542</v>
      </c>
      <c r="G974" s="112" t="s">
        <v>1487</v>
      </c>
      <c r="H974" s="112" t="s">
        <v>1543</v>
      </c>
      <c r="I974" s="112">
        <v>45.970670720000001</v>
      </c>
    </row>
    <row r="975" spans="1:9">
      <c r="A975" s="112" t="s">
        <v>1488</v>
      </c>
      <c r="B975" s="112" t="s">
        <v>1541</v>
      </c>
      <c r="C975" s="112">
        <v>0</v>
      </c>
      <c r="D975" s="112" t="s">
        <v>1542</v>
      </c>
      <c r="E975" s="112" t="s">
        <v>1543</v>
      </c>
      <c r="F975" s="112" t="s">
        <v>1542</v>
      </c>
      <c r="G975" s="112" t="s">
        <v>1488</v>
      </c>
      <c r="H975" s="112" t="s">
        <v>1543</v>
      </c>
      <c r="I975" s="112">
        <v>0</v>
      </c>
    </row>
    <row r="976" spans="1:9">
      <c r="A976" s="112" t="s">
        <v>1489</v>
      </c>
      <c r="B976" s="112" t="s">
        <v>1541</v>
      </c>
      <c r="C976" s="112">
        <v>0</v>
      </c>
      <c r="D976" s="112" t="s">
        <v>1542</v>
      </c>
      <c r="E976" s="112" t="s">
        <v>1543</v>
      </c>
      <c r="F976" s="112" t="s">
        <v>1542</v>
      </c>
      <c r="G976" s="112" t="s">
        <v>1489</v>
      </c>
      <c r="H976" s="112" t="s">
        <v>1543</v>
      </c>
      <c r="I976" s="112">
        <v>0</v>
      </c>
    </row>
    <row r="977" spans="1:9">
      <c r="A977" s="112" t="s">
        <v>1490</v>
      </c>
      <c r="B977" s="112" t="s">
        <v>1541</v>
      </c>
      <c r="C977" s="112">
        <v>0</v>
      </c>
      <c r="D977" s="112" t="s">
        <v>1542</v>
      </c>
      <c r="E977" s="112" t="s">
        <v>1543</v>
      </c>
      <c r="F977" s="112" t="s">
        <v>1542</v>
      </c>
      <c r="G977" s="112" t="s">
        <v>1490</v>
      </c>
      <c r="H977" s="112" t="s">
        <v>1543</v>
      </c>
      <c r="I977" s="112">
        <v>0</v>
      </c>
    </row>
    <row r="978" spans="1:9">
      <c r="A978" s="112" t="s">
        <v>1461</v>
      </c>
      <c r="B978" s="112" t="s">
        <v>1544</v>
      </c>
      <c r="C978" s="112">
        <v>1.3393783939999999</v>
      </c>
      <c r="D978" s="112" t="s">
        <v>1542</v>
      </c>
      <c r="E978" s="112" t="s">
        <v>1543</v>
      </c>
      <c r="F978" s="112" t="s">
        <v>1542</v>
      </c>
      <c r="G978" s="112" t="s">
        <v>1461</v>
      </c>
      <c r="H978" s="112" t="s">
        <v>1543</v>
      </c>
      <c r="I978" s="112">
        <v>14.063473139999999</v>
      </c>
    </row>
    <row r="979" spans="1:9">
      <c r="A979" s="112" t="s">
        <v>1465</v>
      </c>
      <c r="B979" s="112" t="s">
        <v>1544</v>
      </c>
      <c r="C979" s="112">
        <v>0</v>
      </c>
      <c r="D979" s="112" t="s">
        <v>1542</v>
      </c>
      <c r="E979" s="112" t="s">
        <v>1543</v>
      </c>
      <c r="F979" s="112" t="s">
        <v>1542</v>
      </c>
      <c r="G979" s="112" t="s">
        <v>1465</v>
      </c>
      <c r="H979" s="112" t="s">
        <v>1543</v>
      </c>
      <c r="I979" s="112">
        <v>0</v>
      </c>
    </row>
    <row r="980" spans="1:9">
      <c r="A980" s="112" t="s">
        <v>1466</v>
      </c>
      <c r="B980" s="112" t="s">
        <v>1544</v>
      </c>
      <c r="C980" s="112">
        <v>1115.4360079999999</v>
      </c>
      <c r="D980" s="112" t="s">
        <v>1542</v>
      </c>
      <c r="E980" s="112" t="s">
        <v>1543</v>
      </c>
      <c r="F980" s="112" t="s">
        <v>1542</v>
      </c>
      <c r="G980" s="112" t="s">
        <v>1466</v>
      </c>
      <c r="H980" s="112" t="s">
        <v>1543</v>
      </c>
      <c r="I980" s="112">
        <v>5391.2740370000001</v>
      </c>
    </row>
    <row r="981" spans="1:9">
      <c r="A981" s="112" t="s">
        <v>1467</v>
      </c>
      <c r="B981" s="112" t="s">
        <v>1544</v>
      </c>
      <c r="C981" s="112">
        <v>1380.0920060000001</v>
      </c>
      <c r="D981" s="112" t="s">
        <v>1542</v>
      </c>
      <c r="E981" s="112" t="s">
        <v>1543</v>
      </c>
      <c r="F981" s="112" t="s">
        <v>1542</v>
      </c>
      <c r="G981" s="112" t="s">
        <v>1467</v>
      </c>
      <c r="H981" s="112" t="s">
        <v>1543</v>
      </c>
      <c r="I981" s="112">
        <v>3546.2364160000002</v>
      </c>
    </row>
    <row r="982" spans="1:9">
      <c r="A982" s="112" t="s">
        <v>1468</v>
      </c>
      <c r="B982" s="112" t="s">
        <v>1544</v>
      </c>
      <c r="C982" s="112">
        <v>0</v>
      </c>
      <c r="D982" s="112" t="s">
        <v>1542</v>
      </c>
      <c r="E982" s="112" t="s">
        <v>1543</v>
      </c>
      <c r="F982" s="112" t="s">
        <v>1542</v>
      </c>
      <c r="G982" s="112" t="s">
        <v>1468</v>
      </c>
      <c r="H982" s="112" t="s">
        <v>1543</v>
      </c>
      <c r="I982" s="112">
        <v>7.2150592720000004</v>
      </c>
    </row>
    <row r="983" spans="1:9">
      <c r="A983" s="112" t="s">
        <v>1469</v>
      </c>
      <c r="B983" s="112" t="s">
        <v>1544</v>
      </c>
      <c r="C983" s="112">
        <v>8826.2441350000008</v>
      </c>
      <c r="D983" s="112" t="s">
        <v>1542</v>
      </c>
      <c r="E983" s="112" t="s">
        <v>1543</v>
      </c>
      <c r="F983" s="112" t="s">
        <v>1542</v>
      </c>
      <c r="G983" s="112" t="s">
        <v>1469</v>
      </c>
      <c r="H983" s="112" t="s">
        <v>1543</v>
      </c>
      <c r="I983" s="112">
        <v>11268.36397</v>
      </c>
    </row>
    <row r="984" spans="1:9">
      <c r="A984" s="112" t="s">
        <v>1470</v>
      </c>
      <c r="B984" s="112" t="s">
        <v>1544</v>
      </c>
      <c r="C984" s="112">
        <v>0</v>
      </c>
      <c r="D984" s="112" t="s">
        <v>1542</v>
      </c>
      <c r="E984" s="112" t="s">
        <v>1543</v>
      </c>
      <c r="F984" s="112" t="s">
        <v>1542</v>
      </c>
      <c r="G984" s="112" t="s">
        <v>1470</v>
      </c>
      <c r="H984" s="112" t="s">
        <v>1543</v>
      </c>
      <c r="I984" s="112">
        <v>0</v>
      </c>
    </row>
    <row r="985" spans="1:9">
      <c r="A985" s="112" t="s">
        <v>1471</v>
      </c>
      <c r="B985" s="112" t="s">
        <v>1544</v>
      </c>
      <c r="C985" s="112">
        <v>64.777542699999998</v>
      </c>
      <c r="D985" s="112" t="s">
        <v>1542</v>
      </c>
      <c r="E985" s="112" t="s">
        <v>1543</v>
      </c>
      <c r="F985" s="112" t="s">
        <v>1542</v>
      </c>
      <c r="G985" s="112" t="s">
        <v>1471</v>
      </c>
      <c r="H985" s="112" t="s">
        <v>1543</v>
      </c>
      <c r="I985" s="112">
        <v>537.6025985</v>
      </c>
    </row>
    <row r="986" spans="1:9">
      <c r="A986" s="112" t="s">
        <v>1472</v>
      </c>
      <c r="B986" s="112" t="s">
        <v>1544</v>
      </c>
      <c r="C986" s="112">
        <v>0</v>
      </c>
      <c r="D986" s="112" t="s">
        <v>1542</v>
      </c>
      <c r="E986" s="112" t="s">
        <v>1543</v>
      </c>
      <c r="F986" s="112" t="s">
        <v>1542</v>
      </c>
      <c r="G986" s="112" t="s">
        <v>1472</v>
      </c>
      <c r="H986" s="112" t="s">
        <v>1543</v>
      </c>
      <c r="I986" s="112">
        <v>0</v>
      </c>
    </row>
    <row r="987" spans="1:9">
      <c r="A987" s="112" t="s">
        <v>1473</v>
      </c>
      <c r="B987" s="112" t="s">
        <v>1544</v>
      </c>
      <c r="C987" s="112">
        <v>1344.0778459999999</v>
      </c>
      <c r="D987" s="112" t="s">
        <v>1542</v>
      </c>
      <c r="E987" s="112" t="s">
        <v>1543</v>
      </c>
      <c r="F987" s="112" t="s">
        <v>1542</v>
      </c>
      <c r="G987" s="112" t="s">
        <v>1473</v>
      </c>
      <c r="H987" s="112" t="s">
        <v>1543</v>
      </c>
      <c r="I987" s="112">
        <v>3577.5332440000002</v>
      </c>
    </row>
    <row r="988" spans="1:9">
      <c r="A988" s="112" t="s">
        <v>1474</v>
      </c>
      <c r="B988" s="112" t="s">
        <v>1544</v>
      </c>
      <c r="C988" s="112">
        <v>0</v>
      </c>
      <c r="D988" s="112" t="s">
        <v>1542</v>
      </c>
      <c r="E988" s="112" t="s">
        <v>1543</v>
      </c>
      <c r="F988" s="112" t="s">
        <v>1542</v>
      </c>
      <c r="G988" s="112" t="s">
        <v>1474</v>
      </c>
      <c r="H988" s="112" t="s">
        <v>1543</v>
      </c>
      <c r="I988" s="112">
        <v>0</v>
      </c>
    </row>
    <row r="989" spans="1:9">
      <c r="A989" s="112" t="s">
        <v>1475</v>
      </c>
      <c r="B989" s="112" t="s">
        <v>1544</v>
      </c>
      <c r="C989" s="112">
        <v>0</v>
      </c>
      <c r="D989" s="112" t="s">
        <v>1542</v>
      </c>
      <c r="E989" s="112" t="s">
        <v>1543</v>
      </c>
      <c r="F989" s="112" t="s">
        <v>1542</v>
      </c>
      <c r="G989" s="112" t="s">
        <v>1475</v>
      </c>
      <c r="H989" s="112" t="s">
        <v>1543</v>
      </c>
      <c r="I989" s="112">
        <v>0</v>
      </c>
    </row>
    <row r="990" spans="1:9">
      <c r="A990" s="112" t="s">
        <v>1476</v>
      </c>
      <c r="B990" s="112" t="s">
        <v>1544</v>
      </c>
      <c r="C990" s="112">
        <v>64.481380049999999</v>
      </c>
      <c r="D990" s="112" t="s">
        <v>1542</v>
      </c>
      <c r="E990" s="112" t="s">
        <v>1543</v>
      </c>
      <c r="F990" s="112" t="s">
        <v>1542</v>
      </c>
      <c r="G990" s="112" t="s">
        <v>1476</v>
      </c>
      <c r="H990" s="112" t="s">
        <v>1543</v>
      </c>
      <c r="I990" s="112">
        <v>231.3743637</v>
      </c>
    </row>
    <row r="991" spans="1:9">
      <c r="A991" s="112" t="s">
        <v>1477</v>
      </c>
      <c r="B991" s="112" t="s">
        <v>1544</v>
      </c>
      <c r="C991" s="112">
        <v>675.30388670000002</v>
      </c>
      <c r="D991" s="112" t="s">
        <v>1542</v>
      </c>
      <c r="E991" s="112" t="s">
        <v>1543</v>
      </c>
      <c r="F991" s="112" t="s">
        <v>1542</v>
      </c>
      <c r="G991" s="112" t="s">
        <v>1477</v>
      </c>
      <c r="H991" s="112" t="s">
        <v>1543</v>
      </c>
      <c r="I991" s="112">
        <v>1763.293482</v>
      </c>
    </row>
    <row r="992" spans="1:9">
      <c r="A992" s="112" t="s">
        <v>1478</v>
      </c>
      <c r="B992" s="112" t="s">
        <v>1544</v>
      </c>
      <c r="C992" s="112">
        <v>489.81455010000002</v>
      </c>
      <c r="D992" s="112" t="s">
        <v>1542</v>
      </c>
      <c r="E992" s="112" t="s">
        <v>1543</v>
      </c>
      <c r="F992" s="112" t="s">
        <v>1542</v>
      </c>
      <c r="G992" s="112" t="s">
        <v>1478</v>
      </c>
      <c r="H992" s="112" t="s">
        <v>1543</v>
      </c>
      <c r="I992" s="112">
        <v>923.21067029999995</v>
      </c>
    </row>
    <row r="993" spans="1:9">
      <c r="A993" s="112" t="s">
        <v>1479</v>
      </c>
      <c r="B993" s="112" t="s">
        <v>1544</v>
      </c>
      <c r="C993" s="112">
        <v>167.4480911</v>
      </c>
      <c r="D993" s="112" t="s">
        <v>1542</v>
      </c>
      <c r="E993" s="112" t="s">
        <v>1543</v>
      </c>
      <c r="F993" s="112" t="s">
        <v>1542</v>
      </c>
      <c r="G993" s="112" t="s">
        <v>1479</v>
      </c>
      <c r="H993" s="112" t="s">
        <v>1543</v>
      </c>
      <c r="I993" s="112">
        <v>1841.9290020000001</v>
      </c>
    </row>
    <row r="994" spans="1:9">
      <c r="A994" s="112" t="s">
        <v>1480</v>
      </c>
      <c r="B994" s="112" t="s">
        <v>1544</v>
      </c>
      <c r="C994" s="112">
        <v>151.4245866</v>
      </c>
      <c r="D994" s="112" t="s">
        <v>1542</v>
      </c>
      <c r="E994" s="112" t="s">
        <v>1543</v>
      </c>
      <c r="F994" s="112" t="s">
        <v>1542</v>
      </c>
      <c r="G994" s="112" t="s">
        <v>1480</v>
      </c>
      <c r="H994" s="112" t="s">
        <v>1543</v>
      </c>
      <c r="I994" s="112">
        <v>191.27316200000001</v>
      </c>
    </row>
    <row r="995" spans="1:9">
      <c r="A995" s="112" t="s">
        <v>1481</v>
      </c>
      <c r="B995" s="112" t="s">
        <v>1544</v>
      </c>
      <c r="C995" s="112">
        <v>0</v>
      </c>
      <c r="D995" s="112" t="s">
        <v>1542</v>
      </c>
      <c r="E995" s="112" t="s">
        <v>1543</v>
      </c>
      <c r="F995" s="112" t="s">
        <v>1542</v>
      </c>
      <c r="G995" s="112" t="s">
        <v>1481</v>
      </c>
      <c r="H995" s="112" t="s">
        <v>1543</v>
      </c>
      <c r="I995" s="112">
        <v>0</v>
      </c>
    </row>
    <row r="996" spans="1:9">
      <c r="A996" s="112" t="s">
        <v>1482</v>
      </c>
      <c r="B996" s="112" t="s">
        <v>1544</v>
      </c>
      <c r="C996" s="112">
        <v>0</v>
      </c>
      <c r="D996" s="112" t="s">
        <v>1542</v>
      </c>
      <c r="E996" s="112" t="s">
        <v>1543</v>
      </c>
      <c r="F996" s="112" t="s">
        <v>1542</v>
      </c>
      <c r="G996" s="112" t="s">
        <v>1482</v>
      </c>
      <c r="H996" s="112" t="s">
        <v>1543</v>
      </c>
      <c r="I996" s="112">
        <v>0</v>
      </c>
    </row>
    <row r="997" spans="1:9">
      <c r="A997" s="112" t="s">
        <v>1483</v>
      </c>
      <c r="B997" s="112" t="s">
        <v>1544</v>
      </c>
      <c r="C997" s="112">
        <v>0</v>
      </c>
      <c r="D997" s="112" t="s">
        <v>1542</v>
      </c>
      <c r="E997" s="112" t="s">
        <v>1543</v>
      </c>
      <c r="F997" s="112" t="s">
        <v>1542</v>
      </c>
      <c r="G997" s="112" t="s">
        <v>1483</v>
      </c>
      <c r="H997" s="112" t="s">
        <v>1543</v>
      </c>
      <c r="I997" s="112">
        <v>0</v>
      </c>
    </row>
    <row r="998" spans="1:9">
      <c r="A998" s="112" t="s">
        <v>1484</v>
      </c>
      <c r="B998" s="112" t="s">
        <v>1544</v>
      </c>
      <c r="C998" s="112">
        <v>0</v>
      </c>
      <c r="D998" s="112" t="s">
        <v>1542</v>
      </c>
      <c r="E998" s="112" t="s">
        <v>1543</v>
      </c>
      <c r="F998" s="112" t="s">
        <v>1542</v>
      </c>
      <c r="G998" s="112" t="s">
        <v>1484</v>
      </c>
      <c r="H998" s="112" t="s">
        <v>1543</v>
      </c>
      <c r="I998" s="112">
        <v>0</v>
      </c>
    </row>
    <row r="999" spans="1:9">
      <c r="A999" s="112" t="s">
        <v>1485</v>
      </c>
      <c r="B999" s="112" t="s">
        <v>1544</v>
      </c>
      <c r="C999" s="112">
        <v>0</v>
      </c>
      <c r="D999" s="112" t="s">
        <v>1542</v>
      </c>
      <c r="E999" s="112" t="s">
        <v>1543</v>
      </c>
      <c r="F999" s="112" t="s">
        <v>1542</v>
      </c>
      <c r="G999" s="112" t="s">
        <v>1485</v>
      </c>
      <c r="H999" s="112" t="s">
        <v>1543</v>
      </c>
      <c r="I999" s="112">
        <v>0</v>
      </c>
    </row>
    <row r="1000" spans="1:9">
      <c r="A1000" s="112" t="s">
        <v>1486</v>
      </c>
      <c r="B1000" s="112" t="s">
        <v>1544</v>
      </c>
      <c r="C1000" s="112">
        <v>0</v>
      </c>
      <c r="D1000" s="112" t="s">
        <v>1542</v>
      </c>
      <c r="E1000" s="112" t="s">
        <v>1543</v>
      </c>
      <c r="F1000" s="112" t="s">
        <v>1542</v>
      </c>
      <c r="G1000" s="112" t="s">
        <v>1486</v>
      </c>
      <c r="H1000" s="112" t="s">
        <v>1543</v>
      </c>
      <c r="I1000" s="112">
        <v>0</v>
      </c>
    </row>
    <row r="1001" spans="1:9">
      <c r="A1001" s="112" t="s">
        <v>1487</v>
      </c>
      <c r="B1001" s="112" t="s">
        <v>1544</v>
      </c>
      <c r="C1001" s="112">
        <v>22.985335360000001</v>
      </c>
      <c r="D1001" s="112" t="s">
        <v>1542</v>
      </c>
      <c r="E1001" s="112" t="s">
        <v>1543</v>
      </c>
      <c r="F1001" s="112" t="s">
        <v>1542</v>
      </c>
      <c r="G1001" s="112" t="s">
        <v>1487</v>
      </c>
      <c r="H1001" s="112" t="s">
        <v>1543</v>
      </c>
      <c r="I1001" s="112">
        <v>45.970670720000001</v>
      </c>
    </row>
    <row r="1002" spans="1:9">
      <c r="A1002" s="112" t="s">
        <v>1488</v>
      </c>
      <c r="B1002" s="112" t="s">
        <v>1544</v>
      </c>
      <c r="C1002" s="112">
        <v>0</v>
      </c>
      <c r="D1002" s="112" t="s">
        <v>1542</v>
      </c>
      <c r="E1002" s="112" t="s">
        <v>1543</v>
      </c>
      <c r="F1002" s="112" t="s">
        <v>1542</v>
      </c>
      <c r="G1002" s="112" t="s">
        <v>1488</v>
      </c>
      <c r="H1002" s="112" t="s">
        <v>1543</v>
      </c>
      <c r="I1002" s="112">
        <v>0</v>
      </c>
    </row>
    <row r="1003" spans="1:9">
      <c r="A1003" s="112" t="s">
        <v>1489</v>
      </c>
      <c r="B1003" s="112" t="s">
        <v>1544</v>
      </c>
      <c r="C1003" s="112">
        <v>0</v>
      </c>
      <c r="D1003" s="112" t="s">
        <v>1542</v>
      </c>
      <c r="E1003" s="112" t="s">
        <v>1543</v>
      </c>
      <c r="F1003" s="112" t="s">
        <v>1542</v>
      </c>
      <c r="G1003" s="112" t="s">
        <v>1489</v>
      </c>
      <c r="H1003" s="112" t="s">
        <v>1543</v>
      </c>
      <c r="I1003" s="112">
        <v>0</v>
      </c>
    </row>
    <row r="1004" spans="1:9">
      <c r="A1004" s="112" t="s">
        <v>1490</v>
      </c>
      <c r="B1004" s="112" t="s">
        <v>1544</v>
      </c>
      <c r="C1004" s="112">
        <v>0</v>
      </c>
      <c r="D1004" s="112" t="s">
        <v>1542</v>
      </c>
      <c r="E1004" s="112" t="s">
        <v>1543</v>
      </c>
      <c r="F1004" s="112" t="s">
        <v>1542</v>
      </c>
      <c r="G1004" s="112" t="s">
        <v>1490</v>
      </c>
      <c r="H1004" s="112" t="s">
        <v>1543</v>
      </c>
      <c r="I1004" s="112">
        <v>0</v>
      </c>
    </row>
    <row r="1005" spans="1:9">
      <c r="A1005" s="112" t="s">
        <v>1461</v>
      </c>
      <c r="B1005" s="112" t="s">
        <v>1545</v>
      </c>
      <c r="C1005" s="112">
        <v>0.66968919699999996</v>
      </c>
      <c r="D1005" s="112" t="s">
        <v>1542</v>
      </c>
      <c r="E1005" s="112" t="s">
        <v>1543</v>
      </c>
      <c r="F1005" s="112" t="s">
        <v>1542</v>
      </c>
      <c r="G1005" s="112" t="s">
        <v>1461</v>
      </c>
      <c r="H1005" s="112" t="s">
        <v>1543</v>
      </c>
      <c r="I1005" s="112">
        <v>14.063473139999999</v>
      </c>
    </row>
    <row r="1006" spans="1:9">
      <c r="A1006" s="112" t="s">
        <v>1465</v>
      </c>
      <c r="B1006" s="112" t="s">
        <v>1545</v>
      </c>
      <c r="C1006" s="112">
        <v>0</v>
      </c>
      <c r="D1006" s="112" t="s">
        <v>1542</v>
      </c>
      <c r="E1006" s="112" t="s">
        <v>1543</v>
      </c>
      <c r="F1006" s="112" t="s">
        <v>1542</v>
      </c>
      <c r="G1006" s="112" t="s">
        <v>1465</v>
      </c>
      <c r="H1006" s="112" t="s">
        <v>1543</v>
      </c>
      <c r="I1006" s="112">
        <v>0</v>
      </c>
    </row>
    <row r="1007" spans="1:9">
      <c r="A1007" s="112" t="s">
        <v>1466</v>
      </c>
      <c r="B1007" s="112" t="s">
        <v>1545</v>
      </c>
      <c r="C1007" s="112">
        <v>732.00487999999996</v>
      </c>
      <c r="D1007" s="112" t="s">
        <v>1542</v>
      </c>
      <c r="E1007" s="112" t="s">
        <v>1543</v>
      </c>
      <c r="F1007" s="112" t="s">
        <v>1542</v>
      </c>
      <c r="G1007" s="112" t="s">
        <v>1466</v>
      </c>
      <c r="H1007" s="112" t="s">
        <v>1543</v>
      </c>
      <c r="I1007" s="112">
        <v>5391.2740370000001</v>
      </c>
    </row>
    <row r="1008" spans="1:9">
      <c r="A1008" s="112" t="s">
        <v>1467</v>
      </c>
      <c r="B1008" s="112" t="s">
        <v>1545</v>
      </c>
      <c r="C1008" s="112">
        <v>542.03613570000005</v>
      </c>
      <c r="D1008" s="112" t="s">
        <v>1542</v>
      </c>
      <c r="E1008" s="112" t="s">
        <v>1543</v>
      </c>
      <c r="F1008" s="112" t="s">
        <v>1542</v>
      </c>
      <c r="G1008" s="112" t="s">
        <v>1467</v>
      </c>
      <c r="H1008" s="112" t="s">
        <v>1543</v>
      </c>
      <c r="I1008" s="112">
        <v>3546.2364160000002</v>
      </c>
    </row>
    <row r="1009" spans="1:9">
      <c r="A1009" s="112" t="s">
        <v>1468</v>
      </c>
      <c r="B1009" s="112" t="s">
        <v>1545</v>
      </c>
      <c r="C1009" s="112">
        <v>7.2150592720000004</v>
      </c>
      <c r="D1009" s="112" t="s">
        <v>1542</v>
      </c>
      <c r="E1009" s="112" t="s">
        <v>1543</v>
      </c>
      <c r="F1009" s="112" t="s">
        <v>1542</v>
      </c>
      <c r="G1009" s="112" t="s">
        <v>1468</v>
      </c>
      <c r="H1009" s="112" t="s">
        <v>1543</v>
      </c>
      <c r="I1009" s="112">
        <v>7.2150592720000004</v>
      </c>
    </row>
    <row r="1010" spans="1:9">
      <c r="A1010" s="112" t="s">
        <v>1469</v>
      </c>
      <c r="B1010" s="112" t="s">
        <v>1545</v>
      </c>
      <c r="C1010" s="112">
        <v>721.09837700000003</v>
      </c>
      <c r="D1010" s="112" t="s">
        <v>1542</v>
      </c>
      <c r="E1010" s="112" t="s">
        <v>1543</v>
      </c>
      <c r="F1010" s="112" t="s">
        <v>1542</v>
      </c>
      <c r="G1010" s="112" t="s">
        <v>1469</v>
      </c>
      <c r="H1010" s="112" t="s">
        <v>1543</v>
      </c>
      <c r="I1010" s="112">
        <v>11268.36397</v>
      </c>
    </row>
    <row r="1011" spans="1:9">
      <c r="A1011" s="112" t="s">
        <v>1470</v>
      </c>
      <c r="B1011" s="112" t="s">
        <v>1545</v>
      </c>
      <c r="C1011" s="112">
        <v>0</v>
      </c>
      <c r="D1011" s="112" t="s">
        <v>1542</v>
      </c>
      <c r="E1011" s="112" t="s">
        <v>1543</v>
      </c>
      <c r="F1011" s="112" t="s">
        <v>1542</v>
      </c>
      <c r="G1011" s="112" t="s">
        <v>1470</v>
      </c>
      <c r="H1011" s="112" t="s">
        <v>1543</v>
      </c>
      <c r="I1011" s="112">
        <v>0</v>
      </c>
    </row>
    <row r="1012" spans="1:9">
      <c r="A1012" s="112" t="s">
        <v>1471</v>
      </c>
      <c r="B1012" s="112" t="s">
        <v>1545</v>
      </c>
      <c r="C1012" s="112">
        <v>188.7219748</v>
      </c>
      <c r="D1012" s="112" t="s">
        <v>1542</v>
      </c>
      <c r="E1012" s="112" t="s">
        <v>1543</v>
      </c>
      <c r="F1012" s="112" t="s">
        <v>1542</v>
      </c>
      <c r="G1012" s="112" t="s">
        <v>1471</v>
      </c>
      <c r="H1012" s="112" t="s">
        <v>1543</v>
      </c>
      <c r="I1012" s="112">
        <v>537.6025985</v>
      </c>
    </row>
    <row r="1013" spans="1:9">
      <c r="A1013" s="112" t="s">
        <v>1472</v>
      </c>
      <c r="B1013" s="112" t="s">
        <v>1545</v>
      </c>
      <c r="C1013" s="112">
        <v>0</v>
      </c>
      <c r="D1013" s="112" t="s">
        <v>1542</v>
      </c>
      <c r="E1013" s="112" t="s">
        <v>1543</v>
      </c>
      <c r="F1013" s="112" t="s">
        <v>1542</v>
      </c>
      <c r="G1013" s="112" t="s">
        <v>1472</v>
      </c>
      <c r="H1013" s="112" t="s">
        <v>1543</v>
      </c>
      <c r="I1013" s="112">
        <v>0</v>
      </c>
    </row>
    <row r="1014" spans="1:9">
      <c r="A1014" s="112" t="s">
        <v>1473</v>
      </c>
      <c r="B1014" s="112" t="s">
        <v>1545</v>
      </c>
      <c r="C1014" s="112">
        <v>432.14269780000001</v>
      </c>
      <c r="D1014" s="112" t="s">
        <v>1542</v>
      </c>
      <c r="E1014" s="112" t="s">
        <v>1543</v>
      </c>
      <c r="F1014" s="112" t="s">
        <v>1542</v>
      </c>
      <c r="G1014" s="112" t="s">
        <v>1473</v>
      </c>
      <c r="H1014" s="112" t="s">
        <v>1543</v>
      </c>
      <c r="I1014" s="112">
        <v>3577.5332440000002</v>
      </c>
    </row>
    <row r="1015" spans="1:9">
      <c r="A1015" s="112" t="s">
        <v>1474</v>
      </c>
      <c r="B1015" s="112" t="s">
        <v>1545</v>
      </c>
      <c r="C1015" s="112">
        <v>0</v>
      </c>
      <c r="D1015" s="112" t="s">
        <v>1542</v>
      </c>
      <c r="E1015" s="112" t="s">
        <v>1543</v>
      </c>
      <c r="F1015" s="112" t="s">
        <v>1542</v>
      </c>
      <c r="G1015" s="112" t="s">
        <v>1474</v>
      </c>
      <c r="H1015" s="112" t="s">
        <v>1543</v>
      </c>
      <c r="I1015" s="112">
        <v>0</v>
      </c>
    </row>
    <row r="1016" spans="1:9">
      <c r="A1016" s="112" t="s">
        <v>1475</v>
      </c>
      <c r="B1016" s="112" t="s">
        <v>1545</v>
      </c>
      <c r="C1016" s="112">
        <v>0</v>
      </c>
      <c r="D1016" s="112" t="s">
        <v>1542</v>
      </c>
      <c r="E1016" s="112" t="s">
        <v>1543</v>
      </c>
      <c r="F1016" s="112" t="s">
        <v>1542</v>
      </c>
      <c r="G1016" s="112" t="s">
        <v>1475</v>
      </c>
      <c r="H1016" s="112" t="s">
        <v>1543</v>
      </c>
      <c r="I1016" s="112">
        <v>0</v>
      </c>
    </row>
    <row r="1017" spans="1:9">
      <c r="A1017" s="112" t="s">
        <v>1476</v>
      </c>
      <c r="B1017" s="112" t="s">
        <v>1545</v>
      </c>
      <c r="C1017" s="112">
        <v>37.930223560000002</v>
      </c>
      <c r="D1017" s="112" t="s">
        <v>1542</v>
      </c>
      <c r="E1017" s="112" t="s">
        <v>1543</v>
      </c>
      <c r="F1017" s="112" t="s">
        <v>1542</v>
      </c>
      <c r="G1017" s="112" t="s">
        <v>1476</v>
      </c>
      <c r="H1017" s="112" t="s">
        <v>1543</v>
      </c>
      <c r="I1017" s="112">
        <v>231.3743637</v>
      </c>
    </row>
    <row r="1018" spans="1:9">
      <c r="A1018" s="112" t="s">
        <v>1477</v>
      </c>
      <c r="B1018" s="112" t="s">
        <v>1545</v>
      </c>
      <c r="C1018" s="112">
        <v>150.06753040000001</v>
      </c>
      <c r="D1018" s="112" t="s">
        <v>1542</v>
      </c>
      <c r="E1018" s="112" t="s">
        <v>1543</v>
      </c>
      <c r="F1018" s="112" t="s">
        <v>1542</v>
      </c>
      <c r="G1018" s="112" t="s">
        <v>1477</v>
      </c>
      <c r="H1018" s="112" t="s">
        <v>1543</v>
      </c>
      <c r="I1018" s="112">
        <v>1763.293482</v>
      </c>
    </row>
    <row r="1019" spans="1:9">
      <c r="A1019" s="112" t="s">
        <v>1478</v>
      </c>
      <c r="B1019" s="112" t="s">
        <v>1545</v>
      </c>
      <c r="C1019" s="112">
        <v>133.99377089999999</v>
      </c>
      <c r="D1019" s="112" t="s">
        <v>1542</v>
      </c>
      <c r="E1019" s="112" t="s">
        <v>1543</v>
      </c>
      <c r="F1019" s="112" t="s">
        <v>1542</v>
      </c>
      <c r="G1019" s="112" t="s">
        <v>1478</v>
      </c>
      <c r="H1019" s="112" t="s">
        <v>1543</v>
      </c>
      <c r="I1019" s="112">
        <v>923.21067029999995</v>
      </c>
    </row>
    <row r="1020" spans="1:9">
      <c r="A1020" s="112" t="s">
        <v>1479</v>
      </c>
      <c r="B1020" s="112" t="s">
        <v>1545</v>
      </c>
      <c r="C1020" s="112">
        <v>1674.4809110000001</v>
      </c>
      <c r="D1020" s="112" t="s">
        <v>1542</v>
      </c>
      <c r="E1020" s="112" t="s">
        <v>1543</v>
      </c>
      <c r="F1020" s="112" t="s">
        <v>1542</v>
      </c>
      <c r="G1020" s="112" t="s">
        <v>1479</v>
      </c>
      <c r="H1020" s="112" t="s">
        <v>1543</v>
      </c>
      <c r="I1020" s="112">
        <v>1841.9290020000001</v>
      </c>
    </row>
    <row r="1021" spans="1:9">
      <c r="A1021" s="112" t="s">
        <v>1480</v>
      </c>
      <c r="B1021" s="112" t="s">
        <v>1545</v>
      </c>
      <c r="C1021" s="112">
        <v>0</v>
      </c>
      <c r="D1021" s="112" t="s">
        <v>1542</v>
      </c>
      <c r="E1021" s="112" t="s">
        <v>1543</v>
      </c>
      <c r="F1021" s="112" t="s">
        <v>1542</v>
      </c>
      <c r="G1021" s="112" t="s">
        <v>1480</v>
      </c>
      <c r="H1021" s="112" t="s">
        <v>1543</v>
      </c>
      <c r="I1021" s="112">
        <v>191.27316200000001</v>
      </c>
    </row>
    <row r="1022" spans="1:9">
      <c r="A1022" s="112" t="s">
        <v>1481</v>
      </c>
      <c r="B1022" s="112" t="s">
        <v>1545</v>
      </c>
      <c r="C1022" s="112">
        <v>0</v>
      </c>
      <c r="D1022" s="112" t="s">
        <v>1542</v>
      </c>
      <c r="E1022" s="112" t="s">
        <v>1543</v>
      </c>
      <c r="F1022" s="112" t="s">
        <v>1542</v>
      </c>
      <c r="G1022" s="112" t="s">
        <v>1481</v>
      </c>
      <c r="H1022" s="112" t="s">
        <v>1543</v>
      </c>
      <c r="I1022" s="112">
        <v>0</v>
      </c>
    </row>
    <row r="1023" spans="1:9">
      <c r="A1023" s="112" t="s">
        <v>1482</v>
      </c>
      <c r="B1023" s="112" t="s">
        <v>1545</v>
      </c>
      <c r="C1023" s="112">
        <v>0</v>
      </c>
      <c r="D1023" s="112" t="s">
        <v>1542</v>
      </c>
      <c r="E1023" s="112" t="s">
        <v>1543</v>
      </c>
      <c r="F1023" s="112" t="s">
        <v>1542</v>
      </c>
      <c r="G1023" s="112" t="s">
        <v>1482</v>
      </c>
      <c r="H1023" s="112" t="s">
        <v>1543</v>
      </c>
      <c r="I1023" s="112">
        <v>0</v>
      </c>
    </row>
    <row r="1024" spans="1:9">
      <c r="A1024" s="112" t="s">
        <v>1483</v>
      </c>
      <c r="B1024" s="112" t="s">
        <v>1545</v>
      </c>
      <c r="C1024" s="112">
        <v>0</v>
      </c>
      <c r="D1024" s="112" t="s">
        <v>1542</v>
      </c>
      <c r="E1024" s="112" t="s">
        <v>1543</v>
      </c>
      <c r="F1024" s="112" t="s">
        <v>1542</v>
      </c>
      <c r="G1024" s="112" t="s">
        <v>1483</v>
      </c>
      <c r="H1024" s="112" t="s">
        <v>1543</v>
      </c>
      <c r="I1024" s="112">
        <v>0</v>
      </c>
    </row>
    <row r="1025" spans="1:9">
      <c r="A1025" s="112" t="s">
        <v>1484</v>
      </c>
      <c r="B1025" s="112" t="s">
        <v>1545</v>
      </c>
      <c r="C1025" s="112">
        <v>0</v>
      </c>
      <c r="D1025" s="112" t="s">
        <v>1542</v>
      </c>
      <c r="E1025" s="112" t="s">
        <v>1543</v>
      </c>
      <c r="F1025" s="112" t="s">
        <v>1542</v>
      </c>
      <c r="G1025" s="112" t="s">
        <v>1484</v>
      </c>
      <c r="H1025" s="112" t="s">
        <v>1543</v>
      </c>
      <c r="I1025" s="112">
        <v>0</v>
      </c>
    </row>
    <row r="1026" spans="1:9">
      <c r="A1026" s="112" t="s">
        <v>1485</v>
      </c>
      <c r="B1026" s="112" t="s">
        <v>1545</v>
      </c>
      <c r="C1026" s="112">
        <v>0</v>
      </c>
      <c r="D1026" s="112" t="s">
        <v>1542</v>
      </c>
      <c r="E1026" s="112" t="s">
        <v>1543</v>
      </c>
      <c r="F1026" s="112" t="s">
        <v>1542</v>
      </c>
      <c r="G1026" s="112" t="s">
        <v>1485</v>
      </c>
      <c r="H1026" s="112" t="s">
        <v>1543</v>
      </c>
      <c r="I1026" s="112">
        <v>0</v>
      </c>
    </row>
    <row r="1027" spans="1:9">
      <c r="A1027" s="112" t="s">
        <v>1486</v>
      </c>
      <c r="B1027" s="112" t="s">
        <v>1545</v>
      </c>
      <c r="C1027" s="112">
        <v>0</v>
      </c>
      <c r="D1027" s="112" t="s">
        <v>1542</v>
      </c>
      <c r="E1027" s="112" t="s">
        <v>1543</v>
      </c>
      <c r="F1027" s="112" t="s">
        <v>1542</v>
      </c>
      <c r="G1027" s="112" t="s">
        <v>1486</v>
      </c>
      <c r="H1027" s="112" t="s">
        <v>1543</v>
      </c>
      <c r="I1027" s="112">
        <v>0</v>
      </c>
    </row>
    <row r="1028" spans="1:9">
      <c r="A1028" s="112" t="s">
        <v>1487</v>
      </c>
      <c r="B1028" s="112" t="s">
        <v>1545</v>
      </c>
      <c r="C1028" s="112">
        <v>0</v>
      </c>
      <c r="D1028" s="112" t="s">
        <v>1542</v>
      </c>
      <c r="E1028" s="112" t="s">
        <v>1543</v>
      </c>
      <c r="F1028" s="112" t="s">
        <v>1542</v>
      </c>
      <c r="G1028" s="112" t="s">
        <v>1487</v>
      </c>
      <c r="H1028" s="112" t="s">
        <v>1543</v>
      </c>
      <c r="I1028" s="112">
        <v>45.970670720000001</v>
      </c>
    </row>
    <row r="1029" spans="1:9">
      <c r="A1029" s="112" t="s">
        <v>1488</v>
      </c>
      <c r="B1029" s="112" t="s">
        <v>1545</v>
      </c>
      <c r="C1029" s="112">
        <v>0</v>
      </c>
      <c r="D1029" s="112" t="s">
        <v>1542</v>
      </c>
      <c r="E1029" s="112" t="s">
        <v>1543</v>
      </c>
      <c r="F1029" s="112" t="s">
        <v>1542</v>
      </c>
      <c r="G1029" s="112" t="s">
        <v>1488</v>
      </c>
      <c r="H1029" s="112" t="s">
        <v>1543</v>
      </c>
      <c r="I1029" s="112">
        <v>0</v>
      </c>
    </row>
    <row r="1030" spans="1:9">
      <c r="A1030" s="112" t="s">
        <v>1489</v>
      </c>
      <c r="B1030" s="112" t="s">
        <v>1545</v>
      </c>
      <c r="C1030" s="112">
        <v>0</v>
      </c>
      <c r="D1030" s="112" t="s">
        <v>1542</v>
      </c>
      <c r="E1030" s="112" t="s">
        <v>1543</v>
      </c>
      <c r="F1030" s="112" t="s">
        <v>1542</v>
      </c>
      <c r="G1030" s="112" t="s">
        <v>1489</v>
      </c>
      <c r="H1030" s="112" t="s">
        <v>1543</v>
      </c>
      <c r="I1030" s="112">
        <v>0</v>
      </c>
    </row>
    <row r="1031" spans="1:9">
      <c r="A1031" s="112" t="s">
        <v>1490</v>
      </c>
      <c r="B1031" s="112" t="s">
        <v>1545</v>
      </c>
      <c r="C1031" s="112">
        <v>0</v>
      </c>
      <c r="D1031" s="112" t="s">
        <v>1542</v>
      </c>
      <c r="E1031" s="112" t="s">
        <v>1543</v>
      </c>
      <c r="F1031" s="112" t="s">
        <v>1542</v>
      </c>
      <c r="G1031" s="112" t="s">
        <v>1490</v>
      </c>
      <c r="H1031" s="112" t="s">
        <v>1543</v>
      </c>
      <c r="I1031" s="112">
        <v>0</v>
      </c>
    </row>
    <row r="1032" spans="1:9">
      <c r="A1032" s="112" t="s">
        <v>1461</v>
      </c>
      <c r="B1032" s="112" t="s">
        <v>1546</v>
      </c>
      <c r="C1032" s="112">
        <v>0</v>
      </c>
      <c r="D1032" s="112" t="s">
        <v>1542</v>
      </c>
      <c r="E1032" s="112" t="s">
        <v>1543</v>
      </c>
      <c r="F1032" s="112" t="s">
        <v>1542</v>
      </c>
      <c r="G1032" s="112" t="s">
        <v>1461</v>
      </c>
      <c r="H1032" s="112" t="s">
        <v>1543</v>
      </c>
      <c r="I1032" s="112">
        <v>14.063473139999999</v>
      </c>
    </row>
    <row r="1033" spans="1:9">
      <c r="A1033" s="112" t="s">
        <v>1465</v>
      </c>
      <c r="B1033" s="112" t="s">
        <v>1546</v>
      </c>
      <c r="C1033" s="112">
        <v>0</v>
      </c>
      <c r="D1033" s="112" t="s">
        <v>1542</v>
      </c>
      <c r="E1033" s="112" t="s">
        <v>1543</v>
      </c>
      <c r="F1033" s="112" t="s">
        <v>1542</v>
      </c>
      <c r="G1033" s="112" t="s">
        <v>1465</v>
      </c>
      <c r="H1033" s="112" t="s">
        <v>1543</v>
      </c>
      <c r="I1033" s="112">
        <v>0</v>
      </c>
    </row>
    <row r="1034" spans="1:9">
      <c r="A1034" s="112" t="s">
        <v>1466</v>
      </c>
      <c r="B1034" s="112" t="s">
        <v>1546</v>
      </c>
      <c r="C1034" s="112">
        <v>325.33550220000001</v>
      </c>
      <c r="D1034" s="112" t="s">
        <v>1542</v>
      </c>
      <c r="E1034" s="112" t="s">
        <v>1543</v>
      </c>
      <c r="F1034" s="112" t="s">
        <v>1542</v>
      </c>
      <c r="G1034" s="112" t="s">
        <v>1466</v>
      </c>
      <c r="H1034" s="112" t="s">
        <v>1543</v>
      </c>
      <c r="I1034" s="112">
        <v>5391.2740370000001</v>
      </c>
    </row>
    <row r="1035" spans="1:9">
      <c r="A1035" s="112" t="s">
        <v>1467</v>
      </c>
      <c r="B1035" s="112" t="s">
        <v>1546</v>
      </c>
      <c r="C1035" s="112">
        <v>265.35102339999997</v>
      </c>
      <c r="D1035" s="112" t="s">
        <v>1542</v>
      </c>
      <c r="E1035" s="112" t="s">
        <v>1543</v>
      </c>
      <c r="F1035" s="112" t="s">
        <v>1542</v>
      </c>
      <c r="G1035" s="112" t="s">
        <v>1467</v>
      </c>
      <c r="H1035" s="112" t="s">
        <v>1543</v>
      </c>
      <c r="I1035" s="112">
        <v>3546.2364160000002</v>
      </c>
    </row>
    <row r="1036" spans="1:9">
      <c r="A1036" s="112" t="s">
        <v>1468</v>
      </c>
      <c r="B1036" s="112" t="s">
        <v>1546</v>
      </c>
      <c r="C1036" s="112">
        <v>0</v>
      </c>
      <c r="D1036" s="112" t="s">
        <v>1542</v>
      </c>
      <c r="E1036" s="112" t="s">
        <v>1543</v>
      </c>
      <c r="F1036" s="112" t="s">
        <v>1542</v>
      </c>
      <c r="G1036" s="112" t="s">
        <v>1468</v>
      </c>
      <c r="H1036" s="112" t="s">
        <v>1543</v>
      </c>
      <c r="I1036" s="112">
        <v>7.2150592720000004</v>
      </c>
    </row>
    <row r="1037" spans="1:9">
      <c r="A1037" s="112" t="s">
        <v>1469</v>
      </c>
      <c r="B1037" s="112" t="s">
        <v>1546</v>
      </c>
      <c r="C1037" s="112">
        <v>201.90754559999999</v>
      </c>
      <c r="D1037" s="112" t="s">
        <v>1542</v>
      </c>
      <c r="E1037" s="112" t="s">
        <v>1543</v>
      </c>
      <c r="F1037" s="112" t="s">
        <v>1542</v>
      </c>
      <c r="G1037" s="112" t="s">
        <v>1469</v>
      </c>
      <c r="H1037" s="112" t="s">
        <v>1543</v>
      </c>
      <c r="I1037" s="112">
        <v>11268.36397</v>
      </c>
    </row>
    <row r="1038" spans="1:9">
      <c r="A1038" s="112" t="s">
        <v>1470</v>
      </c>
      <c r="B1038" s="112" t="s">
        <v>1546</v>
      </c>
      <c r="C1038" s="112">
        <v>0</v>
      </c>
      <c r="D1038" s="112" t="s">
        <v>1542</v>
      </c>
      <c r="E1038" s="112" t="s">
        <v>1543</v>
      </c>
      <c r="F1038" s="112" t="s">
        <v>1542</v>
      </c>
      <c r="G1038" s="112" t="s">
        <v>1470</v>
      </c>
      <c r="H1038" s="112" t="s">
        <v>1543</v>
      </c>
      <c r="I1038" s="112">
        <v>0</v>
      </c>
    </row>
    <row r="1039" spans="1:9">
      <c r="A1039" s="112" t="s">
        <v>1471</v>
      </c>
      <c r="B1039" s="112" t="s">
        <v>1546</v>
      </c>
      <c r="C1039" s="112">
        <v>15.301781739999999</v>
      </c>
      <c r="D1039" s="112" t="s">
        <v>1542</v>
      </c>
      <c r="E1039" s="112" t="s">
        <v>1543</v>
      </c>
      <c r="F1039" s="112" t="s">
        <v>1542</v>
      </c>
      <c r="G1039" s="112" t="s">
        <v>1471</v>
      </c>
      <c r="H1039" s="112" t="s">
        <v>1543</v>
      </c>
      <c r="I1039" s="112">
        <v>537.6025985</v>
      </c>
    </row>
    <row r="1040" spans="1:9">
      <c r="A1040" s="112" t="s">
        <v>1472</v>
      </c>
      <c r="B1040" s="112" t="s">
        <v>1546</v>
      </c>
      <c r="C1040" s="112">
        <v>0</v>
      </c>
      <c r="D1040" s="112" t="s">
        <v>1542</v>
      </c>
      <c r="E1040" s="112" t="s">
        <v>1543</v>
      </c>
      <c r="F1040" s="112" t="s">
        <v>1542</v>
      </c>
      <c r="G1040" s="112" t="s">
        <v>1472</v>
      </c>
      <c r="H1040" s="112" t="s">
        <v>1543</v>
      </c>
      <c r="I1040" s="112">
        <v>0</v>
      </c>
    </row>
    <row r="1041" spans="1:9">
      <c r="A1041" s="112" t="s">
        <v>1473</v>
      </c>
      <c r="B1041" s="112" t="s">
        <v>1546</v>
      </c>
      <c r="C1041" s="112">
        <v>201.24416540000001</v>
      </c>
      <c r="D1041" s="112" t="s">
        <v>1542</v>
      </c>
      <c r="E1041" s="112" t="s">
        <v>1543</v>
      </c>
      <c r="F1041" s="112" t="s">
        <v>1542</v>
      </c>
      <c r="G1041" s="112" t="s">
        <v>1473</v>
      </c>
      <c r="H1041" s="112" t="s">
        <v>1543</v>
      </c>
      <c r="I1041" s="112">
        <v>3577.5332440000002</v>
      </c>
    </row>
    <row r="1042" spans="1:9">
      <c r="A1042" s="112" t="s">
        <v>1474</v>
      </c>
      <c r="B1042" s="112" t="s">
        <v>1546</v>
      </c>
      <c r="C1042" s="112">
        <v>0</v>
      </c>
      <c r="D1042" s="112" t="s">
        <v>1542</v>
      </c>
      <c r="E1042" s="112" t="s">
        <v>1543</v>
      </c>
      <c r="F1042" s="112" t="s">
        <v>1542</v>
      </c>
      <c r="G1042" s="112" t="s">
        <v>1474</v>
      </c>
      <c r="H1042" s="112" t="s">
        <v>1543</v>
      </c>
      <c r="I1042" s="112">
        <v>0</v>
      </c>
    </row>
    <row r="1043" spans="1:9">
      <c r="A1043" s="112" t="s">
        <v>1475</v>
      </c>
      <c r="B1043" s="112" t="s">
        <v>1546</v>
      </c>
      <c r="C1043" s="112">
        <v>0</v>
      </c>
      <c r="D1043" s="112" t="s">
        <v>1542</v>
      </c>
      <c r="E1043" s="112" t="s">
        <v>1543</v>
      </c>
      <c r="F1043" s="112" t="s">
        <v>1542</v>
      </c>
      <c r="G1043" s="112" t="s">
        <v>1475</v>
      </c>
      <c r="H1043" s="112" t="s">
        <v>1543</v>
      </c>
      <c r="I1043" s="112">
        <v>0</v>
      </c>
    </row>
    <row r="1044" spans="1:9">
      <c r="A1044" s="112" t="s">
        <v>1476</v>
      </c>
      <c r="B1044" s="112" t="s">
        <v>1546</v>
      </c>
      <c r="C1044" s="112">
        <v>0</v>
      </c>
      <c r="D1044" s="112" t="s">
        <v>1542</v>
      </c>
      <c r="E1044" s="112" t="s">
        <v>1543</v>
      </c>
      <c r="F1044" s="112" t="s">
        <v>1542</v>
      </c>
      <c r="G1044" s="112" t="s">
        <v>1476</v>
      </c>
      <c r="H1044" s="112" t="s">
        <v>1543</v>
      </c>
      <c r="I1044" s="112">
        <v>231.3743637</v>
      </c>
    </row>
    <row r="1045" spans="1:9">
      <c r="A1045" s="112" t="s">
        <v>1477</v>
      </c>
      <c r="B1045" s="112" t="s">
        <v>1546</v>
      </c>
      <c r="C1045" s="112">
        <v>0</v>
      </c>
      <c r="D1045" s="112" t="s">
        <v>1542</v>
      </c>
      <c r="E1045" s="112" t="s">
        <v>1543</v>
      </c>
      <c r="F1045" s="112" t="s">
        <v>1542</v>
      </c>
      <c r="G1045" s="112" t="s">
        <v>1477</v>
      </c>
      <c r="H1045" s="112" t="s">
        <v>1543</v>
      </c>
      <c r="I1045" s="112">
        <v>1763.293482</v>
      </c>
    </row>
    <row r="1046" spans="1:9">
      <c r="A1046" s="112" t="s">
        <v>1478</v>
      </c>
      <c r="B1046" s="112" t="s">
        <v>1546</v>
      </c>
      <c r="C1046" s="112">
        <v>80.139815130000002</v>
      </c>
      <c r="D1046" s="112" t="s">
        <v>1542</v>
      </c>
      <c r="E1046" s="112" t="s">
        <v>1543</v>
      </c>
      <c r="F1046" s="112" t="s">
        <v>1542</v>
      </c>
      <c r="G1046" s="112" t="s">
        <v>1478</v>
      </c>
      <c r="H1046" s="112" t="s">
        <v>1543</v>
      </c>
      <c r="I1046" s="112">
        <v>923.21067029999995</v>
      </c>
    </row>
    <row r="1047" spans="1:9">
      <c r="A1047" s="112" t="s">
        <v>1479</v>
      </c>
      <c r="B1047" s="112" t="s">
        <v>1546</v>
      </c>
      <c r="C1047" s="112">
        <v>0</v>
      </c>
      <c r="D1047" s="112" t="s">
        <v>1542</v>
      </c>
      <c r="E1047" s="112" t="s">
        <v>1543</v>
      </c>
      <c r="F1047" s="112" t="s">
        <v>1542</v>
      </c>
      <c r="G1047" s="112" t="s">
        <v>1479</v>
      </c>
      <c r="H1047" s="112" t="s">
        <v>1543</v>
      </c>
      <c r="I1047" s="112">
        <v>1841.9290020000001</v>
      </c>
    </row>
    <row r="1048" spans="1:9">
      <c r="A1048" s="112" t="s">
        <v>1480</v>
      </c>
      <c r="B1048" s="112" t="s">
        <v>1546</v>
      </c>
      <c r="C1048" s="112">
        <v>0</v>
      </c>
      <c r="D1048" s="112" t="s">
        <v>1542</v>
      </c>
      <c r="E1048" s="112" t="s">
        <v>1543</v>
      </c>
      <c r="F1048" s="112" t="s">
        <v>1542</v>
      </c>
      <c r="G1048" s="112" t="s">
        <v>1480</v>
      </c>
      <c r="H1048" s="112" t="s">
        <v>1543</v>
      </c>
      <c r="I1048" s="112">
        <v>191.27316200000001</v>
      </c>
    </row>
    <row r="1049" spans="1:9">
      <c r="A1049" s="112" t="s">
        <v>1481</v>
      </c>
      <c r="B1049" s="112" t="s">
        <v>1546</v>
      </c>
      <c r="C1049" s="112">
        <v>0</v>
      </c>
      <c r="D1049" s="112" t="s">
        <v>1542</v>
      </c>
      <c r="E1049" s="112" t="s">
        <v>1543</v>
      </c>
      <c r="F1049" s="112" t="s">
        <v>1542</v>
      </c>
      <c r="G1049" s="112" t="s">
        <v>1481</v>
      </c>
      <c r="H1049" s="112" t="s">
        <v>1543</v>
      </c>
      <c r="I1049" s="112">
        <v>0</v>
      </c>
    </row>
    <row r="1050" spans="1:9">
      <c r="A1050" s="112" t="s">
        <v>1482</v>
      </c>
      <c r="B1050" s="112" t="s">
        <v>1546</v>
      </c>
      <c r="C1050" s="112">
        <v>0</v>
      </c>
      <c r="D1050" s="112" t="s">
        <v>1542</v>
      </c>
      <c r="E1050" s="112" t="s">
        <v>1543</v>
      </c>
      <c r="F1050" s="112" t="s">
        <v>1542</v>
      </c>
      <c r="G1050" s="112" t="s">
        <v>1482</v>
      </c>
      <c r="H1050" s="112" t="s">
        <v>1543</v>
      </c>
      <c r="I1050" s="112">
        <v>0</v>
      </c>
    </row>
    <row r="1051" spans="1:9">
      <c r="A1051" s="112" t="s">
        <v>1483</v>
      </c>
      <c r="B1051" s="112" t="s">
        <v>1546</v>
      </c>
      <c r="C1051" s="112">
        <v>0</v>
      </c>
      <c r="D1051" s="112" t="s">
        <v>1542</v>
      </c>
      <c r="E1051" s="112" t="s">
        <v>1543</v>
      </c>
      <c r="F1051" s="112" t="s">
        <v>1542</v>
      </c>
      <c r="G1051" s="112" t="s">
        <v>1483</v>
      </c>
      <c r="H1051" s="112" t="s">
        <v>1543</v>
      </c>
      <c r="I1051" s="112">
        <v>0</v>
      </c>
    </row>
    <row r="1052" spans="1:9">
      <c r="A1052" s="112" t="s">
        <v>1484</v>
      </c>
      <c r="B1052" s="112" t="s">
        <v>1546</v>
      </c>
      <c r="C1052" s="112">
        <v>0</v>
      </c>
      <c r="D1052" s="112" t="s">
        <v>1542</v>
      </c>
      <c r="E1052" s="112" t="s">
        <v>1543</v>
      </c>
      <c r="F1052" s="112" t="s">
        <v>1542</v>
      </c>
      <c r="G1052" s="112" t="s">
        <v>1484</v>
      </c>
      <c r="H1052" s="112" t="s">
        <v>1543</v>
      </c>
      <c r="I1052" s="112">
        <v>0</v>
      </c>
    </row>
    <row r="1053" spans="1:9">
      <c r="A1053" s="112" t="s">
        <v>1485</v>
      </c>
      <c r="B1053" s="112" t="s">
        <v>1546</v>
      </c>
      <c r="C1053" s="112">
        <v>0</v>
      </c>
      <c r="D1053" s="112" t="s">
        <v>1542</v>
      </c>
      <c r="E1053" s="112" t="s">
        <v>1543</v>
      </c>
      <c r="F1053" s="112" t="s">
        <v>1542</v>
      </c>
      <c r="G1053" s="112" t="s">
        <v>1485</v>
      </c>
      <c r="H1053" s="112" t="s">
        <v>1543</v>
      </c>
      <c r="I1053" s="112">
        <v>0</v>
      </c>
    </row>
    <row r="1054" spans="1:9">
      <c r="A1054" s="112" t="s">
        <v>1486</v>
      </c>
      <c r="B1054" s="112" t="s">
        <v>1546</v>
      </c>
      <c r="C1054" s="112">
        <v>0</v>
      </c>
      <c r="D1054" s="112" t="s">
        <v>1542</v>
      </c>
      <c r="E1054" s="112" t="s">
        <v>1543</v>
      </c>
      <c r="F1054" s="112" t="s">
        <v>1542</v>
      </c>
      <c r="G1054" s="112" t="s">
        <v>1486</v>
      </c>
      <c r="H1054" s="112" t="s">
        <v>1543</v>
      </c>
      <c r="I1054" s="112">
        <v>0</v>
      </c>
    </row>
    <row r="1055" spans="1:9">
      <c r="A1055" s="112" t="s">
        <v>1487</v>
      </c>
      <c r="B1055" s="112" t="s">
        <v>1546</v>
      </c>
      <c r="C1055" s="112">
        <v>0</v>
      </c>
      <c r="D1055" s="112" t="s">
        <v>1542</v>
      </c>
      <c r="E1055" s="112" t="s">
        <v>1543</v>
      </c>
      <c r="F1055" s="112" t="s">
        <v>1542</v>
      </c>
      <c r="G1055" s="112" t="s">
        <v>1487</v>
      </c>
      <c r="H1055" s="112" t="s">
        <v>1543</v>
      </c>
      <c r="I1055" s="112">
        <v>45.970670720000001</v>
      </c>
    </row>
    <row r="1056" spans="1:9">
      <c r="A1056" s="112" t="s">
        <v>1488</v>
      </c>
      <c r="B1056" s="112" t="s">
        <v>1546</v>
      </c>
      <c r="C1056" s="112">
        <v>0</v>
      </c>
      <c r="D1056" s="112" t="s">
        <v>1542</v>
      </c>
      <c r="E1056" s="112" t="s">
        <v>1543</v>
      </c>
      <c r="F1056" s="112" t="s">
        <v>1542</v>
      </c>
      <c r="G1056" s="112" t="s">
        <v>1488</v>
      </c>
      <c r="H1056" s="112" t="s">
        <v>1543</v>
      </c>
      <c r="I1056" s="112">
        <v>0</v>
      </c>
    </row>
    <row r="1057" spans="1:9">
      <c r="A1057" s="112" t="s">
        <v>1489</v>
      </c>
      <c r="B1057" s="112" t="s">
        <v>1546</v>
      </c>
      <c r="C1057" s="112">
        <v>0</v>
      </c>
      <c r="D1057" s="112" t="s">
        <v>1542</v>
      </c>
      <c r="E1057" s="112" t="s">
        <v>1543</v>
      </c>
      <c r="F1057" s="112" t="s">
        <v>1542</v>
      </c>
      <c r="G1057" s="112" t="s">
        <v>1489</v>
      </c>
      <c r="H1057" s="112" t="s">
        <v>1543</v>
      </c>
      <c r="I1057" s="112">
        <v>0</v>
      </c>
    </row>
    <row r="1058" spans="1:9">
      <c r="A1058" s="112" t="s">
        <v>1490</v>
      </c>
      <c r="B1058" s="112" t="s">
        <v>1546</v>
      </c>
      <c r="C1058" s="112">
        <v>0</v>
      </c>
      <c r="D1058" s="112" t="s">
        <v>1542</v>
      </c>
      <c r="E1058" s="112" t="s">
        <v>1543</v>
      </c>
      <c r="F1058" s="112" t="s">
        <v>1542</v>
      </c>
      <c r="G1058" s="112" t="s">
        <v>1490</v>
      </c>
      <c r="H1058" s="112" t="s">
        <v>1543</v>
      </c>
      <c r="I1058" s="112">
        <v>0</v>
      </c>
    </row>
    <row r="1059" spans="1:9">
      <c r="A1059" s="112" t="s">
        <v>1461</v>
      </c>
      <c r="B1059" s="112" t="s">
        <v>1547</v>
      </c>
      <c r="C1059" s="112">
        <v>12.05440555</v>
      </c>
      <c r="D1059" s="112" t="s">
        <v>1542</v>
      </c>
      <c r="E1059" s="112" t="s">
        <v>1543</v>
      </c>
      <c r="F1059" s="112" t="s">
        <v>1542</v>
      </c>
      <c r="G1059" s="112" t="s">
        <v>1461</v>
      </c>
      <c r="H1059" s="112" t="s">
        <v>1543</v>
      </c>
      <c r="I1059" s="112">
        <v>14.063473139999999</v>
      </c>
    </row>
    <row r="1060" spans="1:9">
      <c r="A1060" s="112" t="s">
        <v>1465</v>
      </c>
      <c r="B1060" s="112" t="s">
        <v>1547</v>
      </c>
      <c r="C1060" s="112">
        <v>0</v>
      </c>
      <c r="D1060" s="112" t="s">
        <v>1542</v>
      </c>
      <c r="E1060" s="112" t="s">
        <v>1543</v>
      </c>
      <c r="F1060" s="112" t="s">
        <v>1542</v>
      </c>
      <c r="G1060" s="112" t="s">
        <v>1465</v>
      </c>
      <c r="H1060" s="112" t="s">
        <v>1543</v>
      </c>
      <c r="I1060" s="112">
        <v>0</v>
      </c>
    </row>
    <row r="1061" spans="1:9">
      <c r="A1061" s="112" t="s">
        <v>1466</v>
      </c>
      <c r="B1061" s="112" t="s">
        <v>1547</v>
      </c>
      <c r="C1061" s="112">
        <v>1010.863882</v>
      </c>
      <c r="D1061" s="112" t="s">
        <v>1542</v>
      </c>
      <c r="E1061" s="112" t="s">
        <v>1543</v>
      </c>
      <c r="F1061" s="112" t="s">
        <v>1542</v>
      </c>
      <c r="G1061" s="112" t="s">
        <v>1466</v>
      </c>
      <c r="H1061" s="112" t="s">
        <v>1543</v>
      </c>
      <c r="I1061" s="112">
        <v>5391.2740370000001</v>
      </c>
    </row>
    <row r="1062" spans="1:9">
      <c r="A1062" s="112" t="s">
        <v>1467</v>
      </c>
      <c r="B1062" s="112" t="s">
        <v>1547</v>
      </c>
      <c r="C1062" s="112">
        <v>718.04786990000002</v>
      </c>
      <c r="D1062" s="112" t="s">
        <v>1542</v>
      </c>
      <c r="E1062" s="112" t="s">
        <v>1543</v>
      </c>
      <c r="F1062" s="112" t="s">
        <v>1542</v>
      </c>
      <c r="G1062" s="112" t="s">
        <v>1467</v>
      </c>
      <c r="H1062" s="112" t="s">
        <v>1543</v>
      </c>
      <c r="I1062" s="112">
        <v>3546.2364160000002</v>
      </c>
    </row>
    <row r="1063" spans="1:9">
      <c r="A1063" s="112" t="s">
        <v>1468</v>
      </c>
      <c r="B1063" s="112" t="s">
        <v>1547</v>
      </c>
      <c r="C1063" s="112">
        <v>0</v>
      </c>
      <c r="D1063" s="112" t="s">
        <v>1542</v>
      </c>
      <c r="E1063" s="112" t="s">
        <v>1543</v>
      </c>
      <c r="F1063" s="112" t="s">
        <v>1542</v>
      </c>
      <c r="G1063" s="112" t="s">
        <v>1468</v>
      </c>
      <c r="H1063" s="112" t="s">
        <v>1543</v>
      </c>
      <c r="I1063" s="112">
        <v>7.2150592720000004</v>
      </c>
    </row>
    <row r="1064" spans="1:9">
      <c r="A1064" s="112" t="s">
        <v>1469</v>
      </c>
      <c r="B1064" s="112" t="s">
        <v>1547</v>
      </c>
      <c r="C1064" s="112">
        <v>846.08876239999995</v>
      </c>
      <c r="D1064" s="112" t="s">
        <v>1542</v>
      </c>
      <c r="E1064" s="112" t="s">
        <v>1543</v>
      </c>
      <c r="F1064" s="112" t="s">
        <v>1542</v>
      </c>
      <c r="G1064" s="112" t="s">
        <v>1469</v>
      </c>
      <c r="H1064" s="112" t="s">
        <v>1543</v>
      </c>
      <c r="I1064" s="112">
        <v>11268.36397</v>
      </c>
    </row>
    <row r="1065" spans="1:9">
      <c r="A1065" s="112" t="s">
        <v>1470</v>
      </c>
      <c r="B1065" s="112" t="s">
        <v>1547</v>
      </c>
      <c r="C1065" s="112">
        <v>0</v>
      </c>
      <c r="D1065" s="112" t="s">
        <v>1542</v>
      </c>
      <c r="E1065" s="112" t="s">
        <v>1543</v>
      </c>
      <c r="F1065" s="112" t="s">
        <v>1542</v>
      </c>
      <c r="G1065" s="112" t="s">
        <v>1470</v>
      </c>
      <c r="H1065" s="112" t="s">
        <v>1543</v>
      </c>
      <c r="I1065" s="112">
        <v>0</v>
      </c>
    </row>
    <row r="1066" spans="1:9">
      <c r="A1066" s="112" t="s">
        <v>1471</v>
      </c>
      <c r="B1066" s="112" t="s">
        <v>1547</v>
      </c>
      <c r="C1066" s="112">
        <v>114.2533037</v>
      </c>
      <c r="D1066" s="112" t="s">
        <v>1542</v>
      </c>
      <c r="E1066" s="112" t="s">
        <v>1543</v>
      </c>
      <c r="F1066" s="112" t="s">
        <v>1542</v>
      </c>
      <c r="G1066" s="112" t="s">
        <v>1471</v>
      </c>
      <c r="H1066" s="112" t="s">
        <v>1543</v>
      </c>
      <c r="I1066" s="112">
        <v>537.6025985</v>
      </c>
    </row>
    <row r="1067" spans="1:9">
      <c r="A1067" s="112" t="s">
        <v>1472</v>
      </c>
      <c r="B1067" s="112" t="s">
        <v>1547</v>
      </c>
      <c r="C1067" s="112">
        <v>0</v>
      </c>
      <c r="D1067" s="112" t="s">
        <v>1542</v>
      </c>
      <c r="E1067" s="112" t="s">
        <v>1543</v>
      </c>
      <c r="F1067" s="112" t="s">
        <v>1542</v>
      </c>
      <c r="G1067" s="112" t="s">
        <v>1472</v>
      </c>
      <c r="H1067" s="112" t="s">
        <v>1543</v>
      </c>
      <c r="I1067" s="112">
        <v>0</v>
      </c>
    </row>
    <row r="1068" spans="1:9">
      <c r="A1068" s="112" t="s">
        <v>1473</v>
      </c>
      <c r="B1068" s="112" t="s">
        <v>1547</v>
      </c>
      <c r="C1068" s="112">
        <v>1096.9581209999999</v>
      </c>
      <c r="D1068" s="112" t="s">
        <v>1542</v>
      </c>
      <c r="E1068" s="112" t="s">
        <v>1543</v>
      </c>
      <c r="F1068" s="112" t="s">
        <v>1542</v>
      </c>
      <c r="G1068" s="112" t="s">
        <v>1473</v>
      </c>
      <c r="H1068" s="112" t="s">
        <v>1543</v>
      </c>
      <c r="I1068" s="112">
        <v>3577.5332440000002</v>
      </c>
    </row>
    <row r="1069" spans="1:9">
      <c r="A1069" s="112" t="s">
        <v>1474</v>
      </c>
      <c r="B1069" s="112" t="s">
        <v>1547</v>
      </c>
      <c r="C1069" s="112">
        <v>0</v>
      </c>
      <c r="D1069" s="112" t="s">
        <v>1542</v>
      </c>
      <c r="E1069" s="112" t="s">
        <v>1543</v>
      </c>
      <c r="F1069" s="112" t="s">
        <v>1542</v>
      </c>
      <c r="G1069" s="112" t="s">
        <v>1474</v>
      </c>
      <c r="H1069" s="112" t="s">
        <v>1543</v>
      </c>
      <c r="I1069" s="112">
        <v>0</v>
      </c>
    </row>
    <row r="1070" spans="1:9">
      <c r="A1070" s="112" t="s">
        <v>1475</v>
      </c>
      <c r="B1070" s="112" t="s">
        <v>1547</v>
      </c>
      <c r="C1070" s="112">
        <v>0</v>
      </c>
      <c r="D1070" s="112" t="s">
        <v>1542</v>
      </c>
      <c r="E1070" s="112" t="s">
        <v>1543</v>
      </c>
      <c r="F1070" s="112" t="s">
        <v>1542</v>
      </c>
      <c r="G1070" s="112" t="s">
        <v>1475</v>
      </c>
      <c r="H1070" s="112" t="s">
        <v>1543</v>
      </c>
      <c r="I1070" s="112">
        <v>0</v>
      </c>
    </row>
    <row r="1071" spans="1:9">
      <c r="A1071" s="112" t="s">
        <v>1476</v>
      </c>
      <c r="B1071" s="112" t="s">
        <v>1547</v>
      </c>
      <c r="C1071" s="112">
        <v>49.30929063</v>
      </c>
      <c r="D1071" s="112" t="s">
        <v>1542</v>
      </c>
      <c r="E1071" s="112" t="s">
        <v>1543</v>
      </c>
      <c r="F1071" s="112" t="s">
        <v>1542</v>
      </c>
      <c r="G1071" s="112" t="s">
        <v>1476</v>
      </c>
      <c r="H1071" s="112" t="s">
        <v>1543</v>
      </c>
      <c r="I1071" s="112">
        <v>231.3743637</v>
      </c>
    </row>
    <row r="1072" spans="1:9">
      <c r="A1072" s="112" t="s">
        <v>1477</v>
      </c>
      <c r="B1072" s="112" t="s">
        <v>1547</v>
      </c>
      <c r="C1072" s="112">
        <v>87.539392730000003</v>
      </c>
      <c r="D1072" s="112" t="s">
        <v>1542</v>
      </c>
      <c r="E1072" s="112" t="s">
        <v>1543</v>
      </c>
      <c r="F1072" s="112" t="s">
        <v>1542</v>
      </c>
      <c r="G1072" s="112" t="s">
        <v>1477</v>
      </c>
      <c r="H1072" s="112" t="s">
        <v>1543</v>
      </c>
      <c r="I1072" s="112">
        <v>1763.293482</v>
      </c>
    </row>
    <row r="1073" spans="1:9">
      <c r="A1073" s="112" t="s">
        <v>1478</v>
      </c>
      <c r="B1073" s="112" t="s">
        <v>1547</v>
      </c>
      <c r="C1073" s="112">
        <v>78.857578090000004</v>
      </c>
      <c r="D1073" s="112" t="s">
        <v>1542</v>
      </c>
      <c r="E1073" s="112" t="s">
        <v>1543</v>
      </c>
      <c r="F1073" s="112" t="s">
        <v>1542</v>
      </c>
      <c r="G1073" s="112" t="s">
        <v>1478</v>
      </c>
      <c r="H1073" s="112" t="s">
        <v>1543</v>
      </c>
      <c r="I1073" s="112">
        <v>923.21067029999995</v>
      </c>
    </row>
    <row r="1074" spans="1:9">
      <c r="A1074" s="112" t="s">
        <v>1479</v>
      </c>
      <c r="B1074" s="112" t="s">
        <v>1547</v>
      </c>
      <c r="C1074" s="112">
        <v>0</v>
      </c>
      <c r="D1074" s="112" t="s">
        <v>1542</v>
      </c>
      <c r="E1074" s="112" t="s">
        <v>1543</v>
      </c>
      <c r="F1074" s="112" t="s">
        <v>1542</v>
      </c>
      <c r="G1074" s="112" t="s">
        <v>1479</v>
      </c>
      <c r="H1074" s="112" t="s">
        <v>1543</v>
      </c>
      <c r="I1074" s="112">
        <v>1841.9290020000001</v>
      </c>
    </row>
    <row r="1075" spans="1:9">
      <c r="A1075" s="112" t="s">
        <v>1480</v>
      </c>
      <c r="B1075" s="112" t="s">
        <v>1547</v>
      </c>
      <c r="C1075" s="112">
        <v>7.9697150829999996</v>
      </c>
      <c r="D1075" s="112" t="s">
        <v>1542</v>
      </c>
      <c r="E1075" s="112" t="s">
        <v>1543</v>
      </c>
      <c r="F1075" s="112" t="s">
        <v>1542</v>
      </c>
      <c r="G1075" s="112" t="s">
        <v>1480</v>
      </c>
      <c r="H1075" s="112" t="s">
        <v>1543</v>
      </c>
      <c r="I1075" s="112">
        <v>191.27316200000001</v>
      </c>
    </row>
    <row r="1076" spans="1:9">
      <c r="A1076" s="112" t="s">
        <v>1481</v>
      </c>
      <c r="B1076" s="112" t="s">
        <v>1547</v>
      </c>
      <c r="C1076" s="112">
        <v>0</v>
      </c>
      <c r="D1076" s="112" t="s">
        <v>1542</v>
      </c>
      <c r="E1076" s="112" t="s">
        <v>1543</v>
      </c>
      <c r="F1076" s="112" t="s">
        <v>1542</v>
      </c>
      <c r="G1076" s="112" t="s">
        <v>1481</v>
      </c>
      <c r="H1076" s="112" t="s">
        <v>1543</v>
      </c>
      <c r="I1076" s="112">
        <v>0</v>
      </c>
    </row>
    <row r="1077" spans="1:9">
      <c r="A1077" s="112" t="s">
        <v>1482</v>
      </c>
      <c r="B1077" s="112" t="s">
        <v>1547</v>
      </c>
      <c r="C1077" s="112">
        <v>0</v>
      </c>
      <c r="D1077" s="112" t="s">
        <v>1542</v>
      </c>
      <c r="E1077" s="112" t="s">
        <v>1543</v>
      </c>
      <c r="F1077" s="112" t="s">
        <v>1542</v>
      </c>
      <c r="G1077" s="112" t="s">
        <v>1482</v>
      </c>
      <c r="H1077" s="112" t="s">
        <v>1543</v>
      </c>
      <c r="I1077" s="112">
        <v>0</v>
      </c>
    </row>
    <row r="1078" spans="1:9">
      <c r="A1078" s="112" t="s">
        <v>1483</v>
      </c>
      <c r="B1078" s="112" t="s">
        <v>1547</v>
      </c>
      <c r="C1078" s="112">
        <v>0</v>
      </c>
      <c r="D1078" s="112" t="s">
        <v>1542</v>
      </c>
      <c r="E1078" s="112" t="s">
        <v>1543</v>
      </c>
      <c r="F1078" s="112" t="s">
        <v>1542</v>
      </c>
      <c r="G1078" s="112" t="s">
        <v>1483</v>
      </c>
      <c r="H1078" s="112" t="s">
        <v>1543</v>
      </c>
      <c r="I1078" s="112">
        <v>0</v>
      </c>
    </row>
    <row r="1079" spans="1:9">
      <c r="A1079" s="112" t="s">
        <v>1484</v>
      </c>
      <c r="B1079" s="112" t="s">
        <v>1547</v>
      </c>
      <c r="C1079" s="112">
        <v>0</v>
      </c>
      <c r="D1079" s="112" t="s">
        <v>1542</v>
      </c>
      <c r="E1079" s="112" t="s">
        <v>1543</v>
      </c>
      <c r="F1079" s="112" t="s">
        <v>1542</v>
      </c>
      <c r="G1079" s="112" t="s">
        <v>1484</v>
      </c>
      <c r="H1079" s="112" t="s">
        <v>1543</v>
      </c>
      <c r="I1079" s="112">
        <v>0</v>
      </c>
    </row>
    <row r="1080" spans="1:9">
      <c r="A1080" s="112" t="s">
        <v>1485</v>
      </c>
      <c r="B1080" s="112" t="s">
        <v>1547</v>
      </c>
      <c r="C1080" s="112">
        <v>0</v>
      </c>
      <c r="D1080" s="112" t="s">
        <v>1542</v>
      </c>
      <c r="E1080" s="112" t="s">
        <v>1543</v>
      </c>
      <c r="F1080" s="112" t="s">
        <v>1542</v>
      </c>
      <c r="G1080" s="112" t="s">
        <v>1485</v>
      </c>
      <c r="H1080" s="112" t="s">
        <v>1543</v>
      </c>
      <c r="I1080" s="112">
        <v>0</v>
      </c>
    </row>
    <row r="1081" spans="1:9">
      <c r="A1081" s="112" t="s">
        <v>1486</v>
      </c>
      <c r="B1081" s="112" t="s">
        <v>1547</v>
      </c>
      <c r="C1081" s="112">
        <v>0</v>
      </c>
      <c r="D1081" s="112" t="s">
        <v>1542</v>
      </c>
      <c r="E1081" s="112" t="s">
        <v>1543</v>
      </c>
      <c r="F1081" s="112" t="s">
        <v>1542</v>
      </c>
      <c r="G1081" s="112" t="s">
        <v>1486</v>
      </c>
      <c r="H1081" s="112" t="s">
        <v>1543</v>
      </c>
      <c r="I1081" s="112">
        <v>0</v>
      </c>
    </row>
    <row r="1082" spans="1:9">
      <c r="A1082" s="112" t="s">
        <v>1487</v>
      </c>
      <c r="B1082" s="112" t="s">
        <v>1547</v>
      </c>
      <c r="C1082" s="112">
        <v>22.985335360000001</v>
      </c>
      <c r="D1082" s="112" t="s">
        <v>1542</v>
      </c>
      <c r="E1082" s="112" t="s">
        <v>1543</v>
      </c>
      <c r="F1082" s="112" t="s">
        <v>1542</v>
      </c>
      <c r="G1082" s="112" t="s">
        <v>1487</v>
      </c>
      <c r="H1082" s="112" t="s">
        <v>1543</v>
      </c>
      <c r="I1082" s="112">
        <v>45.970670720000001</v>
      </c>
    </row>
    <row r="1083" spans="1:9">
      <c r="A1083" s="112" t="s">
        <v>1488</v>
      </c>
      <c r="B1083" s="112" t="s">
        <v>1547</v>
      </c>
      <c r="C1083" s="112">
        <v>0</v>
      </c>
      <c r="D1083" s="112" t="s">
        <v>1542</v>
      </c>
      <c r="E1083" s="112" t="s">
        <v>1543</v>
      </c>
      <c r="F1083" s="112" t="s">
        <v>1542</v>
      </c>
      <c r="G1083" s="112" t="s">
        <v>1488</v>
      </c>
      <c r="H1083" s="112" t="s">
        <v>1543</v>
      </c>
      <c r="I1083" s="112">
        <v>0</v>
      </c>
    </row>
    <row r="1084" spans="1:9">
      <c r="A1084" s="112" t="s">
        <v>1489</v>
      </c>
      <c r="B1084" s="112" t="s">
        <v>1547</v>
      </c>
      <c r="C1084" s="112">
        <v>0</v>
      </c>
      <c r="D1084" s="112" t="s">
        <v>1542</v>
      </c>
      <c r="E1084" s="112" t="s">
        <v>1543</v>
      </c>
      <c r="F1084" s="112" t="s">
        <v>1542</v>
      </c>
      <c r="G1084" s="112" t="s">
        <v>1489</v>
      </c>
      <c r="H1084" s="112" t="s">
        <v>1543</v>
      </c>
      <c r="I1084" s="112">
        <v>0</v>
      </c>
    </row>
    <row r="1085" spans="1:9">
      <c r="A1085" s="112" t="s">
        <v>1490</v>
      </c>
      <c r="B1085" s="112" t="s">
        <v>1547</v>
      </c>
      <c r="C1085" s="112">
        <v>0</v>
      </c>
      <c r="D1085" s="112" t="s">
        <v>1542</v>
      </c>
      <c r="E1085" s="112" t="s">
        <v>1543</v>
      </c>
      <c r="F1085" s="112" t="s">
        <v>1542</v>
      </c>
      <c r="G1085" s="112" t="s">
        <v>1490</v>
      </c>
      <c r="H1085" s="112" t="s">
        <v>1543</v>
      </c>
      <c r="I1085" s="112">
        <v>0</v>
      </c>
    </row>
    <row r="1086" spans="1:9">
      <c r="A1086" s="112" t="s">
        <v>1461</v>
      </c>
      <c r="B1086" s="112" t="s">
        <v>1548</v>
      </c>
      <c r="C1086" s="112">
        <v>0</v>
      </c>
      <c r="D1086" s="112" t="s">
        <v>1549</v>
      </c>
      <c r="E1086" s="112" t="s">
        <v>1543</v>
      </c>
      <c r="F1086" s="112" t="s">
        <v>1549</v>
      </c>
      <c r="G1086" s="112" t="s">
        <v>1461</v>
      </c>
      <c r="H1086" s="112" t="s">
        <v>1543</v>
      </c>
      <c r="I1086" s="112">
        <v>0</v>
      </c>
    </row>
    <row r="1087" spans="1:9">
      <c r="A1087" s="112" t="s">
        <v>1465</v>
      </c>
      <c r="B1087" s="112" t="s">
        <v>1548</v>
      </c>
      <c r="C1087" s="112">
        <v>0</v>
      </c>
      <c r="D1087" s="112" t="s">
        <v>1549</v>
      </c>
      <c r="E1087" s="112" t="s">
        <v>1543</v>
      </c>
      <c r="F1087" s="112" t="s">
        <v>1549</v>
      </c>
      <c r="G1087" s="112" t="s">
        <v>1465</v>
      </c>
      <c r="H1087" s="112" t="s">
        <v>1543</v>
      </c>
      <c r="I1087" s="112">
        <v>0</v>
      </c>
    </row>
    <row r="1088" spans="1:9">
      <c r="A1088" s="112" t="s">
        <v>1466</v>
      </c>
      <c r="B1088" s="112" t="s">
        <v>1548</v>
      </c>
      <c r="C1088" s="112">
        <v>4101.5511530000003</v>
      </c>
      <c r="D1088" s="112" t="s">
        <v>1549</v>
      </c>
      <c r="E1088" s="112" t="s">
        <v>1543</v>
      </c>
      <c r="F1088" s="112" t="s">
        <v>1549</v>
      </c>
      <c r="G1088" s="112" t="s">
        <v>1466</v>
      </c>
      <c r="H1088" s="112" t="s">
        <v>1543</v>
      </c>
      <c r="I1088" s="112">
        <v>4101.5511530000003</v>
      </c>
    </row>
    <row r="1089" spans="1:9">
      <c r="A1089" s="112" t="s">
        <v>1467</v>
      </c>
      <c r="B1089" s="112" t="s">
        <v>1548</v>
      </c>
      <c r="C1089" s="112">
        <v>4395.6263749999998</v>
      </c>
      <c r="D1089" s="112" t="s">
        <v>1549</v>
      </c>
      <c r="E1089" s="112" t="s">
        <v>1543</v>
      </c>
      <c r="F1089" s="112" t="s">
        <v>1549</v>
      </c>
      <c r="G1089" s="112" t="s">
        <v>1467</v>
      </c>
      <c r="H1089" s="112" t="s">
        <v>1543</v>
      </c>
      <c r="I1089" s="112">
        <v>4395.6263749999998</v>
      </c>
    </row>
    <row r="1090" spans="1:9">
      <c r="A1090" s="112" t="s">
        <v>1468</v>
      </c>
      <c r="B1090" s="112" t="s">
        <v>1548</v>
      </c>
      <c r="C1090" s="112">
        <v>0</v>
      </c>
      <c r="D1090" s="112" t="s">
        <v>1549</v>
      </c>
      <c r="E1090" s="112" t="s">
        <v>1543</v>
      </c>
      <c r="F1090" s="112" t="s">
        <v>1549</v>
      </c>
      <c r="G1090" s="112" t="s">
        <v>1468</v>
      </c>
      <c r="H1090" s="112" t="s">
        <v>1543</v>
      </c>
      <c r="I1090" s="112">
        <v>0</v>
      </c>
    </row>
    <row r="1091" spans="1:9">
      <c r="A1091" s="112" t="s">
        <v>1469</v>
      </c>
      <c r="B1091" s="112" t="s">
        <v>1548</v>
      </c>
      <c r="C1091" s="112">
        <v>5499.5769559999999</v>
      </c>
      <c r="D1091" s="112" t="s">
        <v>1549</v>
      </c>
      <c r="E1091" s="112" t="s">
        <v>1543</v>
      </c>
      <c r="F1091" s="112" t="s">
        <v>1549</v>
      </c>
      <c r="G1091" s="112" t="s">
        <v>1469</v>
      </c>
      <c r="H1091" s="112" t="s">
        <v>1543</v>
      </c>
      <c r="I1091" s="112">
        <v>5499.5769559999999</v>
      </c>
    </row>
    <row r="1092" spans="1:9">
      <c r="A1092" s="112" t="s">
        <v>1470</v>
      </c>
      <c r="B1092" s="112" t="s">
        <v>1548</v>
      </c>
      <c r="C1092" s="112">
        <v>375.6291789</v>
      </c>
      <c r="D1092" s="112" t="s">
        <v>1549</v>
      </c>
      <c r="E1092" s="112" t="s">
        <v>1543</v>
      </c>
      <c r="F1092" s="112" t="s">
        <v>1549</v>
      </c>
      <c r="G1092" s="112" t="s">
        <v>1470</v>
      </c>
      <c r="H1092" s="112" t="s">
        <v>1543</v>
      </c>
      <c r="I1092" s="112">
        <v>375.6291789</v>
      </c>
    </row>
    <row r="1093" spans="1:9">
      <c r="A1093" s="112" t="s">
        <v>1471</v>
      </c>
      <c r="B1093" s="112" t="s">
        <v>1548</v>
      </c>
      <c r="C1093" s="112">
        <v>314.19658509999999</v>
      </c>
      <c r="D1093" s="112" t="s">
        <v>1549</v>
      </c>
      <c r="E1093" s="112" t="s">
        <v>1543</v>
      </c>
      <c r="F1093" s="112" t="s">
        <v>1549</v>
      </c>
      <c r="G1093" s="112" t="s">
        <v>1471</v>
      </c>
      <c r="H1093" s="112" t="s">
        <v>1543</v>
      </c>
      <c r="I1093" s="112">
        <v>314.19658509999999</v>
      </c>
    </row>
    <row r="1094" spans="1:9">
      <c r="A1094" s="112" t="s">
        <v>1472</v>
      </c>
      <c r="B1094" s="112" t="s">
        <v>1548</v>
      </c>
      <c r="C1094" s="112">
        <v>0</v>
      </c>
      <c r="D1094" s="112" t="s">
        <v>1549</v>
      </c>
      <c r="E1094" s="112" t="s">
        <v>1543</v>
      </c>
      <c r="F1094" s="112" t="s">
        <v>1549</v>
      </c>
      <c r="G1094" s="112" t="s">
        <v>1472</v>
      </c>
      <c r="H1094" s="112" t="s">
        <v>1543</v>
      </c>
      <c r="I1094" s="112">
        <v>0</v>
      </c>
    </row>
    <row r="1095" spans="1:9">
      <c r="A1095" s="112" t="s">
        <v>1473</v>
      </c>
      <c r="B1095" s="112" t="s">
        <v>1548</v>
      </c>
      <c r="C1095" s="112">
        <v>2343.4553569999998</v>
      </c>
      <c r="D1095" s="112" t="s">
        <v>1549</v>
      </c>
      <c r="E1095" s="112" t="s">
        <v>1543</v>
      </c>
      <c r="F1095" s="112" t="s">
        <v>1549</v>
      </c>
      <c r="G1095" s="112" t="s">
        <v>1473</v>
      </c>
      <c r="H1095" s="112" t="s">
        <v>1543</v>
      </c>
      <c r="I1095" s="112">
        <v>2343.4553569999998</v>
      </c>
    </row>
    <row r="1096" spans="1:9">
      <c r="A1096" s="112" t="s">
        <v>1474</v>
      </c>
      <c r="B1096" s="112" t="s">
        <v>1548</v>
      </c>
      <c r="C1096" s="112">
        <v>0</v>
      </c>
      <c r="D1096" s="112" t="s">
        <v>1549</v>
      </c>
      <c r="E1096" s="112" t="s">
        <v>1543</v>
      </c>
      <c r="F1096" s="112" t="s">
        <v>1549</v>
      </c>
      <c r="G1096" s="112" t="s">
        <v>1474</v>
      </c>
      <c r="H1096" s="112" t="s">
        <v>1543</v>
      </c>
      <c r="I1096" s="112">
        <v>0</v>
      </c>
    </row>
    <row r="1097" spans="1:9">
      <c r="A1097" s="112" t="s">
        <v>1475</v>
      </c>
      <c r="B1097" s="112" t="s">
        <v>1548</v>
      </c>
      <c r="C1097" s="112">
        <v>0</v>
      </c>
      <c r="D1097" s="112" t="s">
        <v>1549</v>
      </c>
      <c r="E1097" s="112" t="s">
        <v>1543</v>
      </c>
      <c r="F1097" s="112" t="s">
        <v>1549</v>
      </c>
      <c r="G1097" s="112" t="s">
        <v>1475</v>
      </c>
      <c r="H1097" s="112" t="s">
        <v>1543</v>
      </c>
      <c r="I1097" s="112">
        <v>0</v>
      </c>
    </row>
    <row r="1098" spans="1:9">
      <c r="A1098" s="112" t="s">
        <v>1476</v>
      </c>
      <c r="B1098" s="112" t="s">
        <v>1548</v>
      </c>
      <c r="C1098" s="112">
        <v>68.274402409999993</v>
      </c>
      <c r="D1098" s="112" t="s">
        <v>1549</v>
      </c>
      <c r="E1098" s="112" t="s">
        <v>1543</v>
      </c>
      <c r="F1098" s="112" t="s">
        <v>1549</v>
      </c>
      <c r="G1098" s="112" t="s">
        <v>1476</v>
      </c>
      <c r="H1098" s="112" t="s">
        <v>1543</v>
      </c>
      <c r="I1098" s="112">
        <v>68.274402409999993</v>
      </c>
    </row>
    <row r="1099" spans="1:9">
      <c r="A1099" s="112" t="s">
        <v>1477</v>
      </c>
      <c r="B1099" s="112" t="s">
        <v>1548</v>
      </c>
      <c r="C1099" s="112">
        <v>1138.012105</v>
      </c>
      <c r="D1099" s="112" t="s">
        <v>1549</v>
      </c>
      <c r="E1099" s="112" t="s">
        <v>1543</v>
      </c>
      <c r="F1099" s="112" t="s">
        <v>1549</v>
      </c>
      <c r="G1099" s="112" t="s">
        <v>1477</v>
      </c>
      <c r="H1099" s="112" t="s">
        <v>1543</v>
      </c>
      <c r="I1099" s="112">
        <v>1138.012105</v>
      </c>
    </row>
    <row r="1100" spans="1:9">
      <c r="A1100" s="112" t="s">
        <v>1478</v>
      </c>
      <c r="B1100" s="112" t="s">
        <v>1548</v>
      </c>
      <c r="C1100" s="112">
        <v>258.37076400000001</v>
      </c>
      <c r="D1100" s="112" t="s">
        <v>1549</v>
      </c>
      <c r="E1100" s="112" t="s">
        <v>1543</v>
      </c>
      <c r="F1100" s="112" t="s">
        <v>1549</v>
      </c>
      <c r="G1100" s="112" t="s">
        <v>1478</v>
      </c>
      <c r="H1100" s="112" t="s">
        <v>1543</v>
      </c>
      <c r="I1100" s="112">
        <v>258.37076400000001</v>
      </c>
    </row>
    <row r="1101" spans="1:9">
      <c r="A1101" s="112" t="s">
        <v>1479</v>
      </c>
      <c r="B1101" s="112" t="s">
        <v>1548</v>
      </c>
      <c r="C1101" s="112">
        <v>31647.68922</v>
      </c>
      <c r="D1101" s="112" t="s">
        <v>1549</v>
      </c>
      <c r="E1101" s="112" t="s">
        <v>1543</v>
      </c>
      <c r="F1101" s="112" t="s">
        <v>1549</v>
      </c>
      <c r="G1101" s="112" t="s">
        <v>1479</v>
      </c>
      <c r="H1101" s="112" t="s">
        <v>1543</v>
      </c>
      <c r="I1101" s="112">
        <v>31647.68922</v>
      </c>
    </row>
    <row r="1102" spans="1:9">
      <c r="A1102" s="112" t="s">
        <v>1480</v>
      </c>
      <c r="B1102" s="112" t="s">
        <v>1548</v>
      </c>
      <c r="C1102" s="112">
        <v>23.909145250000002</v>
      </c>
      <c r="D1102" s="112" t="s">
        <v>1549</v>
      </c>
      <c r="E1102" s="112" t="s">
        <v>1543</v>
      </c>
      <c r="F1102" s="112" t="s">
        <v>1549</v>
      </c>
      <c r="G1102" s="112" t="s">
        <v>1480</v>
      </c>
      <c r="H1102" s="112" t="s">
        <v>1543</v>
      </c>
      <c r="I1102" s="112">
        <v>23.909145250000002</v>
      </c>
    </row>
    <row r="1103" spans="1:9">
      <c r="A1103" s="112" t="s">
        <v>1481</v>
      </c>
      <c r="B1103" s="112" t="s">
        <v>1548</v>
      </c>
      <c r="C1103" s="112">
        <v>0</v>
      </c>
      <c r="D1103" s="112" t="s">
        <v>1549</v>
      </c>
      <c r="E1103" s="112" t="s">
        <v>1543</v>
      </c>
      <c r="F1103" s="112" t="s">
        <v>1549</v>
      </c>
      <c r="G1103" s="112" t="s">
        <v>1481</v>
      </c>
      <c r="H1103" s="112" t="s">
        <v>1543</v>
      </c>
      <c r="I1103" s="112">
        <v>0</v>
      </c>
    </row>
    <row r="1104" spans="1:9">
      <c r="A1104" s="112" t="s">
        <v>1482</v>
      </c>
      <c r="B1104" s="112" t="s">
        <v>1548</v>
      </c>
      <c r="C1104" s="112">
        <v>0</v>
      </c>
      <c r="D1104" s="112" t="s">
        <v>1549</v>
      </c>
      <c r="E1104" s="112" t="s">
        <v>1543</v>
      </c>
      <c r="F1104" s="112" t="s">
        <v>1549</v>
      </c>
      <c r="G1104" s="112" t="s">
        <v>1482</v>
      </c>
      <c r="H1104" s="112" t="s">
        <v>1543</v>
      </c>
      <c r="I1104" s="112">
        <v>0</v>
      </c>
    </row>
    <row r="1105" spans="1:9">
      <c r="A1105" s="112" t="s">
        <v>1483</v>
      </c>
      <c r="B1105" s="112" t="s">
        <v>1548</v>
      </c>
      <c r="C1105" s="112">
        <v>0</v>
      </c>
      <c r="D1105" s="112" t="s">
        <v>1549</v>
      </c>
      <c r="E1105" s="112" t="s">
        <v>1543</v>
      </c>
      <c r="F1105" s="112" t="s">
        <v>1549</v>
      </c>
      <c r="G1105" s="112" t="s">
        <v>1483</v>
      </c>
      <c r="H1105" s="112" t="s">
        <v>1543</v>
      </c>
      <c r="I1105" s="112">
        <v>0</v>
      </c>
    </row>
    <row r="1106" spans="1:9">
      <c r="A1106" s="112" t="s">
        <v>1484</v>
      </c>
      <c r="B1106" s="112" t="s">
        <v>1548</v>
      </c>
      <c r="C1106" s="112">
        <v>0</v>
      </c>
      <c r="D1106" s="112" t="s">
        <v>1549</v>
      </c>
      <c r="E1106" s="112" t="s">
        <v>1543</v>
      </c>
      <c r="F1106" s="112" t="s">
        <v>1549</v>
      </c>
      <c r="G1106" s="112" t="s">
        <v>1484</v>
      </c>
      <c r="H1106" s="112" t="s">
        <v>1543</v>
      </c>
      <c r="I1106" s="112">
        <v>0</v>
      </c>
    </row>
    <row r="1107" spans="1:9">
      <c r="A1107" s="112" t="s">
        <v>1485</v>
      </c>
      <c r="B1107" s="112" t="s">
        <v>1548</v>
      </c>
      <c r="C1107" s="112">
        <v>0</v>
      </c>
      <c r="D1107" s="112" t="s">
        <v>1549</v>
      </c>
      <c r="E1107" s="112" t="s">
        <v>1543</v>
      </c>
      <c r="F1107" s="112" t="s">
        <v>1549</v>
      </c>
      <c r="G1107" s="112" t="s">
        <v>1485</v>
      </c>
      <c r="H1107" s="112" t="s">
        <v>1543</v>
      </c>
      <c r="I1107" s="112">
        <v>0</v>
      </c>
    </row>
    <row r="1108" spans="1:9">
      <c r="A1108" s="112" t="s">
        <v>1486</v>
      </c>
      <c r="B1108" s="112" t="s">
        <v>1548</v>
      </c>
      <c r="C1108" s="112">
        <v>0</v>
      </c>
      <c r="D1108" s="112" t="s">
        <v>1549</v>
      </c>
      <c r="E1108" s="112" t="s">
        <v>1543</v>
      </c>
      <c r="F1108" s="112" t="s">
        <v>1549</v>
      </c>
      <c r="G1108" s="112" t="s">
        <v>1486</v>
      </c>
      <c r="H1108" s="112" t="s">
        <v>1543</v>
      </c>
      <c r="I1108" s="112">
        <v>0</v>
      </c>
    </row>
    <row r="1109" spans="1:9">
      <c r="A1109" s="112" t="s">
        <v>1487</v>
      </c>
      <c r="B1109" s="112" t="s">
        <v>1548</v>
      </c>
      <c r="C1109" s="112">
        <v>0</v>
      </c>
      <c r="D1109" s="112" t="s">
        <v>1549</v>
      </c>
      <c r="E1109" s="112" t="s">
        <v>1543</v>
      </c>
      <c r="F1109" s="112" t="s">
        <v>1549</v>
      </c>
      <c r="G1109" s="112" t="s">
        <v>1487</v>
      </c>
      <c r="H1109" s="112" t="s">
        <v>1543</v>
      </c>
      <c r="I1109" s="112">
        <v>0</v>
      </c>
    </row>
    <row r="1110" spans="1:9">
      <c r="A1110" s="112" t="s">
        <v>1488</v>
      </c>
      <c r="B1110" s="112" t="s">
        <v>1548</v>
      </c>
      <c r="C1110" s="112">
        <v>0</v>
      </c>
      <c r="D1110" s="112" t="s">
        <v>1549</v>
      </c>
      <c r="E1110" s="112" t="s">
        <v>1543</v>
      </c>
      <c r="F1110" s="112" t="s">
        <v>1549</v>
      </c>
      <c r="G1110" s="112" t="s">
        <v>1488</v>
      </c>
      <c r="H1110" s="112" t="s">
        <v>1543</v>
      </c>
      <c r="I1110" s="112">
        <v>0</v>
      </c>
    </row>
    <row r="1111" spans="1:9">
      <c r="A1111" s="112" t="s">
        <v>1489</v>
      </c>
      <c r="B1111" s="112" t="s">
        <v>1548</v>
      </c>
      <c r="C1111" s="112">
        <v>0</v>
      </c>
      <c r="D1111" s="112" t="s">
        <v>1549</v>
      </c>
      <c r="E1111" s="112" t="s">
        <v>1543</v>
      </c>
      <c r="F1111" s="112" t="s">
        <v>1549</v>
      </c>
      <c r="G1111" s="112" t="s">
        <v>1489</v>
      </c>
      <c r="H1111" s="112" t="s">
        <v>1543</v>
      </c>
      <c r="I1111" s="112">
        <v>0</v>
      </c>
    </row>
    <row r="1112" spans="1:9">
      <c r="A1112" s="112" t="s">
        <v>1490</v>
      </c>
      <c r="B1112" s="112" t="s">
        <v>1548</v>
      </c>
      <c r="C1112" s="112">
        <v>0</v>
      </c>
      <c r="D1112" s="112" t="s">
        <v>1549</v>
      </c>
      <c r="E1112" s="112" t="s">
        <v>1543</v>
      </c>
      <c r="F1112" s="112" t="s">
        <v>1549</v>
      </c>
      <c r="G1112" s="112" t="s">
        <v>1490</v>
      </c>
      <c r="H1112" s="112" t="s">
        <v>1543</v>
      </c>
      <c r="I1112" s="112">
        <v>0</v>
      </c>
    </row>
    <row r="1113" spans="1:9">
      <c r="A1113" s="112" t="s">
        <v>1461</v>
      </c>
      <c r="B1113" s="112" t="s">
        <v>1550</v>
      </c>
      <c r="C1113" s="112">
        <v>40.181351829999997</v>
      </c>
      <c r="D1113" s="112" t="s">
        <v>1551</v>
      </c>
      <c r="E1113" s="112" t="s">
        <v>1543</v>
      </c>
      <c r="F1113" s="112" t="s">
        <v>1551</v>
      </c>
      <c r="G1113" s="112" t="s">
        <v>1461</v>
      </c>
      <c r="H1113" s="112" t="s">
        <v>1543</v>
      </c>
      <c r="I1113" s="112">
        <v>40.851041029999998</v>
      </c>
    </row>
    <row r="1114" spans="1:9">
      <c r="A1114" s="112" t="s">
        <v>1465</v>
      </c>
      <c r="B1114" s="112" t="s">
        <v>1550</v>
      </c>
      <c r="C1114" s="112">
        <v>0</v>
      </c>
      <c r="D1114" s="112" t="s">
        <v>1551</v>
      </c>
      <c r="E1114" s="112" t="s">
        <v>1543</v>
      </c>
      <c r="F1114" s="112" t="s">
        <v>1551</v>
      </c>
      <c r="G1114" s="112" t="s">
        <v>1465</v>
      </c>
      <c r="H1114" s="112" t="s">
        <v>1543</v>
      </c>
      <c r="I1114" s="112">
        <v>2.4417997040000001</v>
      </c>
    </row>
    <row r="1115" spans="1:9">
      <c r="A1115" s="112" t="s">
        <v>1466</v>
      </c>
      <c r="B1115" s="112" t="s">
        <v>1550</v>
      </c>
      <c r="C1115" s="112">
        <v>12339.510829999999</v>
      </c>
      <c r="D1115" s="112" t="s">
        <v>1551</v>
      </c>
      <c r="E1115" s="112" t="s">
        <v>1543</v>
      </c>
      <c r="F1115" s="112" t="s">
        <v>1551</v>
      </c>
      <c r="G1115" s="112" t="s">
        <v>1466</v>
      </c>
      <c r="H1115" s="112" t="s">
        <v>1543</v>
      </c>
      <c r="I1115" s="112">
        <v>29872.770570000001</v>
      </c>
    </row>
    <row r="1116" spans="1:9">
      <c r="A1116" s="112" t="s">
        <v>1467</v>
      </c>
      <c r="B1116" s="112" t="s">
        <v>1550</v>
      </c>
      <c r="C1116" s="112">
        <v>13216.21441</v>
      </c>
      <c r="D1116" s="112" t="s">
        <v>1551</v>
      </c>
      <c r="E1116" s="112" t="s">
        <v>1543</v>
      </c>
      <c r="F1116" s="112" t="s">
        <v>1551</v>
      </c>
      <c r="G1116" s="112" t="s">
        <v>1467</v>
      </c>
      <c r="H1116" s="112" t="s">
        <v>1543</v>
      </c>
      <c r="I1116" s="112">
        <v>24876.325079999999</v>
      </c>
    </row>
    <row r="1117" spans="1:9">
      <c r="A1117" s="112" t="s">
        <v>1468</v>
      </c>
      <c r="B1117" s="112" t="s">
        <v>1550</v>
      </c>
      <c r="C1117" s="112">
        <v>3.6075296360000002</v>
      </c>
      <c r="D1117" s="112" t="s">
        <v>1551</v>
      </c>
      <c r="E1117" s="112" t="s">
        <v>1543</v>
      </c>
      <c r="F1117" s="112" t="s">
        <v>1551</v>
      </c>
      <c r="G1117" s="112" t="s">
        <v>1468</v>
      </c>
      <c r="H1117" s="112" t="s">
        <v>1543</v>
      </c>
      <c r="I1117" s="112">
        <v>3.6075296360000002</v>
      </c>
    </row>
    <row r="1118" spans="1:9">
      <c r="A1118" s="112" t="s">
        <v>1469</v>
      </c>
      <c r="B1118" s="112" t="s">
        <v>1550</v>
      </c>
      <c r="C1118" s="112">
        <v>19575.417280000001</v>
      </c>
      <c r="D1118" s="112" t="s">
        <v>1551</v>
      </c>
      <c r="E1118" s="112" t="s">
        <v>1543</v>
      </c>
      <c r="F1118" s="112" t="s">
        <v>1551</v>
      </c>
      <c r="G1118" s="112" t="s">
        <v>1469</v>
      </c>
      <c r="H1118" s="112" t="s">
        <v>1543</v>
      </c>
      <c r="I1118" s="112">
        <v>47688.639340000002</v>
      </c>
    </row>
    <row r="1119" spans="1:9">
      <c r="A1119" s="112" t="s">
        <v>1470</v>
      </c>
      <c r="B1119" s="112" t="s">
        <v>1550</v>
      </c>
      <c r="C1119" s="112">
        <v>0</v>
      </c>
      <c r="D1119" s="112" t="s">
        <v>1551</v>
      </c>
      <c r="E1119" s="112" t="s">
        <v>1543</v>
      </c>
      <c r="F1119" s="112" t="s">
        <v>1551</v>
      </c>
      <c r="G1119" s="112" t="s">
        <v>1470</v>
      </c>
      <c r="H1119" s="112" t="s">
        <v>1543</v>
      </c>
      <c r="I1119" s="112">
        <v>0</v>
      </c>
    </row>
    <row r="1120" spans="1:9">
      <c r="A1120" s="112" t="s">
        <v>1471</v>
      </c>
      <c r="B1120" s="112" t="s">
        <v>1550</v>
      </c>
      <c r="C1120" s="112">
        <v>1937.7156279999999</v>
      </c>
      <c r="D1120" s="112" t="s">
        <v>1551</v>
      </c>
      <c r="E1120" s="112" t="s">
        <v>1543</v>
      </c>
      <c r="F1120" s="112" t="s">
        <v>1551</v>
      </c>
      <c r="G1120" s="112" t="s">
        <v>1471</v>
      </c>
      <c r="H1120" s="112" t="s">
        <v>1543</v>
      </c>
      <c r="I1120" s="112">
        <v>3630.6027479999998</v>
      </c>
    </row>
    <row r="1121" spans="1:9">
      <c r="A1121" s="112" t="s">
        <v>1472</v>
      </c>
      <c r="B1121" s="112" t="s">
        <v>1550</v>
      </c>
      <c r="C1121" s="112">
        <v>0</v>
      </c>
      <c r="D1121" s="112" t="s">
        <v>1551</v>
      </c>
      <c r="E1121" s="112" t="s">
        <v>1543</v>
      </c>
      <c r="F1121" s="112" t="s">
        <v>1551</v>
      </c>
      <c r="G1121" s="112" t="s">
        <v>1472</v>
      </c>
      <c r="H1121" s="112" t="s">
        <v>1543</v>
      </c>
      <c r="I1121" s="112">
        <v>0</v>
      </c>
    </row>
    <row r="1122" spans="1:9">
      <c r="A1122" s="112" t="s">
        <v>1473</v>
      </c>
      <c r="B1122" s="112" t="s">
        <v>1550</v>
      </c>
      <c r="C1122" s="112">
        <v>12830.20264</v>
      </c>
      <c r="D1122" s="112" t="s">
        <v>1551</v>
      </c>
      <c r="E1122" s="112" t="s">
        <v>1543</v>
      </c>
      <c r="F1122" s="112" t="s">
        <v>1551</v>
      </c>
      <c r="G1122" s="112" t="s">
        <v>1473</v>
      </c>
      <c r="H1122" s="112" t="s">
        <v>1543</v>
      </c>
      <c r="I1122" s="112">
        <v>19254.048200000001</v>
      </c>
    </row>
    <row r="1123" spans="1:9">
      <c r="A1123" s="112" t="s">
        <v>1474</v>
      </c>
      <c r="B1123" s="112" t="s">
        <v>1550</v>
      </c>
      <c r="C1123" s="112">
        <v>0</v>
      </c>
      <c r="D1123" s="112" t="s">
        <v>1551</v>
      </c>
      <c r="E1123" s="112" t="s">
        <v>1543</v>
      </c>
      <c r="F1123" s="112" t="s">
        <v>1551</v>
      </c>
      <c r="G1123" s="112" t="s">
        <v>1474</v>
      </c>
      <c r="H1123" s="112" t="s">
        <v>1543</v>
      </c>
      <c r="I1123" s="112">
        <v>0</v>
      </c>
    </row>
    <row r="1124" spans="1:9">
      <c r="A1124" s="112" t="s">
        <v>1475</v>
      </c>
      <c r="B1124" s="112" t="s">
        <v>1550</v>
      </c>
      <c r="C1124" s="112">
        <v>0</v>
      </c>
      <c r="D1124" s="112" t="s">
        <v>1551</v>
      </c>
      <c r="E1124" s="112" t="s">
        <v>1543</v>
      </c>
      <c r="F1124" s="112" t="s">
        <v>1551</v>
      </c>
      <c r="G1124" s="112" t="s">
        <v>1475</v>
      </c>
      <c r="H1124" s="112" t="s">
        <v>1543</v>
      </c>
      <c r="I1124" s="112">
        <v>0</v>
      </c>
    </row>
    <row r="1125" spans="1:9">
      <c r="A1125" s="112" t="s">
        <v>1476</v>
      </c>
      <c r="B1125" s="112" t="s">
        <v>1550</v>
      </c>
      <c r="C1125" s="112">
        <v>151.7208942</v>
      </c>
      <c r="D1125" s="112" t="s">
        <v>1551</v>
      </c>
      <c r="E1125" s="112" t="s">
        <v>1543</v>
      </c>
      <c r="F1125" s="112" t="s">
        <v>1551</v>
      </c>
      <c r="G1125" s="112" t="s">
        <v>1476</v>
      </c>
      <c r="H1125" s="112" t="s">
        <v>1543</v>
      </c>
      <c r="I1125" s="112">
        <v>337.57898970000002</v>
      </c>
    </row>
    <row r="1126" spans="1:9">
      <c r="A1126" s="112" t="s">
        <v>1477</v>
      </c>
      <c r="B1126" s="112" t="s">
        <v>1550</v>
      </c>
      <c r="C1126" s="112">
        <v>4889.7003649999997</v>
      </c>
      <c r="D1126" s="112" t="s">
        <v>1551</v>
      </c>
      <c r="E1126" s="112" t="s">
        <v>1543</v>
      </c>
      <c r="F1126" s="112" t="s">
        <v>1551</v>
      </c>
      <c r="G1126" s="112" t="s">
        <v>1477</v>
      </c>
      <c r="H1126" s="112" t="s">
        <v>1543</v>
      </c>
      <c r="I1126" s="112">
        <v>14368.966039999999</v>
      </c>
    </row>
    <row r="1127" spans="1:9">
      <c r="A1127" s="112" t="s">
        <v>1478</v>
      </c>
      <c r="B1127" s="112" t="s">
        <v>1550</v>
      </c>
      <c r="C1127" s="112">
        <v>3177.38339</v>
      </c>
      <c r="D1127" s="112" t="s">
        <v>1551</v>
      </c>
      <c r="E1127" s="112" t="s">
        <v>1543</v>
      </c>
      <c r="F1127" s="112" t="s">
        <v>1551</v>
      </c>
      <c r="G1127" s="112" t="s">
        <v>1478</v>
      </c>
      <c r="H1127" s="112" t="s">
        <v>1543</v>
      </c>
      <c r="I1127" s="112">
        <v>4046.098986</v>
      </c>
    </row>
    <row r="1128" spans="1:9">
      <c r="A1128" s="112" t="s">
        <v>1479</v>
      </c>
      <c r="B1128" s="112" t="s">
        <v>1550</v>
      </c>
      <c r="C1128" s="112">
        <v>29638.312119999999</v>
      </c>
      <c r="D1128" s="112" t="s">
        <v>1551</v>
      </c>
      <c r="E1128" s="112" t="s">
        <v>1543</v>
      </c>
      <c r="F1128" s="112" t="s">
        <v>1551</v>
      </c>
      <c r="G1128" s="112" t="s">
        <v>1479</v>
      </c>
      <c r="H1128" s="112" t="s">
        <v>1543</v>
      </c>
      <c r="I1128" s="112">
        <v>56764.902869999998</v>
      </c>
    </row>
    <row r="1129" spans="1:9">
      <c r="A1129" s="112" t="s">
        <v>1480</v>
      </c>
      <c r="B1129" s="112" t="s">
        <v>1550</v>
      </c>
      <c r="C1129" s="112">
        <v>781.03207810000004</v>
      </c>
      <c r="D1129" s="112" t="s">
        <v>1551</v>
      </c>
      <c r="E1129" s="112" t="s">
        <v>1543</v>
      </c>
      <c r="F1129" s="112" t="s">
        <v>1551</v>
      </c>
      <c r="G1129" s="112" t="s">
        <v>1480</v>
      </c>
      <c r="H1129" s="112" t="s">
        <v>1543</v>
      </c>
      <c r="I1129" s="112">
        <v>828.85036860000002</v>
      </c>
    </row>
    <row r="1130" spans="1:9">
      <c r="A1130" s="112" t="s">
        <v>1481</v>
      </c>
      <c r="B1130" s="112" t="s">
        <v>1550</v>
      </c>
      <c r="C1130" s="112">
        <v>0</v>
      </c>
      <c r="D1130" s="112" t="s">
        <v>1551</v>
      </c>
      <c r="E1130" s="112" t="s">
        <v>1543</v>
      </c>
      <c r="F1130" s="112" t="s">
        <v>1551</v>
      </c>
      <c r="G1130" s="112" t="s">
        <v>1481</v>
      </c>
      <c r="H1130" s="112" t="s">
        <v>1543</v>
      </c>
      <c r="I1130" s="112">
        <v>0</v>
      </c>
    </row>
    <row r="1131" spans="1:9">
      <c r="A1131" s="112" t="s">
        <v>1482</v>
      </c>
      <c r="B1131" s="112" t="s">
        <v>1550</v>
      </c>
      <c r="C1131" s="112">
        <v>0</v>
      </c>
      <c r="D1131" s="112" t="s">
        <v>1551</v>
      </c>
      <c r="E1131" s="112" t="s">
        <v>1543</v>
      </c>
      <c r="F1131" s="112" t="s">
        <v>1551</v>
      </c>
      <c r="G1131" s="112" t="s">
        <v>1482</v>
      </c>
      <c r="H1131" s="112" t="s">
        <v>1543</v>
      </c>
      <c r="I1131" s="112">
        <v>0</v>
      </c>
    </row>
    <row r="1132" spans="1:9">
      <c r="A1132" s="112" t="s">
        <v>1483</v>
      </c>
      <c r="B1132" s="112" t="s">
        <v>1550</v>
      </c>
      <c r="C1132" s="112">
        <v>0</v>
      </c>
      <c r="D1132" s="112" t="s">
        <v>1551</v>
      </c>
      <c r="E1132" s="112" t="s">
        <v>1543</v>
      </c>
      <c r="F1132" s="112" t="s">
        <v>1551</v>
      </c>
      <c r="G1132" s="112" t="s">
        <v>1483</v>
      </c>
      <c r="H1132" s="112" t="s">
        <v>1543</v>
      </c>
      <c r="I1132" s="112">
        <v>0</v>
      </c>
    </row>
    <row r="1133" spans="1:9">
      <c r="A1133" s="112" t="s">
        <v>1484</v>
      </c>
      <c r="B1133" s="112" t="s">
        <v>1550</v>
      </c>
      <c r="C1133" s="112">
        <v>0</v>
      </c>
      <c r="D1133" s="112" t="s">
        <v>1551</v>
      </c>
      <c r="E1133" s="112" t="s">
        <v>1543</v>
      </c>
      <c r="F1133" s="112" t="s">
        <v>1551</v>
      </c>
      <c r="G1133" s="112" t="s">
        <v>1484</v>
      </c>
      <c r="H1133" s="112" t="s">
        <v>1543</v>
      </c>
      <c r="I1133" s="112">
        <v>0</v>
      </c>
    </row>
    <row r="1134" spans="1:9">
      <c r="A1134" s="112" t="s">
        <v>1485</v>
      </c>
      <c r="B1134" s="112" t="s">
        <v>1550</v>
      </c>
      <c r="C1134" s="112">
        <v>0</v>
      </c>
      <c r="D1134" s="112" t="s">
        <v>1551</v>
      </c>
      <c r="E1134" s="112" t="s">
        <v>1543</v>
      </c>
      <c r="F1134" s="112" t="s">
        <v>1551</v>
      </c>
      <c r="G1134" s="112" t="s">
        <v>1485</v>
      </c>
      <c r="H1134" s="112" t="s">
        <v>1543</v>
      </c>
      <c r="I1134" s="112">
        <v>0</v>
      </c>
    </row>
    <row r="1135" spans="1:9">
      <c r="A1135" s="112" t="s">
        <v>1486</v>
      </c>
      <c r="B1135" s="112" t="s">
        <v>1550</v>
      </c>
      <c r="C1135" s="112">
        <v>0</v>
      </c>
      <c r="D1135" s="112" t="s">
        <v>1551</v>
      </c>
      <c r="E1135" s="112" t="s">
        <v>1543</v>
      </c>
      <c r="F1135" s="112" t="s">
        <v>1551</v>
      </c>
      <c r="G1135" s="112" t="s">
        <v>1486</v>
      </c>
      <c r="H1135" s="112" t="s">
        <v>1543</v>
      </c>
      <c r="I1135" s="112">
        <v>0</v>
      </c>
    </row>
    <row r="1136" spans="1:9">
      <c r="A1136" s="112" t="s">
        <v>1487</v>
      </c>
      <c r="B1136" s="112" t="s">
        <v>1550</v>
      </c>
      <c r="C1136" s="112">
        <v>0</v>
      </c>
      <c r="D1136" s="112" t="s">
        <v>1551</v>
      </c>
      <c r="E1136" s="112" t="s">
        <v>1543</v>
      </c>
      <c r="F1136" s="112" t="s">
        <v>1551</v>
      </c>
      <c r="G1136" s="112" t="s">
        <v>1487</v>
      </c>
      <c r="H1136" s="112" t="s">
        <v>1543</v>
      </c>
      <c r="I1136" s="112">
        <v>0</v>
      </c>
    </row>
    <row r="1137" spans="1:9">
      <c r="A1137" s="112" t="s">
        <v>1488</v>
      </c>
      <c r="B1137" s="112" t="s">
        <v>1550</v>
      </c>
      <c r="C1137" s="112">
        <v>0</v>
      </c>
      <c r="D1137" s="112" t="s">
        <v>1551</v>
      </c>
      <c r="E1137" s="112" t="s">
        <v>1543</v>
      </c>
      <c r="F1137" s="112" t="s">
        <v>1551</v>
      </c>
      <c r="G1137" s="112" t="s">
        <v>1488</v>
      </c>
      <c r="H1137" s="112" t="s">
        <v>1543</v>
      </c>
      <c r="I1137" s="112">
        <v>318.59816799999999</v>
      </c>
    </row>
    <row r="1138" spans="1:9">
      <c r="A1138" s="112" t="s">
        <v>1489</v>
      </c>
      <c r="B1138" s="112" t="s">
        <v>1550</v>
      </c>
      <c r="C1138" s="112">
        <v>5.824892094</v>
      </c>
      <c r="D1138" s="112" t="s">
        <v>1551</v>
      </c>
      <c r="E1138" s="112" t="s">
        <v>1543</v>
      </c>
      <c r="F1138" s="112" t="s">
        <v>1551</v>
      </c>
      <c r="G1138" s="112" t="s">
        <v>1489</v>
      </c>
      <c r="H1138" s="112" t="s">
        <v>1543</v>
      </c>
      <c r="I1138" s="112">
        <v>5.824892094</v>
      </c>
    </row>
    <row r="1139" spans="1:9">
      <c r="A1139" s="112" t="s">
        <v>1490</v>
      </c>
      <c r="B1139" s="112" t="s">
        <v>1550</v>
      </c>
      <c r="C1139" s="112">
        <v>420.3446826</v>
      </c>
      <c r="D1139" s="112" t="s">
        <v>1551</v>
      </c>
      <c r="E1139" s="112" t="s">
        <v>1543</v>
      </c>
      <c r="F1139" s="112" t="s">
        <v>1551</v>
      </c>
      <c r="G1139" s="112" t="s">
        <v>1490</v>
      </c>
      <c r="H1139" s="112" t="s">
        <v>1543</v>
      </c>
      <c r="I1139" s="112">
        <v>420.3446826</v>
      </c>
    </row>
    <row r="1140" spans="1:9">
      <c r="A1140" s="112" t="s">
        <v>1461</v>
      </c>
      <c r="B1140" s="112" t="s">
        <v>1552</v>
      </c>
      <c r="C1140" s="112">
        <v>0</v>
      </c>
      <c r="D1140" s="112" t="s">
        <v>1551</v>
      </c>
      <c r="E1140" s="112" t="s">
        <v>1543</v>
      </c>
      <c r="F1140" s="112" t="s">
        <v>1551</v>
      </c>
      <c r="G1140" s="112" t="s">
        <v>1461</v>
      </c>
      <c r="H1140" s="112" t="s">
        <v>1543</v>
      </c>
      <c r="I1140" s="112">
        <v>40.851041029999998</v>
      </c>
    </row>
    <row r="1141" spans="1:9">
      <c r="A1141" s="112" t="s">
        <v>1465</v>
      </c>
      <c r="B1141" s="112" t="s">
        <v>1552</v>
      </c>
      <c r="C1141" s="112">
        <v>0</v>
      </c>
      <c r="D1141" s="112" t="s">
        <v>1551</v>
      </c>
      <c r="E1141" s="112" t="s">
        <v>1543</v>
      </c>
      <c r="F1141" s="112" t="s">
        <v>1551</v>
      </c>
      <c r="G1141" s="112" t="s">
        <v>1465</v>
      </c>
      <c r="H1141" s="112" t="s">
        <v>1543</v>
      </c>
      <c r="I1141" s="112">
        <v>2.4417997040000001</v>
      </c>
    </row>
    <row r="1142" spans="1:9">
      <c r="A1142" s="112" t="s">
        <v>1466</v>
      </c>
      <c r="B1142" s="112" t="s">
        <v>1552</v>
      </c>
      <c r="C1142" s="112">
        <v>8354.1509320000005</v>
      </c>
      <c r="D1142" s="112" t="s">
        <v>1551</v>
      </c>
      <c r="E1142" s="112" t="s">
        <v>1543</v>
      </c>
      <c r="F1142" s="112" t="s">
        <v>1551</v>
      </c>
      <c r="G1142" s="112" t="s">
        <v>1466</v>
      </c>
      <c r="H1142" s="112" t="s">
        <v>1543</v>
      </c>
      <c r="I1142" s="112">
        <v>29872.770570000001</v>
      </c>
    </row>
    <row r="1143" spans="1:9">
      <c r="A1143" s="112" t="s">
        <v>1467</v>
      </c>
      <c r="B1143" s="112" t="s">
        <v>1552</v>
      </c>
      <c r="C1143" s="112">
        <v>2436.1624109999998</v>
      </c>
      <c r="D1143" s="112" t="s">
        <v>1551</v>
      </c>
      <c r="E1143" s="112" t="s">
        <v>1543</v>
      </c>
      <c r="F1143" s="112" t="s">
        <v>1551</v>
      </c>
      <c r="G1143" s="112" t="s">
        <v>1467</v>
      </c>
      <c r="H1143" s="112" t="s">
        <v>1543</v>
      </c>
      <c r="I1143" s="112">
        <v>24876.325079999999</v>
      </c>
    </row>
    <row r="1144" spans="1:9">
      <c r="A1144" s="112" t="s">
        <v>1468</v>
      </c>
      <c r="B1144" s="112" t="s">
        <v>1552</v>
      </c>
      <c r="C1144" s="112">
        <v>0</v>
      </c>
      <c r="D1144" s="112" t="s">
        <v>1551</v>
      </c>
      <c r="E1144" s="112" t="s">
        <v>1543</v>
      </c>
      <c r="F1144" s="112" t="s">
        <v>1551</v>
      </c>
      <c r="G1144" s="112" t="s">
        <v>1468</v>
      </c>
      <c r="H1144" s="112" t="s">
        <v>1543</v>
      </c>
      <c r="I1144" s="112">
        <v>3.6075296360000002</v>
      </c>
    </row>
    <row r="1145" spans="1:9">
      <c r="A1145" s="112" t="s">
        <v>1469</v>
      </c>
      <c r="B1145" s="112" t="s">
        <v>1552</v>
      </c>
      <c r="C1145" s="112">
        <v>8980.0784559999993</v>
      </c>
      <c r="D1145" s="112" t="s">
        <v>1551</v>
      </c>
      <c r="E1145" s="112" t="s">
        <v>1543</v>
      </c>
      <c r="F1145" s="112" t="s">
        <v>1551</v>
      </c>
      <c r="G1145" s="112" t="s">
        <v>1469</v>
      </c>
      <c r="H1145" s="112" t="s">
        <v>1543</v>
      </c>
      <c r="I1145" s="112">
        <v>47688.639340000002</v>
      </c>
    </row>
    <row r="1146" spans="1:9">
      <c r="A1146" s="112" t="s">
        <v>1470</v>
      </c>
      <c r="B1146" s="112" t="s">
        <v>1552</v>
      </c>
      <c r="C1146" s="112">
        <v>0</v>
      </c>
      <c r="D1146" s="112" t="s">
        <v>1551</v>
      </c>
      <c r="E1146" s="112" t="s">
        <v>1543</v>
      </c>
      <c r="F1146" s="112" t="s">
        <v>1551</v>
      </c>
      <c r="G1146" s="112" t="s">
        <v>1470</v>
      </c>
      <c r="H1146" s="112" t="s">
        <v>1543</v>
      </c>
      <c r="I1146" s="112">
        <v>0</v>
      </c>
    </row>
    <row r="1147" spans="1:9">
      <c r="A1147" s="112" t="s">
        <v>1471</v>
      </c>
      <c r="B1147" s="112" t="s">
        <v>1552</v>
      </c>
      <c r="C1147" s="112">
        <v>276.4521901</v>
      </c>
      <c r="D1147" s="112" t="s">
        <v>1551</v>
      </c>
      <c r="E1147" s="112" t="s">
        <v>1543</v>
      </c>
      <c r="F1147" s="112" t="s">
        <v>1551</v>
      </c>
      <c r="G1147" s="112" t="s">
        <v>1471</v>
      </c>
      <c r="H1147" s="112" t="s">
        <v>1543</v>
      </c>
      <c r="I1147" s="112">
        <v>3630.6027479999998</v>
      </c>
    </row>
    <row r="1148" spans="1:9">
      <c r="A1148" s="112" t="s">
        <v>1472</v>
      </c>
      <c r="B1148" s="112" t="s">
        <v>1552</v>
      </c>
      <c r="C1148" s="112">
        <v>0</v>
      </c>
      <c r="D1148" s="112" t="s">
        <v>1551</v>
      </c>
      <c r="E1148" s="112" t="s">
        <v>1543</v>
      </c>
      <c r="F1148" s="112" t="s">
        <v>1551</v>
      </c>
      <c r="G1148" s="112" t="s">
        <v>1472</v>
      </c>
      <c r="H1148" s="112" t="s">
        <v>1543</v>
      </c>
      <c r="I1148" s="112">
        <v>0</v>
      </c>
    </row>
    <row r="1149" spans="1:9">
      <c r="A1149" s="112" t="s">
        <v>1473</v>
      </c>
      <c r="B1149" s="112" t="s">
        <v>1552</v>
      </c>
      <c r="C1149" s="112">
        <v>1959.215868</v>
      </c>
      <c r="D1149" s="112" t="s">
        <v>1551</v>
      </c>
      <c r="E1149" s="112" t="s">
        <v>1543</v>
      </c>
      <c r="F1149" s="112" t="s">
        <v>1551</v>
      </c>
      <c r="G1149" s="112" t="s">
        <v>1473</v>
      </c>
      <c r="H1149" s="112" t="s">
        <v>1543</v>
      </c>
      <c r="I1149" s="112">
        <v>19254.048200000001</v>
      </c>
    </row>
    <row r="1150" spans="1:9">
      <c r="A1150" s="112" t="s">
        <v>1474</v>
      </c>
      <c r="B1150" s="112" t="s">
        <v>1552</v>
      </c>
      <c r="C1150" s="112">
        <v>0</v>
      </c>
      <c r="D1150" s="112" t="s">
        <v>1551</v>
      </c>
      <c r="E1150" s="112" t="s">
        <v>1543</v>
      </c>
      <c r="F1150" s="112" t="s">
        <v>1551</v>
      </c>
      <c r="G1150" s="112" t="s">
        <v>1474</v>
      </c>
      <c r="H1150" s="112" t="s">
        <v>1543</v>
      </c>
      <c r="I1150" s="112">
        <v>0</v>
      </c>
    </row>
    <row r="1151" spans="1:9">
      <c r="A1151" s="112" t="s">
        <v>1475</v>
      </c>
      <c r="B1151" s="112" t="s">
        <v>1552</v>
      </c>
      <c r="C1151" s="112">
        <v>0</v>
      </c>
      <c r="D1151" s="112" t="s">
        <v>1551</v>
      </c>
      <c r="E1151" s="112" t="s">
        <v>1543</v>
      </c>
      <c r="F1151" s="112" t="s">
        <v>1551</v>
      </c>
      <c r="G1151" s="112" t="s">
        <v>1475</v>
      </c>
      <c r="H1151" s="112" t="s">
        <v>1543</v>
      </c>
      <c r="I1151" s="112">
        <v>0</v>
      </c>
    </row>
    <row r="1152" spans="1:9">
      <c r="A1152" s="112" t="s">
        <v>1476</v>
      </c>
      <c r="B1152" s="112" t="s">
        <v>1552</v>
      </c>
      <c r="C1152" s="112">
        <v>56.895335340000003</v>
      </c>
      <c r="D1152" s="112" t="s">
        <v>1551</v>
      </c>
      <c r="E1152" s="112" t="s">
        <v>1543</v>
      </c>
      <c r="F1152" s="112" t="s">
        <v>1551</v>
      </c>
      <c r="G1152" s="112" t="s">
        <v>1476</v>
      </c>
      <c r="H1152" s="112" t="s">
        <v>1543</v>
      </c>
      <c r="I1152" s="112">
        <v>337.57898970000002</v>
      </c>
    </row>
    <row r="1153" spans="1:9">
      <c r="A1153" s="112" t="s">
        <v>1477</v>
      </c>
      <c r="B1153" s="112" t="s">
        <v>1552</v>
      </c>
      <c r="C1153" s="112">
        <v>3326.496924</v>
      </c>
      <c r="D1153" s="112" t="s">
        <v>1551</v>
      </c>
      <c r="E1153" s="112" t="s">
        <v>1543</v>
      </c>
      <c r="F1153" s="112" t="s">
        <v>1551</v>
      </c>
      <c r="G1153" s="112" t="s">
        <v>1477</v>
      </c>
      <c r="H1153" s="112" t="s">
        <v>1543</v>
      </c>
      <c r="I1153" s="112">
        <v>14368.966039999999</v>
      </c>
    </row>
    <row r="1154" spans="1:9">
      <c r="A1154" s="112" t="s">
        <v>1478</v>
      </c>
      <c r="B1154" s="112" t="s">
        <v>1552</v>
      </c>
      <c r="C1154" s="112">
        <v>366.07867549999997</v>
      </c>
      <c r="D1154" s="112" t="s">
        <v>1551</v>
      </c>
      <c r="E1154" s="112" t="s">
        <v>1543</v>
      </c>
      <c r="F1154" s="112" t="s">
        <v>1551</v>
      </c>
      <c r="G1154" s="112" t="s">
        <v>1478</v>
      </c>
      <c r="H1154" s="112" t="s">
        <v>1543</v>
      </c>
      <c r="I1154" s="112">
        <v>4046.098986</v>
      </c>
    </row>
    <row r="1155" spans="1:9">
      <c r="A1155" s="112" t="s">
        <v>1479</v>
      </c>
      <c r="B1155" s="112" t="s">
        <v>1552</v>
      </c>
      <c r="C1155" s="112">
        <v>3851.3060949999999</v>
      </c>
      <c r="D1155" s="112" t="s">
        <v>1551</v>
      </c>
      <c r="E1155" s="112" t="s">
        <v>1543</v>
      </c>
      <c r="F1155" s="112" t="s">
        <v>1551</v>
      </c>
      <c r="G1155" s="112" t="s">
        <v>1479</v>
      </c>
      <c r="H1155" s="112" t="s">
        <v>1543</v>
      </c>
      <c r="I1155" s="112">
        <v>56764.902869999998</v>
      </c>
    </row>
    <row r="1156" spans="1:9">
      <c r="A1156" s="112" t="s">
        <v>1480</v>
      </c>
      <c r="B1156" s="112" t="s">
        <v>1552</v>
      </c>
      <c r="C1156" s="112">
        <v>0</v>
      </c>
      <c r="D1156" s="112" t="s">
        <v>1551</v>
      </c>
      <c r="E1156" s="112" t="s">
        <v>1543</v>
      </c>
      <c r="F1156" s="112" t="s">
        <v>1551</v>
      </c>
      <c r="G1156" s="112" t="s">
        <v>1480</v>
      </c>
      <c r="H1156" s="112" t="s">
        <v>1543</v>
      </c>
      <c r="I1156" s="112">
        <v>828.85036860000002</v>
      </c>
    </row>
    <row r="1157" spans="1:9">
      <c r="A1157" s="112" t="s">
        <v>1481</v>
      </c>
      <c r="B1157" s="112" t="s">
        <v>1552</v>
      </c>
      <c r="C1157" s="112">
        <v>0</v>
      </c>
      <c r="D1157" s="112" t="s">
        <v>1551</v>
      </c>
      <c r="E1157" s="112" t="s">
        <v>1543</v>
      </c>
      <c r="F1157" s="112" t="s">
        <v>1551</v>
      </c>
      <c r="G1157" s="112" t="s">
        <v>1481</v>
      </c>
      <c r="H1157" s="112" t="s">
        <v>1543</v>
      </c>
      <c r="I1157" s="112">
        <v>0</v>
      </c>
    </row>
    <row r="1158" spans="1:9">
      <c r="A1158" s="112" t="s">
        <v>1482</v>
      </c>
      <c r="B1158" s="112" t="s">
        <v>1552</v>
      </c>
      <c r="C1158" s="112">
        <v>0</v>
      </c>
      <c r="D1158" s="112" t="s">
        <v>1551</v>
      </c>
      <c r="E1158" s="112" t="s">
        <v>1543</v>
      </c>
      <c r="F1158" s="112" t="s">
        <v>1551</v>
      </c>
      <c r="G1158" s="112" t="s">
        <v>1482</v>
      </c>
      <c r="H1158" s="112" t="s">
        <v>1543</v>
      </c>
      <c r="I1158" s="112">
        <v>0</v>
      </c>
    </row>
    <row r="1159" spans="1:9">
      <c r="A1159" s="112" t="s">
        <v>1483</v>
      </c>
      <c r="B1159" s="112" t="s">
        <v>1552</v>
      </c>
      <c r="C1159" s="112">
        <v>0</v>
      </c>
      <c r="D1159" s="112" t="s">
        <v>1551</v>
      </c>
      <c r="E1159" s="112" t="s">
        <v>1543</v>
      </c>
      <c r="F1159" s="112" t="s">
        <v>1551</v>
      </c>
      <c r="G1159" s="112" t="s">
        <v>1483</v>
      </c>
      <c r="H1159" s="112" t="s">
        <v>1543</v>
      </c>
      <c r="I1159" s="112">
        <v>0</v>
      </c>
    </row>
    <row r="1160" spans="1:9">
      <c r="A1160" s="112" t="s">
        <v>1484</v>
      </c>
      <c r="B1160" s="112" t="s">
        <v>1552</v>
      </c>
      <c r="C1160" s="112">
        <v>0</v>
      </c>
      <c r="D1160" s="112" t="s">
        <v>1551</v>
      </c>
      <c r="E1160" s="112" t="s">
        <v>1543</v>
      </c>
      <c r="F1160" s="112" t="s">
        <v>1551</v>
      </c>
      <c r="G1160" s="112" t="s">
        <v>1484</v>
      </c>
      <c r="H1160" s="112" t="s">
        <v>1543</v>
      </c>
      <c r="I1160" s="112">
        <v>0</v>
      </c>
    </row>
    <row r="1161" spans="1:9">
      <c r="A1161" s="112" t="s">
        <v>1485</v>
      </c>
      <c r="B1161" s="112" t="s">
        <v>1552</v>
      </c>
      <c r="C1161" s="112">
        <v>0</v>
      </c>
      <c r="D1161" s="112" t="s">
        <v>1551</v>
      </c>
      <c r="E1161" s="112" t="s">
        <v>1543</v>
      </c>
      <c r="F1161" s="112" t="s">
        <v>1551</v>
      </c>
      <c r="G1161" s="112" t="s">
        <v>1485</v>
      </c>
      <c r="H1161" s="112" t="s">
        <v>1543</v>
      </c>
      <c r="I1161" s="112">
        <v>0</v>
      </c>
    </row>
    <row r="1162" spans="1:9">
      <c r="A1162" s="112" t="s">
        <v>1486</v>
      </c>
      <c r="B1162" s="112" t="s">
        <v>1552</v>
      </c>
      <c r="C1162" s="112">
        <v>0</v>
      </c>
      <c r="D1162" s="112" t="s">
        <v>1551</v>
      </c>
      <c r="E1162" s="112" t="s">
        <v>1543</v>
      </c>
      <c r="F1162" s="112" t="s">
        <v>1551</v>
      </c>
      <c r="G1162" s="112" t="s">
        <v>1486</v>
      </c>
      <c r="H1162" s="112" t="s">
        <v>1543</v>
      </c>
      <c r="I1162" s="112">
        <v>0</v>
      </c>
    </row>
    <row r="1163" spans="1:9">
      <c r="A1163" s="112" t="s">
        <v>1487</v>
      </c>
      <c r="B1163" s="112" t="s">
        <v>1552</v>
      </c>
      <c r="C1163" s="112">
        <v>0</v>
      </c>
      <c r="D1163" s="112" t="s">
        <v>1551</v>
      </c>
      <c r="E1163" s="112" t="s">
        <v>1543</v>
      </c>
      <c r="F1163" s="112" t="s">
        <v>1551</v>
      </c>
      <c r="G1163" s="112" t="s">
        <v>1487</v>
      </c>
      <c r="H1163" s="112" t="s">
        <v>1543</v>
      </c>
      <c r="I1163" s="112">
        <v>0</v>
      </c>
    </row>
    <row r="1164" spans="1:9">
      <c r="A1164" s="112" t="s">
        <v>1488</v>
      </c>
      <c r="B1164" s="112" t="s">
        <v>1552</v>
      </c>
      <c r="C1164" s="112">
        <v>238.94862599999999</v>
      </c>
      <c r="D1164" s="112" t="s">
        <v>1551</v>
      </c>
      <c r="E1164" s="112" t="s">
        <v>1543</v>
      </c>
      <c r="F1164" s="112" t="s">
        <v>1551</v>
      </c>
      <c r="G1164" s="112" t="s">
        <v>1488</v>
      </c>
      <c r="H1164" s="112" t="s">
        <v>1543</v>
      </c>
      <c r="I1164" s="112">
        <v>318.59816799999999</v>
      </c>
    </row>
    <row r="1165" spans="1:9">
      <c r="A1165" s="112" t="s">
        <v>1489</v>
      </c>
      <c r="B1165" s="112" t="s">
        <v>1552</v>
      </c>
      <c r="C1165" s="112">
        <v>0</v>
      </c>
      <c r="D1165" s="112" t="s">
        <v>1551</v>
      </c>
      <c r="E1165" s="112" t="s">
        <v>1543</v>
      </c>
      <c r="F1165" s="112" t="s">
        <v>1551</v>
      </c>
      <c r="G1165" s="112" t="s">
        <v>1489</v>
      </c>
      <c r="H1165" s="112" t="s">
        <v>1543</v>
      </c>
      <c r="I1165" s="112">
        <v>5.824892094</v>
      </c>
    </row>
    <row r="1166" spans="1:9">
      <c r="A1166" s="112" t="s">
        <v>1490</v>
      </c>
      <c r="B1166" s="112" t="s">
        <v>1552</v>
      </c>
      <c r="C1166" s="112">
        <v>0</v>
      </c>
      <c r="D1166" s="112" t="s">
        <v>1551</v>
      </c>
      <c r="E1166" s="112" t="s">
        <v>1543</v>
      </c>
      <c r="F1166" s="112" t="s">
        <v>1551</v>
      </c>
      <c r="G1166" s="112" t="s">
        <v>1490</v>
      </c>
      <c r="H1166" s="112" t="s">
        <v>1543</v>
      </c>
      <c r="I1166" s="112">
        <v>420.3446826</v>
      </c>
    </row>
    <row r="1167" spans="1:9">
      <c r="A1167" s="112" t="s">
        <v>1461</v>
      </c>
      <c r="B1167" s="112" t="s">
        <v>1553</v>
      </c>
      <c r="C1167" s="112">
        <v>0.66968919699999996</v>
      </c>
      <c r="D1167" s="112" t="s">
        <v>1551</v>
      </c>
      <c r="E1167" s="112" t="s">
        <v>1543</v>
      </c>
      <c r="F1167" s="112" t="s">
        <v>1551</v>
      </c>
      <c r="G1167" s="112" t="s">
        <v>1461</v>
      </c>
      <c r="H1167" s="112" t="s">
        <v>1543</v>
      </c>
      <c r="I1167" s="112">
        <v>40.851041029999998</v>
      </c>
    </row>
    <row r="1168" spans="1:9">
      <c r="A1168" s="112" t="s">
        <v>1465</v>
      </c>
      <c r="B1168" s="112" t="s">
        <v>1553</v>
      </c>
      <c r="C1168" s="112">
        <v>0</v>
      </c>
      <c r="D1168" s="112" t="s">
        <v>1551</v>
      </c>
      <c r="E1168" s="112" t="s">
        <v>1543</v>
      </c>
      <c r="F1168" s="112" t="s">
        <v>1551</v>
      </c>
      <c r="G1168" s="112" t="s">
        <v>1465</v>
      </c>
      <c r="H1168" s="112" t="s">
        <v>1543</v>
      </c>
      <c r="I1168" s="112">
        <v>2.4417997040000001</v>
      </c>
    </row>
    <row r="1169" spans="1:9">
      <c r="A1169" s="112" t="s">
        <v>1466</v>
      </c>
      <c r="B1169" s="112" t="s">
        <v>1553</v>
      </c>
      <c r="C1169" s="112">
        <v>3543.833149</v>
      </c>
      <c r="D1169" s="112" t="s">
        <v>1551</v>
      </c>
      <c r="E1169" s="112" t="s">
        <v>1543</v>
      </c>
      <c r="F1169" s="112" t="s">
        <v>1551</v>
      </c>
      <c r="G1169" s="112" t="s">
        <v>1466</v>
      </c>
      <c r="H1169" s="112" t="s">
        <v>1543</v>
      </c>
      <c r="I1169" s="112">
        <v>29872.770570000001</v>
      </c>
    </row>
    <row r="1170" spans="1:9">
      <c r="A1170" s="112" t="s">
        <v>1467</v>
      </c>
      <c r="B1170" s="112" t="s">
        <v>1553</v>
      </c>
      <c r="C1170" s="112">
        <v>7235.8157209999999</v>
      </c>
      <c r="D1170" s="112" t="s">
        <v>1551</v>
      </c>
      <c r="E1170" s="112" t="s">
        <v>1543</v>
      </c>
      <c r="F1170" s="112" t="s">
        <v>1551</v>
      </c>
      <c r="G1170" s="112" t="s">
        <v>1467</v>
      </c>
      <c r="H1170" s="112" t="s">
        <v>1543</v>
      </c>
      <c r="I1170" s="112">
        <v>24876.325079999999</v>
      </c>
    </row>
    <row r="1171" spans="1:9">
      <c r="A1171" s="112" t="s">
        <v>1468</v>
      </c>
      <c r="B1171" s="112" t="s">
        <v>1553</v>
      </c>
      <c r="C1171" s="112">
        <v>0</v>
      </c>
      <c r="D1171" s="112" t="s">
        <v>1551</v>
      </c>
      <c r="E1171" s="112" t="s">
        <v>1543</v>
      </c>
      <c r="F1171" s="112" t="s">
        <v>1551</v>
      </c>
      <c r="G1171" s="112" t="s">
        <v>1468</v>
      </c>
      <c r="H1171" s="112" t="s">
        <v>1543</v>
      </c>
      <c r="I1171" s="112">
        <v>3.6075296360000002</v>
      </c>
    </row>
    <row r="1172" spans="1:9">
      <c r="A1172" s="112" t="s">
        <v>1469</v>
      </c>
      <c r="B1172" s="112" t="s">
        <v>1553</v>
      </c>
      <c r="C1172" s="112">
        <v>7884.008922</v>
      </c>
      <c r="D1172" s="112" t="s">
        <v>1551</v>
      </c>
      <c r="E1172" s="112" t="s">
        <v>1543</v>
      </c>
      <c r="F1172" s="112" t="s">
        <v>1551</v>
      </c>
      <c r="G1172" s="112" t="s">
        <v>1469</v>
      </c>
      <c r="H1172" s="112" t="s">
        <v>1543</v>
      </c>
      <c r="I1172" s="112">
        <v>47688.639340000002</v>
      </c>
    </row>
    <row r="1173" spans="1:9">
      <c r="A1173" s="112" t="s">
        <v>1470</v>
      </c>
      <c r="B1173" s="112" t="s">
        <v>1553</v>
      </c>
      <c r="C1173" s="112">
        <v>0</v>
      </c>
      <c r="D1173" s="112" t="s">
        <v>1551</v>
      </c>
      <c r="E1173" s="112" t="s">
        <v>1543</v>
      </c>
      <c r="F1173" s="112" t="s">
        <v>1551</v>
      </c>
      <c r="G1173" s="112" t="s">
        <v>1470</v>
      </c>
      <c r="H1173" s="112" t="s">
        <v>1543</v>
      </c>
      <c r="I1173" s="112">
        <v>0</v>
      </c>
    </row>
    <row r="1174" spans="1:9">
      <c r="A1174" s="112" t="s">
        <v>1471</v>
      </c>
      <c r="B1174" s="112" t="s">
        <v>1553</v>
      </c>
      <c r="C1174" s="112">
        <v>843.12817380000001</v>
      </c>
      <c r="D1174" s="112" t="s">
        <v>1551</v>
      </c>
      <c r="E1174" s="112" t="s">
        <v>1543</v>
      </c>
      <c r="F1174" s="112" t="s">
        <v>1551</v>
      </c>
      <c r="G1174" s="112" t="s">
        <v>1471</v>
      </c>
      <c r="H1174" s="112" t="s">
        <v>1543</v>
      </c>
      <c r="I1174" s="112">
        <v>3630.6027479999998</v>
      </c>
    </row>
    <row r="1175" spans="1:9">
      <c r="A1175" s="112" t="s">
        <v>1472</v>
      </c>
      <c r="B1175" s="112" t="s">
        <v>1553</v>
      </c>
      <c r="C1175" s="112">
        <v>0</v>
      </c>
      <c r="D1175" s="112" t="s">
        <v>1551</v>
      </c>
      <c r="E1175" s="112" t="s">
        <v>1543</v>
      </c>
      <c r="F1175" s="112" t="s">
        <v>1551</v>
      </c>
      <c r="G1175" s="112" t="s">
        <v>1472</v>
      </c>
      <c r="H1175" s="112" t="s">
        <v>1543</v>
      </c>
      <c r="I1175" s="112">
        <v>0</v>
      </c>
    </row>
    <row r="1176" spans="1:9">
      <c r="A1176" s="112" t="s">
        <v>1473</v>
      </c>
      <c r="B1176" s="112" t="s">
        <v>1553</v>
      </c>
      <c r="C1176" s="112">
        <v>3504.0309659999998</v>
      </c>
      <c r="D1176" s="112" t="s">
        <v>1551</v>
      </c>
      <c r="E1176" s="112" t="s">
        <v>1543</v>
      </c>
      <c r="F1176" s="112" t="s">
        <v>1551</v>
      </c>
      <c r="G1176" s="112" t="s">
        <v>1473</v>
      </c>
      <c r="H1176" s="112" t="s">
        <v>1543</v>
      </c>
      <c r="I1176" s="112">
        <v>19254.048200000001</v>
      </c>
    </row>
    <row r="1177" spans="1:9">
      <c r="A1177" s="112" t="s">
        <v>1474</v>
      </c>
      <c r="B1177" s="112" t="s">
        <v>1553</v>
      </c>
      <c r="C1177" s="112">
        <v>0</v>
      </c>
      <c r="D1177" s="112" t="s">
        <v>1551</v>
      </c>
      <c r="E1177" s="112" t="s">
        <v>1543</v>
      </c>
      <c r="F1177" s="112" t="s">
        <v>1551</v>
      </c>
      <c r="G1177" s="112" t="s">
        <v>1474</v>
      </c>
      <c r="H1177" s="112" t="s">
        <v>1543</v>
      </c>
      <c r="I1177" s="112">
        <v>0</v>
      </c>
    </row>
    <row r="1178" spans="1:9">
      <c r="A1178" s="112" t="s">
        <v>1475</v>
      </c>
      <c r="B1178" s="112" t="s">
        <v>1553</v>
      </c>
      <c r="C1178" s="112">
        <v>0</v>
      </c>
      <c r="D1178" s="112" t="s">
        <v>1551</v>
      </c>
      <c r="E1178" s="112" t="s">
        <v>1543</v>
      </c>
      <c r="F1178" s="112" t="s">
        <v>1551</v>
      </c>
      <c r="G1178" s="112" t="s">
        <v>1475</v>
      </c>
      <c r="H1178" s="112" t="s">
        <v>1543</v>
      </c>
      <c r="I1178" s="112">
        <v>0</v>
      </c>
    </row>
    <row r="1179" spans="1:9">
      <c r="A1179" s="112" t="s">
        <v>1476</v>
      </c>
      <c r="B1179" s="112" t="s">
        <v>1553</v>
      </c>
      <c r="C1179" s="112">
        <v>18.965111780000001</v>
      </c>
      <c r="D1179" s="112" t="s">
        <v>1551</v>
      </c>
      <c r="E1179" s="112" t="s">
        <v>1543</v>
      </c>
      <c r="F1179" s="112" t="s">
        <v>1551</v>
      </c>
      <c r="G1179" s="112" t="s">
        <v>1476</v>
      </c>
      <c r="H1179" s="112" t="s">
        <v>1543</v>
      </c>
      <c r="I1179" s="112">
        <v>337.57898970000002</v>
      </c>
    </row>
    <row r="1180" spans="1:9">
      <c r="A1180" s="112" t="s">
        <v>1477</v>
      </c>
      <c r="B1180" s="112" t="s">
        <v>1553</v>
      </c>
      <c r="C1180" s="112">
        <v>1763.293482</v>
      </c>
      <c r="D1180" s="112" t="s">
        <v>1551</v>
      </c>
      <c r="E1180" s="112" t="s">
        <v>1543</v>
      </c>
      <c r="F1180" s="112" t="s">
        <v>1551</v>
      </c>
      <c r="G1180" s="112" t="s">
        <v>1477</v>
      </c>
      <c r="H1180" s="112" t="s">
        <v>1543</v>
      </c>
      <c r="I1180" s="112">
        <v>14368.966039999999</v>
      </c>
    </row>
    <row r="1181" spans="1:9">
      <c r="A1181" s="112" t="s">
        <v>1478</v>
      </c>
      <c r="B1181" s="112" t="s">
        <v>1553</v>
      </c>
      <c r="C1181" s="112">
        <v>448.78296469999998</v>
      </c>
      <c r="D1181" s="112" t="s">
        <v>1551</v>
      </c>
      <c r="E1181" s="112" t="s">
        <v>1543</v>
      </c>
      <c r="F1181" s="112" t="s">
        <v>1551</v>
      </c>
      <c r="G1181" s="112" t="s">
        <v>1478</v>
      </c>
      <c r="H1181" s="112" t="s">
        <v>1543</v>
      </c>
      <c r="I1181" s="112">
        <v>4046.098986</v>
      </c>
    </row>
    <row r="1182" spans="1:9">
      <c r="A1182" s="112" t="s">
        <v>1479</v>
      </c>
      <c r="B1182" s="112" t="s">
        <v>1553</v>
      </c>
      <c r="C1182" s="112">
        <v>4855.9946419999997</v>
      </c>
      <c r="D1182" s="112" t="s">
        <v>1551</v>
      </c>
      <c r="E1182" s="112" t="s">
        <v>1543</v>
      </c>
      <c r="F1182" s="112" t="s">
        <v>1551</v>
      </c>
      <c r="G1182" s="112" t="s">
        <v>1479</v>
      </c>
      <c r="H1182" s="112" t="s">
        <v>1543</v>
      </c>
      <c r="I1182" s="112">
        <v>56764.902869999998</v>
      </c>
    </row>
    <row r="1183" spans="1:9">
      <c r="A1183" s="112" t="s">
        <v>1480</v>
      </c>
      <c r="B1183" s="112" t="s">
        <v>1553</v>
      </c>
      <c r="C1183" s="112">
        <v>39.848575410000002</v>
      </c>
      <c r="D1183" s="112" t="s">
        <v>1551</v>
      </c>
      <c r="E1183" s="112" t="s">
        <v>1543</v>
      </c>
      <c r="F1183" s="112" t="s">
        <v>1551</v>
      </c>
      <c r="G1183" s="112" t="s">
        <v>1480</v>
      </c>
      <c r="H1183" s="112" t="s">
        <v>1543</v>
      </c>
      <c r="I1183" s="112">
        <v>828.85036860000002</v>
      </c>
    </row>
    <row r="1184" spans="1:9">
      <c r="A1184" s="112" t="s">
        <v>1481</v>
      </c>
      <c r="B1184" s="112" t="s">
        <v>1553</v>
      </c>
      <c r="C1184" s="112">
        <v>0</v>
      </c>
      <c r="D1184" s="112" t="s">
        <v>1551</v>
      </c>
      <c r="E1184" s="112" t="s">
        <v>1543</v>
      </c>
      <c r="F1184" s="112" t="s">
        <v>1551</v>
      </c>
      <c r="G1184" s="112" t="s">
        <v>1481</v>
      </c>
      <c r="H1184" s="112" t="s">
        <v>1543</v>
      </c>
      <c r="I1184" s="112">
        <v>0</v>
      </c>
    </row>
    <row r="1185" spans="1:9">
      <c r="A1185" s="112" t="s">
        <v>1482</v>
      </c>
      <c r="B1185" s="112" t="s">
        <v>1553</v>
      </c>
      <c r="C1185" s="112">
        <v>0</v>
      </c>
      <c r="D1185" s="112" t="s">
        <v>1551</v>
      </c>
      <c r="E1185" s="112" t="s">
        <v>1543</v>
      </c>
      <c r="F1185" s="112" t="s">
        <v>1551</v>
      </c>
      <c r="G1185" s="112" t="s">
        <v>1482</v>
      </c>
      <c r="H1185" s="112" t="s">
        <v>1543</v>
      </c>
      <c r="I1185" s="112">
        <v>0</v>
      </c>
    </row>
    <row r="1186" spans="1:9">
      <c r="A1186" s="112" t="s">
        <v>1483</v>
      </c>
      <c r="B1186" s="112" t="s">
        <v>1553</v>
      </c>
      <c r="C1186" s="112">
        <v>0</v>
      </c>
      <c r="D1186" s="112" t="s">
        <v>1551</v>
      </c>
      <c r="E1186" s="112" t="s">
        <v>1543</v>
      </c>
      <c r="F1186" s="112" t="s">
        <v>1551</v>
      </c>
      <c r="G1186" s="112" t="s">
        <v>1483</v>
      </c>
      <c r="H1186" s="112" t="s">
        <v>1543</v>
      </c>
      <c r="I1186" s="112">
        <v>0</v>
      </c>
    </row>
    <row r="1187" spans="1:9">
      <c r="A1187" s="112" t="s">
        <v>1484</v>
      </c>
      <c r="B1187" s="112" t="s">
        <v>1553</v>
      </c>
      <c r="C1187" s="112">
        <v>0</v>
      </c>
      <c r="D1187" s="112" t="s">
        <v>1551</v>
      </c>
      <c r="E1187" s="112" t="s">
        <v>1543</v>
      </c>
      <c r="F1187" s="112" t="s">
        <v>1551</v>
      </c>
      <c r="G1187" s="112" t="s">
        <v>1484</v>
      </c>
      <c r="H1187" s="112" t="s">
        <v>1543</v>
      </c>
      <c r="I1187" s="112">
        <v>0</v>
      </c>
    </row>
    <row r="1188" spans="1:9">
      <c r="A1188" s="112" t="s">
        <v>1485</v>
      </c>
      <c r="B1188" s="112" t="s">
        <v>1553</v>
      </c>
      <c r="C1188" s="112">
        <v>0</v>
      </c>
      <c r="D1188" s="112" t="s">
        <v>1551</v>
      </c>
      <c r="E1188" s="112" t="s">
        <v>1543</v>
      </c>
      <c r="F1188" s="112" t="s">
        <v>1551</v>
      </c>
      <c r="G1188" s="112" t="s">
        <v>1485</v>
      </c>
      <c r="H1188" s="112" t="s">
        <v>1543</v>
      </c>
      <c r="I1188" s="112">
        <v>0</v>
      </c>
    </row>
    <row r="1189" spans="1:9">
      <c r="A1189" s="112" t="s">
        <v>1486</v>
      </c>
      <c r="B1189" s="112" t="s">
        <v>1553</v>
      </c>
      <c r="C1189" s="112">
        <v>0</v>
      </c>
      <c r="D1189" s="112" t="s">
        <v>1551</v>
      </c>
      <c r="E1189" s="112" t="s">
        <v>1543</v>
      </c>
      <c r="F1189" s="112" t="s">
        <v>1551</v>
      </c>
      <c r="G1189" s="112" t="s">
        <v>1486</v>
      </c>
      <c r="H1189" s="112" t="s">
        <v>1543</v>
      </c>
      <c r="I1189" s="112">
        <v>0</v>
      </c>
    </row>
    <row r="1190" spans="1:9">
      <c r="A1190" s="112" t="s">
        <v>1487</v>
      </c>
      <c r="B1190" s="112" t="s">
        <v>1553</v>
      </c>
      <c r="C1190" s="112">
        <v>0</v>
      </c>
      <c r="D1190" s="112" t="s">
        <v>1551</v>
      </c>
      <c r="E1190" s="112" t="s">
        <v>1543</v>
      </c>
      <c r="F1190" s="112" t="s">
        <v>1551</v>
      </c>
      <c r="G1190" s="112" t="s">
        <v>1487</v>
      </c>
      <c r="H1190" s="112" t="s">
        <v>1543</v>
      </c>
      <c r="I1190" s="112">
        <v>0</v>
      </c>
    </row>
    <row r="1191" spans="1:9">
      <c r="A1191" s="112" t="s">
        <v>1488</v>
      </c>
      <c r="B1191" s="112" t="s">
        <v>1553</v>
      </c>
      <c r="C1191" s="112">
        <v>79.649542019999998</v>
      </c>
      <c r="D1191" s="112" t="s">
        <v>1551</v>
      </c>
      <c r="E1191" s="112" t="s">
        <v>1543</v>
      </c>
      <c r="F1191" s="112" t="s">
        <v>1551</v>
      </c>
      <c r="G1191" s="112" t="s">
        <v>1488</v>
      </c>
      <c r="H1191" s="112" t="s">
        <v>1543</v>
      </c>
      <c r="I1191" s="112">
        <v>318.59816799999999</v>
      </c>
    </row>
    <row r="1192" spans="1:9">
      <c r="A1192" s="112" t="s">
        <v>1489</v>
      </c>
      <c r="B1192" s="112" t="s">
        <v>1553</v>
      </c>
      <c r="C1192" s="112">
        <v>0</v>
      </c>
      <c r="D1192" s="112" t="s">
        <v>1551</v>
      </c>
      <c r="E1192" s="112" t="s">
        <v>1543</v>
      </c>
      <c r="F1192" s="112" t="s">
        <v>1551</v>
      </c>
      <c r="G1192" s="112" t="s">
        <v>1489</v>
      </c>
      <c r="H1192" s="112" t="s">
        <v>1543</v>
      </c>
      <c r="I1192" s="112">
        <v>5.824892094</v>
      </c>
    </row>
    <row r="1193" spans="1:9">
      <c r="A1193" s="112" t="s">
        <v>1490</v>
      </c>
      <c r="B1193" s="112" t="s">
        <v>1553</v>
      </c>
      <c r="C1193" s="112">
        <v>0</v>
      </c>
      <c r="D1193" s="112" t="s">
        <v>1551</v>
      </c>
      <c r="E1193" s="112" t="s">
        <v>1543</v>
      </c>
      <c r="F1193" s="112" t="s">
        <v>1551</v>
      </c>
      <c r="G1193" s="112" t="s">
        <v>1490</v>
      </c>
      <c r="H1193" s="112" t="s">
        <v>1543</v>
      </c>
      <c r="I1193" s="112">
        <v>420.3446826</v>
      </c>
    </row>
    <row r="1194" spans="1:9">
      <c r="A1194" s="112" t="s">
        <v>1461</v>
      </c>
      <c r="B1194" s="112" t="s">
        <v>1554</v>
      </c>
      <c r="C1194" s="112">
        <v>20.090675919999999</v>
      </c>
      <c r="D1194" s="112" t="s">
        <v>1555</v>
      </c>
      <c r="E1194" s="112" t="s">
        <v>1543</v>
      </c>
      <c r="F1194" s="112" t="s">
        <v>1555</v>
      </c>
      <c r="G1194" s="112" t="s">
        <v>1461</v>
      </c>
      <c r="H1194" s="112" t="s">
        <v>1543</v>
      </c>
      <c r="I1194" s="112">
        <v>56.923581769999998</v>
      </c>
    </row>
    <row r="1195" spans="1:9">
      <c r="A1195" s="112" t="s">
        <v>1465</v>
      </c>
      <c r="B1195" s="112" t="s">
        <v>1554</v>
      </c>
      <c r="C1195" s="112">
        <v>0</v>
      </c>
      <c r="D1195" s="112" t="s">
        <v>1555</v>
      </c>
      <c r="E1195" s="112" t="s">
        <v>1543</v>
      </c>
      <c r="F1195" s="112" t="s">
        <v>1555</v>
      </c>
      <c r="G1195" s="112" t="s">
        <v>1465</v>
      </c>
      <c r="H1195" s="112" t="s">
        <v>1543</v>
      </c>
      <c r="I1195" s="112">
        <v>0</v>
      </c>
    </row>
    <row r="1196" spans="1:9">
      <c r="A1196" s="112" t="s">
        <v>1466</v>
      </c>
      <c r="B1196" s="112" t="s">
        <v>1554</v>
      </c>
      <c r="C1196" s="112">
        <v>5263.4636609999998</v>
      </c>
      <c r="D1196" s="112" t="s">
        <v>1555</v>
      </c>
      <c r="E1196" s="112" t="s">
        <v>1543</v>
      </c>
      <c r="F1196" s="112" t="s">
        <v>1555</v>
      </c>
      <c r="G1196" s="112" t="s">
        <v>1466</v>
      </c>
      <c r="H1196" s="112" t="s">
        <v>1543</v>
      </c>
      <c r="I1196" s="112">
        <v>14895.718349999999</v>
      </c>
    </row>
    <row r="1197" spans="1:9">
      <c r="A1197" s="112" t="s">
        <v>1467</v>
      </c>
      <c r="B1197" s="112" t="s">
        <v>1554</v>
      </c>
      <c r="C1197" s="112">
        <v>4114.9409960000003</v>
      </c>
      <c r="D1197" s="112" t="s">
        <v>1555</v>
      </c>
      <c r="E1197" s="112" t="s">
        <v>1543</v>
      </c>
      <c r="F1197" s="112" t="s">
        <v>1555</v>
      </c>
      <c r="G1197" s="112" t="s">
        <v>1467</v>
      </c>
      <c r="H1197" s="112" t="s">
        <v>1543</v>
      </c>
      <c r="I1197" s="112">
        <v>5259.6839790000004</v>
      </c>
    </row>
    <row r="1198" spans="1:9">
      <c r="A1198" s="112" t="s">
        <v>1468</v>
      </c>
      <c r="B1198" s="112" t="s">
        <v>1554</v>
      </c>
      <c r="C1198" s="112">
        <v>0</v>
      </c>
      <c r="D1198" s="112" t="s">
        <v>1555</v>
      </c>
      <c r="E1198" s="112" t="s">
        <v>1543</v>
      </c>
      <c r="F1198" s="112" t="s">
        <v>1555</v>
      </c>
      <c r="G1198" s="112" t="s">
        <v>1468</v>
      </c>
      <c r="H1198" s="112" t="s">
        <v>1543</v>
      </c>
      <c r="I1198" s="112">
        <v>0</v>
      </c>
    </row>
    <row r="1199" spans="1:9">
      <c r="A1199" s="112" t="s">
        <v>1469</v>
      </c>
      <c r="B1199" s="112" t="s">
        <v>1554</v>
      </c>
      <c r="C1199" s="112">
        <v>6028.3824320000003</v>
      </c>
      <c r="D1199" s="112" t="s">
        <v>1555</v>
      </c>
      <c r="E1199" s="112" t="s">
        <v>1543</v>
      </c>
      <c r="F1199" s="112" t="s">
        <v>1555</v>
      </c>
      <c r="G1199" s="112" t="s">
        <v>1469</v>
      </c>
      <c r="H1199" s="112" t="s">
        <v>1543</v>
      </c>
      <c r="I1199" s="112">
        <v>16912.160599999999</v>
      </c>
    </row>
    <row r="1200" spans="1:9">
      <c r="A1200" s="112" t="s">
        <v>1470</v>
      </c>
      <c r="B1200" s="112" t="s">
        <v>1554</v>
      </c>
      <c r="C1200" s="112">
        <v>225.37750729999999</v>
      </c>
      <c r="D1200" s="112" t="s">
        <v>1555</v>
      </c>
      <c r="E1200" s="112" t="s">
        <v>1543</v>
      </c>
      <c r="F1200" s="112" t="s">
        <v>1555</v>
      </c>
      <c r="G1200" s="112" t="s">
        <v>1470</v>
      </c>
      <c r="H1200" s="112" t="s">
        <v>1543</v>
      </c>
      <c r="I1200" s="112">
        <v>1126.8875370000001</v>
      </c>
    </row>
    <row r="1201" spans="1:9">
      <c r="A1201" s="112" t="s">
        <v>1471</v>
      </c>
      <c r="B1201" s="112" t="s">
        <v>1554</v>
      </c>
      <c r="C1201" s="112">
        <v>380.50430590000002</v>
      </c>
      <c r="D1201" s="112" t="s">
        <v>1555</v>
      </c>
      <c r="E1201" s="112" t="s">
        <v>1543</v>
      </c>
      <c r="F1201" s="112" t="s">
        <v>1555</v>
      </c>
      <c r="G1201" s="112" t="s">
        <v>1471</v>
      </c>
      <c r="H1201" s="112" t="s">
        <v>1543</v>
      </c>
      <c r="I1201" s="112">
        <v>591.66889389999994</v>
      </c>
    </row>
    <row r="1202" spans="1:9">
      <c r="A1202" s="112" t="s">
        <v>1472</v>
      </c>
      <c r="B1202" s="112" t="s">
        <v>1554</v>
      </c>
      <c r="C1202" s="112">
        <v>328.97283069999997</v>
      </c>
      <c r="D1202" s="112" t="s">
        <v>1555</v>
      </c>
      <c r="E1202" s="112" t="s">
        <v>1543</v>
      </c>
      <c r="F1202" s="112" t="s">
        <v>1555</v>
      </c>
      <c r="G1202" s="112" t="s">
        <v>1472</v>
      </c>
      <c r="H1202" s="112" t="s">
        <v>1543</v>
      </c>
      <c r="I1202" s="112">
        <v>1073.999536</v>
      </c>
    </row>
    <row r="1203" spans="1:9">
      <c r="A1203" s="112" t="s">
        <v>1473</v>
      </c>
      <c r="B1203" s="112" t="s">
        <v>1554</v>
      </c>
      <c r="C1203" s="112">
        <v>3985.5976089999999</v>
      </c>
      <c r="D1203" s="112" t="s">
        <v>1555</v>
      </c>
      <c r="E1203" s="112" t="s">
        <v>1543</v>
      </c>
      <c r="F1203" s="112" t="s">
        <v>1555</v>
      </c>
      <c r="G1203" s="112" t="s">
        <v>1473</v>
      </c>
      <c r="H1203" s="112" t="s">
        <v>1543</v>
      </c>
      <c r="I1203" s="112">
        <v>5360.8505580000001</v>
      </c>
    </row>
    <row r="1204" spans="1:9">
      <c r="A1204" s="112" t="s">
        <v>1474</v>
      </c>
      <c r="B1204" s="112" t="s">
        <v>1554</v>
      </c>
      <c r="C1204" s="112">
        <v>55.306675519999999</v>
      </c>
      <c r="D1204" s="112" t="s">
        <v>1555</v>
      </c>
      <c r="E1204" s="112" t="s">
        <v>1543</v>
      </c>
      <c r="F1204" s="112" t="s">
        <v>1555</v>
      </c>
      <c r="G1204" s="112" t="s">
        <v>1474</v>
      </c>
      <c r="H1204" s="112" t="s">
        <v>1543</v>
      </c>
      <c r="I1204" s="112">
        <v>182.5120292</v>
      </c>
    </row>
    <row r="1205" spans="1:9">
      <c r="A1205" s="112" t="s">
        <v>1475</v>
      </c>
      <c r="B1205" s="112" t="s">
        <v>1554</v>
      </c>
      <c r="C1205" s="112">
        <v>571.57373299999995</v>
      </c>
      <c r="D1205" s="112" t="s">
        <v>1555</v>
      </c>
      <c r="E1205" s="112" t="s">
        <v>1543</v>
      </c>
      <c r="F1205" s="112" t="s">
        <v>1555</v>
      </c>
      <c r="G1205" s="112" t="s">
        <v>1475</v>
      </c>
      <c r="H1205" s="112" t="s">
        <v>1543</v>
      </c>
      <c r="I1205" s="112">
        <v>1725.3058980000001</v>
      </c>
    </row>
    <row r="1206" spans="1:9">
      <c r="A1206" s="112" t="s">
        <v>1476</v>
      </c>
      <c r="B1206" s="112" t="s">
        <v>1554</v>
      </c>
      <c r="C1206" s="112">
        <v>394.47432500000002</v>
      </c>
      <c r="D1206" s="112" t="s">
        <v>1555</v>
      </c>
      <c r="E1206" s="112" t="s">
        <v>1543</v>
      </c>
      <c r="F1206" s="112" t="s">
        <v>1555</v>
      </c>
      <c r="G1206" s="112" t="s">
        <v>1476</v>
      </c>
      <c r="H1206" s="112" t="s">
        <v>1543</v>
      </c>
      <c r="I1206" s="112">
        <v>1304.7996900000001</v>
      </c>
    </row>
    <row r="1207" spans="1:9">
      <c r="A1207" s="112" t="s">
        <v>1477</v>
      </c>
      <c r="B1207" s="112" t="s">
        <v>1554</v>
      </c>
      <c r="C1207" s="112">
        <v>1663.248462</v>
      </c>
      <c r="D1207" s="112" t="s">
        <v>1555</v>
      </c>
      <c r="E1207" s="112" t="s">
        <v>1543</v>
      </c>
      <c r="F1207" s="112" t="s">
        <v>1555</v>
      </c>
      <c r="G1207" s="112" t="s">
        <v>1477</v>
      </c>
      <c r="H1207" s="112" t="s">
        <v>1543</v>
      </c>
      <c r="I1207" s="112">
        <v>4089.3402040000001</v>
      </c>
    </row>
    <row r="1208" spans="1:9">
      <c r="A1208" s="112" t="s">
        <v>1478</v>
      </c>
      <c r="B1208" s="112" t="s">
        <v>1554</v>
      </c>
      <c r="C1208" s="112">
        <v>601.36917270000004</v>
      </c>
      <c r="D1208" s="112" t="s">
        <v>1555</v>
      </c>
      <c r="E1208" s="112" t="s">
        <v>1543</v>
      </c>
      <c r="F1208" s="112" t="s">
        <v>1555</v>
      </c>
      <c r="G1208" s="112" t="s">
        <v>1478</v>
      </c>
      <c r="H1208" s="112" t="s">
        <v>1543</v>
      </c>
      <c r="I1208" s="112">
        <v>864.22776629999998</v>
      </c>
    </row>
    <row r="1209" spans="1:9">
      <c r="A1209" s="112" t="s">
        <v>1479</v>
      </c>
      <c r="B1209" s="112" t="s">
        <v>1554</v>
      </c>
      <c r="C1209" s="112">
        <v>15070.3282</v>
      </c>
      <c r="D1209" s="112" t="s">
        <v>1555</v>
      </c>
      <c r="E1209" s="112" t="s">
        <v>1543</v>
      </c>
      <c r="F1209" s="112" t="s">
        <v>1555</v>
      </c>
      <c r="G1209" s="112" t="s">
        <v>1479</v>
      </c>
      <c r="H1209" s="112" t="s">
        <v>1543</v>
      </c>
      <c r="I1209" s="112">
        <v>29805.76022</v>
      </c>
    </row>
    <row r="1210" spans="1:9">
      <c r="A1210" s="112" t="s">
        <v>1480</v>
      </c>
      <c r="B1210" s="112" t="s">
        <v>1554</v>
      </c>
      <c r="C1210" s="112">
        <v>605.69834630000003</v>
      </c>
      <c r="D1210" s="112" t="s">
        <v>1555</v>
      </c>
      <c r="E1210" s="112" t="s">
        <v>1543</v>
      </c>
      <c r="F1210" s="112" t="s">
        <v>1555</v>
      </c>
      <c r="G1210" s="112" t="s">
        <v>1480</v>
      </c>
      <c r="H1210" s="112" t="s">
        <v>1543</v>
      </c>
      <c r="I1210" s="112">
        <v>1625.8218770000001</v>
      </c>
    </row>
    <row r="1211" spans="1:9">
      <c r="A1211" s="112" t="s">
        <v>1481</v>
      </c>
      <c r="B1211" s="112" t="s">
        <v>1554</v>
      </c>
      <c r="C1211" s="112">
        <v>0</v>
      </c>
      <c r="D1211" s="112" t="s">
        <v>1555</v>
      </c>
      <c r="E1211" s="112" t="s">
        <v>1543</v>
      </c>
      <c r="F1211" s="112" t="s">
        <v>1555</v>
      </c>
      <c r="G1211" s="112" t="s">
        <v>1481</v>
      </c>
      <c r="H1211" s="112" t="s">
        <v>1543</v>
      </c>
      <c r="I1211" s="112">
        <v>0</v>
      </c>
    </row>
    <row r="1212" spans="1:9">
      <c r="A1212" s="112" t="s">
        <v>1482</v>
      </c>
      <c r="B1212" s="112" t="s">
        <v>1554</v>
      </c>
      <c r="C1212" s="112">
        <v>0</v>
      </c>
      <c r="D1212" s="112" t="s">
        <v>1555</v>
      </c>
      <c r="E1212" s="112" t="s">
        <v>1543</v>
      </c>
      <c r="F1212" s="112" t="s">
        <v>1555</v>
      </c>
      <c r="G1212" s="112" t="s">
        <v>1482</v>
      </c>
      <c r="H1212" s="112" t="s">
        <v>1543</v>
      </c>
      <c r="I1212" s="112">
        <v>0</v>
      </c>
    </row>
    <row r="1213" spans="1:9">
      <c r="A1213" s="112" t="s">
        <v>1483</v>
      </c>
      <c r="B1213" s="112" t="s">
        <v>1554</v>
      </c>
      <c r="C1213" s="112">
        <v>0</v>
      </c>
      <c r="D1213" s="112" t="s">
        <v>1555</v>
      </c>
      <c r="E1213" s="112" t="s">
        <v>1543</v>
      </c>
      <c r="F1213" s="112" t="s">
        <v>1555</v>
      </c>
      <c r="G1213" s="112" t="s">
        <v>1483</v>
      </c>
      <c r="H1213" s="112" t="s">
        <v>1543</v>
      </c>
      <c r="I1213" s="112">
        <v>0</v>
      </c>
    </row>
    <row r="1214" spans="1:9">
      <c r="A1214" s="112" t="s">
        <v>1484</v>
      </c>
      <c r="B1214" s="112" t="s">
        <v>1554</v>
      </c>
      <c r="C1214" s="112">
        <v>0</v>
      </c>
      <c r="D1214" s="112" t="s">
        <v>1555</v>
      </c>
      <c r="E1214" s="112" t="s">
        <v>1543</v>
      </c>
      <c r="F1214" s="112" t="s">
        <v>1555</v>
      </c>
      <c r="G1214" s="112" t="s">
        <v>1484</v>
      </c>
      <c r="H1214" s="112" t="s">
        <v>1543</v>
      </c>
      <c r="I1214" s="112">
        <v>60.060060059999998</v>
      </c>
    </row>
    <row r="1215" spans="1:9">
      <c r="A1215" s="112" t="s">
        <v>1485</v>
      </c>
      <c r="B1215" s="112" t="s">
        <v>1554</v>
      </c>
      <c r="C1215" s="112">
        <v>0</v>
      </c>
      <c r="D1215" s="112" t="s">
        <v>1555</v>
      </c>
      <c r="E1215" s="112" t="s">
        <v>1543</v>
      </c>
      <c r="F1215" s="112" t="s">
        <v>1555</v>
      </c>
      <c r="G1215" s="112" t="s">
        <v>1485</v>
      </c>
      <c r="H1215" s="112" t="s">
        <v>1543</v>
      </c>
      <c r="I1215" s="112">
        <v>0</v>
      </c>
    </row>
    <row r="1216" spans="1:9">
      <c r="A1216" s="112" t="s">
        <v>1486</v>
      </c>
      <c r="B1216" s="112" t="s">
        <v>1554</v>
      </c>
      <c r="C1216" s="112">
        <v>0</v>
      </c>
      <c r="D1216" s="112" t="s">
        <v>1555</v>
      </c>
      <c r="E1216" s="112" t="s">
        <v>1543</v>
      </c>
      <c r="F1216" s="112" t="s">
        <v>1555</v>
      </c>
      <c r="G1216" s="112" t="s">
        <v>1486</v>
      </c>
      <c r="H1216" s="112" t="s">
        <v>1543</v>
      </c>
      <c r="I1216" s="112">
        <v>0</v>
      </c>
    </row>
    <row r="1217" spans="1:9">
      <c r="A1217" s="112" t="s">
        <v>1487</v>
      </c>
      <c r="B1217" s="112" t="s">
        <v>1554</v>
      </c>
      <c r="C1217" s="112">
        <v>0</v>
      </c>
      <c r="D1217" s="112" t="s">
        <v>1555</v>
      </c>
      <c r="E1217" s="112" t="s">
        <v>1543</v>
      </c>
      <c r="F1217" s="112" t="s">
        <v>1555</v>
      </c>
      <c r="G1217" s="112" t="s">
        <v>1487</v>
      </c>
      <c r="H1217" s="112" t="s">
        <v>1543</v>
      </c>
      <c r="I1217" s="112">
        <v>0</v>
      </c>
    </row>
    <row r="1218" spans="1:9">
      <c r="A1218" s="112" t="s">
        <v>1488</v>
      </c>
      <c r="B1218" s="112" t="s">
        <v>1554</v>
      </c>
      <c r="C1218" s="112">
        <v>0</v>
      </c>
      <c r="D1218" s="112" t="s">
        <v>1555</v>
      </c>
      <c r="E1218" s="112" t="s">
        <v>1543</v>
      </c>
      <c r="F1218" s="112" t="s">
        <v>1555</v>
      </c>
      <c r="G1218" s="112" t="s">
        <v>1488</v>
      </c>
      <c r="H1218" s="112" t="s">
        <v>1543</v>
      </c>
      <c r="I1218" s="112">
        <v>39.824771009999999</v>
      </c>
    </row>
    <row r="1219" spans="1:9">
      <c r="A1219" s="112" t="s">
        <v>1489</v>
      </c>
      <c r="B1219" s="112" t="s">
        <v>1554</v>
      </c>
      <c r="C1219" s="112">
        <v>0</v>
      </c>
      <c r="D1219" s="112" t="s">
        <v>1555</v>
      </c>
      <c r="E1219" s="112" t="s">
        <v>1543</v>
      </c>
      <c r="F1219" s="112" t="s">
        <v>1555</v>
      </c>
      <c r="G1219" s="112" t="s">
        <v>1489</v>
      </c>
      <c r="H1219" s="112" t="s">
        <v>1543</v>
      </c>
      <c r="I1219" s="112">
        <v>5.824892094</v>
      </c>
    </row>
    <row r="1220" spans="1:9">
      <c r="A1220" s="112" t="s">
        <v>1490</v>
      </c>
      <c r="B1220" s="112" t="s">
        <v>1554</v>
      </c>
      <c r="C1220" s="112">
        <v>0</v>
      </c>
      <c r="D1220" s="112" t="s">
        <v>1555</v>
      </c>
      <c r="E1220" s="112" t="s">
        <v>1543</v>
      </c>
      <c r="F1220" s="112" t="s">
        <v>1555</v>
      </c>
      <c r="G1220" s="112" t="s">
        <v>1490</v>
      </c>
      <c r="H1220" s="112" t="s">
        <v>1543</v>
      </c>
      <c r="I1220" s="112">
        <v>0</v>
      </c>
    </row>
    <row r="1221" spans="1:9">
      <c r="A1221" s="112" t="s">
        <v>1461</v>
      </c>
      <c r="B1221" s="112" t="s">
        <v>1556</v>
      </c>
      <c r="C1221" s="112">
        <v>5.3575135779999998</v>
      </c>
      <c r="D1221" s="112" t="s">
        <v>1555</v>
      </c>
      <c r="E1221" s="112" t="s">
        <v>1543</v>
      </c>
      <c r="F1221" s="112" t="s">
        <v>1555</v>
      </c>
      <c r="G1221" s="112" t="s">
        <v>1461</v>
      </c>
      <c r="H1221" s="112" t="s">
        <v>1543</v>
      </c>
      <c r="I1221" s="112">
        <v>56.923581769999998</v>
      </c>
    </row>
    <row r="1222" spans="1:9">
      <c r="A1222" s="112" t="s">
        <v>1465</v>
      </c>
      <c r="B1222" s="112" t="s">
        <v>1556</v>
      </c>
      <c r="C1222" s="112">
        <v>0</v>
      </c>
      <c r="D1222" s="112" t="s">
        <v>1555</v>
      </c>
      <c r="E1222" s="112" t="s">
        <v>1543</v>
      </c>
      <c r="F1222" s="112" t="s">
        <v>1555</v>
      </c>
      <c r="G1222" s="112" t="s">
        <v>1465</v>
      </c>
      <c r="H1222" s="112" t="s">
        <v>1543</v>
      </c>
      <c r="I1222" s="112">
        <v>0</v>
      </c>
    </row>
    <row r="1223" spans="1:9">
      <c r="A1223" s="112" t="s">
        <v>1466</v>
      </c>
      <c r="B1223" s="112" t="s">
        <v>1556</v>
      </c>
      <c r="C1223" s="112">
        <v>3311.450648</v>
      </c>
      <c r="D1223" s="112" t="s">
        <v>1555</v>
      </c>
      <c r="E1223" s="112" t="s">
        <v>1543</v>
      </c>
      <c r="F1223" s="112" t="s">
        <v>1555</v>
      </c>
      <c r="G1223" s="112" t="s">
        <v>1466</v>
      </c>
      <c r="H1223" s="112" t="s">
        <v>1543</v>
      </c>
      <c r="I1223" s="112">
        <v>14895.718349999999</v>
      </c>
    </row>
    <row r="1224" spans="1:9">
      <c r="A1224" s="112" t="s">
        <v>1467</v>
      </c>
      <c r="B1224" s="112" t="s">
        <v>1556</v>
      </c>
      <c r="C1224" s="112">
        <v>752.05013670000005</v>
      </c>
      <c r="D1224" s="112" t="s">
        <v>1555</v>
      </c>
      <c r="E1224" s="112" t="s">
        <v>1543</v>
      </c>
      <c r="F1224" s="112" t="s">
        <v>1555</v>
      </c>
      <c r="G1224" s="112" t="s">
        <v>1467</v>
      </c>
      <c r="H1224" s="112" t="s">
        <v>1543</v>
      </c>
      <c r="I1224" s="112">
        <v>5259.6839790000004</v>
      </c>
    </row>
    <row r="1225" spans="1:9">
      <c r="A1225" s="112" t="s">
        <v>1468</v>
      </c>
      <c r="B1225" s="112" t="s">
        <v>1556</v>
      </c>
      <c r="C1225" s="112">
        <v>0</v>
      </c>
      <c r="D1225" s="112" t="s">
        <v>1555</v>
      </c>
      <c r="E1225" s="112" t="s">
        <v>1543</v>
      </c>
      <c r="F1225" s="112" t="s">
        <v>1555</v>
      </c>
      <c r="G1225" s="112" t="s">
        <v>1468</v>
      </c>
      <c r="H1225" s="112" t="s">
        <v>1543</v>
      </c>
      <c r="I1225" s="112">
        <v>0</v>
      </c>
    </row>
    <row r="1226" spans="1:9">
      <c r="A1226" s="112" t="s">
        <v>1469</v>
      </c>
      <c r="B1226" s="112" t="s">
        <v>1556</v>
      </c>
      <c r="C1226" s="112">
        <v>3278.5939539999999</v>
      </c>
      <c r="D1226" s="112" t="s">
        <v>1555</v>
      </c>
      <c r="E1226" s="112" t="s">
        <v>1543</v>
      </c>
      <c r="F1226" s="112" t="s">
        <v>1555</v>
      </c>
      <c r="G1226" s="112" t="s">
        <v>1469</v>
      </c>
      <c r="H1226" s="112" t="s">
        <v>1543</v>
      </c>
      <c r="I1226" s="112">
        <v>16912.160599999999</v>
      </c>
    </row>
    <row r="1227" spans="1:9">
      <c r="A1227" s="112" t="s">
        <v>1470</v>
      </c>
      <c r="B1227" s="112" t="s">
        <v>1556</v>
      </c>
      <c r="C1227" s="112">
        <v>826.38419350000004</v>
      </c>
      <c r="D1227" s="112" t="s">
        <v>1555</v>
      </c>
      <c r="E1227" s="112" t="s">
        <v>1543</v>
      </c>
      <c r="F1227" s="112" t="s">
        <v>1555</v>
      </c>
      <c r="G1227" s="112" t="s">
        <v>1470</v>
      </c>
      <c r="H1227" s="112" t="s">
        <v>1543</v>
      </c>
      <c r="I1227" s="112">
        <v>1126.8875370000001</v>
      </c>
    </row>
    <row r="1228" spans="1:9">
      <c r="A1228" s="112" t="s">
        <v>1471</v>
      </c>
      <c r="B1228" s="112" t="s">
        <v>1556</v>
      </c>
      <c r="C1228" s="112">
        <v>42.33492948</v>
      </c>
      <c r="D1228" s="112" t="s">
        <v>1555</v>
      </c>
      <c r="E1228" s="112" t="s">
        <v>1543</v>
      </c>
      <c r="F1228" s="112" t="s">
        <v>1555</v>
      </c>
      <c r="G1228" s="112" t="s">
        <v>1471</v>
      </c>
      <c r="H1228" s="112" t="s">
        <v>1543</v>
      </c>
      <c r="I1228" s="112">
        <v>591.66889389999994</v>
      </c>
    </row>
    <row r="1229" spans="1:9">
      <c r="A1229" s="112" t="s">
        <v>1472</v>
      </c>
      <c r="B1229" s="112" t="s">
        <v>1556</v>
      </c>
      <c r="C1229" s="112">
        <v>227.37828010000001</v>
      </c>
      <c r="D1229" s="112" t="s">
        <v>1555</v>
      </c>
      <c r="E1229" s="112" t="s">
        <v>1543</v>
      </c>
      <c r="F1229" s="112" t="s">
        <v>1555</v>
      </c>
      <c r="G1229" s="112" t="s">
        <v>1472</v>
      </c>
      <c r="H1229" s="112" t="s">
        <v>1543</v>
      </c>
      <c r="I1229" s="112">
        <v>1073.999536</v>
      </c>
    </row>
    <row r="1230" spans="1:9">
      <c r="A1230" s="112" t="s">
        <v>1473</v>
      </c>
      <c r="B1230" s="112" t="s">
        <v>1556</v>
      </c>
      <c r="C1230" s="112">
        <v>915.73698960000002</v>
      </c>
      <c r="D1230" s="112" t="s">
        <v>1555</v>
      </c>
      <c r="E1230" s="112" t="s">
        <v>1543</v>
      </c>
      <c r="F1230" s="112" t="s">
        <v>1555</v>
      </c>
      <c r="G1230" s="112" t="s">
        <v>1473</v>
      </c>
      <c r="H1230" s="112" t="s">
        <v>1543</v>
      </c>
      <c r="I1230" s="112">
        <v>5360.8505580000001</v>
      </c>
    </row>
    <row r="1231" spans="1:9">
      <c r="A1231" s="112" t="s">
        <v>1474</v>
      </c>
      <c r="B1231" s="112" t="s">
        <v>1556</v>
      </c>
      <c r="C1231" s="112">
        <v>5.5306675519999997</v>
      </c>
      <c r="D1231" s="112" t="s">
        <v>1555</v>
      </c>
      <c r="E1231" s="112" t="s">
        <v>1543</v>
      </c>
      <c r="F1231" s="112" t="s">
        <v>1555</v>
      </c>
      <c r="G1231" s="112" t="s">
        <v>1474</v>
      </c>
      <c r="H1231" s="112" t="s">
        <v>1543</v>
      </c>
      <c r="I1231" s="112">
        <v>182.5120292</v>
      </c>
    </row>
    <row r="1232" spans="1:9">
      <c r="A1232" s="112" t="s">
        <v>1475</v>
      </c>
      <c r="B1232" s="112" t="s">
        <v>1556</v>
      </c>
      <c r="C1232" s="112">
        <v>179.9398789</v>
      </c>
      <c r="D1232" s="112" t="s">
        <v>1555</v>
      </c>
      <c r="E1232" s="112" t="s">
        <v>1543</v>
      </c>
      <c r="F1232" s="112" t="s">
        <v>1555</v>
      </c>
      <c r="G1232" s="112" t="s">
        <v>1475</v>
      </c>
      <c r="H1232" s="112" t="s">
        <v>1543</v>
      </c>
      <c r="I1232" s="112">
        <v>1725.3058980000001</v>
      </c>
    </row>
    <row r="1233" spans="1:9">
      <c r="A1233" s="112" t="s">
        <v>1476</v>
      </c>
      <c r="B1233" s="112" t="s">
        <v>1556</v>
      </c>
      <c r="C1233" s="112">
        <v>345.16503440000002</v>
      </c>
      <c r="D1233" s="112" t="s">
        <v>1555</v>
      </c>
      <c r="E1233" s="112" t="s">
        <v>1543</v>
      </c>
      <c r="F1233" s="112" t="s">
        <v>1555</v>
      </c>
      <c r="G1233" s="112" t="s">
        <v>1476</v>
      </c>
      <c r="H1233" s="112" t="s">
        <v>1543</v>
      </c>
      <c r="I1233" s="112">
        <v>1304.7996900000001</v>
      </c>
    </row>
    <row r="1234" spans="1:9">
      <c r="A1234" s="112" t="s">
        <v>1477</v>
      </c>
      <c r="B1234" s="112" t="s">
        <v>1556</v>
      </c>
      <c r="C1234" s="112">
        <v>1288.0796359999999</v>
      </c>
      <c r="D1234" s="112" t="s">
        <v>1555</v>
      </c>
      <c r="E1234" s="112" t="s">
        <v>1543</v>
      </c>
      <c r="F1234" s="112" t="s">
        <v>1555</v>
      </c>
      <c r="G1234" s="112" t="s">
        <v>1477</v>
      </c>
      <c r="H1234" s="112" t="s">
        <v>1543</v>
      </c>
      <c r="I1234" s="112">
        <v>4089.3402040000001</v>
      </c>
    </row>
    <row r="1235" spans="1:9">
      <c r="A1235" s="112" t="s">
        <v>1478</v>
      </c>
      <c r="B1235" s="112" t="s">
        <v>1556</v>
      </c>
      <c r="C1235" s="112">
        <v>81.422052170000001</v>
      </c>
      <c r="D1235" s="112" t="s">
        <v>1555</v>
      </c>
      <c r="E1235" s="112" t="s">
        <v>1543</v>
      </c>
      <c r="F1235" s="112" t="s">
        <v>1555</v>
      </c>
      <c r="G1235" s="112" t="s">
        <v>1478</v>
      </c>
      <c r="H1235" s="112" t="s">
        <v>1543</v>
      </c>
      <c r="I1235" s="112">
        <v>864.22776629999998</v>
      </c>
    </row>
    <row r="1236" spans="1:9">
      <c r="A1236" s="112" t="s">
        <v>1479</v>
      </c>
      <c r="B1236" s="112" t="s">
        <v>1556</v>
      </c>
      <c r="C1236" s="112">
        <v>8539.8526459999994</v>
      </c>
      <c r="D1236" s="112" t="s">
        <v>1555</v>
      </c>
      <c r="E1236" s="112" t="s">
        <v>1543</v>
      </c>
      <c r="F1236" s="112" t="s">
        <v>1555</v>
      </c>
      <c r="G1236" s="112" t="s">
        <v>1479</v>
      </c>
      <c r="H1236" s="112" t="s">
        <v>1543</v>
      </c>
      <c r="I1236" s="112">
        <v>29805.76022</v>
      </c>
    </row>
    <row r="1237" spans="1:9">
      <c r="A1237" s="112" t="s">
        <v>1480</v>
      </c>
      <c r="B1237" s="112" t="s">
        <v>1556</v>
      </c>
      <c r="C1237" s="112">
        <v>350.66746360000002</v>
      </c>
      <c r="D1237" s="112" t="s">
        <v>1555</v>
      </c>
      <c r="E1237" s="112" t="s">
        <v>1543</v>
      </c>
      <c r="F1237" s="112" t="s">
        <v>1555</v>
      </c>
      <c r="G1237" s="112" t="s">
        <v>1480</v>
      </c>
      <c r="H1237" s="112" t="s">
        <v>1543</v>
      </c>
      <c r="I1237" s="112">
        <v>1625.8218770000001</v>
      </c>
    </row>
    <row r="1238" spans="1:9">
      <c r="A1238" s="112" t="s">
        <v>1481</v>
      </c>
      <c r="B1238" s="112" t="s">
        <v>1556</v>
      </c>
      <c r="C1238" s="112">
        <v>0</v>
      </c>
      <c r="D1238" s="112" t="s">
        <v>1555</v>
      </c>
      <c r="E1238" s="112" t="s">
        <v>1543</v>
      </c>
      <c r="F1238" s="112" t="s">
        <v>1555</v>
      </c>
      <c r="G1238" s="112" t="s">
        <v>1481</v>
      </c>
      <c r="H1238" s="112" t="s">
        <v>1543</v>
      </c>
      <c r="I1238" s="112">
        <v>0</v>
      </c>
    </row>
    <row r="1239" spans="1:9">
      <c r="A1239" s="112" t="s">
        <v>1482</v>
      </c>
      <c r="B1239" s="112" t="s">
        <v>1556</v>
      </c>
      <c r="C1239" s="112">
        <v>0</v>
      </c>
      <c r="D1239" s="112" t="s">
        <v>1555</v>
      </c>
      <c r="E1239" s="112" t="s">
        <v>1543</v>
      </c>
      <c r="F1239" s="112" t="s">
        <v>1555</v>
      </c>
      <c r="G1239" s="112" t="s">
        <v>1482</v>
      </c>
      <c r="H1239" s="112" t="s">
        <v>1543</v>
      </c>
      <c r="I1239" s="112">
        <v>0</v>
      </c>
    </row>
    <row r="1240" spans="1:9">
      <c r="A1240" s="112" t="s">
        <v>1483</v>
      </c>
      <c r="B1240" s="112" t="s">
        <v>1556</v>
      </c>
      <c r="C1240" s="112">
        <v>0</v>
      </c>
      <c r="D1240" s="112" t="s">
        <v>1555</v>
      </c>
      <c r="E1240" s="112" t="s">
        <v>1543</v>
      </c>
      <c r="F1240" s="112" t="s">
        <v>1555</v>
      </c>
      <c r="G1240" s="112" t="s">
        <v>1483</v>
      </c>
      <c r="H1240" s="112" t="s">
        <v>1543</v>
      </c>
      <c r="I1240" s="112">
        <v>0</v>
      </c>
    </row>
    <row r="1241" spans="1:9">
      <c r="A1241" s="112" t="s">
        <v>1484</v>
      </c>
      <c r="B1241" s="112" t="s">
        <v>1556</v>
      </c>
      <c r="C1241" s="112">
        <v>60.060060059999998</v>
      </c>
      <c r="D1241" s="112" t="s">
        <v>1555</v>
      </c>
      <c r="E1241" s="112" t="s">
        <v>1543</v>
      </c>
      <c r="F1241" s="112" t="s">
        <v>1555</v>
      </c>
      <c r="G1241" s="112" t="s">
        <v>1484</v>
      </c>
      <c r="H1241" s="112" t="s">
        <v>1543</v>
      </c>
      <c r="I1241" s="112">
        <v>60.060060059999998</v>
      </c>
    </row>
    <row r="1242" spans="1:9">
      <c r="A1242" s="112" t="s">
        <v>1485</v>
      </c>
      <c r="B1242" s="112" t="s">
        <v>1556</v>
      </c>
      <c r="C1242" s="112">
        <v>0</v>
      </c>
      <c r="D1242" s="112" t="s">
        <v>1555</v>
      </c>
      <c r="E1242" s="112" t="s">
        <v>1543</v>
      </c>
      <c r="F1242" s="112" t="s">
        <v>1555</v>
      </c>
      <c r="G1242" s="112" t="s">
        <v>1485</v>
      </c>
      <c r="H1242" s="112" t="s">
        <v>1543</v>
      </c>
      <c r="I1242" s="112">
        <v>0</v>
      </c>
    </row>
    <row r="1243" spans="1:9">
      <c r="A1243" s="112" t="s">
        <v>1486</v>
      </c>
      <c r="B1243" s="112" t="s">
        <v>1556</v>
      </c>
      <c r="C1243" s="112">
        <v>0</v>
      </c>
      <c r="D1243" s="112" t="s">
        <v>1555</v>
      </c>
      <c r="E1243" s="112" t="s">
        <v>1543</v>
      </c>
      <c r="F1243" s="112" t="s">
        <v>1555</v>
      </c>
      <c r="G1243" s="112" t="s">
        <v>1486</v>
      </c>
      <c r="H1243" s="112" t="s">
        <v>1543</v>
      </c>
      <c r="I1243" s="112">
        <v>0</v>
      </c>
    </row>
    <row r="1244" spans="1:9">
      <c r="A1244" s="112" t="s">
        <v>1487</v>
      </c>
      <c r="B1244" s="112" t="s">
        <v>1556</v>
      </c>
      <c r="C1244" s="112">
        <v>0</v>
      </c>
      <c r="D1244" s="112" t="s">
        <v>1555</v>
      </c>
      <c r="E1244" s="112" t="s">
        <v>1543</v>
      </c>
      <c r="F1244" s="112" t="s">
        <v>1555</v>
      </c>
      <c r="G1244" s="112" t="s">
        <v>1487</v>
      </c>
      <c r="H1244" s="112" t="s">
        <v>1543</v>
      </c>
      <c r="I1244" s="112">
        <v>0</v>
      </c>
    </row>
    <row r="1245" spans="1:9">
      <c r="A1245" s="112" t="s">
        <v>1488</v>
      </c>
      <c r="B1245" s="112" t="s">
        <v>1556</v>
      </c>
      <c r="C1245" s="112">
        <v>0</v>
      </c>
      <c r="D1245" s="112" t="s">
        <v>1555</v>
      </c>
      <c r="E1245" s="112" t="s">
        <v>1543</v>
      </c>
      <c r="F1245" s="112" t="s">
        <v>1555</v>
      </c>
      <c r="G1245" s="112" t="s">
        <v>1488</v>
      </c>
      <c r="H1245" s="112" t="s">
        <v>1543</v>
      </c>
      <c r="I1245" s="112">
        <v>39.824771009999999</v>
      </c>
    </row>
    <row r="1246" spans="1:9">
      <c r="A1246" s="112" t="s">
        <v>1489</v>
      </c>
      <c r="B1246" s="112" t="s">
        <v>1556</v>
      </c>
      <c r="C1246" s="112">
        <v>5.824892094</v>
      </c>
      <c r="D1246" s="112" t="s">
        <v>1555</v>
      </c>
      <c r="E1246" s="112" t="s">
        <v>1543</v>
      </c>
      <c r="F1246" s="112" t="s">
        <v>1555</v>
      </c>
      <c r="G1246" s="112" t="s">
        <v>1489</v>
      </c>
      <c r="H1246" s="112" t="s">
        <v>1543</v>
      </c>
      <c r="I1246" s="112">
        <v>5.824892094</v>
      </c>
    </row>
    <row r="1247" spans="1:9">
      <c r="A1247" s="112" t="s">
        <v>1490</v>
      </c>
      <c r="B1247" s="112" t="s">
        <v>1556</v>
      </c>
      <c r="C1247" s="112">
        <v>0</v>
      </c>
      <c r="D1247" s="112" t="s">
        <v>1555</v>
      </c>
      <c r="E1247" s="112" t="s">
        <v>1543</v>
      </c>
      <c r="F1247" s="112" t="s">
        <v>1555</v>
      </c>
      <c r="G1247" s="112" t="s">
        <v>1490</v>
      </c>
      <c r="H1247" s="112" t="s">
        <v>1543</v>
      </c>
      <c r="I1247" s="112">
        <v>0</v>
      </c>
    </row>
    <row r="1248" spans="1:9">
      <c r="A1248" s="112" t="s">
        <v>1461</v>
      </c>
      <c r="B1248" s="112" t="s">
        <v>1557</v>
      </c>
      <c r="C1248" s="112">
        <v>0</v>
      </c>
      <c r="D1248" s="112" t="s">
        <v>1555</v>
      </c>
      <c r="E1248" s="112" t="s">
        <v>1543</v>
      </c>
      <c r="F1248" s="112" t="s">
        <v>1555</v>
      </c>
      <c r="G1248" s="112" t="s">
        <v>1461</v>
      </c>
      <c r="H1248" s="112" t="s">
        <v>1543</v>
      </c>
      <c r="I1248" s="112">
        <v>56.923581769999998</v>
      </c>
    </row>
    <row r="1249" spans="1:9">
      <c r="A1249" s="112" t="s">
        <v>1465</v>
      </c>
      <c r="B1249" s="112" t="s">
        <v>1557</v>
      </c>
      <c r="C1249" s="112">
        <v>0</v>
      </c>
      <c r="D1249" s="112" t="s">
        <v>1555</v>
      </c>
      <c r="E1249" s="112" t="s">
        <v>1543</v>
      </c>
      <c r="F1249" s="112" t="s">
        <v>1555</v>
      </c>
      <c r="G1249" s="112" t="s">
        <v>1465</v>
      </c>
      <c r="H1249" s="112" t="s">
        <v>1543</v>
      </c>
      <c r="I1249" s="112">
        <v>0</v>
      </c>
    </row>
    <row r="1250" spans="1:9">
      <c r="A1250" s="112" t="s">
        <v>1466</v>
      </c>
      <c r="B1250" s="112" t="s">
        <v>1557</v>
      </c>
      <c r="C1250" s="112">
        <v>3392.7845229999998</v>
      </c>
      <c r="D1250" s="112" t="s">
        <v>1555</v>
      </c>
      <c r="E1250" s="112" t="s">
        <v>1543</v>
      </c>
      <c r="F1250" s="112" t="s">
        <v>1555</v>
      </c>
      <c r="G1250" s="112" t="s">
        <v>1466</v>
      </c>
      <c r="H1250" s="112" t="s">
        <v>1543</v>
      </c>
      <c r="I1250" s="112">
        <v>14895.718349999999</v>
      </c>
    </row>
    <row r="1251" spans="1:9">
      <c r="A1251" s="112" t="s">
        <v>1467</v>
      </c>
      <c r="B1251" s="112" t="s">
        <v>1557</v>
      </c>
      <c r="C1251" s="112">
        <v>325.3550237</v>
      </c>
      <c r="D1251" s="112" t="s">
        <v>1555</v>
      </c>
      <c r="E1251" s="112" t="s">
        <v>1543</v>
      </c>
      <c r="F1251" s="112" t="s">
        <v>1555</v>
      </c>
      <c r="G1251" s="112" t="s">
        <v>1467</v>
      </c>
      <c r="H1251" s="112" t="s">
        <v>1543</v>
      </c>
      <c r="I1251" s="112">
        <v>5259.6839790000004</v>
      </c>
    </row>
    <row r="1252" spans="1:9">
      <c r="A1252" s="112" t="s">
        <v>1468</v>
      </c>
      <c r="B1252" s="112" t="s">
        <v>1557</v>
      </c>
      <c r="C1252" s="112">
        <v>0</v>
      </c>
      <c r="D1252" s="112" t="s">
        <v>1555</v>
      </c>
      <c r="E1252" s="112" t="s">
        <v>1543</v>
      </c>
      <c r="F1252" s="112" t="s">
        <v>1555</v>
      </c>
      <c r="G1252" s="112" t="s">
        <v>1468</v>
      </c>
      <c r="H1252" s="112" t="s">
        <v>1543</v>
      </c>
      <c r="I1252" s="112">
        <v>0</v>
      </c>
    </row>
    <row r="1253" spans="1:9">
      <c r="A1253" s="112" t="s">
        <v>1469</v>
      </c>
      <c r="B1253" s="112" t="s">
        <v>1557</v>
      </c>
      <c r="C1253" s="112">
        <v>3249.7500190000001</v>
      </c>
      <c r="D1253" s="112" t="s">
        <v>1555</v>
      </c>
      <c r="E1253" s="112" t="s">
        <v>1543</v>
      </c>
      <c r="F1253" s="112" t="s">
        <v>1555</v>
      </c>
      <c r="G1253" s="112" t="s">
        <v>1469</v>
      </c>
      <c r="H1253" s="112" t="s">
        <v>1543</v>
      </c>
      <c r="I1253" s="112">
        <v>16912.160599999999</v>
      </c>
    </row>
    <row r="1254" spans="1:9">
      <c r="A1254" s="112" t="s">
        <v>1470</v>
      </c>
      <c r="B1254" s="112" t="s">
        <v>1557</v>
      </c>
      <c r="C1254" s="112">
        <v>0</v>
      </c>
      <c r="D1254" s="112" t="s">
        <v>1555</v>
      </c>
      <c r="E1254" s="112" t="s">
        <v>1543</v>
      </c>
      <c r="F1254" s="112" t="s">
        <v>1555</v>
      </c>
      <c r="G1254" s="112" t="s">
        <v>1470</v>
      </c>
      <c r="H1254" s="112" t="s">
        <v>1543</v>
      </c>
      <c r="I1254" s="112">
        <v>1126.8875370000001</v>
      </c>
    </row>
    <row r="1255" spans="1:9">
      <c r="A1255" s="112" t="s">
        <v>1471</v>
      </c>
      <c r="B1255" s="112" t="s">
        <v>1557</v>
      </c>
      <c r="C1255" s="112">
        <v>102.01187830000001</v>
      </c>
      <c r="D1255" s="112" t="s">
        <v>1555</v>
      </c>
      <c r="E1255" s="112" t="s">
        <v>1543</v>
      </c>
      <c r="F1255" s="112" t="s">
        <v>1555</v>
      </c>
      <c r="G1255" s="112" t="s">
        <v>1471</v>
      </c>
      <c r="H1255" s="112" t="s">
        <v>1543</v>
      </c>
      <c r="I1255" s="112">
        <v>591.66889389999994</v>
      </c>
    </row>
    <row r="1256" spans="1:9">
      <c r="A1256" s="112" t="s">
        <v>1472</v>
      </c>
      <c r="B1256" s="112" t="s">
        <v>1557</v>
      </c>
      <c r="C1256" s="112">
        <v>0</v>
      </c>
      <c r="D1256" s="112" t="s">
        <v>1555</v>
      </c>
      <c r="E1256" s="112" t="s">
        <v>1543</v>
      </c>
      <c r="F1256" s="112" t="s">
        <v>1555</v>
      </c>
      <c r="G1256" s="112" t="s">
        <v>1472</v>
      </c>
      <c r="H1256" s="112" t="s">
        <v>1543</v>
      </c>
      <c r="I1256" s="112">
        <v>1073.999536</v>
      </c>
    </row>
    <row r="1257" spans="1:9">
      <c r="A1257" s="112" t="s">
        <v>1473</v>
      </c>
      <c r="B1257" s="112" t="s">
        <v>1557</v>
      </c>
      <c r="C1257" s="112">
        <v>241.54368980000001</v>
      </c>
      <c r="D1257" s="112" t="s">
        <v>1555</v>
      </c>
      <c r="E1257" s="112" t="s">
        <v>1543</v>
      </c>
      <c r="F1257" s="112" t="s">
        <v>1555</v>
      </c>
      <c r="G1257" s="112" t="s">
        <v>1473</v>
      </c>
      <c r="H1257" s="112" t="s">
        <v>1543</v>
      </c>
      <c r="I1257" s="112">
        <v>5360.8505580000001</v>
      </c>
    </row>
    <row r="1258" spans="1:9">
      <c r="A1258" s="112" t="s">
        <v>1474</v>
      </c>
      <c r="B1258" s="112" t="s">
        <v>1557</v>
      </c>
      <c r="C1258" s="112">
        <v>0</v>
      </c>
      <c r="D1258" s="112" t="s">
        <v>1555</v>
      </c>
      <c r="E1258" s="112" t="s">
        <v>1543</v>
      </c>
      <c r="F1258" s="112" t="s">
        <v>1555</v>
      </c>
      <c r="G1258" s="112" t="s">
        <v>1474</v>
      </c>
      <c r="H1258" s="112" t="s">
        <v>1543</v>
      </c>
      <c r="I1258" s="112">
        <v>182.5120292</v>
      </c>
    </row>
    <row r="1259" spans="1:9">
      <c r="A1259" s="112" t="s">
        <v>1475</v>
      </c>
      <c r="B1259" s="112" t="s">
        <v>1557</v>
      </c>
      <c r="C1259" s="112">
        <v>0</v>
      </c>
      <c r="D1259" s="112" t="s">
        <v>1555</v>
      </c>
      <c r="E1259" s="112" t="s">
        <v>1543</v>
      </c>
      <c r="F1259" s="112" t="s">
        <v>1555</v>
      </c>
      <c r="G1259" s="112" t="s">
        <v>1475</v>
      </c>
      <c r="H1259" s="112" t="s">
        <v>1543</v>
      </c>
      <c r="I1259" s="112">
        <v>1725.3058980000001</v>
      </c>
    </row>
    <row r="1260" spans="1:9">
      <c r="A1260" s="112" t="s">
        <v>1476</v>
      </c>
      <c r="B1260" s="112" t="s">
        <v>1557</v>
      </c>
      <c r="C1260" s="112">
        <v>15.172089420000001</v>
      </c>
      <c r="D1260" s="112" t="s">
        <v>1555</v>
      </c>
      <c r="E1260" s="112" t="s">
        <v>1543</v>
      </c>
      <c r="F1260" s="112" t="s">
        <v>1555</v>
      </c>
      <c r="G1260" s="112" t="s">
        <v>1476</v>
      </c>
      <c r="H1260" s="112" t="s">
        <v>1543</v>
      </c>
      <c r="I1260" s="112">
        <v>1304.7996900000001</v>
      </c>
    </row>
    <row r="1261" spans="1:9">
      <c r="A1261" s="112" t="s">
        <v>1477</v>
      </c>
      <c r="B1261" s="112" t="s">
        <v>1557</v>
      </c>
      <c r="C1261" s="112">
        <v>137.56190290000001</v>
      </c>
      <c r="D1261" s="112" t="s">
        <v>1555</v>
      </c>
      <c r="E1261" s="112" t="s">
        <v>1543</v>
      </c>
      <c r="F1261" s="112" t="s">
        <v>1555</v>
      </c>
      <c r="G1261" s="112" t="s">
        <v>1477</v>
      </c>
      <c r="H1261" s="112" t="s">
        <v>1543</v>
      </c>
      <c r="I1261" s="112">
        <v>4089.3402040000001</v>
      </c>
    </row>
    <row r="1262" spans="1:9">
      <c r="A1262" s="112" t="s">
        <v>1478</v>
      </c>
      <c r="B1262" s="112" t="s">
        <v>1557</v>
      </c>
      <c r="C1262" s="112">
        <v>21.798029710000002</v>
      </c>
      <c r="D1262" s="112" t="s">
        <v>1555</v>
      </c>
      <c r="E1262" s="112" t="s">
        <v>1543</v>
      </c>
      <c r="F1262" s="112" t="s">
        <v>1555</v>
      </c>
      <c r="G1262" s="112" t="s">
        <v>1478</v>
      </c>
      <c r="H1262" s="112" t="s">
        <v>1543</v>
      </c>
      <c r="I1262" s="112">
        <v>864.22776629999998</v>
      </c>
    </row>
    <row r="1263" spans="1:9">
      <c r="A1263" s="112" t="s">
        <v>1479</v>
      </c>
      <c r="B1263" s="112" t="s">
        <v>1557</v>
      </c>
      <c r="C1263" s="112">
        <v>1339.5847289999999</v>
      </c>
      <c r="D1263" s="112" t="s">
        <v>1555</v>
      </c>
      <c r="E1263" s="112" t="s">
        <v>1543</v>
      </c>
      <c r="F1263" s="112" t="s">
        <v>1555</v>
      </c>
      <c r="G1263" s="112" t="s">
        <v>1479</v>
      </c>
      <c r="H1263" s="112" t="s">
        <v>1543</v>
      </c>
      <c r="I1263" s="112">
        <v>29805.76022</v>
      </c>
    </row>
    <row r="1264" spans="1:9">
      <c r="A1264" s="112" t="s">
        <v>1480</v>
      </c>
      <c r="B1264" s="112" t="s">
        <v>1557</v>
      </c>
      <c r="C1264" s="112">
        <v>111.5760112</v>
      </c>
      <c r="D1264" s="112" t="s">
        <v>1555</v>
      </c>
      <c r="E1264" s="112" t="s">
        <v>1543</v>
      </c>
      <c r="F1264" s="112" t="s">
        <v>1555</v>
      </c>
      <c r="G1264" s="112" t="s">
        <v>1480</v>
      </c>
      <c r="H1264" s="112" t="s">
        <v>1543</v>
      </c>
      <c r="I1264" s="112">
        <v>1625.8218770000001</v>
      </c>
    </row>
    <row r="1265" spans="1:9">
      <c r="A1265" s="112" t="s">
        <v>1481</v>
      </c>
      <c r="B1265" s="112" t="s">
        <v>1557</v>
      </c>
      <c r="C1265" s="112">
        <v>0</v>
      </c>
      <c r="D1265" s="112" t="s">
        <v>1555</v>
      </c>
      <c r="E1265" s="112" t="s">
        <v>1543</v>
      </c>
      <c r="F1265" s="112" t="s">
        <v>1555</v>
      </c>
      <c r="G1265" s="112" t="s">
        <v>1481</v>
      </c>
      <c r="H1265" s="112" t="s">
        <v>1543</v>
      </c>
      <c r="I1265" s="112">
        <v>0</v>
      </c>
    </row>
    <row r="1266" spans="1:9">
      <c r="A1266" s="112" t="s">
        <v>1482</v>
      </c>
      <c r="B1266" s="112" t="s">
        <v>1557</v>
      </c>
      <c r="C1266" s="112">
        <v>0</v>
      </c>
      <c r="D1266" s="112" t="s">
        <v>1555</v>
      </c>
      <c r="E1266" s="112" t="s">
        <v>1543</v>
      </c>
      <c r="F1266" s="112" t="s">
        <v>1555</v>
      </c>
      <c r="G1266" s="112" t="s">
        <v>1482</v>
      </c>
      <c r="H1266" s="112" t="s">
        <v>1543</v>
      </c>
      <c r="I1266" s="112">
        <v>0</v>
      </c>
    </row>
    <row r="1267" spans="1:9">
      <c r="A1267" s="112" t="s">
        <v>1483</v>
      </c>
      <c r="B1267" s="112" t="s">
        <v>1557</v>
      </c>
      <c r="C1267" s="112">
        <v>0</v>
      </c>
      <c r="D1267" s="112" t="s">
        <v>1555</v>
      </c>
      <c r="E1267" s="112" t="s">
        <v>1543</v>
      </c>
      <c r="F1267" s="112" t="s">
        <v>1555</v>
      </c>
      <c r="G1267" s="112" t="s">
        <v>1483</v>
      </c>
      <c r="H1267" s="112" t="s">
        <v>1543</v>
      </c>
      <c r="I1267" s="112">
        <v>0</v>
      </c>
    </row>
    <row r="1268" spans="1:9">
      <c r="A1268" s="112" t="s">
        <v>1484</v>
      </c>
      <c r="B1268" s="112" t="s">
        <v>1557</v>
      </c>
      <c r="C1268" s="112">
        <v>0</v>
      </c>
      <c r="D1268" s="112" t="s">
        <v>1555</v>
      </c>
      <c r="E1268" s="112" t="s">
        <v>1543</v>
      </c>
      <c r="F1268" s="112" t="s">
        <v>1555</v>
      </c>
      <c r="G1268" s="112" t="s">
        <v>1484</v>
      </c>
      <c r="H1268" s="112" t="s">
        <v>1543</v>
      </c>
      <c r="I1268" s="112">
        <v>60.060060059999998</v>
      </c>
    </row>
    <row r="1269" spans="1:9">
      <c r="A1269" s="112" t="s">
        <v>1485</v>
      </c>
      <c r="B1269" s="112" t="s">
        <v>1557</v>
      </c>
      <c r="C1269" s="112">
        <v>0</v>
      </c>
      <c r="D1269" s="112" t="s">
        <v>1555</v>
      </c>
      <c r="E1269" s="112" t="s">
        <v>1543</v>
      </c>
      <c r="F1269" s="112" t="s">
        <v>1555</v>
      </c>
      <c r="G1269" s="112" t="s">
        <v>1485</v>
      </c>
      <c r="H1269" s="112" t="s">
        <v>1543</v>
      </c>
      <c r="I1269" s="112">
        <v>0</v>
      </c>
    </row>
    <row r="1270" spans="1:9">
      <c r="A1270" s="112" t="s">
        <v>1486</v>
      </c>
      <c r="B1270" s="112" t="s">
        <v>1557</v>
      </c>
      <c r="C1270" s="112">
        <v>0</v>
      </c>
      <c r="D1270" s="112" t="s">
        <v>1555</v>
      </c>
      <c r="E1270" s="112" t="s">
        <v>1543</v>
      </c>
      <c r="F1270" s="112" t="s">
        <v>1555</v>
      </c>
      <c r="G1270" s="112" t="s">
        <v>1486</v>
      </c>
      <c r="H1270" s="112" t="s">
        <v>1543</v>
      </c>
      <c r="I1270" s="112">
        <v>0</v>
      </c>
    </row>
    <row r="1271" spans="1:9">
      <c r="A1271" s="112" t="s">
        <v>1487</v>
      </c>
      <c r="B1271" s="112" t="s">
        <v>1557</v>
      </c>
      <c r="C1271" s="112">
        <v>0</v>
      </c>
      <c r="D1271" s="112" t="s">
        <v>1555</v>
      </c>
      <c r="E1271" s="112" t="s">
        <v>1543</v>
      </c>
      <c r="F1271" s="112" t="s">
        <v>1555</v>
      </c>
      <c r="G1271" s="112" t="s">
        <v>1487</v>
      </c>
      <c r="H1271" s="112" t="s">
        <v>1543</v>
      </c>
      <c r="I1271" s="112">
        <v>0</v>
      </c>
    </row>
    <row r="1272" spans="1:9">
      <c r="A1272" s="112" t="s">
        <v>1488</v>
      </c>
      <c r="B1272" s="112" t="s">
        <v>1557</v>
      </c>
      <c r="C1272" s="112">
        <v>39.824771009999999</v>
      </c>
      <c r="D1272" s="112" t="s">
        <v>1555</v>
      </c>
      <c r="E1272" s="112" t="s">
        <v>1543</v>
      </c>
      <c r="F1272" s="112" t="s">
        <v>1555</v>
      </c>
      <c r="G1272" s="112" t="s">
        <v>1488</v>
      </c>
      <c r="H1272" s="112" t="s">
        <v>1543</v>
      </c>
      <c r="I1272" s="112">
        <v>39.824771009999999</v>
      </c>
    </row>
    <row r="1273" spans="1:9">
      <c r="A1273" s="112" t="s">
        <v>1489</v>
      </c>
      <c r="B1273" s="112" t="s">
        <v>1557</v>
      </c>
      <c r="C1273" s="112">
        <v>0</v>
      </c>
      <c r="D1273" s="112" t="s">
        <v>1555</v>
      </c>
      <c r="E1273" s="112" t="s">
        <v>1543</v>
      </c>
      <c r="F1273" s="112" t="s">
        <v>1555</v>
      </c>
      <c r="G1273" s="112" t="s">
        <v>1489</v>
      </c>
      <c r="H1273" s="112" t="s">
        <v>1543</v>
      </c>
      <c r="I1273" s="112">
        <v>5.824892094</v>
      </c>
    </row>
    <row r="1274" spans="1:9">
      <c r="A1274" s="112" t="s">
        <v>1490</v>
      </c>
      <c r="B1274" s="112" t="s">
        <v>1557</v>
      </c>
      <c r="C1274" s="112">
        <v>0</v>
      </c>
      <c r="D1274" s="112" t="s">
        <v>1555</v>
      </c>
      <c r="E1274" s="112" t="s">
        <v>1543</v>
      </c>
      <c r="F1274" s="112" t="s">
        <v>1555</v>
      </c>
      <c r="G1274" s="112" t="s">
        <v>1490</v>
      </c>
      <c r="H1274" s="112" t="s">
        <v>1543</v>
      </c>
      <c r="I1274" s="112">
        <v>0</v>
      </c>
    </row>
    <row r="1275" spans="1:9">
      <c r="A1275" s="112" t="s">
        <v>1461</v>
      </c>
      <c r="B1275" s="112" t="s">
        <v>1558</v>
      </c>
      <c r="C1275" s="112">
        <v>31.47539227</v>
      </c>
      <c r="D1275" s="112" t="s">
        <v>1555</v>
      </c>
      <c r="E1275" s="112" t="s">
        <v>1543</v>
      </c>
      <c r="F1275" s="112" t="s">
        <v>1555</v>
      </c>
      <c r="G1275" s="112" t="s">
        <v>1461</v>
      </c>
      <c r="H1275" s="112" t="s">
        <v>1543</v>
      </c>
      <c r="I1275" s="112">
        <v>56.923581769999998</v>
      </c>
    </row>
    <row r="1276" spans="1:9">
      <c r="A1276" s="112" t="s">
        <v>1465</v>
      </c>
      <c r="B1276" s="112" t="s">
        <v>1558</v>
      </c>
      <c r="C1276" s="112">
        <v>0</v>
      </c>
      <c r="D1276" s="112" t="s">
        <v>1555</v>
      </c>
      <c r="E1276" s="112" t="s">
        <v>1543</v>
      </c>
      <c r="F1276" s="112" t="s">
        <v>1555</v>
      </c>
      <c r="G1276" s="112" t="s">
        <v>1465</v>
      </c>
      <c r="H1276" s="112" t="s">
        <v>1543</v>
      </c>
      <c r="I1276" s="112">
        <v>0</v>
      </c>
    </row>
    <row r="1277" spans="1:9">
      <c r="A1277" s="112" t="s">
        <v>1466</v>
      </c>
      <c r="B1277" s="112" t="s">
        <v>1558</v>
      </c>
      <c r="C1277" s="112">
        <v>2928.0195199999998</v>
      </c>
      <c r="D1277" s="112" t="s">
        <v>1555</v>
      </c>
      <c r="E1277" s="112" t="s">
        <v>1543</v>
      </c>
      <c r="F1277" s="112" t="s">
        <v>1555</v>
      </c>
      <c r="G1277" s="112" t="s">
        <v>1466</v>
      </c>
      <c r="H1277" s="112" t="s">
        <v>1543</v>
      </c>
      <c r="I1277" s="112">
        <v>14895.718349999999</v>
      </c>
    </row>
    <row r="1278" spans="1:9">
      <c r="A1278" s="112" t="s">
        <v>1467</v>
      </c>
      <c r="B1278" s="112" t="s">
        <v>1558</v>
      </c>
      <c r="C1278" s="112">
        <v>67.337822520000003</v>
      </c>
      <c r="D1278" s="112" t="s">
        <v>1555</v>
      </c>
      <c r="E1278" s="112" t="s">
        <v>1543</v>
      </c>
      <c r="F1278" s="112" t="s">
        <v>1555</v>
      </c>
      <c r="G1278" s="112" t="s">
        <v>1467</v>
      </c>
      <c r="H1278" s="112" t="s">
        <v>1543</v>
      </c>
      <c r="I1278" s="112">
        <v>5259.6839790000004</v>
      </c>
    </row>
    <row r="1279" spans="1:9">
      <c r="A1279" s="112" t="s">
        <v>1468</v>
      </c>
      <c r="B1279" s="112" t="s">
        <v>1558</v>
      </c>
      <c r="C1279" s="112">
        <v>0</v>
      </c>
      <c r="D1279" s="112" t="s">
        <v>1555</v>
      </c>
      <c r="E1279" s="112" t="s">
        <v>1543</v>
      </c>
      <c r="F1279" s="112" t="s">
        <v>1555</v>
      </c>
      <c r="G1279" s="112" t="s">
        <v>1468</v>
      </c>
      <c r="H1279" s="112" t="s">
        <v>1543</v>
      </c>
      <c r="I1279" s="112">
        <v>0</v>
      </c>
    </row>
    <row r="1280" spans="1:9">
      <c r="A1280" s="112" t="s">
        <v>1469</v>
      </c>
      <c r="B1280" s="112" t="s">
        <v>1558</v>
      </c>
      <c r="C1280" s="112">
        <v>4355.4341969999996</v>
      </c>
      <c r="D1280" s="112" t="s">
        <v>1555</v>
      </c>
      <c r="E1280" s="112" t="s">
        <v>1543</v>
      </c>
      <c r="F1280" s="112" t="s">
        <v>1555</v>
      </c>
      <c r="G1280" s="112" t="s">
        <v>1469</v>
      </c>
      <c r="H1280" s="112" t="s">
        <v>1543</v>
      </c>
      <c r="I1280" s="112">
        <v>16912.160599999999</v>
      </c>
    </row>
    <row r="1281" spans="1:9">
      <c r="A1281" s="112" t="s">
        <v>1470</v>
      </c>
      <c r="B1281" s="112" t="s">
        <v>1558</v>
      </c>
      <c r="C1281" s="112">
        <v>75.125835769999995</v>
      </c>
      <c r="D1281" s="112" t="s">
        <v>1555</v>
      </c>
      <c r="E1281" s="112" t="s">
        <v>1543</v>
      </c>
      <c r="F1281" s="112" t="s">
        <v>1555</v>
      </c>
      <c r="G1281" s="112" t="s">
        <v>1470</v>
      </c>
      <c r="H1281" s="112" t="s">
        <v>1543</v>
      </c>
      <c r="I1281" s="112">
        <v>1126.8875370000001</v>
      </c>
    </row>
    <row r="1282" spans="1:9">
      <c r="A1282" s="112" t="s">
        <v>1471</v>
      </c>
      <c r="B1282" s="112" t="s">
        <v>1558</v>
      </c>
      <c r="C1282" s="112">
        <v>66.817780260000006</v>
      </c>
      <c r="D1282" s="112" t="s">
        <v>1555</v>
      </c>
      <c r="E1282" s="112" t="s">
        <v>1543</v>
      </c>
      <c r="F1282" s="112" t="s">
        <v>1555</v>
      </c>
      <c r="G1282" s="112" t="s">
        <v>1471</v>
      </c>
      <c r="H1282" s="112" t="s">
        <v>1543</v>
      </c>
      <c r="I1282" s="112">
        <v>591.66889389999994</v>
      </c>
    </row>
    <row r="1283" spans="1:9">
      <c r="A1283" s="112" t="s">
        <v>1472</v>
      </c>
      <c r="B1283" s="112" t="s">
        <v>1558</v>
      </c>
      <c r="C1283" s="112">
        <v>517.64842480000004</v>
      </c>
      <c r="D1283" s="112" t="s">
        <v>1555</v>
      </c>
      <c r="E1283" s="112" t="s">
        <v>1543</v>
      </c>
      <c r="F1283" s="112" t="s">
        <v>1555</v>
      </c>
      <c r="G1283" s="112" t="s">
        <v>1472</v>
      </c>
      <c r="H1283" s="112" t="s">
        <v>1543</v>
      </c>
      <c r="I1283" s="112">
        <v>1073.999536</v>
      </c>
    </row>
    <row r="1284" spans="1:9">
      <c r="A1284" s="112" t="s">
        <v>1473</v>
      </c>
      <c r="B1284" s="112" t="s">
        <v>1558</v>
      </c>
      <c r="C1284" s="112">
        <v>217.97226989999999</v>
      </c>
      <c r="D1284" s="112" t="s">
        <v>1555</v>
      </c>
      <c r="E1284" s="112" t="s">
        <v>1543</v>
      </c>
      <c r="F1284" s="112" t="s">
        <v>1555</v>
      </c>
      <c r="G1284" s="112" t="s">
        <v>1473</v>
      </c>
      <c r="H1284" s="112" t="s">
        <v>1543</v>
      </c>
      <c r="I1284" s="112">
        <v>5360.8505580000001</v>
      </c>
    </row>
    <row r="1285" spans="1:9">
      <c r="A1285" s="112" t="s">
        <v>1474</v>
      </c>
      <c r="B1285" s="112" t="s">
        <v>1558</v>
      </c>
      <c r="C1285" s="112">
        <v>121.6746861</v>
      </c>
      <c r="D1285" s="112" t="s">
        <v>1555</v>
      </c>
      <c r="E1285" s="112" t="s">
        <v>1543</v>
      </c>
      <c r="F1285" s="112" t="s">
        <v>1555</v>
      </c>
      <c r="G1285" s="112" t="s">
        <v>1474</v>
      </c>
      <c r="H1285" s="112" t="s">
        <v>1543</v>
      </c>
      <c r="I1285" s="112">
        <v>182.5120292</v>
      </c>
    </row>
    <row r="1286" spans="1:9">
      <c r="A1286" s="112" t="s">
        <v>1475</v>
      </c>
      <c r="B1286" s="112" t="s">
        <v>1558</v>
      </c>
      <c r="C1286" s="112">
        <v>973.79228590000002</v>
      </c>
      <c r="D1286" s="112" t="s">
        <v>1555</v>
      </c>
      <c r="E1286" s="112" t="s">
        <v>1543</v>
      </c>
      <c r="F1286" s="112" t="s">
        <v>1555</v>
      </c>
      <c r="G1286" s="112" t="s">
        <v>1475</v>
      </c>
      <c r="H1286" s="112" t="s">
        <v>1543</v>
      </c>
      <c r="I1286" s="112">
        <v>1725.3058980000001</v>
      </c>
    </row>
    <row r="1287" spans="1:9">
      <c r="A1287" s="112" t="s">
        <v>1476</v>
      </c>
      <c r="B1287" s="112" t="s">
        <v>1558</v>
      </c>
      <c r="C1287" s="112">
        <v>549.98824160000004</v>
      </c>
      <c r="D1287" s="112" t="s">
        <v>1555</v>
      </c>
      <c r="E1287" s="112" t="s">
        <v>1543</v>
      </c>
      <c r="F1287" s="112" t="s">
        <v>1555</v>
      </c>
      <c r="G1287" s="112" t="s">
        <v>1476</v>
      </c>
      <c r="H1287" s="112" t="s">
        <v>1543</v>
      </c>
      <c r="I1287" s="112">
        <v>1304.7996900000001</v>
      </c>
    </row>
    <row r="1288" spans="1:9">
      <c r="A1288" s="112" t="s">
        <v>1477</v>
      </c>
      <c r="B1288" s="112" t="s">
        <v>1558</v>
      </c>
      <c r="C1288" s="112">
        <v>1000.450203</v>
      </c>
      <c r="D1288" s="112" t="s">
        <v>1555</v>
      </c>
      <c r="E1288" s="112" t="s">
        <v>1543</v>
      </c>
      <c r="F1288" s="112" t="s">
        <v>1555</v>
      </c>
      <c r="G1288" s="112" t="s">
        <v>1477</v>
      </c>
      <c r="H1288" s="112" t="s">
        <v>1543</v>
      </c>
      <c r="I1288" s="112">
        <v>4089.3402040000001</v>
      </c>
    </row>
    <row r="1289" spans="1:9">
      <c r="A1289" s="112" t="s">
        <v>1478</v>
      </c>
      <c r="B1289" s="112" t="s">
        <v>1558</v>
      </c>
      <c r="C1289" s="112">
        <v>159.63851170000001</v>
      </c>
      <c r="D1289" s="112" t="s">
        <v>1555</v>
      </c>
      <c r="E1289" s="112" t="s">
        <v>1543</v>
      </c>
      <c r="F1289" s="112" t="s">
        <v>1555</v>
      </c>
      <c r="G1289" s="112" t="s">
        <v>1478</v>
      </c>
      <c r="H1289" s="112" t="s">
        <v>1543</v>
      </c>
      <c r="I1289" s="112">
        <v>864.22776629999998</v>
      </c>
    </row>
    <row r="1290" spans="1:9">
      <c r="A1290" s="112" t="s">
        <v>1479</v>
      </c>
      <c r="B1290" s="112" t="s">
        <v>1558</v>
      </c>
      <c r="C1290" s="112">
        <v>4855.9946419999997</v>
      </c>
      <c r="D1290" s="112" t="s">
        <v>1555</v>
      </c>
      <c r="E1290" s="112" t="s">
        <v>1543</v>
      </c>
      <c r="F1290" s="112" t="s">
        <v>1555</v>
      </c>
      <c r="G1290" s="112" t="s">
        <v>1479</v>
      </c>
      <c r="H1290" s="112" t="s">
        <v>1543</v>
      </c>
      <c r="I1290" s="112">
        <v>29805.76022</v>
      </c>
    </row>
    <row r="1291" spans="1:9">
      <c r="A1291" s="112" t="s">
        <v>1480</v>
      </c>
      <c r="B1291" s="112" t="s">
        <v>1558</v>
      </c>
      <c r="C1291" s="112">
        <v>557.88005580000004</v>
      </c>
      <c r="D1291" s="112" t="s">
        <v>1555</v>
      </c>
      <c r="E1291" s="112" t="s">
        <v>1543</v>
      </c>
      <c r="F1291" s="112" t="s">
        <v>1555</v>
      </c>
      <c r="G1291" s="112" t="s">
        <v>1480</v>
      </c>
      <c r="H1291" s="112" t="s">
        <v>1543</v>
      </c>
      <c r="I1291" s="112">
        <v>1625.8218770000001</v>
      </c>
    </row>
    <row r="1292" spans="1:9">
      <c r="A1292" s="112" t="s">
        <v>1481</v>
      </c>
      <c r="B1292" s="112" t="s">
        <v>1558</v>
      </c>
      <c r="C1292" s="112">
        <v>0</v>
      </c>
      <c r="D1292" s="112" t="s">
        <v>1555</v>
      </c>
      <c r="E1292" s="112" t="s">
        <v>1543</v>
      </c>
      <c r="F1292" s="112" t="s">
        <v>1555</v>
      </c>
      <c r="G1292" s="112" t="s">
        <v>1481</v>
      </c>
      <c r="H1292" s="112" t="s">
        <v>1543</v>
      </c>
      <c r="I1292" s="112">
        <v>0</v>
      </c>
    </row>
    <row r="1293" spans="1:9">
      <c r="A1293" s="112" t="s">
        <v>1482</v>
      </c>
      <c r="B1293" s="112" t="s">
        <v>1558</v>
      </c>
      <c r="C1293" s="112">
        <v>0</v>
      </c>
      <c r="D1293" s="112" t="s">
        <v>1555</v>
      </c>
      <c r="E1293" s="112" t="s">
        <v>1543</v>
      </c>
      <c r="F1293" s="112" t="s">
        <v>1555</v>
      </c>
      <c r="G1293" s="112" t="s">
        <v>1482</v>
      </c>
      <c r="H1293" s="112" t="s">
        <v>1543</v>
      </c>
      <c r="I1293" s="112">
        <v>0</v>
      </c>
    </row>
    <row r="1294" spans="1:9">
      <c r="A1294" s="112" t="s">
        <v>1483</v>
      </c>
      <c r="B1294" s="112" t="s">
        <v>1558</v>
      </c>
      <c r="C1294" s="112">
        <v>0</v>
      </c>
      <c r="D1294" s="112" t="s">
        <v>1555</v>
      </c>
      <c r="E1294" s="112" t="s">
        <v>1543</v>
      </c>
      <c r="F1294" s="112" t="s">
        <v>1555</v>
      </c>
      <c r="G1294" s="112" t="s">
        <v>1483</v>
      </c>
      <c r="H1294" s="112" t="s">
        <v>1543</v>
      </c>
      <c r="I1294" s="112">
        <v>0</v>
      </c>
    </row>
    <row r="1295" spans="1:9">
      <c r="A1295" s="112" t="s">
        <v>1484</v>
      </c>
      <c r="B1295" s="112" t="s">
        <v>1558</v>
      </c>
      <c r="C1295" s="112">
        <v>0</v>
      </c>
      <c r="D1295" s="112" t="s">
        <v>1555</v>
      </c>
      <c r="E1295" s="112" t="s">
        <v>1543</v>
      </c>
      <c r="F1295" s="112" t="s">
        <v>1555</v>
      </c>
      <c r="G1295" s="112" t="s">
        <v>1484</v>
      </c>
      <c r="H1295" s="112" t="s">
        <v>1543</v>
      </c>
      <c r="I1295" s="112">
        <v>60.060060059999998</v>
      </c>
    </row>
    <row r="1296" spans="1:9">
      <c r="A1296" s="112" t="s">
        <v>1485</v>
      </c>
      <c r="B1296" s="112" t="s">
        <v>1558</v>
      </c>
      <c r="C1296" s="112">
        <v>0</v>
      </c>
      <c r="D1296" s="112" t="s">
        <v>1555</v>
      </c>
      <c r="E1296" s="112" t="s">
        <v>1543</v>
      </c>
      <c r="F1296" s="112" t="s">
        <v>1555</v>
      </c>
      <c r="G1296" s="112" t="s">
        <v>1485</v>
      </c>
      <c r="H1296" s="112" t="s">
        <v>1543</v>
      </c>
      <c r="I1296" s="112">
        <v>0</v>
      </c>
    </row>
    <row r="1297" spans="1:9">
      <c r="A1297" s="112" t="s">
        <v>1486</v>
      </c>
      <c r="B1297" s="112" t="s">
        <v>1558</v>
      </c>
      <c r="C1297" s="112">
        <v>0</v>
      </c>
      <c r="D1297" s="112" t="s">
        <v>1555</v>
      </c>
      <c r="E1297" s="112" t="s">
        <v>1543</v>
      </c>
      <c r="F1297" s="112" t="s">
        <v>1555</v>
      </c>
      <c r="G1297" s="112" t="s">
        <v>1486</v>
      </c>
      <c r="H1297" s="112" t="s">
        <v>1543</v>
      </c>
      <c r="I1297" s="112">
        <v>0</v>
      </c>
    </row>
    <row r="1298" spans="1:9">
      <c r="A1298" s="112" t="s">
        <v>1487</v>
      </c>
      <c r="B1298" s="112" t="s">
        <v>1558</v>
      </c>
      <c r="C1298" s="112">
        <v>0</v>
      </c>
      <c r="D1298" s="112" t="s">
        <v>1555</v>
      </c>
      <c r="E1298" s="112" t="s">
        <v>1543</v>
      </c>
      <c r="F1298" s="112" t="s">
        <v>1555</v>
      </c>
      <c r="G1298" s="112" t="s">
        <v>1487</v>
      </c>
      <c r="H1298" s="112" t="s">
        <v>1543</v>
      </c>
      <c r="I1298" s="112">
        <v>0</v>
      </c>
    </row>
    <row r="1299" spans="1:9">
      <c r="A1299" s="112" t="s">
        <v>1488</v>
      </c>
      <c r="B1299" s="112" t="s">
        <v>1558</v>
      </c>
      <c r="C1299" s="112">
        <v>0</v>
      </c>
      <c r="D1299" s="112" t="s">
        <v>1555</v>
      </c>
      <c r="E1299" s="112" t="s">
        <v>1543</v>
      </c>
      <c r="F1299" s="112" t="s">
        <v>1555</v>
      </c>
      <c r="G1299" s="112" t="s">
        <v>1488</v>
      </c>
      <c r="H1299" s="112" t="s">
        <v>1543</v>
      </c>
      <c r="I1299" s="112">
        <v>39.824771009999999</v>
      </c>
    </row>
    <row r="1300" spans="1:9">
      <c r="A1300" s="112" t="s">
        <v>1489</v>
      </c>
      <c r="B1300" s="112" t="s">
        <v>1558</v>
      </c>
      <c r="C1300" s="112">
        <v>0</v>
      </c>
      <c r="D1300" s="112" t="s">
        <v>1555</v>
      </c>
      <c r="E1300" s="112" t="s">
        <v>1543</v>
      </c>
      <c r="F1300" s="112" t="s">
        <v>1555</v>
      </c>
      <c r="G1300" s="112" t="s">
        <v>1489</v>
      </c>
      <c r="H1300" s="112" t="s">
        <v>1543</v>
      </c>
      <c r="I1300" s="112">
        <v>5.824892094</v>
      </c>
    </row>
    <row r="1301" spans="1:9">
      <c r="A1301" s="112" t="s">
        <v>1490</v>
      </c>
      <c r="B1301" s="112" t="s">
        <v>1558</v>
      </c>
      <c r="C1301" s="112">
        <v>0</v>
      </c>
      <c r="D1301" s="112" t="s">
        <v>1555</v>
      </c>
      <c r="E1301" s="112" t="s">
        <v>1543</v>
      </c>
      <c r="F1301" s="112" t="s">
        <v>1555</v>
      </c>
      <c r="G1301" s="112" t="s">
        <v>1490</v>
      </c>
      <c r="H1301" s="112" t="s">
        <v>1543</v>
      </c>
      <c r="I1301" s="112">
        <v>0</v>
      </c>
    </row>
    <row r="1302" spans="1:9">
      <c r="A1302" s="112" t="s">
        <v>1461</v>
      </c>
      <c r="B1302" s="112" t="s">
        <v>1559</v>
      </c>
      <c r="C1302" s="112">
        <v>0</v>
      </c>
      <c r="D1302" s="112" t="s">
        <v>1560</v>
      </c>
      <c r="E1302" s="112" t="s">
        <v>1543</v>
      </c>
      <c r="F1302" s="112" t="s">
        <v>1560</v>
      </c>
      <c r="G1302" s="112" t="s">
        <v>1461</v>
      </c>
      <c r="H1302" s="112" t="s">
        <v>1543</v>
      </c>
      <c r="I1302" s="112">
        <v>0</v>
      </c>
    </row>
    <row r="1303" spans="1:9">
      <c r="A1303" s="112" t="s">
        <v>1465</v>
      </c>
      <c r="B1303" s="112" t="s">
        <v>1559</v>
      </c>
      <c r="C1303" s="112">
        <v>0</v>
      </c>
      <c r="D1303" s="112" t="s">
        <v>1560</v>
      </c>
      <c r="E1303" s="112" t="s">
        <v>1543</v>
      </c>
      <c r="F1303" s="112" t="s">
        <v>1560</v>
      </c>
      <c r="G1303" s="112" t="s">
        <v>1465</v>
      </c>
      <c r="H1303" s="112" t="s">
        <v>1543</v>
      </c>
      <c r="I1303" s="112">
        <v>0</v>
      </c>
    </row>
    <row r="1304" spans="1:9">
      <c r="A1304" s="112" t="s">
        <v>1466</v>
      </c>
      <c r="B1304" s="112" t="s">
        <v>1559</v>
      </c>
      <c r="C1304" s="112">
        <v>2544.5883920000001</v>
      </c>
      <c r="D1304" s="112" t="s">
        <v>1560</v>
      </c>
      <c r="E1304" s="112" t="s">
        <v>1543</v>
      </c>
      <c r="F1304" s="112" t="s">
        <v>1560</v>
      </c>
      <c r="G1304" s="112" t="s">
        <v>1466</v>
      </c>
      <c r="H1304" s="112" t="s">
        <v>1543</v>
      </c>
      <c r="I1304" s="112">
        <v>8412.2465570000004</v>
      </c>
    </row>
    <row r="1305" spans="1:9">
      <c r="A1305" s="112" t="s">
        <v>1467</v>
      </c>
      <c r="B1305" s="112" t="s">
        <v>1559</v>
      </c>
      <c r="C1305" s="112">
        <v>241.34942330000001</v>
      </c>
      <c r="D1305" s="112" t="s">
        <v>1560</v>
      </c>
      <c r="E1305" s="112" t="s">
        <v>1543</v>
      </c>
      <c r="F1305" s="112" t="s">
        <v>1560</v>
      </c>
      <c r="G1305" s="112" t="s">
        <v>1467</v>
      </c>
      <c r="H1305" s="112" t="s">
        <v>1543</v>
      </c>
      <c r="I1305" s="112">
        <v>1653.443563</v>
      </c>
    </row>
    <row r="1306" spans="1:9">
      <c r="A1306" s="112" t="s">
        <v>1468</v>
      </c>
      <c r="B1306" s="112" t="s">
        <v>1559</v>
      </c>
      <c r="C1306" s="112">
        <v>0</v>
      </c>
      <c r="D1306" s="112" t="s">
        <v>1560</v>
      </c>
      <c r="E1306" s="112" t="s">
        <v>1543</v>
      </c>
      <c r="F1306" s="112" t="s">
        <v>1560</v>
      </c>
      <c r="G1306" s="112" t="s">
        <v>1468</v>
      </c>
      <c r="H1306" s="112" t="s">
        <v>1543</v>
      </c>
      <c r="I1306" s="112">
        <v>3.6075296360000002</v>
      </c>
    </row>
    <row r="1307" spans="1:9">
      <c r="A1307" s="112" t="s">
        <v>1469</v>
      </c>
      <c r="B1307" s="112" t="s">
        <v>1559</v>
      </c>
      <c r="C1307" s="112">
        <v>2749.7884779999999</v>
      </c>
      <c r="D1307" s="112" t="s">
        <v>1560</v>
      </c>
      <c r="E1307" s="112" t="s">
        <v>1543</v>
      </c>
      <c r="F1307" s="112" t="s">
        <v>1560</v>
      </c>
      <c r="G1307" s="112" t="s">
        <v>1469</v>
      </c>
      <c r="H1307" s="112" t="s">
        <v>1543</v>
      </c>
      <c r="I1307" s="112">
        <v>9585.8010909999994</v>
      </c>
    </row>
    <row r="1308" spans="1:9">
      <c r="A1308" s="112" t="s">
        <v>1470</v>
      </c>
      <c r="B1308" s="112" t="s">
        <v>1559</v>
      </c>
      <c r="C1308" s="112">
        <v>0</v>
      </c>
      <c r="D1308" s="112" t="s">
        <v>1560</v>
      </c>
      <c r="E1308" s="112" t="s">
        <v>1543</v>
      </c>
      <c r="F1308" s="112" t="s">
        <v>1560</v>
      </c>
      <c r="G1308" s="112" t="s">
        <v>1470</v>
      </c>
      <c r="H1308" s="112" t="s">
        <v>1543</v>
      </c>
      <c r="I1308" s="112">
        <v>0</v>
      </c>
    </row>
    <row r="1309" spans="1:9">
      <c r="A1309" s="112" t="s">
        <v>1471</v>
      </c>
      <c r="B1309" s="112" t="s">
        <v>1559</v>
      </c>
      <c r="C1309" s="112">
        <v>130.06514480000001</v>
      </c>
      <c r="D1309" s="112" t="s">
        <v>1560</v>
      </c>
      <c r="E1309" s="112" t="s">
        <v>1543</v>
      </c>
      <c r="F1309" s="112" t="s">
        <v>1560</v>
      </c>
      <c r="G1309" s="112" t="s">
        <v>1471</v>
      </c>
      <c r="H1309" s="112" t="s">
        <v>1543</v>
      </c>
      <c r="I1309" s="112">
        <v>291.24391250000002</v>
      </c>
    </row>
    <row r="1310" spans="1:9">
      <c r="A1310" s="112" t="s">
        <v>1472</v>
      </c>
      <c r="B1310" s="112" t="s">
        <v>1559</v>
      </c>
      <c r="C1310" s="112">
        <v>0</v>
      </c>
      <c r="D1310" s="112" t="s">
        <v>1560</v>
      </c>
      <c r="E1310" s="112" t="s">
        <v>1543</v>
      </c>
      <c r="F1310" s="112" t="s">
        <v>1560</v>
      </c>
      <c r="G1310" s="112" t="s">
        <v>1472</v>
      </c>
      <c r="H1310" s="112" t="s">
        <v>1543</v>
      </c>
      <c r="I1310" s="112">
        <v>0</v>
      </c>
    </row>
    <row r="1311" spans="1:9">
      <c r="A1311" s="112" t="s">
        <v>1473</v>
      </c>
      <c r="B1311" s="112" t="s">
        <v>1559</v>
      </c>
      <c r="C1311" s="112">
        <v>414.90768109999999</v>
      </c>
      <c r="D1311" s="112" t="s">
        <v>1560</v>
      </c>
      <c r="E1311" s="112" t="s">
        <v>1543</v>
      </c>
      <c r="F1311" s="112" t="s">
        <v>1560</v>
      </c>
      <c r="G1311" s="112" t="s">
        <v>1473</v>
      </c>
      <c r="H1311" s="112" t="s">
        <v>1543</v>
      </c>
      <c r="I1311" s="112">
        <v>1569.9072550000001</v>
      </c>
    </row>
    <row r="1312" spans="1:9">
      <c r="A1312" s="112" t="s">
        <v>1474</v>
      </c>
      <c r="B1312" s="112" t="s">
        <v>1559</v>
      </c>
      <c r="C1312" s="112">
        <v>0</v>
      </c>
      <c r="D1312" s="112" t="s">
        <v>1560</v>
      </c>
      <c r="E1312" s="112" t="s">
        <v>1543</v>
      </c>
      <c r="F1312" s="112" t="s">
        <v>1560</v>
      </c>
      <c r="G1312" s="112" t="s">
        <v>1474</v>
      </c>
      <c r="H1312" s="112" t="s">
        <v>1543</v>
      </c>
      <c r="I1312" s="112">
        <v>0</v>
      </c>
    </row>
    <row r="1313" spans="1:9">
      <c r="A1313" s="112" t="s">
        <v>1475</v>
      </c>
      <c r="B1313" s="112" t="s">
        <v>1559</v>
      </c>
      <c r="C1313" s="112">
        <v>0</v>
      </c>
      <c r="D1313" s="112" t="s">
        <v>1560</v>
      </c>
      <c r="E1313" s="112" t="s">
        <v>1543</v>
      </c>
      <c r="F1313" s="112" t="s">
        <v>1560</v>
      </c>
      <c r="G1313" s="112" t="s">
        <v>1475</v>
      </c>
      <c r="H1313" s="112" t="s">
        <v>1543</v>
      </c>
      <c r="I1313" s="112">
        <v>0</v>
      </c>
    </row>
    <row r="1314" spans="1:9">
      <c r="A1314" s="112" t="s">
        <v>1476</v>
      </c>
      <c r="B1314" s="112" t="s">
        <v>1559</v>
      </c>
      <c r="C1314" s="112">
        <v>11.37906707</v>
      </c>
      <c r="D1314" s="112" t="s">
        <v>1560</v>
      </c>
      <c r="E1314" s="112" t="s">
        <v>1543</v>
      </c>
      <c r="F1314" s="112" t="s">
        <v>1560</v>
      </c>
      <c r="G1314" s="112" t="s">
        <v>1476</v>
      </c>
      <c r="H1314" s="112" t="s">
        <v>1543</v>
      </c>
      <c r="I1314" s="112">
        <v>18.965111780000001</v>
      </c>
    </row>
    <row r="1315" spans="1:9">
      <c r="A1315" s="112" t="s">
        <v>1477</v>
      </c>
      <c r="B1315" s="112" t="s">
        <v>1559</v>
      </c>
      <c r="C1315" s="112">
        <v>562.75323900000001</v>
      </c>
      <c r="D1315" s="112" t="s">
        <v>1560</v>
      </c>
      <c r="E1315" s="112" t="s">
        <v>1543</v>
      </c>
      <c r="F1315" s="112" t="s">
        <v>1560</v>
      </c>
      <c r="G1315" s="112" t="s">
        <v>1477</v>
      </c>
      <c r="H1315" s="112" t="s">
        <v>1543</v>
      </c>
      <c r="I1315" s="112">
        <v>1200.5402429999999</v>
      </c>
    </row>
    <row r="1316" spans="1:9">
      <c r="A1316" s="112" t="s">
        <v>1478</v>
      </c>
      <c r="B1316" s="112" t="s">
        <v>1559</v>
      </c>
      <c r="C1316" s="112">
        <v>620.60272829999997</v>
      </c>
      <c r="D1316" s="112" t="s">
        <v>1560</v>
      </c>
      <c r="E1316" s="112" t="s">
        <v>1543</v>
      </c>
      <c r="F1316" s="112" t="s">
        <v>1560</v>
      </c>
      <c r="G1316" s="112" t="s">
        <v>1478</v>
      </c>
      <c r="H1316" s="112" t="s">
        <v>1543</v>
      </c>
      <c r="I1316" s="112">
        <v>789.85801790000005</v>
      </c>
    </row>
    <row r="1317" spans="1:9">
      <c r="A1317" s="112" t="s">
        <v>1479</v>
      </c>
      <c r="B1317" s="112" t="s">
        <v>1559</v>
      </c>
      <c r="C1317" s="112">
        <v>0</v>
      </c>
      <c r="D1317" s="112" t="s">
        <v>1560</v>
      </c>
      <c r="E1317" s="112" t="s">
        <v>1543</v>
      </c>
      <c r="F1317" s="112" t="s">
        <v>1560</v>
      </c>
      <c r="G1317" s="112" t="s">
        <v>1479</v>
      </c>
      <c r="H1317" s="112" t="s">
        <v>1543</v>
      </c>
      <c r="I1317" s="112">
        <v>1841.9290020000001</v>
      </c>
    </row>
    <row r="1318" spans="1:9">
      <c r="A1318" s="112" t="s">
        <v>1480</v>
      </c>
      <c r="B1318" s="112" t="s">
        <v>1559</v>
      </c>
      <c r="C1318" s="112">
        <v>0</v>
      </c>
      <c r="D1318" s="112" t="s">
        <v>1560</v>
      </c>
      <c r="E1318" s="112" t="s">
        <v>1543</v>
      </c>
      <c r="F1318" s="112" t="s">
        <v>1560</v>
      </c>
      <c r="G1318" s="112" t="s">
        <v>1480</v>
      </c>
      <c r="H1318" s="112" t="s">
        <v>1543</v>
      </c>
      <c r="I1318" s="112">
        <v>71.727435749999998</v>
      </c>
    </row>
    <row r="1319" spans="1:9">
      <c r="A1319" s="112" t="s">
        <v>1481</v>
      </c>
      <c r="B1319" s="112" t="s">
        <v>1559</v>
      </c>
      <c r="C1319" s="112">
        <v>0</v>
      </c>
      <c r="D1319" s="112" t="s">
        <v>1560</v>
      </c>
      <c r="E1319" s="112" t="s">
        <v>1543</v>
      </c>
      <c r="F1319" s="112" t="s">
        <v>1560</v>
      </c>
      <c r="G1319" s="112" t="s">
        <v>1481</v>
      </c>
      <c r="H1319" s="112" t="s">
        <v>1543</v>
      </c>
      <c r="I1319" s="112">
        <v>0</v>
      </c>
    </row>
    <row r="1320" spans="1:9">
      <c r="A1320" s="112" t="s">
        <v>1482</v>
      </c>
      <c r="B1320" s="112" t="s">
        <v>1559</v>
      </c>
      <c r="C1320" s="112">
        <v>0</v>
      </c>
      <c r="D1320" s="112" t="s">
        <v>1560</v>
      </c>
      <c r="E1320" s="112" t="s">
        <v>1543</v>
      </c>
      <c r="F1320" s="112" t="s">
        <v>1560</v>
      </c>
      <c r="G1320" s="112" t="s">
        <v>1482</v>
      </c>
      <c r="H1320" s="112" t="s">
        <v>1543</v>
      </c>
      <c r="I1320" s="112">
        <v>0</v>
      </c>
    </row>
    <row r="1321" spans="1:9">
      <c r="A1321" s="112" t="s">
        <v>1483</v>
      </c>
      <c r="B1321" s="112" t="s">
        <v>1559</v>
      </c>
      <c r="C1321" s="112">
        <v>0</v>
      </c>
      <c r="D1321" s="112" t="s">
        <v>1560</v>
      </c>
      <c r="E1321" s="112" t="s">
        <v>1543</v>
      </c>
      <c r="F1321" s="112" t="s">
        <v>1560</v>
      </c>
      <c r="G1321" s="112" t="s">
        <v>1483</v>
      </c>
      <c r="H1321" s="112" t="s">
        <v>1543</v>
      </c>
      <c r="I1321" s="112">
        <v>0</v>
      </c>
    </row>
    <row r="1322" spans="1:9">
      <c r="A1322" s="112" t="s">
        <v>1484</v>
      </c>
      <c r="B1322" s="112" t="s">
        <v>1559</v>
      </c>
      <c r="C1322" s="112">
        <v>0</v>
      </c>
      <c r="D1322" s="112" t="s">
        <v>1560</v>
      </c>
      <c r="E1322" s="112" t="s">
        <v>1543</v>
      </c>
      <c r="F1322" s="112" t="s">
        <v>1560</v>
      </c>
      <c r="G1322" s="112" t="s">
        <v>1484</v>
      </c>
      <c r="H1322" s="112" t="s">
        <v>1543</v>
      </c>
      <c r="I1322" s="112">
        <v>0</v>
      </c>
    </row>
    <row r="1323" spans="1:9">
      <c r="A1323" s="112" t="s">
        <v>1485</v>
      </c>
      <c r="B1323" s="112" t="s">
        <v>1559</v>
      </c>
      <c r="C1323" s="112">
        <v>0</v>
      </c>
      <c r="D1323" s="112" t="s">
        <v>1560</v>
      </c>
      <c r="E1323" s="112" t="s">
        <v>1543</v>
      </c>
      <c r="F1323" s="112" t="s">
        <v>1560</v>
      </c>
      <c r="G1323" s="112" t="s">
        <v>1485</v>
      </c>
      <c r="H1323" s="112" t="s">
        <v>1543</v>
      </c>
      <c r="I1323" s="112">
        <v>0</v>
      </c>
    </row>
    <row r="1324" spans="1:9">
      <c r="A1324" s="112" t="s">
        <v>1486</v>
      </c>
      <c r="B1324" s="112" t="s">
        <v>1559</v>
      </c>
      <c r="C1324" s="112">
        <v>0</v>
      </c>
      <c r="D1324" s="112" t="s">
        <v>1560</v>
      </c>
      <c r="E1324" s="112" t="s">
        <v>1543</v>
      </c>
      <c r="F1324" s="112" t="s">
        <v>1560</v>
      </c>
      <c r="G1324" s="112" t="s">
        <v>1486</v>
      </c>
      <c r="H1324" s="112" t="s">
        <v>1543</v>
      </c>
      <c r="I1324" s="112">
        <v>0</v>
      </c>
    </row>
    <row r="1325" spans="1:9">
      <c r="A1325" s="112" t="s">
        <v>1487</v>
      </c>
      <c r="B1325" s="112" t="s">
        <v>1559</v>
      </c>
      <c r="C1325" s="112">
        <v>0</v>
      </c>
      <c r="D1325" s="112" t="s">
        <v>1560</v>
      </c>
      <c r="E1325" s="112" t="s">
        <v>1543</v>
      </c>
      <c r="F1325" s="112" t="s">
        <v>1560</v>
      </c>
      <c r="G1325" s="112" t="s">
        <v>1487</v>
      </c>
      <c r="H1325" s="112" t="s">
        <v>1543</v>
      </c>
      <c r="I1325" s="112">
        <v>45.970670720000001</v>
      </c>
    </row>
    <row r="1326" spans="1:9">
      <c r="A1326" s="112" t="s">
        <v>1488</v>
      </c>
      <c r="B1326" s="112" t="s">
        <v>1559</v>
      </c>
      <c r="C1326" s="112">
        <v>119.474313</v>
      </c>
      <c r="D1326" s="112" t="s">
        <v>1560</v>
      </c>
      <c r="E1326" s="112" t="s">
        <v>1543</v>
      </c>
      <c r="F1326" s="112" t="s">
        <v>1560</v>
      </c>
      <c r="G1326" s="112" t="s">
        <v>1488</v>
      </c>
      <c r="H1326" s="112" t="s">
        <v>1543</v>
      </c>
      <c r="I1326" s="112">
        <v>119.474313</v>
      </c>
    </row>
    <row r="1327" spans="1:9">
      <c r="A1327" s="112" t="s">
        <v>1489</v>
      </c>
      <c r="B1327" s="112" t="s">
        <v>1559</v>
      </c>
      <c r="C1327" s="112">
        <v>0</v>
      </c>
      <c r="D1327" s="112" t="s">
        <v>1560</v>
      </c>
      <c r="E1327" s="112" t="s">
        <v>1543</v>
      </c>
      <c r="F1327" s="112" t="s">
        <v>1560</v>
      </c>
      <c r="G1327" s="112" t="s">
        <v>1489</v>
      </c>
      <c r="H1327" s="112" t="s">
        <v>1543</v>
      </c>
      <c r="I1327" s="112">
        <v>0</v>
      </c>
    </row>
    <row r="1328" spans="1:9">
      <c r="A1328" s="112" t="s">
        <v>1490</v>
      </c>
      <c r="B1328" s="112" t="s">
        <v>1559</v>
      </c>
      <c r="C1328" s="112">
        <v>0</v>
      </c>
      <c r="D1328" s="112" t="s">
        <v>1560</v>
      </c>
      <c r="E1328" s="112" t="s">
        <v>1543</v>
      </c>
      <c r="F1328" s="112" t="s">
        <v>1560</v>
      </c>
      <c r="G1328" s="112" t="s">
        <v>1490</v>
      </c>
      <c r="H1328" s="112" t="s">
        <v>1543</v>
      </c>
      <c r="I1328" s="112">
        <v>0</v>
      </c>
    </row>
    <row r="1329" spans="1:9">
      <c r="A1329" s="112" t="s">
        <v>1461</v>
      </c>
      <c r="B1329" s="112" t="s">
        <v>1561</v>
      </c>
      <c r="C1329" s="112">
        <v>0</v>
      </c>
      <c r="D1329" s="112" t="s">
        <v>1560</v>
      </c>
      <c r="E1329" s="112" t="s">
        <v>1543</v>
      </c>
      <c r="F1329" s="112" t="s">
        <v>1560</v>
      </c>
      <c r="G1329" s="112" t="s">
        <v>1461</v>
      </c>
      <c r="H1329" s="112" t="s">
        <v>1543</v>
      </c>
      <c r="I1329" s="112">
        <v>0</v>
      </c>
    </row>
    <row r="1330" spans="1:9">
      <c r="A1330" s="112" t="s">
        <v>1465</v>
      </c>
      <c r="B1330" s="112" t="s">
        <v>1561</v>
      </c>
      <c r="C1330" s="112">
        <v>0</v>
      </c>
      <c r="D1330" s="112" t="s">
        <v>1560</v>
      </c>
      <c r="E1330" s="112" t="s">
        <v>1543</v>
      </c>
      <c r="F1330" s="112" t="s">
        <v>1560</v>
      </c>
      <c r="G1330" s="112" t="s">
        <v>1465</v>
      </c>
      <c r="H1330" s="112" t="s">
        <v>1543</v>
      </c>
      <c r="I1330" s="112">
        <v>0</v>
      </c>
    </row>
    <row r="1331" spans="1:9">
      <c r="A1331" s="112" t="s">
        <v>1466</v>
      </c>
      <c r="B1331" s="112" t="s">
        <v>1561</v>
      </c>
      <c r="C1331" s="112">
        <v>453.1458781</v>
      </c>
      <c r="D1331" s="112" t="s">
        <v>1560</v>
      </c>
      <c r="E1331" s="112" t="s">
        <v>1543</v>
      </c>
      <c r="F1331" s="112" t="s">
        <v>1560</v>
      </c>
      <c r="G1331" s="112" t="s">
        <v>1466</v>
      </c>
      <c r="H1331" s="112" t="s">
        <v>1543</v>
      </c>
      <c r="I1331" s="112">
        <v>8412.2465570000004</v>
      </c>
    </row>
    <row r="1332" spans="1:9">
      <c r="A1332" s="112" t="s">
        <v>1467</v>
      </c>
      <c r="B1332" s="112" t="s">
        <v>1561</v>
      </c>
      <c r="C1332" s="112">
        <v>72.671511429999995</v>
      </c>
      <c r="D1332" s="112" t="s">
        <v>1560</v>
      </c>
      <c r="E1332" s="112" t="s">
        <v>1543</v>
      </c>
      <c r="F1332" s="112" t="s">
        <v>1560</v>
      </c>
      <c r="G1332" s="112" t="s">
        <v>1467</v>
      </c>
      <c r="H1332" s="112" t="s">
        <v>1543</v>
      </c>
      <c r="I1332" s="112">
        <v>1653.443563</v>
      </c>
    </row>
    <row r="1333" spans="1:9">
      <c r="A1333" s="112" t="s">
        <v>1468</v>
      </c>
      <c r="B1333" s="112" t="s">
        <v>1561</v>
      </c>
      <c r="C1333" s="112">
        <v>0</v>
      </c>
      <c r="D1333" s="112" t="s">
        <v>1560</v>
      </c>
      <c r="E1333" s="112" t="s">
        <v>1543</v>
      </c>
      <c r="F1333" s="112" t="s">
        <v>1560</v>
      </c>
      <c r="G1333" s="112" t="s">
        <v>1468</v>
      </c>
      <c r="H1333" s="112" t="s">
        <v>1543</v>
      </c>
      <c r="I1333" s="112">
        <v>3.6075296360000002</v>
      </c>
    </row>
    <row r="1334" spans="1:9">
      <c r="A1334" s="112" t="s">
        <v>1469</v>
      </c>
      <c r="B1334" s="112" t="s">
        <v>1561</v>
      </c>
      <c r="C1334" s="112">
        <v>673.02515189999997</v>
      </c>
      <c r="D1334" s="112" t="s">
        <v>1560</v>
      </c>
      <c r="E1334" s="112" t="s">
        <v>1543</v>
      </c>
      <c r="F1334" s="112" t="s">
        <v>1560</v>
      </c>
      <c r="G1334" s="112" t="s">
        <v>1469</v>
      </c>
      <c r="H1334" s="112" t="s">
        <v>1543</v>
      </c>
      <c r="I1334" s="112">
        <v>9585.8010909999994</v>
      </c>
    </row>
    <row r="1335" spans="1:9">
      <c r="A1335" s="112" t="s">
        <v>1470</v>
      </c>
      <c r="B1335" s="112" t="s">
        <v>1561</v>
      </c>
      <c r="C1335" s="112">
        <v>0</v>
      </c>
      <c r="D1335" s="112" t="s">
        <v>1560</v>
      </c>
      <c r="E1335" s="112" t="s">
        <v>1543</v>
      </c>
      <c r="F1335" s="112" t="s">
        <v>1560</v>
      </c>
      <c r="G1335" s="112" t="s">
        <v>1470</v>
      </c>
      <c r="H1335" s="112" t="s">
        <v>1543</v>
      </c>
      <c r="I1335" s="112">
        <v>0</v>
      </c>
    </row>
    <row r="1336" spans="1:9">
      <c r="A1336" s="112" t="s">
        <v>1471</v>
      </c>
      <c r="B1336" s="112" t="s">
        <v>1561</v>
      </c>
      <c r="C1336" s="112">
        <v>13.77160357</v>
      </c>
      <c r="D1336" s="112" t="s">
        <v>1560</v>
      </c>
      <c r="E1336" s="112" t="s">
        <v>1543</v>
      </c>
      <c r="F1336" s="112" t="s">
        <v>1560</v>
      </c>
      <c r="G1336" s="112" t="s">
        <v>1471</v>
      </c>
      <c r="H1336" s="112" t="s">
        <v>1543</v>
      </c>
      <c r="I1336" s="112">
        <v>291.24391250000002</v>
      </c>
    </row>
    <row r="1337" spans="1:9">
      <c r="A1337" s="112" t="s">
        <v>1472</v>
      </c>
      <c r="B1337" s="112" t="s">
        <v>1561</v>
      </c>
      <c r="C1337" s="112">
        <v>0</v>
      </c>
      <c r="D1337" s="112" t="s">
        <v>1560</v>
      </c>
      <c r="E1337" s="112" t="s">
        <v>1543</v>
      </c>
      <c r="F1337" s="112" t="s">
        <v>1560</v>
      </c>
      <c r="G1337" s="112" t="s">
        <v>1472</v>
      </c>
      <c r="H1337" s="112" t="s">
        <v>1543</v>
      </c>
      <c r="I1337" s="112">
        <v>0</v>
      </c>
    </row>
    <row r="1338" spans="1:9">
      <c r="A1338" s="112" t="s">
        <v>1473</v>
      </c>
      <c r="B1338" s="112" t="s">
        <v>1561</v>
      </c>
      <c r="C1338" s="112">
        <v>39.285699800000003</v>
      </c>
      <c r="D1338" s="112" t="s">
        <v>1560</v>
      </c>
      <c r="E1338" s="112" t="s">
        <v>1543</v>
      </c>
      <c r="F1338" s="112" t="s">
        <v>1560</v>
      </c>
      <c r="G1338" s="112" t="s">
        <v>1473</v>
      </c>
      <c r="H1338" s="112" t="s">
        <v>1543</v>
      </c>
      <c r="I1338" s="112">
        <v>1569.9072550000001</v>
      </c>
    </row>
    <row r="1339" spans="1:9">
      <c r="A1339" s="112" t="s">
        <v>1474</v>
      </c>
      <c r="B1339" s="112" t="s">
        <v>1561</v>
      </c>
      <c r="C1339" s="112">
        <v>0</v>
      </c>
      <c r="D1339" s="112" t="s">
        <v>1560</v>
      </c>
      <c r="E1339" s="112" t="s">
        <v>1543</v>
      </c>
      <c r="F1339" s="112" t="s">
        <v>1560</v>
      </c>
      <c r="G1339" s="112" t="s">
        <v>1474</v>
      </c>
      <c r="H1339" s="112" t="s">
        <v>1543</v>
      </c>
      <c r="I1339" s="112">
        <v>0</v>
      </c>
    </row>
    <row r="1340" spans="1:9">
      <c r="A1340" s="112" t="s">
        <v>1475</v>
      </c>
      <c r="B1340" s="112" t="s">
        <v>1561</v>
      </c>
      <c r="C1340" s="112">
        <v>0</v>
      </c>
      <c r="D1340" s="112" t="s">
        <v>1560</v>
      </c>
      <c r="E1340" s="112" t="s">
        <v>1543</v>
      </c>
      <c r="F1340" s="112" t="s">
        <v>1560</v>
      </c>
      <c r="G1340" s="112" t="s">
        <v>1475</v>
      </c>
      <c r="H1340" s="112" t="s">
        <v>1543</v>
      </c>
      <c r="I1340" s="112">
        <v>0</v>
      </c>
    </row>
    <row r="1341" spans="1:9">
      <c r="A1341" s="112" t="s">
        <v>1476</v>
      </c>
      <c r="B1341" s="112" t="s">
        <v>1561</v>
      </c>
      <c r="C1341" s="112">
        <v>0</v>
      </c>
      <c r="D1341" s="112" t="s">
        <v>1560</v>
      </c>
      <c r="E1341" s="112" t="s">
        <v>1543</v>
      </c>
      <c r="F1341" s="112" t="s">
        <v>1560</v>
      </c>
      <c r="G1341" s="112" t="s">
        <v>1476</v>
      </c>
      <c r="H1341" s="112" t="s">
        <v>1543</v>
      </c>
      <c r="I1341" s="112">
        <v>18.965111780000001</v>
      </c>
    </row>
    <row r="1342" spans="1:9">
      <c r="A1342" s="112" t="s">
        <v>1477</v>
      </c>
      <c r="B1342" s="112" t="s">
        <v>1561</v>
      </c>
      <c r="C1342" s="112">
        <v>0</v>
      </c>
      <c r="D1342" s="112" t="s">
        <v>1560</v>
      </c>
      <c r="E1342" s="112" t="s">
        <v>1543</v>
      </c>
      <c r="F1342" s="112" t="s">
        <v>1560</v>
      </c>
      <c r="G1342" s="112" t="s">
        <v>1477</v>
      </c>
      <c r="H1342" s="112" t="s">
        <v>1543</v>
      </c>
      <c r="I1342" s="112">
        <v>1200.5402429999999</v>
      </c>
    </row>
    <row r="1343" spans="1:9">
      <c r="A1343" s="112" t="s">
        <v>1478</v>
      </c>
      <c r="B1343" s="112" t="s">
        <v>1561</v>
      </c>
      <c r="C1343" s="112">
        <v>85.268763300000003</v>
      </c>
      <c r="D1343" s="112" t="s">
        <v>1560</v>
      </c>
      <c r="E1343" s="112" t="s">
        <v>1543</v>
      </c>
      <c r="F1343" s="112" t="s">
        <v>1560</v>
      </c>
      <c r="G1343" s="112" t="s">
        <v>1478</v>
      </c>
      <c r="H1343" s="112" t="s">
        <v>1543</v>
      </c>
      <c r="I1343" s="112">
        <v>789.85801790000005</v>
      </c>
    </row>
    <row r="1344" spans="1:9">
      <c r="A1344" s="112" t="s">
        <v>1479</v>
      </c>
      <c r="B1344" s="112" t="s">
        <v>1561</v>
      </c>
      <c r="C1344" s="112">
        <v>0</v>
      </c>
      <c r="D1344" s="112" t="s">
        <v>1560</v>
      </c>
      <c r="E1344" s="112" t="s">
        <v>1543</v>
      </c>
      <c r="F1344" s="112" t="s">
        <v>1560</v>
      </c>
      <c r="G1344" s="112" t="s">
        <v>1479</v>
      </c>
      <c r="H1344" s="112" t="s">
        <v>1543</v>
      </c>
      <c r="I1344" s="112">
        <v>1841.9290020000001</v>
      </c>
    </row>
    <row r="1345" spans="1:9">
      <c r="A1345" s="112" t="s">
        <v>1480</v>
      </c>
      <c r="B1345" s="112" t="s">
        <v>1561</v>
      </c>
      <c r="C1345" s="112">
        <v>0</v>
      </c>
      <c r="D1345" s="112" t="s">
        <v>1560</v>
      </c>
      <c r="E1345" s="112" t="s">
        <v>1543</v>
      </c>
      <c r="F1345" s="112" t="s">
        <v>1560</v>
      </c>
      <c r="G1345" s="112" t="s">
        <v>1480</v>
      </c>
      <c r="H1345" s="112" t="s">
        <v>1543</v>
      </c>
      <c r="I1345" s="112">
        <v>71.727435749999998</v>
      </c>
    </row>
    <row r="1346" spans="1:9">
      <c r="A1346" s="112" t="s">
        <v>1481</v>
      </c>
      <c r="B1346" s="112" t="s">
        <v>1561</v>
      </c>
      <c r="C1346" s="112">
        <v>0</v>
      </c>
      <c r="D1346" s="112" t="s">
        <v>1560</v>
      </c>
      <c r="E1346" s="112" t="s">
        <v>1543</v>
      </c>
      <c r="F1346" s="112" t="s">
        <v>1560</v>
      </c>
      <c r="G1346" s="112" t="s">
        <v>1481</v>
      </c>
      <c r="H1346" s="112" t="s">
        <v>1543</v>
      </c>
      <c r="I1346" s="112">
        <v>0</v>
      </c>
    </row>
    <row r="1347" spans="1:9">
      <c r="A1347" s="112" t="s">
        <v>1482</v>
      </c>
      <c r="B1347" s="112" t="s">
        <v>1561</v>
      </c>
      <c r="C1347" s="112">
        <v>0</v>
      </c>
      <c r="D1347" s="112" t="s">
        <v>1560</v>
      </c>
      <c r="E1347" s="112" t="s">
        <v>1543</v>
      </c>
      <c r="F1347" s="112" t="s">
        <v>1560</v>
      </c>
      <c r="G1347" s="112" t="s">
        <v>1482</v>
      </c>
      <c r="H1347" s="112" t="s">
        <v>1543</v>
      </c>
      <c r="I1347" s="112">
        <v>0</v>
      </c>
    </row>
    <row r="1348" spans="1:9">
      <c r="A1348" s="112" t="s">
        <v>1483</v>
      </c>
      <c r="B1348" s="112" t="s">
        <v>1561</v>
      </c>
      <c r="C1348" s="112">
        <v>0</v>
      </c>
      <c r="D1348" s="112" t="s">
        <v>1560</v>
      </c>
      <c r="E1348" s="112" t="s">
        <v>1543</v>
      </c>
      <c r="F1348" s="112" t="s">
        <v>1560</v>
      </c>
      <c r="G1348" s="112" t="s">
        <v>1483</v>
      </c>
      <c r="H1348" s="112" t="s">
        <v>1543</v>
      </c>
      <c r="I1348" s="112">
        <v>0</v>
      </c>
    </row>
    <row r="1349" spans="1:9">
      <c r="A1349" s="112" t="s">
        <v>1484</v>
      </c>
      <c r="B1349" s="112" t="s">
        <v>1561</v>
      </c>
      <c r="C1349" s="112">
        <v>0</v>
      </c>
      <c r="D1349" s="112" t="s">
        <v>1560</v>
      </c>
      <c r="E1349" s="112" t="s">
        <v>1543</v>
      </c>
      <c r="F1349" s="112" t="s">
        <v>1560</v>
      </c>
      <c r="G1349" s="112" t="s">
        <v>1484</v>
      </c>
      <c r="H1349" s="112" t="s">
        <v>1543</v>
      </c>
      <c r="I1349" s="112">
        <v>0</v>
      </c>
    </row>
    <row r="1350" spans="1:9">
      <c r="A1350" s="112" t="s">
        <v>1485</v>
      </c>
      <c r="B1350" s="112" t="s">
        <v>1561</v>
      </c>
      <c r="C1350" s="112">
        <v>0</v>
      </c>
      <c r="D1350" s="112" t="s">
        <v>1560</v>
      </c>
      <c r="E1350" s="112" t="s">
        <v>1543</v>
      </c>
      <c r="F1350" s="112" t="s">
        <v>1560</v>
      </c>
      <c r="G1350" s="112" t="s">
        <v>1485</v>
      </c>
      <c r="H1350" s="112" t="s">
        <v>1543</v>
      </c>
      <c r="I1350" s="112">
        <v>0</v>
      </c>
    </row>
    <row r="1351" spans="1:9">
      <c r="A1351" s="112" t="s">
        <v>1486</v>
      </c>
      <c r="B1351" s="112" t="s">
        <v>1561</v>
      </c>
      <c r="C1351" s="112">
        <v>0</v>
      </c>
      <c r="D1351" s="112" t="s">
        <v>1560</v>
      </c>
      <c r="E1351" s="112" t="s">
        <v>1543</v>
      </c>
      <c r="F1351" s="112" t="s">
        <v>1560</v>
      </c>
      <c r="G1351" s="112" t="s">
        <v>1486</v>
      </c>
      <c r="H1351" s="112" t="s">
        <v>1543</v>
      </c>
      <c r="I1351" s="112">
        <v>0</v>
      </c>
    </row>
    <row r="1352" spans="1:9">
      <c r="A1352" s="112" t="s">
        <v>1487</v>
      </c>
      <c r="B1352" s="112" t="s">
        <v>1561</v>
      </c>
      <c r="C1352" s="112">
        <v>0</v>
      </c>
      <c r="D1352" s="112" t="s">
        <v>1560</v>
      </c>
      <c r="E1352" s="112" t="s">
        <v>1543</v>
      </c>
      <c r="F1352" s="112" t="s">
        <v>1560</v>
      </c>
      <c r="G1352" s="112" t="s">
        <v>1487</v>
      </c>
      <c r="H1352" s="112" t="s">
        <v>1543</v>
      </c>
      <c r="I1352" s="112">
        <v>45.970670720000001</v>
      </c>
    </row>
    <row r="1353" spans="1:9">
      <c r="A1353" s="112" t="s">
        <v>1488</v>
      </c>
      <c r="B1353" s="112" t="s">
        <v>1561</v>
      </c>
      <c r="C1353" s="112">
        <v>0</v>
      </c>
      <c r="D1353" s="112" t="s">
        <v>1560</v>
      </c>
      <c r="E1353" s="112" t="s">
        <v>1543</v>
      </c>
      <c r="F1353" s="112" t="s">
        <v>1560</v>
      </c>
      <c r="G1353" s="112" t="s">
        <v>1488</v>
      </c>
      <c r="H1353" s="112" t="s">
        <v>1543</v>
      </c>
      <c r="I1353" s="112">
        <v>119.474313</v>
      </c>
    </row>
    <row r="1354" spans="1:9">
      <c r="A1354" s="112" t="s">
        <v>1489</v>
      </c>
      <c r="B1354" s="112" t="s">
        <v>1561</v>
      </c>
      <c r="C1354" s="112">
        <v>0</v>
      </c>
      <c r="D1354" s="112" t="s">
        <v>1560</v>
      </c>
      <c r="E1354" s="112" t="s">
        <v>1543</v>
      </c>
      <c r="F1354" s="112" t="s">
        <v>1560</v>
      </c>
      <c r="G1354" s="112" t="s">
        <v>1489</v>
      </c>
      <c r="H1354" s="112" t="s">
        <v>1543</v>
      </c>
      <c r="I1354" s="112">
        <v>0</v>
      </c>
    </row>
    <row r="1355" spans="1:9">
      <c r="A1355" s="112" t="s">
        <v>1490</v>
      </c>
      <c r="B1355" s="112" t="s">
        <v>1561</v>
      </c>
      <c r="C1355" s="112">
        <v>0</v>
      </c>
      <c r="D1355" s="112" t="s">
        <v>1560</v>
      </c>
      <c r="E1355" s="112" t="s">
        <v>1543</v>
      </c>
      <c r="F1355" s="112" t="s">
        <v>1560</v>
      </c>
      <c r="G1355" s="112" t="s">
        <v>1490</v>
      </c>
      <c r="H1355" s="112" t="s">
        <v>1543</v>
      </c>
      <c r="I1355" s="112">
        <v>0</v>
      </c>
    </row>
    <row r="1356" spans="1:9">
      <c r="A1356" s="112" t="s">
        <v>1461</v>
      </c>
      <c r="B1356" s="112" t="s">
        <v>1562</v>
      </c>
      <c r="C1356" s="112">
        <v>0</v>
      </c>
      <c r="D1356" s="112" t="s">
        <v>1560</v>
      </c>
      <c r="E1356" s="112" t="s">
        <v>1543</v>
      </c>
      <c r="F1356" s="112" t="s">
        <v>1560</v>
      </c>
      <c r="G1356" s="112" t="s">
        <v>1461</v>
      </c>
      <c r="H1356" s="112" t="s">
        <v>1543</v>
      </c>
      <c r="I1356" s="112">
        <v>0</v>
      </c>
    </row>
    <row r="1357" spans="1:9">
      <c r="A1357" s="112" t="s">
        <v>1465</v>
      </c>
      <c r="B1357" s="112" t="s">
        <v>1562</v>
      </c>
      <c r="C1357" s="112">
        <v>0</v>
      </c>
      <c r="D1357" s="112" t="s">
        <v>1560</v>
      </c>
      <c r="E1357" s="112" t="s">
        <v>1543</v>
      </c>
      <c r="F1357" s="112" t="s">
        <v>1560</v>
      </c>
      <c r="G1357" s="112" t="s">
        <v>1465</v>
      </c>
      <c r="H1357" s="112" t="s">
        <v>1543</v>
      </c>
      <c r="I1357" s="112">
        <v>0</v>
      </c>
    </row>
    <row r="1358" spans="1:9">
      <c r="A1358" s="112" t="s">
        <v>1466</v>
      </c>
      <c r="B1358" s="112" t="s">
        <v>1562</v>
      </c>
      <c r="C1358" s="112">
        <v>755.2431302</v>
      </c>
      <c r="D1358" s="112" t="s">
        <v>1560</v>
      </c>
      <c r="E1358" s="112" t="s">
        <v>1543</v>
      </c>
      <c r="F1358" s="112" t="s">
        <v>1560</v>
      </c>
      <c r="G1358" s="112" t="s">
        <v>1466</v>
      </c>
      <c r="H1358" s="112" t="s">
        <v>1543</v>
      </c>
      <c r="I1358" s="112">
        <v>8412.2465570000004</v>
      </c>
    </row>
    <row r="1359" spans="1:9">
      <c r="A1359" s="112" t="s">
        <v>1467</v>
      </c>
      <c r="B1359" s="112" t="s">
        <v>1562</v>
      </c>
      <c r="C1359" s="112">
        <v>68.67124475</v>
      </c>
      <c r="D1359" s="112" t="s">
        <v>1560</v>
      </c>
      <c r="E1359" s="112" t="s">
        <v>1543</v>
      </c>
      <c r="F1359" s="112" t="s">
        <v>1560</v>
      </c>
      <c r="G1359" s="112" t="s">
        <v>1467</v>
      </c>
      <c r="H1359" s="112" t="s">
        <v>1543</v>
      </c>
      <c r="I1359" s="112">
        <v>1653.443563</v>
      </c>
    </row>
    <row r="1360" spans="1:9">
      <c r="A1360" s="112" t="s">
        <v>1468</v>
      </c>
      <c r="B1360" s="112" t="s">
        <v>1562</v>
      </c>
      <c r="C1360" s="112">
        <v>3.6075296360000002</v>
      </c>
      <c r="D1360" s="112" t="s">
        <v>1560</v>
      </c>
      <c r="E1360" s="112" t="s">
        <v>1543</v>
      </c>
      <c r="F1360" s="112" t="s">
        <v>1560</v>
      </c>
      <c r="G1360" s="112" t="s">
        <v>1468</v>
      </c>
      <c r="H1360" s="112" t="s">
        <v>1543</v>
      </c>
      <c r="I1360" s="112">
        <v>3.6075296360000002</v>
      </c>
    </row>
    <row r="1361" spans="1:9">
      <c r="A1361" s="112" t="s">
        <v>1469</v>
      </c>
      <c r="B1361" s="112" t="s">
        <v>1562</v>
      </c>
      <c r="C1361" s="112">
        <v>1230.674563</v>
      </c>
      <c r="D1361" s="112" t="s">
        <v>1560</v>
      </c>
      <c r="E1361" s="112" t="s">
        <v>1543</v>
      </c>
      <c r="F1361" s="112" t="s">
        <v>1560</v>
      </c>
      <c r="G1361" s="112" t="s">
        <v>1469</v>
      </c>
      <c r="H1361" s="112" t="s">
        <v>1543</v>
      </c>
      <c r="I1361" s="112">
        <v>9585.8010909999994</v>
      </c>
    </row>
    <row r="1362" spans="1:9">
      <c r="A1362" s="112" t="s">
        <v>1470</v>
      </c>
      <c r="B1362" s="112" t="s">
        <v>1562</v>
      </c>
      <c r="C1362" s="112">
        <v>0</v>
      </c>
      <c r="D1362" s="112" t="s">
        <v>1560</v>
      </c>
      <c r="E1362" s="112" t="s">
        <v>1543</v>
      </c>
      <c r="F1362" s="112" t="s">
        <v>1560</v>
      </c>
      <c r="G1362" s="112" t="s">
        <v>1470</v>
      </c>
      <c r="H1362" s="112" t="s">
        <v>1543</v>
      </c>
      <c r="I1362" s="112">
        <v>0</v>
      </c>
    </row>
    <row r="1363" spans="1:9">
      <c r="A1363" s="112" t="s">
        <v>1471</v>
      </c>
      <c r="B1363" s="112" t="s">
        <v>1562</v>
      </c>
      <c r="C1363" s="112">
        <v>16.32190052</v>
      </c>
      <c r="D1363" s="112" t="s">
        <v>1560</v>
      </c>
      <c r="E1363" s="112" t="s">
        <v>1543</v>
      </c>
      <c r="F1363" s="112" t="s">
        <v>1560</v>
      </c>
      <c r="G1363" s="112" t="s">
        <v>1471</v>
      </c>
      <c r="H1363" s="112" t="s">
        <v>1543</v>
      </c>
      <c r="I1363" s="112">
        <v>291.24391250000002</v>
      </c>
    </row>
    <row r="1364" spans="1:9">
      <c r="A1364" s="112" t="s">
        <v>1472</v>
      </c>
      <c r="B1364" s="112" t="s">
        <v>1562</v>
      </c>
      <c r="C1364" s="112">
        <v>0</v>
      </c>
      <c r="D1364" s="112" t="s">
        <v>1560</v>
      </c>
      <c r="E1364" s="112" t="s">
        <v>1543</v>
      </c>
      <c r="F1364" s="112" t="s">
        <v>1560</v>
      </c>
      <c r="G1364" s="112" t="s">
        <v>1472</v>
      </c>
      <c r="H1364" s="112" t="s">
        <v>1543</v>
      </c>
      <c r="I1364" s="112">
        <v>0</v>
      </c>
    </row>
    <row r="1365" spans="1:9">
      <c r="A1365" s="112" t="s">
        <v>1473</v>
      </c>
      <c r="B1365" s="112" t="s">
        <v>1562</v>
      </c>
      <c r="C1365" s="112">
        <v>74.769557689999999</v>
      </c>
      <c r="D1365" s="112" t="s">
        <v>1560</v>
      </c>
      <c r="E1365" s="112" t="s">
        <v>1543</v>
      </c>
      <c r="F1365" s="112" t="s">
        <v>1560</v>
      </c>
      <c r="G1365" s="112" t="s">
        <v>1473</v>
      </c>
      <c r="H1365" s="112" t="s">
        <v>1543</v>
      </c>
      <c r="I1365" s="112">
        <v>1569.9072550000001</v>
      </c>
    </row>
    <row r="1366" spans="1:9">
      <c r="A1366" s="112" t="s">
        <v>1474</v>
      </c>
      <c r="B1366" s="112" t="s">
        <v>1562</v>
      </c>
      <c r="C1366" s="112">
        <v>0</v>
      </c>
      <c r="D1366" s="112" t="s">
        <v>1560</v>
      </c>
      <c r="E1366" s="112" t="s">
        <v>1543</v>
      </c>
      <c r="F1366" s="112" t="s">
        <v>1560</v>
      </c>
      <c r="G1366" s="112" t="s">
        <v>1474</v>
      </c>
      <c r="H1366" s="112" t="s">
        <v>1543</v>
      </c>
      <c r="I1366" s="112">
        <v>0</v>
      </c>
    </row>
    <row r="1367" spans="1:9">
      <c r="A1367" s="112" t="s">
        <v>1475</v>
      </c>
      <c r="B1367" s="112" t="s">
        <v>1562</v>
      </c>
      <c r="C1367" s="112">
        <v>0</v>
      </c>
      <c r="D1367" s="112" t="s">
        <v>1560</v>
      </c>
      <c r="E1367" s="112" t="s">
        <v>1543</v>
      </c>
      <c r="F1367" s="112" t="s">
        <v>1560</v>
      </c>
      <c r="G1367" s="112" t="s">
        <v>1475</v>
      </c>
      <c r="H1367" s="112" t="s">
        <v>1543</v>
      </c>
      <c r="I1367" s="112">
        <v>0</v>
      </c>
    </row>
    <row r="1368" spans="1:9">
      <c r="A1368" s="112" t="s">
        <v>1476</v>
      </c>
      <c r="B1368" s="112" t="s">
        <v>1562</v>
      </c>
      <c r="C1368" s="112">
        <v>0</v>
      </c>
      <c r="D1368" s="112" t="s">
        <v>1560</v>
      </c>
      <c r="E1368" s="112" t="s">
        <v>1543</v>
      </c>
      <c r="F1368" s="112" t="s">
        <v>1560</v>
      </c>
      <c r="G1368" s="112" t="s">
        <v>1476</v>
      </c>
      <c r="H1368" s="112" t="s">
        <v>1543</v>
      </c>
      <c r="I1368" s="112">
        <v>18.965111780000001</v>
      </c>
    </row>
    <row r="1369" spans="1:9">
      <c r="A1369" s="112" t="s">
        <v>1477</v>
      </c>
      <c r="B1369" s="112" t="s">
        <v>1562</v>
      </c>
      <c r="C1369" s="112">
        <v>212.59566810000001</v>
      </c>
      <c r="D1369" s="112" t="s">
        <v>1560</v>
      </c>
      <c r="E1369" s="112" t="s">
        <v>1543</v>
      </c>
      <c r="F1369" s="112" t="s">
        <v>1560</v>
      </c>
      <c r="G1369" s="112" t="s">
        <v>1477</v>
      </c>
      <c r="H1369" s="112" t="s">
        <v>1543</v>
      </c>
      <c r="I1369" s="112">
        <v>1200.5402429999999</v>
      </c>
    </row>
    <row r="1370" spans="1:9">
      <c r="A1370" s="112" t="s">
        <v>1478</v>
      </c>
      <c r="B1370" s="112" t="s">
        <v>1562</v>
      </c>
      <c r="C1370" s="112">
        <v>0.641118521</v>
      </c>
      <c r="D1370" s="112" t="s">
        <v>1560</v>
      </c>
      <c r="E1370" s="112" t="s">
        <v>1543</v>
      </c>
      <c r="F1370" s="112" t="s">
        <v>1560</v>
      </c>
      <c r="G1370" s="112" t="s">
        <v>1478</v>
      </c>
      <c r="H1370" s="112" t="s">
        <v>1543</v>
      </c>
      <c r="I1370" s="112">
        <v>789.85801790000005</v>
      </c>
    </row>
    <row r="1371" spans="1:9">
      <c r="A1371" s="112" t="s">
        <v>1479</v>
      </c>
      <c r="B1371" s="112" t="s">
        <v>1562</v>
      </c>
      <c r="C1371" s="112">
        <v>0</v>
      </c>
      <c r="D1371" s="112" t="s">
        <v>1560</v>
      </c>
      <c r="E1371" s="112" t="s">
        <v>1543</v>
      </c>
      <c r="F1371" s="112" t="s">
        <v>1560</v>
      </c>
      <c r="G1371" s="112" t="s">
        <v>1479</v>
      </c>
      <c r="H1371" s="112" t="s">
        <v>1543</v>
      </c>
      <c r="I1371" s="112">
        <v>1841.9290020000001</v>
      </c>
    </row>
    <row r="1372" spans="1:9">
      <c r="A1372" s="112" t="s">
        <v>1480</v>
      </c>
      <c r="B1372" s="112" t="s">
        <v>1562</v>
      </c>
      <c r="C1372" s="112">
        <v>0</v>
      </c>
      <c r="D1372" s="112" t="s">
        <v>1560</v>
      </c>
      <c r="E1372" s="112" t="s">
        <v>1543</v>
      </c>
      <c r="F1372" s="112" t="s">
        <v>1560</v>
      </c>
      <c r="G1372" s="112" t="s">
        <v>1480</v>
      </c>
      <c r="H1372" s="112" t="s">
        <v>1543</v>
      </c>
      <c r="I1372" s="112">
        <v>71.727435749999998</v>
      </c>
    </row>
    <row r="1373" spans="1:9">
      <c r="A1373" s="112" t="s">
        <v>1481</v>
      </c>
      <c r="B1373" s="112" t="s">
        <v>1562</v>
      </c>
      <c r="C1373" s="112">
        <v>0</v>
      </c>
      <c r="D1373" s="112" t="s">
        <v>1560</v>
      </c>
      <c r="E1373" s="112" t="s">
        <v>1543</v>
      </c>
      <c r="F1373" s="112" t="s">
        <v>1560</v>
      </c>
      <c r="G1373" s="112" t="s">
        <v>1481</v>
      </c>
      <c r="H1373" s="112" t="s">
        <v>1543</v>
      </c>
      <c r="I1373" s="112">
        <v>0</v>
      </c>
    </row>
    <row r="1374" spans="1:9">
      <c r="A1374" s="112" t="s">
        <v>1482</v>
      </c>
      <c r="B1374" s="112" t="s">
        <v>1562</v>
      </c>
      <c r="C1374" s="112">
        <v>0</v>
      </c>
      <c r="D1374" s="112" t="s">
        <v>1560</v>
      </c>
      <c r="E1374" s="112" t="s">
        <v>1543</v>
      </c>
      <c r="F1374" s="112" t="s">
        <v>1560</v>
      </c>
      <c r="G1374" s="112" t="s">
        <v>1482</v>
      </c>
      <c r="H1374" s="112" t="s">
        <v>1543</v>
      </c>
      <c r="I1374" s="112">
        <v>0</v>
      </c>
    </row>
    <row r="1375" spans="1:9">
      <c r="A1375" s="112" t="s">
        <v>1483</v>
      </c>
      <c r="B1375" s="112" t="s">
        <v>1562</v>
      </c>
      <c r="C1375" s="112">
        <v>0</v>
      </c>
      <c r="D1375" s="112" t="s">
        <v>1560</v>
      </c>
      <c r="E1375" s="112" t="s">
        <v>1543</v>
      </c>
      <c r="F1375" s="112" t="s">
        <v>1560</v>
      </c>
      <c r="G1375" s="112" t="s">
        <v>1483</v>
      </c>
      <c r="H1375" s="112" t="s">
        <v>1543</v>
      </c>
      <c r="I1375" s="112">
        <v>0</v>
      </c>
    </row>
    <row r="1376" spans="1:9">
      <c r="A1376" s="112" t="s">
        <v>1484</v>
      </c>
      <c r="B1376" s="112" t="s">
        <v>1562</v>
      </c>
      <c r="C1376" s="112">
        <v>0</v>
      </c>
      <c r="D1376" s="112" t="s">
        <v>1560</v>
      </c>
      <c r="E1376" s="112" t="s">
        <v>1543</v>
      </c>
      <c r="F1376" s="112" t="s">
        <v>1560</v>
      </c>
      <c r="G1376" s="112" t="s">
        <v>1484</v>
      </c>
      <c r="H1376" s="112" t="s">
        <v>1543</v>
      </c>
      <c r="I1376" s="112">
        <v>0</v>
      </c>
    </row>
    <row r="1377" spans="1:9">
      <c r="A1377" s="112" t="s">
        <v>1485</v>
      </c>
      <c r="B1377" s="112" t="s">
        <v>1562</v>
      </c>
      <c r="C1377" s="112">
        <v>0</v>
      </c>
      <c r="D1377" s="112" t="s">
        <v>1560</v>
      </c>
      <c r="E1377" s="112" t="s">
        <v>1543</v>
      </c>
      <c r="F1377" s="112" t="s">
        <v>1560</v>
      </c>
      <c r="G1377" s="112" t="s">
        <v>1485</v>
      </c>
      <c r="H1377" s="112" t="s">
        <v>1543</v>
      </c>
      <c r="I1377" s="112">
        <v>0</v>
      </c>
    </row>
    <row r="1378" spans="1:9">
      <c r="A1378" s="112" t="s">
        <v>1486</v>
      </c>
      <c r="B1378" s="112" t="s">
        <v>1562</v>
      </c>
      <c r="C1378" s="112">
        <v>0</v>
      </c>
      <c r="D1378" s="112" t="s">
        <v>1560</v>
      </c>
      <c r="E1378" s="112" t="s">
        <v>1543</v>
      </c>
      <c r="F1378" s="112" t="s">
        <v>1560</v>
      </c>
      <c r="G1378" s="112" t="s">
        <v>1486</v>
      </c>
      <c r="H1378" s="112" t="s">
        <v>1543</v>
      </c>
      <c r="I1378" s="112">
        <v>0</v>
      </c>
    </row>
    <row r="1379" spans="1:9">
      <c r="A1379" s="112" t="s">
        <v>1487</v>
      </c>
      <c r="B1379" s="112" t="s">
        <v>1562</v>
      </c>
      <c r="C1379" s="112">
        <v>22.985335360000001</v>
      </c>
      <c r="D1379" s="112" t="s">
        <v>1560</v>
      </c>
      <c r="E1379" s="112" t="s">
        <v>1543</v>
      </c>
      <c r="F1379" s="112" t="s">
        <v>1560</v>
      </c>
      <c r="G1379" s="112" t="s">
        <v>1487</v>
      </c>
      <c r="H1379" s="112" t="s">
        <v>1543</v>
      </c>
      <c r="I1379" s="112">
        <v>45.970670720000001</v>
      </c>
    </row>
    <row r="1380" spans="1:9">
      <c r="A1380" s="112" t="s">
        <v>1488</v>
      </c>
      <c r="B1380" s="112" t="s">
        <v>1562</v>
      </c>
      <c r="C1380" s="112">
        <v>0</v>
      </c>
      <c r="D1380" s="112" t="s">
        <v>1560</v>
      </c>
      <c r="E1380" s="112" t="s">
        <v>1543</v>
      </c>
      <c r="F1380" s="112" t="s">
        <v>1560</v>
      </c>
      <c r="G1380" s="112" t="s">
        <v>1488</v>
      </c>
      <c r="H1380" s="112" t="s">
        <v>1543</v>
      </c>
      <c r="I1380" s="112">
        <v>119.474313</v>
      </c>
    </row>
    <row r="1381" spans="1:9">
      <c r="A1381" s="112" t="s">
        <v>1489</v>
      </c>
      <c r="B1381" s="112" t="s">
        <v>1562</v>
      </c>
      <c r="C1381" s="112">
        <v>0</v>
      </c>
      <c r="D1381" s="112" t="s">
        <v>1560</v>
      </c>
      <c r="E1381" s="112" t="s">
        <v>1543</v>
      </c>
      <c r="F1381" s="112" t="s">
        <v>1560</v>
      </c>
      <c r="G1381" s="112" t="s">
        <v>1489</v>
      </c>
      <c r="H1381" s="112" t="s">
        <v>1543</v>
      </c>
      <c r="I1381" s="112">
        <v>0</v>
      </c>
    </row>
    <row r="1382" spans="1:9">
      <c r="A1382" s="112" t="s">
        <v>1490</v>
      </c>
      <c r="B1382" s="112" t="s">
        <v>1562</v>
      </c>
      <c r="C1382" s="112">
        <v>0</v>
      </c>
      <c r="D1382" s="112" t="s">
        <v>1560</v>
      </c>
      <c r="E1382" s="112" t="s">
        <v>1543</v>
      </c>
      <c r="F1382" s="112" t="s">
        <v>1560</v>
      </c>
      <c r="G1382" s="112" t="s">
        <v>1490</v>
      </c>
      <c r="H1382" s="112" t="s">
        <v>1543</v>
      </c>
      <c r="I1382" s="112">
        <v>0</v>
      </c>
    </row>
    <row r="1383" spans="1:9">
      <c r="A1383" s="112" t="s">
        <v>1461</v>
      </c>
      <c r="B1383" s="112" t="s">
        <v>1563</v>
      </c>
      <c r="C1383" s="112">
        <v>0</v>
      </c>
      <c r="D1383" s="112" t="s">
        <v>1560</v>
      </c>
      <c r="E1383" s="112" t="s">
        <v>1543</v>
      </c>
      <c r="F1383" s="112" t="s">
        <v>1560</v>
      </c>
      <c r="G1383" s="112" t="s">
        <v>1461</v>
      </c>
      <c r="H1383" s="112" t="s">
        <v>1543</v>
      </c>
      <c r="I1383" s="112">
        <v>0</v>
      </c>
    </row>
    <row r="1384" spans="1:9">
      <c r="A1384" s="112" t="s">
        <v>1465</v>
      </c>
      <c r="B1384" s="112" t="s">
        <v>1563</v>
      </c>
      <c r="C1384" s="112">
        <v>0</v>
      </c>
      <c r="D1384" s="112" t="s">
        <v>1560</v>
      </c>
      <c r="E1384" s="112" t="s">
        <v>1543</v>
      </c>
      <c r="F1384" s="112" t="s">
        <v>1560</v>
      </c>
      <c r="G1384" s="112" t="s">
        <v>1465</v>
      </c>
      <c r="H1384" s="112" t="s">
        <v>1543</v>
      </c>
      <c r="I1384" s="112">
        <v>0</v>
      </c>
    </row>
    <row r="1385" spans="1:9">
      <c r="A1385" s="112" t="s">
        <v>1466</v>
      </c>
      <c r="B1385" s="112" t="s">
        <v>1563</v>
      </c>
      <c r="C1385" s="112">
        <v>1161.9125079999999</v>
      </c>
      <c r="D1385" s="112" t="s">
        <v>1560</v>
      </c>
      <c r="E1385" s="112" t="s">
        <v>1543</v>
      </c>
      <c r="F1385" s="112" t="s">
        <v>1560</v>
      </c>
      <c r="G1385" s="112" t="s">
        <v>1466</v>
      </c>
      <c r="H1385" s="112" t="s">
        <v>1543</v>
      </c>
      <c r="I1385" s="112">
        <v>8412.2465570000004</v>
      </c>
    </row>
    <row r="1386" spans="1:9">
      <c r="A1386" s="112" t="s">
        <v>1467</v>
      </c>
      <c r="B1386" s="112" t="s">
        <v>1563</v>
      </c>
      <c r="C1386" s="112">
        <v>524.70164680000005</v>
      </c>
      <c r="D1386" s="112" t="s">
        <v>1560</v>
      </c>
      <c r="E1386" s="112" t="s">
        <v>1543</v>
      </c>
      <c r="F1386" s="112" t="s">
        <v>1560</v>
      </c>
      <c r="G1386" s="112" t="s">
        <v>1467</v>
      </c>
      <c r="H1386" s="112" t="s">
        <v>1543</v>
      </c>
      <c r="I1386" s="112">
        <v>1653.443563</v>
      </c>
    </row>
    <row r="1387" spans="1:9">
      <c r="A1387" s="112" t="s">
        <v>1468</v>
      </c>
      <c r="B1387" s="112" t="s">
        <v>1563</v>
      </c>
      <c r="C1387" s="112">
        <v>0</v>
      </c>
      <c r="D1387" s="112" t="s">
        <v>1560</v>
      </c>
      <c r="E1387" s="112" t="s">
        <v>1543</v>
      </c>
      <c r="F1387" s="112" t="s">
        <v>1560</v>
      </c>
      <c r="G1387" s="112" t="s">
        <v>1468</v>
      </c>
      <c r="H1387" s="112" t="s">
        <v>1543</v>
      </c>
      <c r="I1387" s="112">
        <v>3.6075296360000002</v>
      </c>
    </row>
    <row r="1388" spans="1:9">
      <c r="A1388" s="112" t="s">
        <v>1469</v>
      </c>
      <c r="B1388" s="112" t="s">
        <v>1563</v>
      </c>
      <c r="C1388" s="112">
        <v>673.02515189999997</v>
      </c>
      <c r="D1388" s="112" t="s">
        <v>1560</v>
      </c>
      <c r="E1388" s="112" t="s">
        <v>1543</v>
      </c>
      <c r="F1388" s="112" t="s">
        <v>1560</v>
      </c>
      <c r="G1388" s="112" t="s">
        <v>1469</v>
      </c>
      <c r="H1388" s="112" t="s">
        <v>1543</v>
      </c>
      <c r="I1388" s="112">
        <v>9585.8010909999994</v>
      </c>
    </row>
    <row r="1389" spans="1:9">
      <c r="A1389" s="112" t="s">
        <v>1470</v>
      </c>
      <c r="B1389" s="112" t="s">
        <v>1563</v>
      </c>
      <c r="C1389" s="112">
        <v>0</v>
      </c>
      <c r="D1389" s="112" t="s">
        <v>1560</v>
      </c>
      <c r="E1389" s="112" t="s">
        <v>1543</v>
      </c>
      <c r="F1389" s="112" t="s">
        <v>1560</v>
      </c>
      <c r="G1389" s="112" t="s">
        <v>1470</v>
      </c>
      <c r="H1389" s="112" t="s">
        <v>1543</v>
      </c>
      <c r="I1389" s="112">
        <v>0</v>
      </c>
    </row>
    <row r="1390" spans="1:9">
      <c r="A1390" s="112" t="s">
        <v>1471</v>
      </c>
      <c r="B1390" s="112" t="s">
        <v>1563</v>
      </c>
      <c r="C1390" s="112">
        <v>13.261544170000001</v>
      </c>
      <c r="D1390" s="112" t="s">
        <v>1560</v>
      </c>
      <c r="E1390" s="112" t="s">
        <v>1543</v>
      </c>
      <c r="F1390" s="112" t="s">
        <v>1560</v>
      </c>
      <c r="G1390" s="112" t="s">
        <v>1471</v>
      </c>
      <c r="H1390" s="112" t="s">
        <v>1543</v>
      </c>
      <c r="I1390" s="112">
        <v>291.24391250000002</v>
      </c>
    </row>
    <row r="1391" spans="1:9">
      <c r="A1391" s="112" t="s">
        <v>1472</v>
      </c>
      <c r="B1391" s="112" t="s">
        <v>1563</v>
      </c>
      <c r="C1391" s="112">
        <v>0</v>
      </c>
      <c r="D1391" s="112" t="s">
        <v>1560</v>
      </c>
      <c r="E1391" s="112" t="s">
        <v>1543</v>
      </c>
      <c r="F1391" s="112" t="s">
        <v>1560</v>
      </c>
      <c r="G1391" s="112" t="s">
        <v>1472</v>
      </c>
      <c r="H1391" s="112" t="s">
        <v>1543</v>
      </c>
      <c r="I1391" s="112">
        <v>0</v>
      </c>
    </row>
    <row r="1392" spans="1:9">
      <c r="A1392" s="112" t="s">
        <v>1473</v>
      </c>
      <c r="B1392" s="112" t="s">
        <v>1563</v>
      </c>
      <c r="C1392" s="112">
        <v>206.56674409999999</v>
      </c>
      <c r="D1392" s="112" t="s">
        <v>1560</v>
      </c>
      <c r="E1392" s="112" t="s">
        <v>1543</v>
      </c>
      <c r="F1392" s="112" t="s">
        <v>1560</v>
      </c>
      <c r="G1392" s="112" t="s">
        <v>1473</v>
      </c>
      <c r="H1392" s="112" t="s">
        <v>1543</v>
      </c>
      <c r="I1392" s="112">
        <v>1569.9072550000001</v>
      </c>
    </row>
    <row r="1393" spans="1:9">
      <c r="A1393" s="112" t="s">
        <v>1474</v>
      </c>
      <c r="B1393" s="112" t="s">
        <v>1563</v>
      </c>
      <c r="C1393" s="112">
        <v>0</v>
      </c>
      <c r="D1393" s="112" t="s">
        <v>1560</v>
      </c>
      <c r="E1393" s="112" t="s">
        <v>1543</v>
      </c>
      <c r="F1393" s="112" t="s">
        <v>1560</v>
      </c>
      <c r="G1393" s="112" t="s">
        <v>1474</v>
      </c>
      <c r="H1393" s="112" t="s">
        <v>1543</v>
      </c>
      <c r="I1393" s="112">
        <v>0</v>
      </c>
    </row>
    <row r="1394" spans="1:9">
      <c r="A1394" s="112" t="s">
        <v>1475</v>
      </c>
      <c r="B1394" s="112" t="s">
        <v>1563</v>
      </c>
      <c r="C1394" s="112">
        <v>0</v>
      </c>
      <c r="D1394" s="112" t="s">
        <v>1560</v>
      </c>
      <c r="E1394" s="112" t="s">
        <v>1543</v>
      </c>
      <c r="F1394" s="112" t="s">
        <v>1560</v>
      </c>
      <c r="G1394" s="112" t="s">
        <v>1475</v>
      </c>
      <c r="H1394" s="112" t="s">
        <v>1543</v>
      </c>
      <c r="I1394" s="112">
        <v>0</v>
      </c>
    </row>
    <row r="1395" spans="1:9">
      <c r="A1395" s="112" t="s">
        <v>1476</v>
      </c>
      <c r="B1395" s="112" t="s">
        <v>1563</v>
      </c>
      <c r="C1395" s="112">
        <v>3.7930223559999998</v>
      </c>
      <c r="D1395" s="112" t="s">
        <v>1560</v>
      </c>
      <c r="E1395" s="112" t="s">
        <v>1543</v>
      </c>
      <c r="F1395" s="112" t="s">
        <v>1560</v>
      </c>
      <c r="G1395" s="112" t="s">
        <v>1476</v>
      </c>
      <c r="H1395" s="112" t="s">
        <v>1543</v>
      </c>
      <c r="I1395" s="112">
        <v>18.965111780000001</v>
      </c>
    </row>
    <row r="1396" spans="1:9">
      <c r="A1396" s="112" t="s">
        <v>1477</v>
      </c>
      <c r="B1396" s="112" t="s">
        <v>1563</v>
      </c>
      <c r="C1396" s="112">
        <v>87.539392730000003</v>
      </c>
      <c r="D1396" s="112" t="s">
        <v>1560</v>
      </c>
      <c r="E1396" s="112" t="s">
        <v>1543</v>
      </c>
      <c r="F1396" s="112" t="s">
        <v>1560</v>
      </c>
      <c r="G1396" s="112" t="s">
        <v>1477</v>
      </c>
      <c r="H1396" s="112" t="s">
        <v>1543</v>
      </c>
      <c r="I1396" s="112">
        <v>1200.5402429999999</v>
      </c>
    </row>
    <row r="1397" spans="1:9">
      <c r="A1397" s="112" t="s">
        <v>1478</v>
      </c>
      <c r="B1397" s="112" t="s">
        <v>1563</v>
      </c>
      <c r="C1397" s="112">
        <v>30.132570489999999</v>
      </c>
      <c r="D1397" s="112" t="s">
        <v>1560</v>
      </c>
      <c r="E1397" s="112" t="s">
        <v>1543</v>
      </c>
      <c r="F1397" s="112" t="s">
        <v>1560</v>
      </c>
      <c r="G1397" s="112" t="s">
        <v>1478</v>
      </c>
      <c r="H1397" s="112" t="s">
        <v>1543</v>
      </c>
      <c r="I1397" s="112">
        <v>789.85801790000005</v>
      </c>
    </row>
    <row r="1398" spans="1:9">
      <c r="A1398" s="112" t="s">
        <v>1479</v>
      </c>
      <c r="B1398" s="112" t="s">
        <v>1563</v>
      </c>
      <c r="C1398" s="112">
        <v>0</v>
      </c>
      <c r="D1398" s="112" t="s">
        <v>1560</v>
      </c>
      <c r="E1398" s="112" t="s">
        <v>1543</v>
      </c>
      <c r="F1398" s="112" t="s">
        <v>1560</v>
      </c>
      <c r="G1398" s="112" t="s">
        <v>1479</v>
      </c>
      <c r="H1398" s="112" t="s">
        <v>1543</v>
      </c>
      <c r="I1398" s="112">
        <v>1841.9290020000001</v>
      </c>
    </row>
    <row r="1399" spans="1:9">
      <c r="A1399" s="112" t="s">
        <v>1480</v>
      </c>
      <c r="B1399" s="112" t="s">
        <v>1563</v>
      </c>
      <c r="C1399" s="112">
        <v>15.93943017</v>
      </c>
      <c r="D1399" s="112" t="s">
        <v>1560</v>
      </c>
      <c r="E1399" s="112" t="s">
        <v>1543</v>
      </c>
      <c r="F1399" s="112" t="s">
        <v>1560</v>
      </c>
      <c r="G1399" s="112" t="s">
        <v>1480</v>
      </c>
      <c r="H1399" s="112" t="s">
        <v>1543</v>
      </c>
      <c r="I1399" s="112">
        <v>71.727435749999998</v>
      </c>
    </row>
    <row r="1400" spans="1:9">
      <c r="A1400" s="112" t="s">
        <v>1481</v>
      </c>
      <c r="B1400" s="112" t="s">
        <v>1563</v>
      </c>
      <c r="C1400" s="112">
        <v>0</v>
      </c>
      <c r="D1400" s="112" t="s">
        <v>1560</v>
      </c>
      <c r="E1400" s="112" t="s">
        <v>1543</v>
      </c>
      <c r="F1400" s="112" t="s">
        <v>1560</v>
      </c>
      <c r="G1400" s="112" t="s">
        <v>1481</v>
      </c>
      <c r="H1400" s="112" t="s">
        <v>1543</v>
      </c>
      <c r="I1400" s="112">
        <v>0</v>
      </c>
    </row>
    <row r="1401" spans="1:9">
      <c r="A1401" s="112" t="s">
        <v>1482</v>
      </c>
      <c r="B1401" s="112" t="s">
        <v>1563</v>
      </c>
      <c r="C1401" s="112">
        <v>0</v>
      </c>
      <c r="D1401" s="112" t="s">
        <v>1560</v>
      </c>
      <c r="E1401" s="112" t="s">
        <v>1543</v>
      </c>
      <c r="F1401" s="112" t="s">
        <v>1560</v>
      </c>
      <c r="G1401" s="112" t="s">
        <v>1482</v>
      </c>
      <c r="H1401" s="112" t="s">
        <v>1543</v>
      </c>
      <c r="I1401" s="112">
        <v>0</v>
      </c>
    </row>
    <row r="1402" spans="1:9">
      <c r="A1402" s="112" t="s">
        <v>1483</v>
      </c>
      <c r="B1402" s="112" t="s">
        <v>1563</v>
      </c>
      <c r="C1402" s="112">
        <v>0</v>
      </c>
      <c r="D1402" s="112" t="s">
        <v>1560</v>
      </c>
      <c r="E1402" s="112" t="s">
        <v>1543</v>
      </c>
      <c r="F1402" s="112" t="s">
        <v>1560</v>
      </c>
      <c r="G1402" s="112" t="s">
        <v>1483</v>
      </c>
      <c r="H1402" s="112" t="s">
        <v>1543</v>
      </c>
      <c r="I1402" s="112">
        <v>0</v>
      </c>
    </row>
    <row r="1403" spans="1:9">
      <c r="A1403" s="112" t="s">
        <v>1484</v>
      </c>
      <c r="B1403" s="112" t="s">
        <v>1563</v>
      </c>
      <c r="C1403" s="112">
        <v>0</v>
      </c>
      <c r="D1403" s="112" t="s">
        <v>1560</v>
      </c>
      <c r="E1403" s="112" t="s">
        <v>1543</v>
      </c>
      <c r="F1403" s="112" t="s">
        <v>1560</v>
      </c>
      <c r="G1403" s="112" t="s">
        <v>1484</v>
      </c>
      <c r="H1403" s="112" t="s">
        <v>1543</v>
      </c>
      <c r="I1403" s="112">
        <v>0</v>
      </c>
    </row>
    <row r="1404" spans="1:9">
      <c r="A1404" s="112" t="s">
        <v>1485</v>
      </c>
      <c r="B1404" s="112" t="s">
        <v>1563</v>
      </c>
      <c r="C1404" s="112">
        <v>0</v>
      </c>
      <c r="D1404" s="112" t="s">
        <v>1560</v>
      </c>
      <c r="E1404" s="112" t="s">
        <v>1543</v>
      </c>
      <c r="F1404" s="112" t="s">
        <v>1560</v>
      </c>
      <c r="G1404" s="112" t="s">
        <v>1485</v>
      </c>
      <c r="H1404" s="112" t="s">
        <v>1543</v>
      </c>
      <c r="I1404" s="112">
        <v>0</v>
      </c>
    </row>
    <row r="1405" spans="1:9">
      <c r="A1405" s="112" t="s">
        <v>1486</v>
      </c>
      <c r="B1405" s="112" t="s">
        <v>1563</v>
      </c>
      <c r="C1405" s="112">
        <v>0</v>
      </c>
      <c r="D1405" s="112" t="s">
        <v>1560</v>
      </c>
      <c r="E1405" s="112" t="s">
        <v>1543</v>
      </c>
      <c r="F1405" s="112" t="s">
        <v>1560</v>
      </c>
      <c r="G1405" s="112" t="s">
        <v>1486</v>
      </c>
      <c r="H1405" s="112" t="s">
        <v>1543</v>
      </c>
      <c r="I1405" s="112">
        <v>0</v>
      </c>
    </row>
    <row r="1406" spans="1:9">
      <c r="A1406" s="112" t="s">
        <v>1487</v>
      </c>
      <c r="B1406" s="112" t="s">
        <v>1563</v>
      </c>
      <c r="C1406" s="112">
        <v>0</v>
      </c>
      <c r="D1406" s="112" t="s">
        <v>1560</v>
      </c>
      <c r="E1406" s="112" t="s">
        <v>1543</v>
      </c>
      <c r="F1406" s="112" t="s">
        <v>1560</v>
      </c>
      <c r="G1406" s="112" t="s">
        <v>1487</v>
      </c>
      <c r="H1406" s="112" t="s">
        <v>1543</v>
      </c>
      <c r="I1406" s="112">
        <v>45.970670720000001</v>
      </c>
    </row>
    <row r="1407" spans="1:9">
      <c r="A1407" s="112" t="s">
        <v>1488</v>
      </c>
      <c r="B1407" s="112" t="s">
        <v>1563</v>
      </c>
      <c r="C1407" s="112">
        <v>0</v>
      </c>
      <c r="D1407" s="112" t="s">
        <v>1560</v>
      </c>
      <c r="E1407" s="112" t="s">
        <v>1543</v>
      </c>
      <c r="F1407" s="112" t="s">
        <v>1560</v>
      </c>
      <c r="G1407" s="112" t="s">
        <v>1488</v>
      </c>
      <c r="H1407" s="112" t="s">
        <v>1543</v>
      </c>
      <c r="I1407" s="112">
        <v>119.474313</v>
      </c>
    </row>
    <row r="1408" spans="1:9">
      <c r="A1408" s="112" t="s">
        <v>1489</v>
      </c>
      <c r="B1408" s="112" t="s">
        <v>1563</v>
      </c>
      <c r="C1408" s="112">
        <v>0</v>
      </c>
      <c r="D1408" s="112" t="s">
        <v>1560</v>
      </c>
      <c r="E1408" s="112" t="s">
        <v>1543</v>
      </c>
      <c r="F1408" s="112" t="s">
        <v>1560</v>
      </c>
      <c r="G1408" s="112" t="s">
        <v>1489</v>
      </c>
      <c r="H1408" s="112" t="s">
        <v>1543</v>
      </c>
      <c r="I1408" s="112">
        <v>0</v>
      </c>
    </row>
    <row r="1409" spans="1:9">
      <c r="A1409" s="112" t="s">
        <v>1490</v>
      </c>
      <c r="B1409" s="112" t="s">
        <v>1563</v>
      </c>
      <c r="C1409" s="112">
        <v>0</v>
      </c>
      <c r="D1409" s="112" t="s">
        <v>1560</v>
      </c>
      <c r="E1409" s="112" t="s">
        <v>1543</v>
      </c>
      <c r="F1409" s="112" t="s">
        <v>1560</v>
      </c>
      <c r="G1409" s="112" t="s">
        <v>1490</v>
      </c>
      <c r="H1409" s="112" t="s">
        <v>1543</v>
      </c>
      <c r="I1409" s="112">
        <v>0</v>
      </c>
    </row>
    <row r="1410" spans="1:9">
      <c r="A1410" s="112" t="s">
        <v>1461</v>
      </c>
      <c r="B1410" s="112" t="s">
        <v>1564</v>
      </c>
      <c r="C1410" s="112">
        <v>0</v>
      </c>
      <c r="D1410" s="112" t="s">
        <v>1560</v>
      </c>
      <c r="E1410" s="112" t="s">
        <v>1543</v>
      </c>
      <c r="F1410" s="112" t="s">
        <v>1560</v>
      </c>
      <c r="G1410" s="112" t="s">
        <v>1461</v>
      </c>
      <c r="H1410" s="112" t="s">
        <v>1543</v>
      </c>
      <c r="I1410" s="112">
        <v>0</v>
      </c>
    </row>
    <row r="1411" spans="1:9">
      <c r="A1411" s="112" t="s">
        <v>1465</v>
      </c>
      <c r="B1411" s="112" t="s">
        <v>1564</v>
      </c>
      <c r="C1411" s="112">
        <v>0</v>
      </c>
      <c r="D1411" s="112" t="s">
        <v>1560</v>
      </c>
      <c r="E1411" s="112" t="s">
        <v>1543</v>
      </c>
      <c r="F1411" s="112" t="s">
        <v>1560</v>
      </c>
      <c r="G1411" s="112" t="s">
        <v>1465</v>
      </c>
      <c r="H1411" s="112" t="s">
        <v>1543</v>
      </c>
      <c r="I1411" s="112">
        <v>0</v>
      </c>
    </row>
    <row r="1412" spans="1:9">
      <c r="A1412" s="112" t="s">
        <v>1466</v>
      </c>
      <c r="B1412" s="112" t="s">
        <v>1564</v>
      </c>
      <c r="C1412" s="112">
        <v>1475.6288850000001</v>
      </c>
      <c r="D1412" s="112" t="s">
        <v>1560</v>
      </c>
      <c r="E1412" s="112" t="s">
        <v>1543</v>
      </c>
      <c r="F1412" s="112" t="s">
        <v>1560</v>
      </c>
      <c r="G1412" s="112" t="s">
        <v>1466</v>
      </c>
      <c r="H1412" s="112" t="s">
        <v>1543</v>
      </c>
      <c r="I1412" s="112">
        <v>8412.2465570000004</v>
      </c>
    </row>
    <row r="1413" spans="1:9">
      <c r="A1413" s="112" t="s">
        <v>1467</v>
      </c>
      <c r="B1413" s="112" t="s">
        <v>1564</v>
      </c>
      <c r="C1413" s="112">
        <v>14.667644510000001</v>
      </c>
      <c r="D1413" s="112" t="s">
        <v>1560</v>
      </c>
      <c r="E1413" s="112" t="s">
        <v>1543</v>
      </c>
      <c r="F1413" s="112" t="s">
        <v>1560</v>
      </c>
      <c r="G1413" s="112" t="s">
        <v>1467</v>
      </c>
      <c r="H1413" s="112" t="s">
        <v>1543</v>
      </c>
      <c r="I1413" s="112">
        <v>1653.443563</v>
      </c>
    </row>
    <row r="1414" spans="1:9">
      <c r="A1414" s="112" t="s">
        <v>1468</v>
      </c>
      <c r="B1414" s="112" t="s">
        <v>1564</v>
      </c>
      <c r="C1414" s="112">
        <v>0</v>
      </c>
      <c r="D1414" s="112" t="s">
        <v>1560</v>
      </c>
      <c r="E1414" s="112" t="s">
        <v>1543</v>
      </c>
      <c r="F1414" s="112" t="s">
        <v>1560</v>
      </c>
      <c r="G1414" s="112" t="s">
        <v>1468</v>
      </c>
      <c r="H1414" s="112" t="s">
        <v>1543</v>
      </c>
      <c r="I1414" s="112">
        <v>3.6075296360000002</v>
      </c>
    </row>
    <row r="1415" spans="1:9">
      <c r="A1415" s="112" t="s">
        <v>1469</v>
      </c>
      <c r="B1415" s="112" t="s">
        <v>1564</v>
      </c>
      <c r="C1415" s="112">
        <v>1538.343204</v>
      </c>
      <c r="D1415" s="112" t="s">
        <v>1560</v>
      </c>
      <c r="E1415" s="112" t="s">
        <v>1543</v>
      </c>
      <c r="F1415" s="112" t="s">
        <v>1560</v>
      </c>
      <c r="G1415" s="112" t="s">
        <v>1469</v>
      </c>
      <c r="H1415" s="112" t="s">
        <v>1543</v>
      </c>
      <c r="I1415" s="112">
        <v>9585.8010909999994</v>
      </c>
    </row>
    <row r="1416" spans="1:9">
      <c r="A1416" s="112" t="s">
        <v>1470</v>
      </c>
      <c r="B1416" s="112" t="s">
        <v>1564</v>
      </c>
      <c r="C1416" s="112">
        <v>0</v>
      </c>
      <c r="D1416" s="112" t="s">
        <v>1560</v>
      </c>
      <c r="E1416" s="112" t="s">
        <v>1543</v>
      </c>
      <c r="F1416" s="112" t="s">
        <v>1560</v>
      </c>
      <c r="G1416" s="112" t="s">
        <v>1470</v>
      </c>
      <c r="H1416" s="112" t="s">
        <v>1543</v>
      </c>
      <c r="I1416" s="112">
        <v>0</v>
      </c>
    </row>
    <row r="1417" spans="1:9">
      <c r="A1417" s="112" t="s">
        <v>1471</v>
      </c>
      <c r="B1417" s="112" t="s">
        <v>1564</v>
      </c>
      <c r="C1417" s="112">
        <v>18.362138089999998</v>
      </c>
      <c r="D1417" s="112" t="s">
        <v>1560</v>
      </c>
      <c r="E1417" s="112" t="s">
        <v>1543</v>
      </c>
      <c r="F1417" s="112" t="s">
        <v>1560</v>
      </c>
      <c r="G1417" s="112" t="s">
        <v>1471</v>
      </c>
      <c r="H1417" s="112" t="s">
        <v>1543</v>
      </c>
      <c r="I1417" s="112">
        <v>291.24391250000002</v>
      </c>
    </row>
    <row r="1418" spans="1:9">
      <c r="A1418" s="112" t="s">
        <v>1472</v>
      </c>
      <c r="B1418" s="112" t="s">
        <v>1564</v>
      </c>
      <c r="C1418" s="112">
        <v>0</v>
      </c>
      <c r="D1418" s="112" t="s">
        <v>1560</v>
      </c>
      <c r="E1418" s="112" t="s">
        <v>1543</v>
      </c>
      <c r="F1418" s="112" t="s">
        <v>1560</v>
      </c>
      <c r="G1418" s="112" t="s">
        <v>1472</v>
      </c>
      <c r="H1418" s="112" t="s">
        <v>1543</v>
      </c>
      <c r="I1418" s="112">
        <v>0</v>
      </c>
    </row>
    <row r="1419" spans="1:9">
      <c r="A1419" s="112" t="s">
        <v>1473</v>
      </c>
      <c r="B1419" s="112" t="s">
        <v>1564</v>
      </c>
      <c r="C1419" s="112">
        <v>99.608258210000002</v>
      </c>
      <c r="D1419" s="112" t="s">
        <v>1560</v>
      </c>
      <c r="E1419" s="112" t="s">
        <v>1543</v>
      </c>
      <c r="F1419" s="112" t="s">
        <v>1560</v>
      </c>
      <c r="G1419" s="112" t="s">
        <v>1473</v>
      </c>
      <c r="H1419" s="112" t="s">
        <v>1543</v>
      </c>
      <c r="I1419" s="112">
        <v>1569.9072550000001</v>
      </c>
    </row>
    <row r="1420" spans="1:9">
      <c r="A1420" s="112" t="s">
        <v>1474</v>
      </c>
      <c r="B1420" s="112" t="s">
        <v>1564</v>
      </c>
      <c r="C1420" s="112">
        <v>0</v>
      </c>
      <c r="D1420" s="112" t="s">
        <v>1560</v>
      </c>
      <c r="E1420" s="112" t="s">
        <v>1543</v>
      </c>
      <c r="F1420" s="112" t="s">
        <v>1560</v>
      </c>
      <c r="G1420" s="112" t="s">
        <v>1474</v>
      </c>
      <c r="H1420" s="112" t="s">
        <v>1543</v>
      </c>
      <c r="I1420" s="112">
        <v>0</v>
      </c>
    </row>
    <row r="1421" spans="1:9">
      <c r="A1421" s="112" t="s">
        <v>1475</v>
      </c>
      <c r="B1421" s="112" t="s">
        <v>1564</v>
      </c>
      <c r="C1421" s="112">
        <v>0</v>
      </c>
      <c r="D1421" s="112" t="s">
        <v>1560</v>
      </c>
      <c r="E1421" s="112" t="s">
        <v>1543</v>
      </c>
      <c r="F1421" s="112" t="s">
        <v>1560</v>
      </c>
      <c r="G1421" s="112" t="s">
        <v>1475</v>
      </c>
      <c r="H1421" s="112" t="s">
        <v>1543</v>
      </c>
      <c r="I1421" s="112">
        <v>0</v>
      </c>
    </row>
    <row r="1422" spans="1:9">
      <c r="A1422" s="112" t="s">
        <v>1476</v>
      </c>
      <c r="B1422" s="112" t="s">
        <v>1564</v>
      </c>
      <c r="C1422" s="112">
        <v>0</v>
      </c>
      <c r="D1422" s="112" t="s">
        <v>1560</v>
      </c>
      <c r="E1422" s="112" t="s">
        <v>1543</v>
      </c>
      <c r="F1422" s="112" t="s">
        <v>1560</v>
      </c>
      <c r="G1422" s="112" t="s">
        <v>1476</v>
      </c>
      <c r="H1422" s="112" t="s">
        <v>1543</v>
      </c>
      <c r="I1422" s="112">
        <v>18.965111780000001</v>
      </c>
    </row>
    <row r="1423" spans="1:9">
      <c r="A1423" s="112" t="s">
        <v>1477</v>
      </c>
      <c r="B1423" s="112" t="s">
        <v>1564</v>
      </c>
      <c r="C1423" s="112">
        <v>175.07878550000001</v>
      </c>
      <c r="D1423" s="112" t="s">
        <v>1560</v>
      </c>
      <c r="E1423" s="112" t="s">
        <v>1543</v>
      </c>
      <c r="F1423" s="112" t="s">
        <v>1560</v>
      </c>
      <c r="G1423" s="112" t="s">
        <v>1477</v>
      </c>
      <c r="H1423" s="112" t="s">
        <v>1543</v>
      </c>
      <c r="I1423" s="112">
        <v>1200.5402429999999</v>
      </c>
    </row>
    <row r="1424" spans="1:9">
      <c r="A1424" s="112" t="s">
        <v>1478</v>
      </c>
      <c r="B1424" s="112" t="s">
        <v>1564</v>
      </c>
      <c r="C1424" s="112">
        <v>23.72138528</v>
      </c>
      <c r="D1424" s="112" t="s">
        <v>1560</v>
      </c>
      <c r="E1424" s="112" t="s">
        <v>1543</v>
      </c>
      <c r="F1424" s="112" t="s">
        <v>1560</v>
      </c>
      <c r="G1424" s="112" t="s">
        <v>1478</v>
      </c>
      <c r="H1424" s="112" t="s">
        <v>1543</v>
      </c>
      <c r="I1424" s="112">
        <v>789.85801790000005</v>
      </c>
    </row>
    <row r="1425" spans="1:9">
      <c r="A1425" s="112" t="s">
        <v>1479</v>
      </c>
      <c r="B1425" s="112" t="s">
        <v>1564</v>
      </c>
      <c r="C1425" s="112">
        <v>1841.9290020000001</v>
      </c>
      <c r="D1425" s="112" t="s">
        <v>1560</v>
      </c>
      <c r="E1425" s="112" t="s">
        <v>1543</v>
      </c>
      <c r="F1425" s="112" t="s">
        <v>1560</v>
      </c>
      <c r="G1425" s="112" t="s">
        <v>1479</v>
      </c>
      <c r="H1425" s="112" t="s">
        <v>1543</v>
      </c>
      <c r="I1425" s="112">
        <v>1841.9290020000001</v>
      </c>
    </row>
    <row r="1426" spans="1:9">
      <c r="A1426" s="112" t="s">
        <v>1480</v>
      </c>
      <c r="B1426" s="112" t="s">
        <v>1564</v>
      </c>
      <c r="C1426" s="112">
        <v>7.9697150829999996</v>
      </c>
      <c r="D1426" s="112" t="s">
        <v>1560</v>
      </c>
      <c r="E1426" s="112" t="s">
        <v>1543</v>
      </c>
      <c r="F1426" s="112" t="s">
        <v>1560</v>
      </c>
      <c r="G1426" s="112" t="s">
        <v>1480</v>
      </c>
      <c r="H1426" s="112" t="s">
        <v>1543</v>
      </c>
      <c r="I1426" s="112">
        <v>71.727435749999998</v>
      </c>
    </row>
    <row r="1427" spans="1:9">
      <c r="A1427" s="112" t="s">
        <v>1481</v>
      </c>
      <c r="B1427" s="112" t="s">
        <v>1564</v>
      </c>
      <c r="C1427" s="112">
        <v>0</v>
      </c>
      <c r="D1427" s="112" t="s">
        <v>1560</v>
      </c>
      <c r="E1427" s="112" t="s">
        <v>1543</v>
      </c>
      <c r="F1427" s="112" t="s">
        <v>1560</v>
      </c>
      <c r="G1427" s="112" t="s">
        <v>1481</v>
      </c>
      <c r="H1427" s="112" t="s">
        <v>1543</v>
      </c>
      <c r="I1427" s="112">
        <v>0</v>
      </c>
    </row>
    <row r="1428" spans="1:9">
      <c r="A1428" s="112" t="s">
        <v>1482</v>
      </c>
      <c r="B1428" s="112" t="s">
        <v>1564</v>
      </c>
      <c r="C1428" s="112">
        <v>0</v>
      </c>
      <c r="D1428" s="112" t="s">
        <v>1560</v>
      </c>
      <c r="E1428" s="112" t="s">
        <v>1543</v>
      </c>
      <c r="F1428" s="112" t="s">
        <v>1560</v>
      </c>
      <c r="G1428" s="112" t="s">
        <v>1482</v>
      </c>
      <c r="H1428" s="112" t="s">
        <v>1543</v>
      </c>
      <c r="I1428" s="112">
        <v>0</v>
      </c>
    </row>
    <row r="1429" spans="1:9">
      <c r="A1429" s="112" t="s">
        <v>1483</v>
      </c>
      <c r="B1429" s="112" t="s">
        <v>1564</v>
      </c>
      <c r="C1429" s="112">
        <v>0</v>
      </c>
      <c r="D1429" s="112" t="s">
        <v>1560</v>
      </c>
      <c r="E1429" s="112" t="s">
        <v>1543</v>
      </c>
      <c r="F1429" s="112" t="s">
        <v>1560</v>
      </c>
      <c r="G1429" s="112" t="s">
        <v>1483</v>
      </c>
      <c r="H1429" s="112" t="s">
        <v>1543</v>
      </c>
      <c r="I1429" s="112">
        <v>0</v>
      </c>
    </row>
    <row r="1430" spans="1:9">
      <c r="A1430" s="112" t="s">
        <v>1484</v>
      </c>
      <c r="B1430" s="112" t="s">
        <v>1564</v>
      </c>
      <c r="C1430" s="112">
        <v>0</v>
      </c>
      <c r="D1430" s="112" t="s">
        <v>1560</v>
      </c>
      <c r="E1430" s="112" t="s">
        <v>1543</v>
      </c>
      <c r="F1430" s="112" t="s">
        <v>1560</v>
      </c>
      <c r="G1430" s="112" t="s">
        <v>1484</v>
      </c>
      <c r="H1430" s="112" t="s">
        <v>1543</v>
      </c>
      <c r="I1430" s="112">
        <v>0</v>
      </c>
    </row>
    <row r="1431" spans="1:9">
      <c r="A1431" s="112" t="s">
        <v>1485</v>
      </c>
      <c r="B1431" s="112" t="s">
        <v>1564</v>
      </c>
      <c r="C1431" s="112">
        <v>0</v>
      </c>
      <c r="D1431" s="112" t="s">
        <v>1560</v>
      </c>
      <c r="E1431" s="112" t="s">
        <v>1543</v>
      </c>
      <c r="F1431" s="112" t="s">
        <v>1560</v>
      </c>
      <c r="G1431" s="112" t="s">
        <v>1485</v>
      </c>
      <c r="H1431" s="112" t="s">
        <v>1543</v>
      </c>
      <c r="I1431" s="112">
        <v>0</v>
      </c>
    </row>
    <row r="1432" spans="1:9">
      <c r="A1432" s="112" t="s">
        <v>1486</v>
      </c>
      <c r="B1432" s="112" t="s">
        <v>1564</v>
      </c>
      <c r="C1432" s="112">
        <v>0</v>
      </c>
      <c r="D1432" s="112" t="s">
        <v>1560</v>
      </c>
      <c r="E1432" s="112" t="s">
        <v>1543</v>
      </c>
      <c r="F1432" s="112" t="s">
        <v>1560</v>
      </c>
      <c r="G1432" s="112" t="s">
        <v>1486</v>
      </c>
      <c r="H1432" s="112" t="s">
        <v>1543</v>
      </c>
      <c r="I1432" s="112">
        <v>0</v>
      </c>
    </row>
    <row r="1433" spans="1:9">
      <c r="A1433" s="112" t="s">
        <v>1487</v>
      </c>
      <c r="B1433" s="112" t="s">
        <v>1564</v>
      </c>
      <c r="C1433" s="112">
        <v>22.985335360000001</v>
      </c>
      <c r="D1433" s="112" t="s">
        <v>1560</v>
      </c>
      <c r="E1433" s="112" t="s">
        <v>1543</v>
      </c>
      <c r="F1433" s="112" t="s">
        <v>1560</v>
      </c>
      <c r="G1433" s="112" t="s">
        <v>1487</v>
      </c>
      <c r="H1433" s="112" t="s">
        <v>1543</v>
      </c>
      <c r="I1433" s="112">
        <v>45.970670720000001</v>
      </c>
    </row>
    <row r="1434" spans="1:9">
      <c r="A1434" s="112" t="s">
        <v>1488</v>
      </c>
      <c r="B1434" s="112" t="s">
        <v>1564</v>
      </c>
      <c r="C1434" s="112">
        <v>0</v>
      </c>
      <c r="D1434" s="112" t="s">
        <v>1560</v>
      </c>
      <c r="E1434" s="112" t="s">
        <v>1543</v>
      </c>
      <c r="F1434" s="112" t="s">
        <v>1560</v>
      </c>
      <c r="G1434" s="112" t="s">
        <v>1488</v>
      </c>
      <c r="H1434" s="112" t="s">
        <v>1543</v>
      </c>
      <c r="I1434" s="112">
        <v>119.474313</v>
      </c>
    </row>
    <row r="1435" spans="1:9">
      <c r="A1435" s="112" t="s">
        <v>1489</v>
      </c>
      <c r="B1435" s="112" t="s">
        <v>1564</v>
      </c>
      <c r="C1435" s="112">
        <v>0</v>
      </c>
      <c r="D1435" s="112" t="s">
        <v>1560</v>
      </c>
      <c r="E1435" s="112" t="s">
        <v>1543</v>
      </c>
      <c r="F1435" s="112" t="s">
        <v>1560</v>
      </c>
      <c r="G1435" s="112" t="s">
        <v>1489</v>
      </c>
      <c r="H1435" s="112" t="s">
        <v>1543</v>
      </c>
      <c r="I1435" s="112">
        <v>0</v>
      </c>
    </row>
    <row r="1436" spans="1:9">
      <c r="A1436" s="112" t="s">
        <v>1490</v>
      </c>
      <c r="B1436" s="112" t="s">
        <v>1564</v>
      </c>
      <c r="C1436" s="112">
        <v>0</v>
      </c>
      <c r="D1436" s="112" t="s">
        <v>1560</v>
      </c>
      <c r="E1436" s="112" t="s">
        <v>1543</v>
      </c>
      <c r="F1436" s="112" t="s">
        <v>1560</v>
      </c>
      <c r="G1436" s="112" t="s">
        <v>1490</v>
      </c>
      <c r="H1436" s="112" t="s">
        <v>1543</v>
      </c>
      <c r="I1436" s="112">
        <v>0</v>
      </c>
    </row>
    <row r="1437" spans="1:9">
      <c r="A1437" s="112" t="s">
        <v>1461</v>
      </c>
      <c r="B1437" s="112" t="s">
        <v>1565</v>
      </c>
      <c r="C1437" s="112">
        <v>0</v>
      </c>
      <c r="D1437" s="112" t="s">
        <v>1560</v>
      </c>
      <c r="E1437" s="112" t="s">
        <v>1543</v>
      </c>
      <c r="F1437" s="112" t="s">
        <v>1560</v>
      </c>
      <c r="G1437" s="112" t="s">
        <v>1461</v>
      </c>
      <c r="H1437" s="112" t="s">
        <v>1543</v>
      </c>
      <c r="I1437" s="112">
        <v>0</v>
      </c>
    </row>
    <row r="1438" spans="1:9">
      <c r="A1438" s="112" t="s">
        <v>1465</v>
      </c>
      <c r="B1438" s="112" t="s">
        <v>1565</v>
      </c>
      <c r="C1438" s="112">
        <v>0</v>
      </c>
      <c r="D1438" s="112" t="s">
        <v>1560</v>
      </c>
      <c r="E1438" s="112" t="s">
        <v>1543</v>
      </c>
      <c r="F1438" s="112" t="s">
        <v>1560</v>
      </c>
      <c r="G1438" s="112" t="s">
        <v>1465</v>
      </c>
      <c r="H1438" s="112" t="s">
        <v>1543</v>
      </c>
      <c r="I1438" s="112">
        <v>0</v>
      </c>
    </row>
    <row r="1439" spans="1:9">
      <c r="A1439" s="112" t="s">
        <v>1466</v>
      </c>
      <c r="B1439" s="112" t="s">
        <v>1565</v>
      </c>
      <c r="C1439" s="112">
        <v>0</v>
      </c>
      <c r="D1439" s="112" t="s">
        <v>1560</v>
      </c>
      <c r="E1439" s="112" t="s">
        <v>1543</v>
      </c>
      <c r="F1439" s="112" t="s">
        <v>1560</v>
      </c>
      <c r="G1439" s="112" t="s">
        <v>1466</v>
      </c>
      <c r="H1439" s="112" t="s">
        <v>1543</v>
      </c>
      <c r="I1439" s="112">
        <v>8412.2465570000004</v>
      </c>
    </row>
    <row r="1440" spans="1:9">
      <c r="A1440" s="112" t="s">
        <v>1467</v>
      </c>
      <c r="B1440" s="112" t="s">
        <v>1565</v>
      </c>
      <c r="C1440" s="112">
        <v>22.00146676</v>
      </c>
      <c r="D1440" s="112" t="s">
        <v>1560</v>
      </c>
      <c r="E1440" s="112" t="s">
        <v>1543</v>
      </c>
      <c r="F1440" s="112" t="s">
        <v>1560</v>
      </c>
      <c r="G1440" s="112" t="s">
        <v>1467</v>
      </c>
      <c r="H1440" s="112" t="s">
        <v>1543</v>
      </c>
      <c r="I1440" s="112">
        <v>1653.443563</v>
      </c>
    </row>
    <row r="1441" spans="1:9">
      <c r="A1441" s="112" t="s">
        <v>1468</v>
      </c>
      <c r="B1441" s="112" t="s">
        <v>1565</v>
      </c>
      <c r="C1441" s="112">
        <v>0</v>
      </c>
      <c r="D1441" s="112" t="s">
        <v>1560</v>
      </c>
      <c r="E1441" s="112" t="s">
        <v>1543</v>
      </c>
      <c r="F1441" s="112" t="s">
        <v>1560</v>
      </c>
      <c r="G1441" s="112" t="s">
        <v>1468</v>
      </c>
      <c r="H1441" s="112" t="s">
        <v>1543</v>
      </c>
      <c r="I1441" s="112">
        <v>3.6075296360000002</v>
      </c>
    </row>
    <row r="1442" spans="1:9">
      <c r="A1442" s="112" t="s">
        <v>1469</v>
      </c>
      <c r="B1442" s="112" t="s">
        <v>1565</v>
      </c>
      <c r="C1442" s="112">
        <v>0</v>
      </c>
      <c r="D1442" s="112" t="s">
        <v>1560</v>
      </c>
      <c r="E1442" s="112" t="s">
        <v>1543</v>
      </c>
      <c r="F1442" s="112" t="s">
        <v>1560</v>
      </c>
      <c r="G1442" s="112" t="s">
        <v>1469</v>
      </c>
      <c r="H1442" s="112" t="s">
        <v>1543</v>
      </c>
      <c r="I1442" s="112">
        <v>9585.8010909999994</v>
      </c>
    </row>
    <row r="1443" spans="1:9">
      <c r="A1443" s="112" t="s">
        <v>1470</v>
      </c>
      <c r="B1443" s="112" t="s">
        <v>1565</v>
      </c>
      <c r="C1443" s="112">
        <v>0</v>
      </c>
      <c r="D1443" s="112" t="s">
        <v>1560</v>
      </c>
      <c r="E1443" s="112" t="s">
        <v>1543</v>
      </c>
      <c r="F1443" s="112" t="s">
        <v>1560</v>
      </c>
      <c r="G1443" s="112" t="s">
        <v>1470</v>
      </c>
      <c r="H1443" s="112" t="s">
        <v>1543</v>
      </c>
      <c r="I1443" s="112">
        <v>0</v>
      </c>
    </row>
    <row r="1444" spans="1:9">
      <c r="A1444" s="112" t="s">
        <v>1471</v>
      </c>
      <c r="B1444" s="112" t="s">
        <v>1565</v>
      </c>
      <c r="C1444" s="112">
        <v>0</v>
      </c>
      <c r="D1444" s="112" t="s">
        <v>1560</v>
      </c>
      <c r="E1444" s="112" t="s">
        <v>1543</v>
      </c>
      <c r="F1444" s="112" t="s">
        <v>1560</v>
      </c>
      <c r="G1444" s="112" t="s">
        <v>1471</v>
      </c>
      <c r="H1444" s="112" t="s">
        <v>1543</v>
      </c>
      <c r="I1444" s="112">
        <v>291.24391250000002</v>
      </c>
    </row>
    <row r="1445" spans="1:9">
      <c r="A1445" s="112" t="s">
        <v>1472</v>
      </c>
      <c r="B1445" s="112" t="s">
        <v>1565</v>
      </c>
      <c r="C1445" s="112">
        <v>0</v>
      </c>
      <c r="D1445" s="112" t="s">
        <v>1560</v>
      </c>
      <c r="E1445" s="112" t="s">
        <v>1543</v>
      </c>
      <c r="F1445" s="112" t="s">
        <v>1560</v>
      </c>
      <c r="G1445" s="112" t="s">
        <v>1472</v>
      </c>
      <c r="H1445" s="112" t="s">
        <v>1543</v>
      </c>
      <c r="I1445" s="112">
        <v>0</v>
      </c>
    </row>
    <row r="1446" spans="1:9">
      <c r="A1446" s="112" t="s">
        <v>1473</v>
      </c>
      <c r="B1446" s="112" t="s">
        <v>1565</v>
      </c>
      <c r="C1446" s="112">
        <v>0</v>
      </c>
      <c r="D1446" s="112" t="s">
        <v>1560</v>
      </c>
      <c r="E1446" s="112" t="s">
        <v>1543</v>
      </c>
      <c r="F1446" s="112" t="s">
        <v>1560</v>
      </c>
      <c r="G1446" s="112" t="s">
        <v>1473</v>
      </c>
      <c r="H1446" s="112" t="s">
        <v>1543</v>
      </c>
      <c r="I1446" s="112">
        <v>1569.9072550000001</v>
      </c>
    </row>
    <row r="1447" spans="1:9">
      <c r="A1447" s="112" t="s">
        <v>1474</v>
      </c>
      <c r="B1447" s="112" t="s">
        <v>1565</v>
      </c>
      <c r="C1447" s="112">
        <v>0</v>
      </c>
      <c r="D1447" s="112" t="s">
        <v>1560</v>
      </c>
      <c r="E1447" s="112" t="s">
        <v>1543</v>
      </c>
      <c r="F1447" s="112" t="s">
        <v>1560</v>
      </c>
      <c r="G1447" s="112" t="s">
        <v>1474</v>
      </c>
      <c r="H1447" s="112" t="s">
        <v>1543</v>
      </c>
      <c r="I1447" s="112">
        <v>0</v>
      </c>
    </row>
    <row r="1448" spans="1:9">
      <c r="A1448" s="112" t="s">
        <v>1475</v>
      </c>
      <c r="B1448" s="112" t="s">
        <v>1565</v>
      </c>
      <c r="C1448" s="112">
        <v>0</v>
      </c>
      <c r="D1448" s="112" t="s">
        <v>1560</v>
      </c>
      <c r="E1448" s="112" t="s">
        <v>1543</v>
      </c>
      <c r="F1448" s="112" t="s">
        <v>1560</v>
      </c>
      <c r="G1448" s="112" t="s">
        <v>1475</v>
      </c>
      <c r="H1448" s="112" t="s">
        <v>1543</v>
      </c>
      <c r="I1448" s="112">
        <v>0</v>
      </c>
    </row>
    <row r="1449" spans="1:9">
      <c r="A1449" s="112" t="s">
        <v>1476</v>
      </c>
      <c r="B1449" s="112" t="s">
        <v>1565</v>
      </c>
      <c r="C1449" s="112">
        <v>0</v>
      </c>
      <c r="D1449" s="112" t="s">
        <v>1560</v>
      </c>
      <c r="E1449" s="112" t="s">
        <v>1543</v>
      </c>
      <c r="F1449" s="112" t="s">
        <v>1560</v>
      </c>
      <c r="G1449" s="112" t="s">
        <v>1476</v>
      </c>
      <c r="H1449" s="112" t="s">
        <v>1543</v>
      </c>
      <c r="I1449" s="112">
        <v>18.965111780000001</v>
      </c>
    </row>
    <row r="1450" spans="1:9">
      <c r="A1450" s="112" t="s">
        <v>1477</v>
      </c>
      <c r="B1450" s="112" t="s">
        <v>1565</v>
      </c>
      <c r="C1450" s="112">
        <v>0</v>
      </c>
      <c r="D1450" s="112" t="s">
        <v>1560</v>
      </c>
      <c r="E1450" s="112" t="s">
        <v>1543</v>
      </c>
      <c r="F1450" s="112" t="s">
        <v>1560</v>
      </c>
      <c r="G1450" s="112" t="s">
        <v>1477</v>
      </c>
      <c r="H1450" s="112" t="s">
        <v>1543</v>
      </c>
      <c r="I1450" s="112">
        <v>1200.5402429999999</v>
      </c>
    </row>
    <row r="1451" spans="1:9">
      <c r="A1451" s="112" t="s">
        <v>1478</v>
      </c>
      <c r="B1451" s="112" t="s">
        <v>1565</v>
      </c>
      <c r="C1451" s="112">
        <v>0</v>
      </c>
      <c r="D1451" s="112" t="s">
        <v>1560</v>
      </c>
      <c r="E1451" s="112" t="s">
        <v>1543</v>
      </c>
      <c r="F1451" s="112" t="s">
        <v>1560</v>
      </c>
      <c r="G1451" s="112" t="s">
        <v>1478</v>
      </c>
      <c r="H1451" s="112" t="s">
        <v>1543</v>
      </c>
      <c r="I1451" s="112">
        <v>789.85801790000005</v>
      </c>
    </row>
    <row r="1452" spans="1:9">
      <c r="A1452" s="112" t="s">
        <v>1479</v>
      </c>
      <c r="B1452" s="112" t="s">
        <v>1565</v>
      </c>
      <c r="C1452" s="112">
        <v>0</v>
      </c>
      <c r="D1452" s="112" t="s">
        <v>1560</v>
      </c>
      <c r="E1452" s="112" t="s">
        <v>1543</v>
      </c>
      <c r="F1452" s="112" t="s">
        <v>1560</v>
      </c>
      <c r="G1452" s="112" t="s">
        <v>1479</v>
      </c>
      <c r="H1452" s="112" t="s">
        <v>1543</v>
      </c>
      <c r="I1452" s="112">
        <v>1841.9290020000001</v>
      </c>
    </row>
    <row r="1453" spans="1:9">
      <c r="A1453" s="112" t="s">
        <v>1480</v>
      </c>
      <c r="B1453" s="112" t="s">
        <v>1565</v>
      </c>
      <c r="C1453" s="112">
        <v>0</v>
      </c>
      <c r="D1453" s="112" t="s">
        <v>1560</v>
      </c>
      <c r="E1453" s="112" t="s">
        <v>1543</v>
      </c>
      <c r="F1453" s="112" t="s">
        <v>1560</v>
      </c>
      <c r="G1453" s="112" t="s">
        <v>1480</v>
      </c>
      <c r="H1453" s="112" t="s">
        <v>1543</v>
      </c>
      <c r="I1453" s="112">
        <v>71.727435749999998</v>
      </c>
    </row>
    <row r="1454" spans="1:9">
      <c r="A1454" s="112" t="s">
        <v>1481</v>
      </c>
      <c r="B1454" s="112" t="s">
        <v>1565</v>
      </c>
      <c r="C1454" s="112">
        <v>0</v>
      </c>
      <c r="D1454" s="112" t="s">
        <v>1560</v>
      </c>
      <c r="E1454" s="112" t="s">
        <v>1543</v>
      </c>
      <c r="F1454" s="112" t="s">
        <v>1560</v>
      </c>
      <c r="G1454" s="112" t="s">
        <v>1481</v>
      </c>
      <c r="H1454" s="112" t="s">
        <v>1543</v>
      </c>
      <c r="I1454" s="112">
        <v>0</v>
      </c>
    </row>
    <row r="1455" spans="1:9">
      <c r="A1455" s="112" t="s">
        <v>1482</v>
      </c>
      <c r="B1455" s="112" t="s">
        <v>1565</v>
      </c>
      <c r="C1455" s="112">
        <v>0</v>
      </c>
      <c r="D1455" s="112" t="s">
        <v>1560</v>
      </c>
      <c r="E1455" s="112" t="s">
        <v>1543</v>
      </c>
      <c r="F1455" s="112" t="s">
        <v>1560</v>
      </c>
      <c r="G1455" s="112" t="s">
        <v>1482</v>
      </c>
      <c r="H1455" s="112" t="s">
        <v>1543</v>
      </c>
      <c r="I1455" s="112">
        <v>0</v>
      </c>
    </row>
    <row r="1456" spans="1:9">
      <c r="A1456" s="112" t="s">
        <v>1483</v>
      </c>
      <c r="B1456" s="112" t="s">
        <v>1565</v>
      </c>
      <c r="C1456" s="112">
        <v>0</v>
      </c>
      <c r="D1456" s="112" t="s">
        <v>1560</v>
      </c>
      <c r="E1456" s="112" t="s">
        <v>1543</v>
      </c>
      <c r="F1456" s="112" t="s">
        <v>1560</v>
      </c>
      <c r="G1456" s="112" t="s">
        <v>1483</v>
      </c>
      <c r="H1456" s="112" t="s">
        <v>1543</v>
      </c>
      <c r="I1456" s="112">
        <v>0</v>
      </c>
    </row>
    <row r="1457" spans="1:9">
      <c r="A1457" s="112" t="s">
        <v>1484</v>
      </c>
      <c r="B1457" s="112" t="s">
        <v>1565</v>
      </c>
      <c r="C1457" s="112">
        <v>0</v>
      </c>
      <c r="D1457" s="112" t="s">
        <v>1560</v>
      </c>
      <c r="E1457" s="112" t="s">
        <v>1543</v>
      </c>
      <c r="F1457" s="112" t="s">
        <v>1560</v>
      </c>
      <c r="G1457" s="112" t="s">
        <v>1484</v>
      </c>
      <c r="H1457" s="112" t="s">
        <v>1543</v>
      </c>
      <c r="I1457" s="112">
        <v>0</v>
      </c>
    </row>
    <row r="1458" spans="1:9">
      <c r="A1458" s="112" t="s">
        <v>1485</v>
      </c>
      <c r="B1458" s="112" t="s">
        <v>1565</v>
      </c>
      <c r="C1458" s="112">
        <v>0</v>
      </c>
      <c r="D1458" s="112" t="s">
        <v>1560</v>
      </c>
      <c r="E1458" s="112" t="s">
        <v>1543</v>
      </c>
      <c r="F1458" s="112" t="s">
        <v>1560</v>
      </c>
      <c r="G1458" s="112" t="s">
        <v>1485</v>
      </c>
      <c r="H1458" s="112" t="s">
        <v>1543</v>
      </c>
      <c r="I1458" s="112">
        <v>0</v>
      </c>
    </row>
    <row r="1459" spans="1:9">
      <c r="A1459" s="112" t="s">
        <v>1486</v>
      </c>
      <c r="B1459" s="112" t="s">
        <v>1565</v>
      </c>
      <c r="C1459" s="112">
        <v>0</v>
      </c>
      <c r="D1459" s="112" t="s">
        <v>1560</v>
      </c>
      <c r="E1459" s="112" t="s">
        <v>1543</v>
      </c>
      <c r="F1459" s="112" t="s">
        <v>1560</v>
      </c>
      <c r="G1459" s="112" t="s">
        <v>1486</v>
      </c>
      <c r="H1459" s="112" t="s">
        <v>1543</v>
      </c>
      <c r="I1459" s="112">
        <v>0</v>
      </c>
    </row>
    <row r="1460" spans="1:9">
      <c r="A1460" s="112" t="s">
        <v>1487</v>
      </c>
      <c r="B1460" s="112" t="s">
        <v>1565</v>
      </c>
      <c r="C1460" s="112">
        <v>0</v>
      </c>
      <c r="D1460" s="112" t="s">
        <v>1560</v>
      </c>
      <c r="E1460" s="112" t="s">
        <v>1543</v>
      </c>
      <c r="F1460" s="112" t="s">
        <v>1560</v>
      </c>
      <c r="G1460" s="112" t="s">
        <v>1487</v>
      </c>
      <c r="H1460" s="112" t="s">
        <v>1543</v>
      </c>
      <c r="I1460" s="112">
        <v>45.970670720000001</v>
      </c>
    </row>
    <row r="1461" spans="1:9">
      <c r="A1461" s="112" t="s">
        <v>1488</v>
      </c>
      <c r="B1461" s="112" t="s">
        <v>1565</v>
      </c>
      <c r="C1461" s="112">
        <v>0</v>
      </c>
      <c r="D1461" s="112" t="s">
        <v>1560</v>
      </c>
      <c r="E1461" s="112" t="s">
        <v>1543</v>
      </c>
      <c r="F1461" s="112" t="s">
        <v>1560</v>
      </c>
      <c r="G1461" s="112" t="s">
        <v>1488</v>
      </c>
      <c r="H1461" s="112" t="s">
        <v>1543</v>
      </c>
      <c r="I1461" s="112">
        <v>119.474313</v>
      </c>
    </row>
    <row r="1462" spans="1:9">
      <c r="A1462" s="112" t="s">
        <v>1489</v>
      </c>
      <c r="B1462" s="112" t="s">
        <v>1565</v>
      </c>
      <c r="C1462" s="112">
        <v>0</v>
      </c>
      <c r="D1462" s="112" t="s">
        <v>1560</v>
      </c>
      <c r="E1462" s="112" t="s">
        <v>1543</v>
      </c>
      <c r="F1462" s="112" t="s">
        <v>1560</v>
      </c>
      <c r="G1462" s="112" t="s">
        <v>1489</v>
      </c>
      <c r="H1462" s="112" t="s">
        <v>1543</v>
      </c>
      <c r="I1462" s="112">
        <v>0</v>
      </c>
    </row>
    <row r="1463" spans="1:9">
      <c r="A1463" s="112" t="s">
        <v>1490</v>
      </c>
      <c r="B1463" s="112" t="s">
        <v>1565</v>
      </c>
      <c r="C1463" s="112">
        <v>0</v>
      </c>
      <c r="D1463" s="112" t="s">
        <v>1560</v>
      </c>
      <c r="E1463" s="112" t="s">
        <v>1543</v>
      </c>
      <c r="F1463" s="112" t="s">
        <v>1560</v>
      </c>
      <c r="G1463" s="112" t="s">
        <v>1490</v>
      </c>
      <c r="H1463" s="112" t="s">
        <v>1543</v>
      </c>
      <c r="I1463" s="112">
        <v>0</v>
      </c>
    </row>
    <row r="1464" spans="1:9">
      <c r="A1464" s="112" t="s">
        <v>1461</v>
      </c>
      <c r="B1464" s="112" t="s">
        <v>1566</v>
      </c>
      <c r="C1464" s="112">
        <v>0</v>
      </c>
      <c r="D1464" s="112" t="s">
        <v>1560</v>
      </c>
      <c r="E1464" s="112" t="s">
        <v>1543</v>
      </c>
      <c r="F1464" s="112" t="s">
        <v>1560</v>
      </c>
      <c r="G1464" s="112" t="s">
        <v>1461</v>
      </c>
      <c r="H1464" s="112" t="s">
        <v>1543</v>
      </c>
      <c r="I1464" s="112">
        <v>0</v>
      </c>
    </row>
    <row r="1465" spans="1:9">
      <c r="A1465" s="112" t="s">
        <v>1465</v>
      </c>
      <c r="B1465" s="112" t="s">
        <v>1566</v>
      </c>
      <c r="C1465" s="112">
        <v>0</v>
      </c>
      <c r="D1465" s="112" t="s">
        <v>1560</v>
      </c>
      <c r="E1465" s="112" t="s">
        <v>1543</v>
      </c>
      <c r="F1465" s="112" t="s">
        <v>1560</v>
      </c>
      <c r="G1465" s="112" t="s">
        <v>1465</v>
      </c>
      <c r="H1465" s="112" t="s">
        <v>1543</v>
      </c>
      <c r="I1465" s="112">
        <v>0</v>
      </c>
    </row>
    <row r="1466" spans="1:9">
      <c r="A1466" s="112" t="s">
        <v>1466</v>
      </c>
      <c r="B1466" s="112" t="s">
        <v>1566</v>
      </c>
      <c r="C1466" s="112">
        <v>220.76337649999999</v>
      </c>
      <c r="D1466" s="112" t="s">
        <v>1560</v>
      </c>
      <c r="E1466" s="112" t="s">
        <v>1543</v>
      </c>
      <c r="F1466" s="112" t="s">
        <v>1560</v>
      </c>
      <c r="G1466" s="112" t="s">
        <v>1466</v>
      </c>
      <c r="H1466" s="112" t="s">
        <v>1543</v>
      </c>
      <c r="I1466" s="112">
        <v>8412.2465570000004</v>
      </c>
    </row>
    <row r="1467" spans="1:9">
      <c r="A1467" s="112" t="s">
        <v>1467</v>
      </c>
      <c r="B1467" s="112" t="s">
        <v>1566</v>
      </c>
      <c r="C1467" s="112">
        <v>29.335289020000001</v>
      </c>
      <c r="D1467" s="112" t="s">
        <v>1560</v>
      </c>
      <c r="E1467" s="112" t="s">
        <v>1543</v>
      </c>
      <c r="F1467" s="112" t="s">
        <v>1560</v>
      </c>
      <c r="G1467" s="112" t="s">
        <v>1467</v>
      </c>
      <c r="H1467" s="112" t="s">
        <v>1543</v>
      </c>
      <c r="I1467" s="112">
        <v>1653.443563</v>
      </c>
    </row>
    <row r="1468" spans="1:9">
      <c r="A1468" s="112" t="s">
        <v>1468</v>
      </c>
      <c r="B1468" s="112" t="s">
        <v>1566</v>
      </c>
      <c r="C1468" s="112">
        <v>0</v>
      </c>
      <c r="D1468" s="112" t="s">
        <v>1560</v>
      </c>
      <c r="E1468" s="112" t="s">
        <v>1543</v>
      </c>
      <c r="F1468" s="112" t="s">
        <v>1560</v>
      </c>
      <c r="G1468" s="112" t="s">
        <v>1468</v>
      </c>
      <c r="H1468" s="112" t="s">
        <v>1543</v>
      </c>
      <c r="I1468" s="112">
        <v>3.6075296360000002</v>
      </c>
    </row>
    <row r="1469" spans="1:9">
      <c r="A1469" s="112" t="s">
        <v>1469</v>
      </c>
      <c r="B1469" s="112" t="s">
        <v>1566</v>
      </c>
      <c r="C1469" s="112">
        <v>211.52219059999999</v>
      </c>
      <c r="D1469" s="112" t="s">
        <v>1560</v>
      </c>
      <c r="E1469" s="112" t="s">
        <v>1543</v>
      </c>
      <c r="F1469" s="112" t="s">
        <v>1560</v>
      </c>
      <c r="G1469" s="112" t="s">
        <v>1469</v>
      </c>
      <c r="H1469" s="112" t="s">
        <v>1543</v>
      </c>
      <c r="I1469" s="112">
        <v>9585.8010909999994</v>
      </c>
    </row>
    <row r="1470" spans="1:9">
      <c r="A1470" s="112" t="s">
        <v>1470</v>
      </c>
      <c r="B1470" s="112" t="s">
        <v>1566</v>
      </c>
      <c r="C1470" s="112">
        <v>0</v>
      </c>
      <c r="D1470" s="112" t="s">
        <v>1560</v>
      </c>
      <c r="E1470" s="112" t="s">
        <v>1543</v>
      </c>
      <c r="F1470" s="112" t="s">
        <v>1560</v>
      </c>
      <c r="G1470" s="112" t="s">
        <v>1470</v>
      </c>
      <c r="H1470" s="112" t="s">
        <v>1543</v>
      </c>
      <c r="I1470" s="112">
        <v>0</v>
      </c>
    </row>
    <row r="1471" spans="1:9">
      <c r="A1471" s="112" t="s">
        <v>1471</v>
      </c>
      <c r="B1471" s="112" t="s">
        <v>1566</v>
      </c>
      <c r="C1471" s="112">
        <v>11.221306609999999</v>
      </c>
      <c r="D1471" s="112" t="s">
        <v>1560</v>
      </c>
      <c r="E1471" s="112" t="s">
        <v>1543</v>
      </c>
      <c r="F1471" s="112" t="s">
        <v>1560</v>
      </c>
      <c r="G1471" s="112" t="s">
        <v>1471</v>
      </c>
      <c r="H1471" s="112" t="s">
        <v>1543</v>
      </c>
      <c r="I1471" s="112">
        <v>291.24391250000002</v>
      </c>
    </row>
    <row r="1472" spans="1:9">
      <c r="A1472" s="112" t="s">
        <v>1472</v>
      </c>
      <c r="B1472" s="112" t="s">
        <v>1566</v>
      </c>
      <c r="C1472" s="112">
        <v>0</v>
      </c>
      <c r="D1472" s="112" t="s">
        <v>1560</v>
      </c>
      <c r="E1472" s="112" t="s">
        <v>1543</v>
      </c>
      <c r="F1472" s="112" t="s">
        <v>1560</v>
      </c>
      <c r="G1472" s="112" t="s">
        <v>1472</v>
      </c>
      <c r="H1472" s="112" t="s">
        <v>1543</v>
      </c>
      <c r="I1472" s="112">
        <v>0</v>
      </c>
    </row>
    <row r="1473" spans="1:9">
      <c r="A1473" s="112" t="s">
        <v>1473</v>
      </c>
      <c r="B1473" s="112" t="s">
        <v>1566</v>
      </c>
      <c r="C1473" s="112">
        <v>1.0138245109999999</v>
      </c>
      <c r="D1473" s="112" t="s">
        <v>1560</v>
      </c>
      <c r="E1473" s="112" t="s">
        <v>1543</v>
      </c>
      <c r="F1473" s="112" t="s">
        <v>1560</v>
      </c>
      <c r="G1473" s="112" t="s">
        <v>1473</v>
      </c>
      <c r="H1473" s="112" t="s">
        <v>1543</v>
      </c>
      <c r="I1473" s="112">
        <v>1569.9072550000001</v>
      </c>
    </row>
    <row r="1474" spans="1:9">
      <c r="A1474" s="112" t="s">
        <v>1474</v>
      </c>
      <c r="B1474" s="112" t="s">
        <v>1566</v>
      </c>
      <c r="C1474" s="112">
        <v>0</v>
      </c>
      <c r="D1474" s="112" t="s">
        <v>1560</v>
      </c>
      <c r="E1474" s="112" t="s">
        <v>1543</v>
      </c>
      <c r="F1474" s="112" t="s">
        <v>1560</v>
      </c>
      <c r="G1474" s="112" t="s">
        <v>1474</v>
      </c>
      <c r="H1474" s="112" t="s">
        <v>1543</v>
      </c>
      <c r="I1474" s="112">
        <v>0</v>
      </c>
    </row>
    <row r="1475" spans="1:9">
      <c r="A1475" s="112" t="s">
        <v>1475</v>
      </c>
      <c r="B1475" s="112" t="s">
        <v>1566</v>
      </c>
      <c r="C1475" s="112">
        <v>0</v>
      </c>
      <c r="D1475" s="112" t="s">
        <v>1560</v>
      </c>
      <c r="E1475" s="112" t="s">
        <v>1543</v>
      </c>
      <c r="F1475" s="112" t="s">
        <v>1560</v>
      </c>
      <c r="G1475" s="112" t="s">
        <v>1475</v>
      </c>
      <c r="H1475" s="112" t="s">
        <v>1543</v>
      </c>
      <c r="I1475" s="112">
        <v>0</v>
      </c>
    </row>
    <row r="1476" spans="1:9">
      <c r="A1476" s="112" t="s">
        <v>1476</v>
      </c>
      <c r="B1476" s="112" t="s">
        <v>1566</v>
      </c>
      <c r="C1476" s="112">
        <v>0</v>
      </c>
      <c r="D1476" s="112" t="s">
        <v>1560</v>
      </c>
      <c r="E1476" s="112" t="s">
        <v>1543</v>
      </c>
      <c r="F1476" s="112" t="s">
        <v>1560</v>
      </c>
      <c r="G1476" s="112" t="s">
        <v>1476</v>
      </c>
      <c r="H1476" s="112" t="s">
        <v>1543</v>
      </c>
      <c r="I1476" s="112">
        <v>18.965111780000001</v>
      </c>
    </row>
    <row r="1477" spans="1:9">
      <c r="A1477" s="112" t="s">
        <v>1477</v>
      </c>
      <c r="B1477" s="112" t="s">
        <v>1566</v>
      </c>
      <c r="C1477" s="112">
        <v>37.516882600000002</v>
      </c>
      <c r="D1477" s="112" t="s">
        <v>1560</v>
      </c>
      <c r="E1477" s="112" t="s">
        <v>1543</v>
      </c>
      <c r="F1477" s="112" t="s">
        <v>1560</v>
      </c>
      <c r="G1477" s="112" t="s">
        <v>1477</v>
      </c>
      <c r="H1477" s="112" t="s">
        <v>1543</v>
      </c>
      <c r="I1477" s="112">
        <v>1200.5402429999999</v>
      </c>
    </row>
    <row r="1478" spans="1:9">
      <c r="A1478" s="112" t="s">
        <v>1478</v>
      </c>
      <c r="B1478" s="112" t="s">
        <v>1566</v>
      </c>
      <c r="C1478" s="112">
        <v>0</v>
      </c>
      <c r="D1478" s="112" t="s">
        <v>1560</v>
      </c>
      <c r="E1478" s="112" t="s">
        <v>1543</v>
      </c>
      <c r="F1478" s="112" t="s">
        <v>1560</v>
      </c>
      <c r="G1478" s="112" t="s">
        <v>1478</v>
      </c>
      <c r="H1478" s="112" t="s">
        <v>1543</v>
      </c>
      <c r="I1478" s="112">
        <v>789.85801790000005</v>
      </c>
    </row>
    <row r="1479" spans="1:9">
      <c r="A1479" s="112" t="s">
        <v>1479</v>
      </c>
      <c r="B1479" s="112" t="s">
        <v>1566</v>
      </c>
      <c r="C1479" s="112">
        <v>0</v>
      </c>
      <c r="D1479" s="112" t="s">
        <v>1560</v>
      </c>
      <c r="E1479" s="112" t="s">
        <v>1543</v>
      </c>
      <c r="F1479" s="112" t="s">
        <v>1560</v>
      </c>
      <c r="G1479" s="112" t="s">
        <v>1479</v>
      </c>
      <c r="H1479" s="112" t="s">
        <v>1543</v>
      </c>
      <c r="I1479" s="112">
        <v>1841.9290020000001</v>
      </c>
    </row>
    <row r="1480" spans="1:9">
      <c r="A1480" s="112" t="s">
        <v>1480</v>
      </c>
      <c r="B1480" s="112" t="s">
        <v>1566</v>
      </c>
      <c r="C1480" s="112">
        <v>0</v>
      </c>
      <c r="D1480" s="112" t="s">
        <v>1560</v>
      </c>
      <c r="E1480" s="112" t="s">
        <v>1543</v>
      </c>
      <c r="F1480" s="112" t="s">
        <v>1560</v>
      </c>
      <c r="G1480" s="112" t="s">
        <v>1480</v>
      </c>
      <c r="H1480" s="112" t="s">
        <v>1543</v>
      </c>
      <c r="I1480" s="112">
        <v>71.727435749999998</v>
      </c>
    </row>
    <row r="1481" spans="1:9">
      <c r="A1481" s="112" t="s">
        <v>1481</v>
      </c>
      <c r="B1481" s="112" t="s">
        <v>1566</v>
      </c>
      <c r="C1481" s="112">
        <v>0</v>
      </c>
      <c r="D1481" s="112" t="s">
        <v>1560</v>
      </c>
      <c r="E1481" s="112" t="s">
        <v>1543</v>
      </c>
      <c r="F1481" s="112" t="s">
        <v>1560</v>
      </c>
      <c r="G1481" s="112" t="s">
        <v>1481</v>
      </c>
      <c r="H1481" s="112" t="s">
        <v>1543</v>
      </c>
      <c r="I1481" s="112">
        <v>0</v>
      </c>
    </row>
    <row r="1482" spans="1:9">
      <c r="A1482" s="112" t="s">
        <v>1482</v>
      </c>
      <c r="B1482" s="112" t="s">
        <v>1566</v>
      </c>
      <c r="C1482" s="112">
        <v>0</v>
      </c>
      <c r="D1482" s="112" t="s">
        <v>1560</v>
      </c>
      <c r="E1482" s="112" t="s">
        <v>1543</v>
      </c>
      <c r="F1482" s="112" t="s">
        <v>1560</v>
      </c>
      <c r="G1482" s="112" t="s">
        <v>1482</v>
      </c>
      <c r="H1482" s="112" t="s">
        <v>1543</v>
      </c>
      <c r="I1482" s="112">
        <v>0</v>
      </c>
    </row>
    <row r="1483" spans="1:9">
      <c r="A1483" s="112" t="s">
        <v>1483</v>
      </c>
      <c r="B1483" s="112" t="s">
        <v>1566</v>
      </c>
      <c r="C1483" s="112">
        <v>0</v>
      </c>
      <c r="D1483" s="112" t="s">
        <v>1560</v>
      </c>
      <c r="E1483" s="112" t="s">
        <v>1543</v>
      </c>
      <c r="F1483" s="112" t="s">
        <v>1560</v>
      </c>
      <c r="G1483" s="112" t="s">
        <v>1483</v>
      </c>
      <c r="H1483" s="112" t="s">
        <v>1543</v>
      </c>
      <c r="I1483" s="112">
        <v>0</v>
      </c>
    </row>
    <row r="1484" spans="1:9">
      <c r="A1484" s="112" t="s">
        <v>1484</v>
      </c>
      <c r="B1484" s="112" t="s">
        <v>1566</v>
      </c>
      <c r="C1484" s="112">
        <v>0</v>
      </c>
      <c r="D1484" s="112" t="s">
        <v>1560</v>
      </c>
      <c r="E1484" s="112" t="s">
        <v>1543</v>
      </c>
      <c r="F1484" s="112" t="s">
        <v>1560</v>
      </c>
      <c r="G1484" s="112" t="s">
        <v>1484</v>
      </c>
      <c r="H1484" s="112" t="s">
        <v>1543</v>
      </c>
      <c r="I1484" s="112">
        <v>0</v>
      </c>
    </row>
    <row r="1485" spans="1:9">
      <c r="A1485" s="112" t="s">
        <v>1485</v>
      </c>
      <c r="B1485" s="112" t="s">
        <v>1566</v>
      </c>
      <c r="C1485" s="112">
        <v>0</v>
      </c>
      <c r="D1485" s="112" t="s">
        <v>1560</v>
      </c>
      <c r="E1485" s="112" t="s">
        <v>1543</v>
      </c>
      <c r="F1485" s="112" t="s">
        <v>1560</v>
      </c>
      <c r="G1485" s="112" t="s">
        <v>1485</v>
      </c>
      <c r="H1485" s="112" t="s">
        <v>1543</v>
      </c>
      <c r="I1485" s="112">
        <v>0</v>
      </c>
    </row>
    <row r="1486" spans="1:9">
      <c r="A1486" s="112" t="s">
        <v>1486</v>
      </c>
      <c r="B1486" s="112" t="s">
        <v>1566</v>
      </c>
      <c r="C1486" s="112">
        <v>0</v>
      </c>
      <c r="D1486" s="112" t="s">
        <v>1560</v>
      </c>
      <c r="E1486" s="112" t="s">
        <v>1543</v>
      </c>
      <c r="F1486" s="112" t="s">
        <v>1560</v>
      </c>
      <c r="G1486" s="112" t="s">
        <v>1486</v>
      </c>
      <c r="H1486" s="112" t="s">
        <v>1543</v>
      </c>
      <c r="I1486" s="112">
        <v>0</v>
      </c>
    </row>
    <row r="1487" spans="1:9">
      <c r="A1487" s="112" t="s">
        <v>1487</v>
      </c>
      <c r="B1487" s="112" t="s">
        <v>1566</v>
      </c>
      <c r="C1487" s="112">
        <v>0</v>
      </c>
      <c r="D1487" s="112" t="s">
        <v>1560</v>
      </c>
      <c r="E1487" s="112" t="s">
        <v>1543</v>
      </c>
      <c r="F1487" s="112" t="s">
        <v>1560</v>
      </c>
      <c r="G1487" s="112" t="s">
        <v>1487</v>
      </c>
      <c r="H1487" s="112" t="s">
        <v>1543</v>
      </c>
      <c r="I1487" s="112">
        <v>45.970670720000001</v>
      </c>
    </row>
    <row r="1488" spans="1:9">
      <c r="A1488" s="112" t="s">
        <v>1488</v>
      </c>
      <c r="B1488" s="112" t="s">
        <v>1566</v>
      </c>
      <c r="C1488" s="112">
        <v>0</v>
      </c>
      <c r="D1488" s="112" t="s">
        <v>1560</v>
      </c>
      <c r="E1488" s="112" t="s">
        <v>1543</v>
      </c>
      <c r="F1488" s="112" t="s">
        <v>1560</v>
      </c>
      <c r="G1488" s="112" t="s">
        <v>1488</v>
      </c>
      <c r="H1488" s="112" t="s">
        <v>1543</v>
      </c>
      <c r="I1488" s="112">
        <v>119.474313</v>
      </c>
    </row>
    <row r="1489" spans="1:9">
      <c r="A1489" s="112" t="s">
        <v>1489</v>
      </c>
      <c r="B1489" s="112" t="s">
        <v>1566</v>
      </c>
      <c r="C1489" s="112">
        <v>0</v>
      </c>
      <c r="D1489" s="112" t="s">
        <v>1560</v>
      </c>
      <c r="E1489" s="112" t="s">
        <v>1543</v>
      </c>
      <c r="F1489" s="112" t="s">
        <v>1560</v>
      </c>
      <c r="G1489" s="112" t="s">
        <v>1489</v>
      </c>
      <c r="H1489" s="112" t="s">
        <v>1543</v>
      </c>
      <c r="I1489" s="112">
        <v>0</v>
      </c>
    </row>
    <row r="1490" spans="1:9">
      <c r="A1490" s="112" t="s">
        <v>1490</v>
      </c>
      <c r="B1490" s="112" t="s">
        <v>1566</v>
      </c>
      <c r="C1490" s="112">
        <v>0</v>
      </c>
      <c r="D1490" s="112" t="s">
        <v>1560</v>
      </c>
      <c r="E1490" s="112" t="s">
        <v>1543</v>
      </c>
      <c r="F1490" s="112" t="s">
        <v>1560</v>
      </c>
      <c r="G1490" s="112" t="s">
        <v>1490</v>
      </c>
      <c r="H1490" s="112" t="s">
        <v>1543</v>
      </c>
      <c r="I1490" s="112">
        <v>0</v>
      </c>
    </row>
    <row r="1491" spans="1:9">
      <c r="A1491" s="112" t="s">
        <v>1461</v>
      </c>
      <c r="B1491" s="112" t="s">
        <v>1567</v>
      </c>
      <c r="C1491" s="112">
        <v>0</v>
      </c>
      <c r="D1491" s="112" t="s">
        <v>1560</v>
      </c>
      <c r="E1491" s="112" t="s">
        <v>1543</v>
      </c>
      <c r="F1491" s="112" t="s">
        <v>1560</v>
      </c>
      <c r="G1491" s="112" t="s">
        <v>1461</v>
      </c>
      <c r="H1491" s="112" t="s">
        <v>1543</v>
      </c>
      <c r="I1491" s="112">
        <v>0</v>
      </c>
    </row>
    <row r="1492" spans="1:9">
      <c r="A1492" s="112" t="s">
        <v>1465</v>
      </c>
      <c r="B1492" s="112" t="s">
        <v>1567</v>
      </c>
      <c r="C1492" s="112">
        <v>0</v>
      </c>
      <c r="D1492" s="112" t="s">
        <v>1560</v>
      </c>
      <c r="E1492" s="112" t="s">
        <v>1543</v>
      </c>
      <c r="F1492" s="112" t="s">
        <v>1560</v>
      </c>
      <c r="G1492" s="112" t="s">
        <v>1465</v>
      </c>
      <c r="H1492" s="112" t="s">
        <v>1543</v>
      </c>
      <c r="I1492" s="112">
        <v>0</v>
      </c>
    </row>
    <row r="1493" spans="1:9">
      <c r="A1493" s="112" t="s">
        <v>1466</v>
      </c>
      <c r="B1493" s="112" t="s">
        <v>1567</v>
      </c>
      <c r="C1493" s="112">
        <v>1800.964387</v>
      </c>
      <c r="D1493" s="112" t="s">
        <v>1560</v>
      </c>
      <c r="E1493" s="112" t="s">
        <v>1543</v>
      </c>
      <c r="F1493" s="112" t="s">
        <v>1560</v>
      </c>
      <c r="G1493" s="112" t="s">
        <v>1466</v>
      </c>
      <c r="H1493" s="112" t="s">
        <v>1543</v>
      </c>
      <c r="I1493" s="112">
        <v>8412.2465570000004</v>
      </c>
    </row>
    <row r="1494" spans="1:9">
      <c r="A1494" s="112" t="s">
        <v>1467</v>
      </c>
      <c r="B1494" s="112" t="s">
        <v>1567</v>
      </c>
      <c r="C1494" s="112">
        <v>680.0453364</v>
      </c>
      <c r="D1494" s="112" t="s">
        <v>1560</v>
      </c>
      <c r="E1494" s="112" t="s">
        <v>1543</v>
      </c>
      <c r="F1494" s="112" t="s">
        <v>1560</v>
      </c>
      <c r="G1494" s="112" t="s">
        <v>1467</v>
      </c>
      <c r="H1494" s="112" t="s">
        <v>1543</v>
      </c>
      <c r="I1494" s="112">
        <v>1653.443563</v>
      </c>
    </row>
    <row r="1495" spans="1:9">
      <c r="A1495" s="112" t="s">
        <v>1468</v>
      </c>
      <c r="B1495" s="112" t="s">
        <v>1567</v>
      </c>
      <c r="C1495" s="112">
        <v>0</v>
      </c>
      <c r="D1495" s="112" t="s">
        <v>1560</v>
      </c>
      <c r="E1495" s="112" t="s">
        <v>1543</v>
      </c>
      <c r="F1495" s="112" t="s">
        <v>1560</v>
      </c>
      <c r="G1495" s="112" t="s">
        <v>1468</v>
      </c>
      <c r="H1495" s="112" t="s">
        <v>1543</v>
      </c>
      <c r="I1495" s="112">
        <v>3.6075296360000002</v>
      </c>
    </row>
    <row r="1496" spans="1:9">
      <c r="A1496" s="112" t="s">
        <v>1469</v>
      </c>
      <c r="B1496" s="112" t="s">
        <v>1567</v>
      </c>
      <c r="C1496" s="112">
        <v>2509.422352</v>
      </c>
      <c r="D1496" s="112" t="s">
        <v>1560</v>
      </c>
      <c r="E1496" s="112" t="s">
        <v>1543</v>
      </c>
      <c r="F1496" s="112" t="s">
        <v>1560</v>
      </c>
      <c r="G1496" s="112" t="s">
        <v>1469</v>
      </c>
      <c r="H1496" s="112" t="s">
        <v>1543</v>
      </c>
      <c r="I1496" s="112">
        <v>9585.8010909999994</v>
      </c>
    </row>
    <row r="1497" spans="1:9">
      <c r="A1497" s="112" t="s">
        <v>1470</v>
      </c>
      <c r="B1497" s="112" t="s">
        <v>1567</v>
      </c>
      <c r="C1497" s="112">
        <v>0</v>
      </c>
      <c r="D1497" s="112" t="s">
        <v>1560</v>
      </c>
      <c r="E1497" s="112" t="s">
        <v>1543</v>
      </c>
      <c r="F1497" s="112" t="s">
        <v>1560</v>
      </c>
      <c r="G1497" s="112" t="s">
        <v>1470</v>
      </c>
      <c r="H1497" s="112" t="s">
        <v>1543</v>
      </c>
      <c r="I1497" s="112">
        <v>0</v>
      </c>
    </row>
    <row r="1498" spans="1:9">
      <c r="A1498" s="112" t="s">
        <v>1471</v>
      </c>
      <c r="B1498" s="112" t="s">
        <v>1567</v>
      </c>
      <c r="C1498" s="112">
        <v>88.240274700000001</v>
      </c>
      <c r="D1498" s="112" t="s">
        <v>1560</v>
      </c>
      <c r="E1498" s="112" t="s">
        <v>1543</v>
      </c>
      <c r="F1498" s="112" t="s">
        <v>1560</v>
      </c>
      <c r="G1498" s="112" t="s">
        <v>1471</v>
      </c>
      <c r="H1498" s="112" t="s">
        <v>1543</v>
      </c>
      <c r="I1498" s="112">
        <v>291.24391250000002</v>
      </c>
    </row>
    <row r="1499" spans="1:9">
      <c r="A1499" s="112" t="s">
        <v>1472</v>
      </c>
      <c r="B1499" s="112" t="s">
        <v>1567</v>
      </c>
      <c r="C1499" s="112">
        <v>0</v>
      </c>
      <c r="D1499" s="112" t="s">
        <v>1560</v>
      </c>
      <c r="E1499" s="112" t="s">
        <v>1543</v>
      </c>
      <c r="F1499" s="112" t="s">
        <v>1560</v>
      </c>
      <c r="G1499" s="112" t="s">
        <v>1472</v>
      </c>
      <c r="H1499" s="112" t="s">
        <v>1543</v>
      </c>
      <c r="I1499" s="112">
        <v>0</v>
      </c>
    </row>
    <row r="1500" spans="1:9">
      <c r="A1500" s="112" t="s">
        <v>1473</v>
      </c>
      <c r="B1500" s="112" t="s">
        <v>1567</v>
      </c>
      <c r="C1500" s="112">
        <v>733.75548990000004</v>
      </c>
      <c r="D1500" s="112" t="s">
        <v>1560</v>
      </c>
      <c r="E1500" s="112" t="s">
        <v>1543</v>
      </c>
      <c r="F1500" s="112" t="s">
        <v>1560</v>
      </c>
      <c r="G1500" s="112" t="s">
        <v>1473</v>
      </c>
      <c r="H1500" s="112" t="s">
        <v>1543</v>
      </c>
      <c r="I1500" s="112">
        <v>1569.9072550000001</v>
      </c>
    </row>
    <row r="1501" spans="1:9">
      <c r="A1501" s="112" t="s">
        <v>1474</v>
      </c>
      <c r="B1501" s="112" t="s">
        <v>1567</v>
      </c>
      <c r="C1501" s="112">
        <v>0</v>
      </c>
      <c r="D1501" s="112" t="s">
        <v>1560</v>
      </c>
      <c r="E1501" s="112" t="s">
        <v>1543</v>
      </c>
      <c r="F1501" s="112" t="s">
        <v>1560</v>
      </c>
      <c r="G1501" s="112" t="s">
        <v>1474</v>
      </c>
      <c r="H1501" s="112" t="s">
        <v>1543</v>
      </c>
      <c r="I1501" s="112">
        <v>0</v>
      </c>
    </row>
    <row r="1502" spans="1:9">
      <c r="A1502" s="112" t="s">
        <v>1475</v>
      </c>
      <c r="B1502" s="112" t="s">
        <v>1567</v>
      </c>
      <c r="C1502" s="112">
        <v>0</v>
      </c>
      <c r="D1502" s="112" t="s">
        <v>1560</v>
      </c>
      <c r="E1502" s="112" t="s">
        <v>1543</v>
      </c>
      <c r="F1502" s="112" t="s">
        <v>1560</v>
      </c>
      <c r="G1502" s="112" t="s">
        <v>1475</v>
      </c>
      <c r="H1502" s="112" t="s">
        <v>1543</v>
      </c>
      <c r="I1502" s="112">
        <v>0</v>
      </c>
    </row>
    <row r="1503" spans="1:9">
      <c r="A1503" s="112" t="s">
        <v>1476</v>
      </c>
      <c r="B1503" s="112" t="s">
        <v>1567</v>
      </c>
      <c r="C1503" s="112">
        <v>3.7930223559999998</v>
      </c>
      <c r="D1503" s="112" t="s">
        <v>1560</v>
      </c>
      <c r="E1503" s="112" t="s">
        <v>1543</v>
      </c>
      <c r="F1503" s="112" t="s">
        <v>1560</v>
      </c>
      <c r="G1503" s="112" t="s">
        <v>1476</v>
      </c>
      <c r="H1503" s="112" t="s">
        <v>1543</v>
      </c>
      <c r="I1503" s="112">
        <v>18.965111780000001</v>
      </c>
    </row>
    <row r="1504" spans="1:9">
      <c r="A1504" s="112" t="s">
        <v>1477</v>
      </c>
      <c r="B1504" s="112" t="s">
        <v>1567</v>
      </c>
      <c r="C1504" s="112">
        <v>125.0562753</v>
      </c>
      <c r="D1504" s="112" t="s">
        <v>1560</v>
      </c>
      <c r="E1504" s="112" t="s">
        <v>1543</v>
      </c>
      <c r="F1504" s="112" t="s">
        <v>1560</v>
      </c>
      <c r="G1504" s="112" t="s">
        <v>1477</v>
      </c>
      <c r="H1504" s="112" t="s">
        <v>1543</v>
      </c>
      <c r="I1504" s="112">
        <v>1200.5402429999999</v>
      </c>
    </row>
    <row r="1505" spans="1:9">
      <c r="A1505" s="112" t="s">
        <v>1478</v>
      </c>
      <c r="B1505" s="112" t="s">
        <v>1567</v>
      </c>
      <c r="C1505" s="112">
        <v>29.49145197</v>
      </c>
      <c r="D1505" s="112" t="s">
        <v>1560</v>
      </c>
      <c r="E1505" s="112" t="s">
        <v>1543</v>
      </c>
      <c r="F1505" s="112" t="s">
        <v>1560</v>
      </c>
      <c r="G1505" s="112" t="s">
        <v>1478</v>
      </c>
      <c r="H1505" s="112" t="s">
        <v>1543</v>
      </c>
      <c r="I1505" s="112">
        <v>789.85801790000005</v>
      </c>
    </row>
    <row r="1506" spans="1:9">
      <c r="A1506" s="112" t="s">
        <v>1479</v>
      </c>
      <c r="B1506" s="112" t="s">
        <v>1567</v>
      </c>
      <c r="C1506" s="112">
        <v>0</v>
      </c>
      <c r="D1506" s="112" t="s">
        <v>1560</v>
      </c>
      <c r="E1506" s="112" t="s">
        <v>1543</v>
      </c>
      <c r="F1506" s="112" t="s">
        <v>1560</v>
      </c>
      <c r="G1506" s="112" t="s">
        <v>1479</v>
      </c>
      <c r="H1506" s="112" t="s">
        <v>1543</v>
      </c>
      <c r="I1506" s="112">
        <v>1841.9290020000001</v>
      </c>
    </row>
    <row r="1507" spans="1:9">
      <c r="A1507" s="112" t="s">
        <v>1480</v>
      </c>
      <c r="B1507" s="112" t="s">
        <v>1567</v>
      </c>
      <c r="C1507" s="112">
        <v>47.818290500000003</v>
      </c>
      <c r="D1507" s="112" t="s">
        <v>1560</v>
      </c>
      <c r="E1507" s="112" t="s">
        <v>1543</v>
      </c>
      <c r="F1507" s="112" t="s">
        <v>1560</v>
      </c>
      <c r="G1507" s="112" t="s">
        <v>1480</v>
      </c>
      <c r="H1507" s="112" t="s">
        <v>1543</v>
      </c>
      <c r="I1507" s="112">
        <v>71.727435749999998</v>
      </c>
    </row>
    <row r="1508" spans="1:9">
      <c r="A1508" s="112" t="s">
        <v>1481</v>
      </c>
      <c r="B1508" s="112" t="s">
        <v>1567</v>
      </c>
      <c r="C1508" s="112">
        <v>0</v>
      </c>
      <c r="D1508" s="112" t="s">
        <v>1560</v>
      </c>
      <c r="E1508" s="112" t="s">
        <v>1543</v>
      </c>
      <c r="F1508" s="112" t="s">
        <v>1560</v>
      </c>
      <c r="G1508" s="112" t="s">
        <v>1481</v>
      </c>
      <c r="H1508" s="112" t="s">
        <v>1543</v>
      </c>
      <c r="I1508" s="112">
        <v>0</v>
      </c>
    </row>
    <row r="1509" spans="1:9">
      <c r="A1509" s="112" t="s">
        <v>1482</v>
      </c>
      <c r="B1509" s="112" t="s">
        <v>1567</v>
      </c>
      <c r="C1509" s="112">
        <v>0</v>
      </c>
      <c r="D1509" s="112" t="s">
        <v>1560</v>
      </c>
      <c r="E1509" s="112" t="s">
        <v>1543</v>
      </c>
      <c r="F1509" s="112" t="s">
        <v>1560</v>
      </c>
      <c r="G1509" s="112" t="s">
        <v>1482</v>
      </c>
      <c r="H1509" s="112" t="s">
        <v>1543</v>
      </c>
      <c r="I1509" s="112">
        <v>0</v>
      </c>
    </row>
    <row r="1510" spans="1:9">
      <c r="A1510" s="112" t="s">
        <v>1483</v>
      </c>
      <c r="B1510" s="112" t="s">
        <v>1567</v>
      </c>
      <c r="C1510" s="112">
        <v>0</v>
      </c>
      <c r="D1510" s="112" t="s">
        <v>1560</v>
      </c>
      <c r="E1510" s="112" t="s">
        <v>1543</v>
      </c>
      <c r="F1510" s="112" t="s">
        <v>1560</v>
      </c>
      <c r="G1510" s="112" t="s">
        <v>1483</v>
      </c>
      <c r="H1510" s="112" t="s">
        <v>1543</v>
      </c>
      <c r="I1510" s="112">
        <v>0</v>
      </c>
    </row>
    <row r="1511" spans="1:9">
      <c r="A1511" s="112" t="s">
        <v>1484</v>
      </c>
      <c r="B1511" s="112" t="s">
        <v>1567</v>
      </c>
      <c r="C1511" s="112">
        <v>0</v>
      </c>
      <c r="D1511" s="112" t="s">
        <v>1560</v>
      </c>
      <c r="E1511" s="112" t="s">
        <v>1543</v>
      </c>
      <c r="F1511" s="112" t="s">
        <v>1560</v>
      </c>
      <c r="G1511" s="112" t="s">
        <v>1484</v>
      </c>
      <c r="H1511" s="112" t="s">
        <v>1543</v>
      </c>
      <c r="I1511" s="112">
        <v>0</v>
      </c>
    </row>
    <row r="1512" spans="1:9">
      <c r="A1512" s="112" t="s">
        <v>1485</v>
      </c>
      <c r="B1512" s="112" t="s">
        <v>1567</v>
      </c>
      <c r="C1512" s="112">
        <v>0</v>
      </c>
      <c r="D1512" s="112" t="s">
        <v>1560</v>
      </c>
      <c r="E1512" s="112" t="s">
        <v>1543</v>
      </c>
      <c r="F1512" s="112" t="s">
        <v>1560</v>
      </c>
      <c r="G1512" s="112" t="s">
        <v>1485</v>
      </c>
      <c r="H1512" s="112" t="s">
        <v>1543</v>
      </c>
      <c r="I1512" s="112">
        <v>0</v>
      </c>
    </row>
    <row r="1513" spans="1:9">
      <c r="A1513" s="112" t="s">
        <v>1486</v>
      </c>
      <c r="B1513" s="112" t="s">
        <v>1567</v>
      </c>
      <c r="C1513" s="112">
        <v>0</v>
      </c>
      <c r="D1513" s="112" t="s">
        <v>1560</v>
      </c>
      <c r="E1513" s="112" t="s">
        <v>1543</v>
      </c>
      <c r="F1513" s="112" t="s">
        <v>1560</v>
      </c>
      <c r="G1513" s="112" t="s">
        <v>1486</v>
      </c>
      <c r="H1513" s="112" t="s">
        <v>1543</v>
      </c>
      <c r="I1513" s="112">
        <v>0</v>
      </c>
    </row>
    <row r="1514" spans="1:9">
      <c r="A1514" s="112" t="s">
        <v>1487</v>
      </c>
      <c r="B1514" s="112" t="s">
        <v>1567</v>
      </c>
      <c r="C1514" s="112">
        <v>0</v>
      </c>
      <c r="D1514" s="112" t="s">
        <v>1560</v>
      </c>
      <c r="E1514" s="112" t="s">
        <v>1543</v>
      </c>
      <c r="F1514" s="112" t="s">
        <v>1560</v>
      </c>
      <c r="G1514" s="112" t="s">
        <v>1487</v>
      </c>
      <c r="H1514" s="112" t="s">
        <v>1543</v>
      </c>
      <c r="I1514" s="112">
        <v>45.970670720000001</v>
      </c>
    </row>
    <row r="1515" spans="1:9">
      <c r="A1515" s="112" t="s">
        <v>1488</v>
      </c>
      <c r="B1515" s="112" t="s">
        <v>1567</v>
      </c>
      <c r="C1515" s="112">
        <v>0</v>
      </c>
      <c r="D1515" s="112" t="s">
        <v>1560</v>
      </c>
      <c r="E1515" s="112" t="s">
        <v>1543</v>
      </c>
      <c r="F1515" s="112" t="s">
        <v>1560</v>
      </c>
      <c r="G1515" s="112" t="s">
        <v>1488</v>
      </c>
      <c r="H1515" s="112" t="s">
        <v>1543</v>
      </c>
      <c r="I1515" s="112">
        <v>119.474313</v>
      </c>
    </row>
    <row r="1516" spans="1:9">
      <c r="A1516" s="112" t="s">
        <v>1489</v>
      </c>
      <c r="B1516" s="112" t="s">
        <v>1567</v>
      </c>
      <c r="C1516" s="112">
        <v>0</v>
      </c>
      <c r="D1516" s="112" t="s">
        <v>1560</v>
      </c>
      <c r="E1516" s="112" t="s">
        <v>1543</v>
      </c>
      <c r="F1516" s="112" t="s">
        <v>1560</v>
      </c>
      <c r="G1516" s="112" t="s">
        <v>1489</v>
      </c>
      <c r="H1516" s="112" t="s">
        <v>1543</v>
      </c>
      <c r="I1516" s="112">
        <v>0</v>
      </c>
    </row>
    <row r="1517" spans="1:9">
      <c r="A1517" s="112" t="s">
        <v>1490</v>
      </c>
      <c r="B1517" s="112" t="s">
        <v>1567</v>
      </c>
      <c r="C1517" s="112">
        <v>0</v>
      </c>
      <c r="D1517" s="112" t="s">
        <v>1560</v>
      </c>
      <c r="E1517" s="112" t="s">
        <v>1543</v>
      </c>
      <c r="F1517" s="112" t="s">
        <v>1560</v>
      </c>
      <c r="G1517" s="112" t="s">
        <v>1490</v>
      </c>
      <c r="H1517" s="112" t="s">
        <v>1543</v>
      </c>
      <c r="I1517" s="112">
        <v>0</v>
      </c>
    </row>
    <row r="1518" spans="1:9">
      <c r="A1518" s="112" t="s">
        <v>1461</v>
      </c>
      <c r="B1518" s="112" t="s">
        <v>1568</v>
      </c>
      <c r="C1518" s="112">
        <v>102.4624472</v>
      </c>
      <c r="D1518" s="112" t="s">
        <v>1569</v>
      </c>
      <c r="E1518" s="112" t="s">
        <v>1543</v>
      </c>
      <c r="F1518" s="112" t="s">
        <v>1569</v>
      </c>
      <c r="G1518" s="112" t="s">
        <v>1461</v>
      </c>
      <c r="H1518" s="112" t="s">
        <v>1543</v>
      </c>
      <c r="I1518" s="112">
        <v>152.01944779999999</v>
      </c>
    </row>
    <row r="1519" spans="1:9">
      <c r="A1519" s="112" t="s">
        <v>1465</v>
      </c>
      <c r="B1519" s="112" t="s">
        <v>1568</v>
      </c>
      <c r="C1519" s="112">
        <v>0</v>
      </c>
      <c r="D1519" s="112" t="s">
        <v>1569</v>
      </c>
      <c r="E1519" s="112" t="s">
        <v>1543</v>
      </c>
      <c r="F1519" s="112" t="s">
        <v>1569</v>
      </c>
      <c r="G1519" s="112" t="s">
        <v>1465</v>
      </c>
      <c r="H1519" s="112" t="s">
        <v>1543</v>
      </c>
      <c r="I1519" s="112">
        <v>0</v>
      </c>
    </row>
    <row r="1520" spans="1:9">
      <c r="A1520" s="112" t="s">
        <v>1466</v>
      </c>
      <c r="B1520" s="112" t="s">
        <v>1568</v>
      </c>
      <c r="C1520" s="112">
        <v>9423.1104400000004</v>
      </c>
      <c r="D1520" s="112" t="s">
        <v>1569</v>
      </c>
      <c r="E1520" s="112" t="s">
        <v>1543</v>
      </c>
      <c r="F1520" s="112" t="s">
        <v>1569</v>
      </c>
      <c r="G1520" s="112" t="s">
        <v>1466</v>
      </c>
      <c r="H1520" s="112" t="s">
        <v>1543</v>
      </c>
      <c r="I1520" s="112">
        <v>12513.797710000001</v>
      </c>
    </row>
    <row r="1521" spans="1:9">
      <c r="A1521" s="112" t="s">
        <v>1467</v>
      </c>
      <c r="B1521" s="112" t="s">
        <v>1568</v>
      </c>
      <c r="C1521" s="112">
        <v>10212.01413</v>
      </c>
      <c r="D1521" s="112" t="s">
        <v>1569</v>
      </c>
      <c r="E1521" s="112" t="s">
        <v>1543</v>
      </c>
      <c r="F1521" s="112" t="s">
        <v>1569</v>
      </c>
      <c r="G1521" s="112" t="s">
        <v>1467</v>
      </c>
      <c r="H1521" s="112" t="s">
        <v>1543</v>
      </c>
      <c r="I1521" s="112">
        <v>11744.78298</v>
      </c>
    </row>
    <row r="1522" spans="1:9">
      <c r="A1522" s="112" t="s">
        <v>1468</v>
      </c>
      <c r="B1522" s="112" t="s">
        <v>1568</v>
      </c>
      <c r="C1522" s="112">
        <v>0</v>
      </c>
      <c r="D1522" s="112" t="s">
        <v>1569</v>
      </c>
      <c r="E1522" s="112" t="s">
        <v>1543</v>
      </c>
      <c r="F1522" s="112" t="s">
        <v>1569</v>
      </c>
      <c r="G1522" s="112" t="s">
        <v>1468</v>
      </c>
      <c r="H1522" s="112" t="s">
        <v>1543</v>
      </c>
      <c r="I1522" s="112">
        <v>0</v>
      </c>
    </row>
    <row r="1523" spans="1:9">
      <c r="A1523" s="112" t="s">
        <v>1469</v>
      </c>
      <c r="B1523" s="112" t="s">
        <v>1568</v>
      </c>
      <c r="C1523" s="112">
        <v>12412.506729999999</v>
      </c>
      <c r="D1523" s="112" t="s">
        <v>1569</v>
      </c>
      <c r="E1523" s="112" t="s">
        <v>1543</v>
      </c>
      <c r="F1523" s="112" t="s">
        <v>1569</v>
      </c>
      <c r="G1523" s="112" t="s">
        <v>1469</v>
      </c>
      <c r="H1523" s="112" t="s">
        <v>1543</v>
      </c>
      <c r="I1523" s="112">
        <v>15335.358819999999</v>
      </c>
    </row>
    <row r="1524" spans="1:9">
      <c r="A1524" s="112" t="s">
        <v>1470</v>
      </c>
      <c r="B1524" s="112" t="s">
        <v>1568</v>
      </c>
      <c r="C1524" s="112">
        <v>2028.3975660000001</v>
      </c>
      <c r="D1524" s="112" t="s">
        <v>1569</v>
      </c>
      <c r="E1524" s="112" t="s">
        <v>1543</v>
      </c>
      <c r="F1524" s="112" t="s">
        <v>1569</v>
      </c>
      <c r="G1524" s="112" t="s">
        <v>1470</v>
      </c>
      <c r="H1524" s="112" t="s">
        <v>1543</v>
      </c>
      <c r="I1524" s="112">
        <v>2028.3975660000001</v>
      </c>
    </row>
    <row r="1525" spans="1:9">
      <c r="A1525" s="112" t="s">
        <v>1471</v>
      </c>
      <c r="B1525" s="112" t="s">
        <v>1568</v>
      </c>
      <c r="C1525" s="112">
        <v>1656.6729029999999</v>
      </c>
      <c r="D1525" s="112" t="s">
        <v>1569</v>
      </c>
      <c r="E1525" s="112" t="s">
        <v>1543</v>
      </c>
      <c r="F1525" s="112" t="s">
        <v>1569</v>
      </c>
      <c r="G1525" s="112" t="s">
        <v>1471</v>
      </c>
      <c r="H1525" s="112" t="s">
        <v>1543</v>
      </c>
      <c r="I1525" s="112">
        <v>1889.2599849999999</v>
      </c>
    </row>
    <row r="1526" spans="1:9">
      <c r="A1526" s="112" t="s">
        <v>1472</v>
      </c>
      <c r="B1526" s="112" t="s">
        <v>1568</v>
      </c>
      <c r="C1526" s="112">
        <v>0</v>
      </c>
      <c r="D1526" s="112" t="s">
        <v>1569</v>
      </c>
      <c r="E1526" s="112" t="s">
        <v>1543</v>
      </c>
      <c r="F1526" s="112" t="s">
        <v>1569</v>
      </c>
      <c r="G1526" s="112" t="s">
        <v>1472</v>
      </c>
      <c r="H1526" s="112" t="s">
        <v>1543</v>
      </c>
      <c r="I1526" s="112">
        <v>0</v>
      </c>
    </row>
    <row r="1527" spans="1:9">
      <c r="A1527" s="112" t="s">
        <v>1473</v>
      </c>
      <c r="B1527" s="112" t="s">
        <v>1568</v>
      </c>
      <c r="C1527" s="112">
        <v>7398.3843690000003</v>
      </c>
      <c r="D1527" s="112" t="s">
        <v>1569</v>
      </c>
      <c r="E1527" s="112" t="s">
        <v>1543</v>
      </c>
      <c r="F1527" s="112" t="s">
        <v>1569</v>
      </c>
      <c r="G1527" s="112" t="s">
        <v>1473</v>
      </c>
      <c r="H1527" s="112" t="s">
        <v>1543</v>
      </c>
      <c r="I1527" s="112">
        <v>8575.9415389999995</v>
      </c>
    </row>
    <row r="1528" spans="1:9">
      <c r="A1528" s="112" t="s">
        <v>1474</v>
      </c>
      <c r="B1528" s="112" t="s">
        <v>1568</v>
      </c>
      <c r="C1528" s="112">
        <v>0</v>
      </c>
      <c r="D1528" s="112" t="s">
        <v>1569</v>
      </c>
      <c r="E1528" s="112" t="s">
        <v>1543</v>
      </c>
      <c r="F1528" s="112" t="s">
        <v>1569</v>
      </c>
      <c r="G1528" s="112" t="s">
        <v>1474</v>
      </c>
      <c r="H1528" s="112" t="s">
        <v>1543</v>
      </c>
      <c r="I1528" s="112">
        <v>0</v>
      </c>
    </row>
    <row r="1529" spans="1:9">
      <c r="A1529" s="112" t="s">
        <v>1475</v>
      </c>
      <c r="B1529" s="112" t="s">
        <v>1568</v>
      </c>
      <c r="C1529" s="112">
        <v>0</v>
      </c>
      <c r="D1529" s="112" t="s">
        <v>1569</v>
      </c>
      <c r="E1529" s="112" t="s">
        <v>1543</v>
      </c>
      <c r="F1529" s="112" t="s">
        <v>1569</v>
      </c>
      <c r="G1529" s="112" t="s">
        <v>1475</v>
      </c>
      <c r="H1529" s="112" t="s">
        <v>1543</v>
      </c>
      <c r="I1529" s="112">
        <v>0</v>
      </c>
    </row>
    <row r="1530" spans="1:9">
      <c r="A1530" s="112" t="s">
        <v>1476</v>
      </c>
      <c r="B1530" s="112" t="s">
        <v>1568</v>
      </c>
      <c r="C1530" s="112">
        <v>144.1348495</v>
      </c>
      <c r="D1530" s="112" t="s">
        <v>1569</v>
      </c>
      <c r="E1530" s="112" t="s">
        <v>1543</v>
      </c>
      <c r="F1530" s="112" t="s">
        <v>1569</v>
      </c>
      <c r="G1530" s="112" t="s">
        <v>1476</v>
      </c>
      <c r="H1530" s="112" t="s">
        <v>1543</v>
      </c>
      <c r="I1530" s="112">
        <v>227.58134129999999</v>
      </c>
    </row>
    <row r="1531" spans="1:9">
      <c r="A1531" s="112" t="s">
        <v>1477</v>
      </c>
      <c r="B1531" s="112" t="s">
        <v>1568</v>
      </c>
      <c r="C1531" s="112">
        <v>6740.5332399999998</v>
      </c>
      <c r="D1531" s="112" t="s">
        <v>1569</v>
      </c>
      <c r="E1531" s="112" t="s">
        <v>1543</v>
      </c>
      <c r="F1531" s="112" t="s">
        <v>1569</v>
      </c>
      <c r="G1531" s="112" t="s">
        <v>1477</v>
      </c>
      <c r="H1531" s="112" t="s">
        <v>1543</v>
      </c>
      <c r="I1531" s="112">
        <v>8428.7929569999997</v>
      </c>
    </row>
    <row r="1532" spans="1:9">
      <c r="A1532" s="112" t="s">
        <v>1478</v>
      </c>
      <c r="B1532" s="112" t="s">
        <v>1568</v>
      </c>
      <c r="C1532" s="112">
        <v>2060.5549270000001</v>
      </c>
      <c r="D1532" s="112" t="s">
        <v>1569</v>
      </c>
      <c r="E1532" s="112" t="s">
        <v>1543</v>
      </c>
      <c r="F1532" s="112" t="s">
        <v>1569</v>
      </c>
      <c r="G1532" s="112" t="s">
        <v>1478</v>
      </c>
      <c r="H1532" s="112" t="s">
        <v>1543</v>
      </c>
      <c r="I1532" s="112">
        <v>2438.1737360000002</v>
      </c>
    </row>
    <row r="1533" spans="1:9">
      <c r="A1533" s="112" t="s">
        <v>1479</v>
      </c>
      <c r="B1533" s="112" t="s">
        <v>1568</v>
      </c>
      <c r="C1533" s="112">
        <v>11553.91829</v>
      </c>
      <c r="D1533" s="112" t="s">
        <v>1569</v>
      </c>
      <c r="E1533" s="112" t="s">
        <v>1543</v>
      </c>
      <c r="F1533" s="112" t="s">
        <v>1569</v>
      </c>
      <c r="G1533" s="112" t="s">
        <v>1479</v>
      </c>
      <c r="H1533" s="112" t="s">
        <v>1543</v>
      </c>
      <c r="I1533" s="112">
        <v>13730.743469999999</v>
      </c>
    </row>
    <row r="1534" spans="1:9">
      <c r="A1534" s="112" t="s">
        <v>1480</v>
      </c>
      <c r="B1534" s="112" t="s">
        <v>1568</v>
      </c>
      <c r="C1534" s="112">
        <v>79.697150829999998</v>
      </c>
      <c r="D1534" s="112" t="s">
        <v>1569</v>
      </c>
      <c r="E1534" s="112" t="s">
        <v>1543</v>
      </c>
      <c r="F1534" s="112" t="s">
        <v>1569</v>
      </c>
      <c r="G1534" s="112" t="s">
        <v>1480</v>
      </c>
      <c r="H1534" s="112" t="s">
        <v>1543</v>
      </c>
      <c r="I1534" s="112">
        <v>95.636581000000007</v>
      </c>
    </row>
    <row r="1535" spans="1:9">
      <c r="A1535" s="112" t="s">
        <v>1481</v>
      </c>
      <c r="B1535" s="112" t="s">
        <v>1568</v>
      </c>
      <c r="C1535" s="112">
        <v>0</v>
      </c>
      <c r="D1535" s="112" t="s">
        <v>1569</v>
      </c>
      <c r="E1535" s="112" t="s">
        <v>1543</v>
      </c>
      <c r="F1535" s="112" t="s">
        <v>1569</v>
      </c>
      <c r="G1535" s="112" t="s">
        <v>1481</v>
      </c>
      <c r="H1535" s="112" t="s">
        <v>1543</v>
      </c>
      <c r="I1535" s="112">
        <v>0</v>
      </c>
    </row>
    <row r="1536" spans="1:9">
      <c r="A1536" s="112" t="s">
        <v>1482</v>
      </c>
      <c r="B1536" s="112" t="s">
        <v>1568</v>
      </c>
      <c r="C1536" s="112">
        <v>0</v>
      </c>
      <c r="D1536" s="112" t="s">
        <v>1569</v>
      </c>
      <c r="E1536" s="112" t="s">
        <v>1543</v>
      </c>
      <c r="F1536" s="112" t="s">
        <v>1569</v>
      </c>
      <c r="G1536" s="112" t="s">
        <v>1482</v>
      </c>
      <c r="H1536" s="112" t="s">
        <v>1543</v>
      </c>
      <c r="I1536" s="112">
        <v>0</v>
      </c>
    </row>
    <row r="1537" spans="1:9">
      <c r="A1537" s="112" t="s">
        <v>1483</v>
      </c>
      <c r="B1537" s="112" t="s">
        <v>1568</v>
      </c>
      <c r="C1537" s="112">
        <v>0</v>
      </c>
      <c r="D1537" s="112" t="s">
        <v>1569</v>
      </c>
      <c r="E1537" s="112" t="s">
        <v>1543</v>
      </c>
      <c r="F1537" s="112" t="s">
        <v>1569</v>
      </c>
      <c r="G1537" s="112" t="s">
        <v>1483</v>
      </c>
      <c r="H1537" s="112" t="s">
        <v>1543</v>
      </c>
      <c r="I1537" s="112">
        <v>0</v>
      </c>
    </row>
    <row r="1538" spans="1:9">
      <c r="A1538" s="112" t="s">
        <v>1484</v>
      </c>
      <c r="B1538" s="112" t="s">
        <v>1568</v>
      </c>
      <c r="C1538" s="112">
        <v>0</v>
      </c>
      <c r="D1538" s="112" t="s">
        <v>1569</v>
      </c>
      <c r="E1538" s="112" t="s">
        <v>1543</v>
      </c>
      <c r="F1538" s="112" t="s">
        <v>1569</v>
      </c>
      <c r="G1538" s="112" t="s">
        <v>1484</v>
      </c>
      <c r="H1538" s="112" t="s">
        <v>1543</v>
      </c>
      <c r="I1538" s="112">
        <v>0</v>
      </c>
    </row>
    <row r="1539" spans="1:9">
      <c r="A1539" s="112" t="s">
        <v>1485</v>
      </c>
      <c r="B1539" s="112" t="s">
        <v>1568</v>
      </c>
      <c r="C1539" s="112">
        <v>0</v>
      </c>
      <c r="D1539" s="112" t="s">
        <v>1569</v>
      </c>
      <c r="E1539" s="112" t="s">
        <v>1543</v>
      </c>
      <c r="F1539" s="112" t="s">
        <v>1569</v>
      </c>
      <c r="G1539" s="112" t="s">
        <v>1485</v>
      </c>
      <c r="H1539" s="112" t="s">
        <v>1543</v>
      </c>
      <c r="I1539" s="112">
        <v>0</v>
      </c>
    </row>
    <row r="1540" spans="1:9">
      <c r="A1540" s="112" t="s">
        <v>1486</v>
      </c>
      <c r="B1540" s="112" t="s">
        <v>1568</v>
      </c>
      <c r="C1540" s="112">
        <v>0</v>
      </c>
      <c r="D1540" s="112" t="s">
        <v>1569</v>
      </c>
      <c r="E1540" s="112" t="s">
        <v>1543</v>
      </c>
      <c r="F1540" s="112" t="s">
        <v>1569</v>
      </c>
      <c r="G1540" s="112" t="s">
        <v>1486</v>
      </c>
      <c r="H1540" s="112" t="s">
        <v>1543</v>
      </c>
      <c r="I1540" s="112">
        <v>0</v>
      </c>
    </row>
    <row r="1541" spans="1:9">
      <c r="A1541" s="112" t="s">
        <v>1487</v>
      </c>
      <c r="B1541" s="112" t="s">
        <v>1568</v>
      </c>
      <c r="C1541" s="112">
        <v>45.97067071</v>
      </c>
      <c r="D1541" s="112" t="s">
        <v>1569</v>
      </c>
      <c r="E1541" s="112" t="s">
        <v>1543</v>
      </c>
      <c r="F1541" s="112" t="s">
        <v>1569</v>
      </c>
      <c r="G1541" s="112" t="s">
        <v>1487</v>
      </c>
      <c r="H1541" s="112" t="s">
        <v>1543</v>
      </c>
      <c r="I1541" s="112">
        <v>45.97067071</v>
      </c>
    </row>
    <row r="1542" spans="1:9">
      <c r="A1542" s="112" t="s">
        <v>1488</v>
      </c>
      <c r="B1542" s="112" t="s">
        <v>1568</v>
      </c>
      <c r="C1542" s="112">
        <v>79.649542019999998</v>
      </c>
      <c r="D1542" s="112" t="s">
        <v>1569</v>
      </c>
      <c r="E1542" s="112" t="s">
        <v>1543</v>
      </c>
      <c r="F1542" s="112" t="s">
        <v>1569</v>
      </c>
      <c r="G1542" s="112" t="s">
        <v>1488</v>
      </c>
      <c r="H1542" s="112" t="s">
        <v>1543</v>
      </c>
      <c r="I1542" s="112">
        <v>159.29908399999999</v>
      </c>
    </row>
    <row r="1543" spans="1:9">
      <c r="A1543" s="112" t="s">
        <v>1489</v>
      </c>
      <c r="B1543" s="112" t="s">
        <v>1568</v>
      </c>
      <c r="C1543" s="112">
        <v>23.29956838</v>
      </c>
      <c r="D1543" s="112" t="s">
        <v>1569</v>
      </c>
      <c r="E1543" s="112" t="s">
        <v>1543</v>
      </c>
      <c r="F1543" s="112" t="s">
        <v>1569</v>
      </c>
      <c r="G1543" s="112" t="s">
        <v>1489</v>
      </c>
      <c r="H1543" s="112" t="s">
        <v>1543</v>
      </c>
      <c r="I1543" s="112">
        <v>23.29956838</v>
      </c>
    </row>
    <row r="1544" spans="1:9">
      <c r="A1544" s="112" t="s">
        <v>1490</v>
      </c>
      <c r="B1544" s="112" t="s">
        <v>1568</v>
      </c>
      <c r="C1544" s="112">
        <v>0</v>
      </c>
      <c r="D1544" s="112" t="s">
        <v>1569</v>
      </c>
      <c r="E1544" s="112" t="s">
        <v>1543</v>
      </c>
      <c r="F1544" s="112" t="s">
        <v>1569</v>
      </c>
      <c r="G1544" s="112" t="s">
        <v>1490</v>
      </c>
      <c r="H1544" s="112" t="s">
        <v>1543</v>
      </c>
      <c r="I1544" s="112">
        <v>0</v>
      </c>
    </row>
    <row r="1545" spans="1:9">
      <c r="A1545" s="112" t="s">
        <v>1461</v>
      </c>
      <c r="B1545" s="112" t="s">
        <v>1570</v>
      </c>
      <c r="C1545" s="112">
        <v>22.76943271</v>
      </c>
      <c r="D1545" s="112" t="s">
        <v>1569</v>
      </c>
      <c r="E1545" s="112" t="s">
        <v>1543</v>
      </c>
      <c r="F1545" s="112" t="s">
        <v>1569</v>
      </c>
      <c r="G1545" s="112" t="s">
        <v>1461</v>
      </c>
      <c r="H1545" s="112" t="s">
        <v>1543</v>
      </c>
      <c r="I1545" s="112">
        <v>152.01944779999999</v>
      </c>
    </row>
    <row r="1546" spans="1:9">
      <c r="A1546" s="112" t="s">
        <v>1465</v>
      </c>
      <c r="B1546" s="112" t="s">
        <v>1570</v>
      </c>
      <c r="C1546" s="112">
        <v>0</v>
      </c>
      <c r="D1546" s="112" t="s">
        <v>1569</v>
      </c>
      <c r="E1546" s="112" t="s">
        <v>1543</v>
      </c>
      <c r="F1546" s="112" t="s">
        <v>1569</v>
      </c>
      <c r="G1546" s="112" t="s">
        <v>1465</v>
      </c>
      <c r="H1546" s="112" t="s">
        <v>1543</v>
      </c>
      <c r="I1546" s="112">
        <v>0</v>
      </c>
    </row>
    <row r="1547" spans="1:9">
      <c r="A1547" s="112" t="s">
        <v>1466</v>
      </c>
      <c r="B1547" s="112" t="s">
        <v>1570</v>
      </c>
      <c r="C1547" s="112">
        <v>1789.345262</v>
      </c>
      <c r="D1547" s="112" t="s">
        <v>1569</v>
      </c>
      <c r="E1547" s="112" t="s">
        <v>1543</v>
      </c>
      <c r="F1547" s="112" t="s">
        <v>1569</v>
      </c>
      <c r="G1547" s="112" t="s">
        <v>1466</v>
      </c>
      <c r="H1547" s="112" t="s">
        <v>1543</v>
      </c>
      <c r="I1547" s="112">
        <v>12513.797710000001</v>
      </c>
    </row>
    <row r="1548" spans="1:9">
      <c r="A1548" s="112" t="s">
        <v>1467</v>
      </c>
      <c r="B1548" s="112" t="s">
        <v>1570</v>
      </c>
      <c r="C1548" s="112">
        <v>874.05827060000001</v>
      </c>
      <c r="D1548" s="112" t="s">
        <v>1569</v>
      </c>
      <c r="E1548" s="112" t="s">
        <v>1543</v>
      </c>
      <c r="F1548" s="112" t="s">
        <v>1569</v>
      </c>
      <c r="G1548" s="112" t="s">
        <v>1467</v>
      </c>
      <c r="H1548" s="112" t="s">
        <v>1543</v>
      </c>
      <c r="I1548" s="112">
        <v>11744.78298</v>
      </c>
    </row>
    <row r="1549" spans="1:9">
      <c r="A1549" s="112" t="s">
        <v>1468</v>
      </c>
      <c r="B1549" s="112" t="s">
        <v>1570</v>
      </c>
      <c r="C1549" s="112">
        <v>0</v>
      </c>
      <c r="D1549" s="112" t="s">
        <v>1569</v>
      </c>
      <c r="E1549" s="112" t="s">
        <v>1543</v>
      </c>
      <c r="F1549" s="112" t="s">
        <v>1569</v>
      </c>
      <c r="G1549" s="112" t="s">
        <v>1468</v>
      </c>
      <c r="H1549" s="112" t="s">
        <v>1543</v>
      </c>
      <c r="I1549" s="112">
        <v>0</v>
      </c>
    </row>
    <row r="1550" spans="1:9">
      <c r="A1550" s="112" t="s">
        <v>1469</v>
      </c>
      <c r="B1550" s="112" t="s">
        <v>1570</v>
      </c>
      <c r="C1550" s="112">
        <v>1951.7729409999999</v>
      </c>
      <c r="D1550" s="112" t="s">
        <v>1569</v>
      </c>
      <c r="E1550" s="112" t="s">
        <v>1543</v>
      </c>
      <c r="F1550" s="112" t="s">
        <v>1569</v>
      </c>
      <c r="G1550" s="112" t="s">
        <v>1469</v>
      </c>
      <c r="H1550" s="112" t="s">
        <v>1543</v>
      </c>
      <c r="I1550" s="112">
        <v>15335.358819999999</v>
      </c>
    </row>
    <row r="1551" spans="1:9">
      <c r="A1551" s="112" t="s">
        <v>1470</v>
      </c>
      <c r="B1551" s="112" t="s">
        <v>1570</v>
      </c>
      <c r="C1551" s="112">
        <v>0</v>
      </c>
      <c r="D1551" s="112" t="s">
        <v>1569</v>
      </c>
      <c r="E1551" s="112" t="s">
        <v>1543</v>
      </c>
      <c r="F1551" s="112" t="s">
        <v>1569</v>
      </c>
      <c r="G1551" s="112" t="s">
        <v>1470</v>
      </c>
      <c r="H1551" s="112" t="s">
        <v>1543</v>
      </c>
      <c r="I1551" s="112">
        <v>2028.3975660000001</v>
      </c>
    </row>
    <row r="1552" spans="1:9">
      <c r="A1552" s="112" t="s">
        <v>1471</v>
      </c>
      <c r="B1552" s="112" t="s">
        <v>1570</v>
      </c>
      <c r="C1552" s="112">
        <v>169.33971790000001</v>
      </c>
      <c r="D1552" s="112" t="s">
        <v>1569</v>
      </c>
      <c r="E1552" s="112" t="s">
        <v>1543</v>
      </c>
      <c r="F1552" s="112" t="s">
        <v>1569</v>
      </c>
      <c r="G1552" s="112" t="s">
        <v>1471</v>
      </c>
      <c r="H1552" s="112" t="s">
        <v>1543</v>
      </c>
      <c r="I1552" s="112">
        <v>1889.2599849999999</v>
      </c>
    </row>
    <row r="1553" spans="1:9">
      <c r="A1553" s="112" t="s">
        <v>1472</v>
      </c>
      <c r="B1553" s="112" t="s">
        <v>1570</v>
      </c>
      <c r="C1553" s="112">
        <v>0</v>
      </c>
      <c r="D1553" s="112" t="s">
        <v>1569</v>
      </c>
      <c r="E1553" s="112" t="s">
        <v>1543</v>
      </c>
      <c r="F1553" s="112" t="s">
        <v>1569</v>
      </c>
      <c r="G1553" s="112" t="s">
        <v>1472</v>
      </c>
      <c r="H1553" s="112" t="s">
        <v>1543</v>
      </c>
      <c r="I1553" s="112">
        <v>0</v>
      </c>
    </row>
    <row r="1554" spans="1:9">
      <c r="A1554" s="112" t="s">
        <v>1473</v>
      </c>
      <c r="B1554" s="112" t="s">
        <v>1570</v>
      </c>
      <c r="C1554" s="112">
        <v>877.71857039999998</v>
      </c>
      <c r="D1554" s="112" t="s">
        <v>1569</v>
      </c>
      <c r="E1554" s="112" t="s">
        <v>1543</v>
      </c>
      <c r="F1554" s="112" t="s">
        <v>1569</v>
      </c>
      <c r="G1554" s="112" t="s">
        <v>1473</v>
      </c>
      <c r="H1554" s="112" t="s">
        <v>1543</v>
      </c>
      <c r="I1554" s="112">
        <v>8575.9415389999995</v>
      </c>
    </row>
    <row r="1555" spans="1:9">
      <c r="A1555" s="112" t="s">
        <v>1474</v>
      </c>
      <c r="B1555" s="112" t="s">
        <v>1570</v>
      </c>
      <c r="C1555" s="112">
        <v>0</v>
      </c>
      <c r="D1555" s="112" t="s">
        <v>1569</v>
      </c>
      <c r="E1555" s="112" t="s">
        <v>1543</v>
      </c>
      <c r="F1555" s="112" t="s">
        <v>1569</v>
      </c>
      <c r="G1555" s="112" t="s">
        <v>1474</v>
      </c>
      <c r="H1555" s="112" t="s">
        <v>1543</v>
      </c>
      <c r="I1555" s="112">
        <v>0</v>
      </c>
    </row>
    <row r="1556" spans="1:9">
      <c r="A1556" s="112" t="s">
        <v>1475</v>
      </c>
      <c r="B1556" s="112" t="s">
        <v>1570</v>
      </c>
      <c r="C1556" s="112">
        <v>0</v>
      </c>
      <c r="D1556" s="112" t="s">
        <v>1569</v>
      </c>
      <c r="E1556" s="112" t="s">
        <v>1543</v>
      </c>
      <c r="F1556" s="112" t="s">
        <v>1569</v>
      </c>
      <c r="G1556" s="112" t="s">
        <v>1475</v>
      </c>
      <c r="H1556" s="112" t="s">
        <v>1543</v>
      </c>
      <c r="I1556" s="112">
        <v>0</v>
      </c>
    </row>
    <row r="1557" spans="1:9">
      <c r="A1557" s="112" t="s">
        <v>1476</v>
      </c>
      <c r="B1557" s="112" t="s">
        <v>1570</v>
      </c>
      <c r="C1557" s="112">
        <v>45.516268269999998</v>
      </c>
      <c r="D1557" s="112" t="s">
        <v>1569</v>
      </c>
      <c r="E1557" s="112" t="s">
        <v>1543</v>
      </c>
      <c r="F1557" s="112" t="s">
        <v>1569</v>
      </c>
      <c r="G1557" s="112" t="s">
        <v>1476</v>
      </c>
      <c r="H1557" s="112" t="s">
        <v>1543</v>
      </c>
      <c r="I1557" s="112">
        <v>227.58134129999999</v>
      </c>
    </row>
    <row r="1558" spans="1:9">
      <c r="A1558" s="112" t="s">
        <v>1477</v>
      </c>
      <c r="B1558" s="112" t="s">
        <v>1570</v>
      </c>
      <c r="C1558" s="112">
        <v>962.93331999999998</v>
      </c>
      <c r="D1558" s="112" t="s">
        <v>1569</v>
      </c>
      <c r="E1558" s="112" t="s">
        <v>1543</v>
      </c>
      <c r="F1558" s="112" t="s">
        <v>1569</v>
      </c>
      <c r="G1558" s="112" t="s">
        <v>1477</v>
      </c>
      <c r="H1558" s="112" t="s">
        <v>1543</v>
      </c>
      <c r="I1558" s="112">
        <v>8428.7929569999997</v>
      </c>
    </row>
    <row r="1559" spans="1:9">
      <c r="A1559" s="112" t="s">
        <v>1478</v>
      </c>
      <c r="B1559" s="112" t="s">
        <v>1570</v>
      </c>
      <c r="C1559" s="112">
        <v>360.94972730000001</v>
      </c>
      <c r="D1559" s="112" t="s">
        <v>1569</v>
      </c>
      <c r="E1559" s="112" t="s">
        <v>1543</v>
      </c>
      <c r="F1559" s="112" t="s">
        <v>1569</v>
      </c>
      <c r="G1559" s="112" t="s">
        <v>1478</v>
      </c>
      <c r="H1559" s="112" t="s">
        <v>1543</v>
      </c>
      <c r="I1559" s="112">
        <v>2438.1737360000002</v>
      </c>
    </row>
    <row r="1560" spans="1:9">
      <c r="A1560" s="112" t="s">
        <v>1479</v>
      </c>
      <c r="B1560" s="112" t="s">
        <v>1570</v>
      </c>
      <c r="C1560" s="112">
        <v>2176.8251839999998</v>
      </c>
      <c r="D1560" s="112" t="s">
        <v>1569</v>
      </c>
      <c r="E1560" s="112" t="s">
        <v>1543</v>
      </c>
      <c r="F1560" s="112" t="s">
        <v>1569</v>
      </c>
      <c r="G1560" s="112" t="s">
        <v>1479</v>
      </c>
      <c r="H1560" s="112" t="s">
        <v>1543</v>
      </c>
      <c r="I1560" s="112">
        <v>13730.743469999999</v>
      </c>
    </row>
    <row r="1561" spans="1:9">
      <c r="A1561" s="112" t="s">
        <v>1480</v>
      </c>
      <c r="B1561" s="112" t="s">
        <v>1570</v>
      </c>
      <c r="C1561" s="112">
        <v>0</v>
      </c>
      <c r="D1561" s="112" t="s">
        <v>1569</v>
      </c>
      <c r="E1561" s="112" t="s">
        <v>1543</v>
      </c>
      <c r="F1561" s="112" t="s">
        <v>1569</v>
      </c>
      <c r="G1561" s="112" t="s">
        <v>1480</v>
      </c>
      <c r="H1561" s="112" t="s">
        <v>1543</v>
      </c>
      <c r="I1561" s="112">
        <v>95.636581000000007</v>
      </c>
    </row>
    <row r="1562" spans="1:9">
      <c r="A1562" s="112" t="s">
        <v>1481</v>
      </c>
      <c r="B1562" s="112" t="s">
        <v>1570</v>
      </c>
      <c r="C1562" s="112">
        <v>0</v>
      </c>
      <c r="D1562" s="112" t="s">
        <v>1569</v>
      </c>
      <c r="E1562" s="112" t="s">
        <v>1543</v>
      </c>
      <c r="F1562" s="112" t="s">
        <v>1569</v>
      </c>
      <c r="G1562" s="112" t="s">
        <v>1481</v>
      </c>
      <c r="H1562" s="112" t="s">
        <v>1543</v>
      </c>
      <c r="I1562" s="112">
        <v>0</v>
      </c>
    </row>
    <row r="1563" spans="1:9">
      <c r="A1563" s="112" t="s">
        <v>1482</v>
      </c>
      <c r="B1563" s="112" t="s">
        <v>1570</v>
      </c>
      <c r="C1563" s="112">
        <v>0</v>
      </c>
      <c r="D1563" s="112" t="s">
        <v>1569</v>
      </c>
      <c r="E1563" s="112" t="s">
        <v>1543</v>
      </c>
      <c r="F1563" s="112" t="s">
        <v>1569</v>
      </c>
      <c r="G1563" s="112" t="s">
        <v>1482</v>
      </c>
      <c r="H1563" s="112" t="s">
        <v>1543</v>
      </c>
      <c r="I1563" s="112">
        <v>0</v>
      </c>
    </row>
    <row r="1564" spans="1:9">
      <c r="A1564" s="112" t="s">
        <v>1483</v>
      </c>
      <c r="B1564" s="112" t="s">
        <v>1570</v>
      </c>
      <c r="C1564" s="112">
        <v>0</v>
      </c>
      <c r="D1564" s="112" t="s">
        <v>1569</v>
      </c>
      <c r="E1564" s="112" t="s">
        <v>1543</v>
      </c>
      <c r="F1564" s="112" t="s">
        <v>1569</v>
      </c>
      <c r="G1564" s="112" t="s">
        <v>1483</v>
      </c>
      <c r="H1564" s="112" t="s">
        <v>1543</v>
      </c>
      <c r="I1564" s="112">
        <v>0</v>
      </c>
    </row>
    <row r="1565" spans="1:9">
      <c r="A1565" s="112" t="s">
        <v>1484</v>
      </c>
      <c r="B1565" s="112" t="s">
        <v>1570</v>
      </c>
      <c r="C1565" s="112">
        <v>0</v>
      </c>
      <c r="D1565" s="112" t="s">
        <v>1569</v>
      </c>
      <c r="E1565" s="112" t="s">
        <v>1543</v>
      </c>
      <c r="F1565" s="112" t="s">
        <v>1569</v>
      </c>
      <c r="G1565" s="112" t="s">
        <v>1484</v>
      </c>
      <c r="H1565" s="112" t="s">
        <v>1543</v>
      </c>
      <c r="I1565" s="112">
        <v>0</v>
      </c>
    </row>
    <row r="1566" spans="1:9">
      <c r="A1566" s="112" t="s">
        <v>1485</v>
      </c>
      <c r="B1566" s="112" t="s">
        <v>1570</v>
      </c>
      <c r="C1566" s="112">
        <v>0</v>
      </c>
      <c r="D1566" s="112" t="s">
        <v>1569</v>
      </c>
      <c r="E1566" s="112" t="s">
        <v>1543</v>
      </c>
      <c r="F1566" s="112" t="s">
        <v>1569</v>
      </c>
      <c r="G1566" s="112" t="s">
        <v>1485</v>
      </c>
      <c r="H1566" s="112" t="s">
        <v>1543</v>
      </c>
      <c r="I1566" s="112">
        <v>0</v>
      </c>
    </row>
    <row r="1567" spans="1:9">
      <c r="A1567" s="112" t="s">
        <v>1486</v>
      </c>
      <c r="B1567" s="112" t="s">
        <v>1570</v>
      </c>
      <c r="C1567" s="112">
        <v>0</v>
      </c>
      <c r="D1567" s="112" t="s">
        <v>1569</v>
      </c>
      <c r="E1567" s="112" t="s">
        <v>1543</v>
      </c>
      <c r="F1567" s="112" t="s">
        <v>1569</v>
      </c>
      <c r="G1567" s="112" t="s">
        <v>1486</v>
      </c>
      <c r="H1567" s="112" t="s">
        <v>1543</v>
      </c>
      <c r="I1567" s="112">
        <v>0</v>
      </c>
    </row>
    <row r="1568" spans="1:9">
      <c r="A1568" s="112" t="s">
        <v>1487</v>
      </c>
      <c r="B1568" s="112" t="s">
        <v>1570</v>
      </c>
      <c r="C1568" s="112">
        <v>0</v>
      </c>
      <c r="D1568" s="112" t="s">
        <v>1569</v>
      </c>
      <c r="E1568" s="112" t="s">
        <v>1543</v>
      </c>
      <c r="F1568" s="112" t="s">
        <v>1569</v>
      </c>
      <c r="G1568" s="112" t="s">
        <v>1487</v>
      </c>
      <c r="H1568" s="112" t="s">
        <v>1543</v>
      </c>
      <c r="I1568" s="112">
        <v>45.97067071</v>
      </c>
    </row>
    <row r="1569" spans="1:9">
      <c r="A1569" s="112" t="s">
        <v>1488</v>
      </c>
      <c r="B1569" s="112" t="s">
        <v>1570</v>
      </c>
      <c r="C1569" s="112">
        <v>0</v>
      </c>
      <c r="D1569" s="112" t="s">
        <v>1569</v>
      </c>
      <c r="E1569" s="112" t="s">
        <v>1543</v>
      </c>
      <c r="F1569" s="112" t="s">
        <v>1569</v>
      </c>
      <c r="G1569" s="112" t="s">
        <v>1488</v>
      </c>
      <c r="H1569" s="112" t="s">
        <v>1543</v>
      </c>
      <c r="I1569" s="112">
        <v>159.29908399999999</v>
      </c>
    </row>
    <row r="1570" spans="1:9">
      <c r="A1570" s="112" t="s">
        <v>1489</v>
      </c>
      <c r="B1570" s="112" t="s">
        <v>1570</v>
      </c>
      <c r="C1570" s="112">
        <v>0</v>
      </c>
      <c r="D1570" s="112" t="s">
        <v>1569</v>
      </c>
      <c r="E1570" s="112" t="s">
        <v>1543</v>
      </c>
      <c r="F1570" s="112" t="s">
        <v>1569</v>
      </c>
      <c r="G1570" s="112" t="s">
        <v>1489</v>
      </c>
      <c r="H1570" s="112" t="s">
        <v>1543</v>
      </c>
      <c r="I1570" s="112">
        <v>23.29956838</v>
      </c>
    </row>
    <row r="1571" spans="1:9">
      <c r="A1571" s="112" t="s">
        <v>1490</v>
      </c>
      <c r="B1571" s="112" t="s">
        <v>1570</v>
      </c>
      <c r="C1571" s="112">
        <v>0</v>
      </c>
      <c r="D1571" s="112" t="s">
        <v>1569</v>
      </c>
      <c r="E1571" s="112" t="s">
        <v>1543</v>
      </c>
      <c r="F1571" s="112" t="s">
        <v>1569</v>
      </c>
      <c r="G1571" s="112" t="s">
        <v>1490</v>
      </c>
      <c r="H1571" s="112" t="s">
        <v>1543</v>
      </c>
      <c r="I1571" s="112">
        <v>0</v>
      </c>
    </row>
    <row r="1572" spans="1:9">
      <c r="A1572" s="112" t="s">
        <v>1461</v>
      </c>
      <c r="B1572" s="112" t="s">
        <v>1571</v>
      </c>
      <c r="C1572" s="112">
        <v>26.787567889999998</v>
      </c>
      <c r="D1572" s="112" t="s">
        <v>1569</v>
      </c>
      <c r="E1572" s="112" t="s">
        <v>1543</v>
      </c>
      <c r="F1572" s="112" t="s">
        <v>1569</v>
      </c>
      <c r="G1572" s="112" t="s">
        <v>1461</v>
      </c>
      <c r="H1572" s="112" t="s">
        <v>1543</v>
      </c>
      <c r="I1572" s="112">
        <v>152.01944779999999</v>
      </c>
    </row>
    <row r="1573" spans="1:9">
      <c r="A1573" s="112" t="s">
        <v>1465</v>
      </c>
      <c r="B1573" s="112" t="s">
        <v>1571</v>
      </c>
      <c r="C1573" s="112">
        <v>0</v>
      </c>
      <c r="D1573" s="112" t="s">
        <v>1569</v>
      </c>
      <c r="E1573" s="112" t="s">
        <v>1543</v>
      </c>
      <c r="F1573" s="112" t="s">
        <v>1569</v>
      </c>
      <c r="G1573" s="112" t="s">
        <v>1465</v>
      </c>
      <c r="H1573" s="112" t="s">
        <v>1543</v>
      </c>
      <c r="I1573" s="112">
        <v>0</v>
      </c>
    </row>
    <row r="1574" spans="1:9">
      <c r="A1574" s="112" t="s">
        <v>1466</v>
      </c>
      <c r="B1574" s="112" t="s">
        <v>1571</v>
      </c>
      <c r="C1574" s="112">
        <v>1301.342009</v>
      </c>
      <c r="D1574" s="112" t="s">
        <v>1569</v>
      </c>
      <c r="E1574" s="112" t="s">
        <v>1543</v>
      </c>
      <c r="F1574" s="112" t="s">
        <v>1569</v>
      </c>
      <c r="G1574" s="112" t="s">
        <v>1466</v>
      </c>
      <c r="H1574" s="112" t="s">
        <v>1543</v>
      </c>
      <c r="I1574" s="112">
        <v>12513.797710000001</v>
      </c>
    </row>
    <row r="1575" spans="1:9">
      <c r="A1575" s="112" t="s">
        <v>1467</v>
      </c>
      <c r="B1575" s="112" t="s">
        <v>1571</v>
      </c>
      <c r="C1575" s="112">
        <v>658.71058070000004</v>
      </c>
      <c r="D1575" s="112" t="s">
        <v>1569</v>
      </c>
      <c r="E1575" s="112" t="s">
        <v>1543</v>
      </c>
      <c r="F1575" s="112" t="s">
        <v>1569</v>
      </c>
      <c r="G1575" s="112" t="s">
        <v>1467</v>
      </c>
      <c r="H1575" s="112" t="s">
        <v>1543</v>
      </c>
      <c r="I1575" s="112">
        <v>11744.78298</v>
      </c>
    </row>
    <row r="1576" spans="1:9">
      <c r="A1576" s="112" t="s">
        <v>1468</v>
      </c>
      <c r="B1576" s="112" t="s">
        <v>1571</v>
      </c>
      <c r="C1576" s="112">
        <v>0</v>
      </c>
      <c r="D1576" s="112" t="s">
        <v>1569</v>
      </c>
      <c r="E1576" s="112" t="s">
        <v>1543</v>
      </c>
      <c r="F1576" s="112" t="s">
        <v>1569</v>
      </c>
      <c r="G1576" s="112" t="s">
        <v>1468</v>
      </c>
      <c r="H1576" s="112" t="s">
        <v>1543</v>
      </c>
      <c r="I1576" s="112">
        <v>0</v>
      </c>
    </row>
    <row r="1577" spans="1:9">
      <c r="A1577" s="112" t="s">
        <v>1469</v>
      </c>
      <c r="B1577" s="112" t="s">
        <v>1571</v>
      </c>
      <c r="C1577" s="112">
        <v>971.07914779999999</v>
      </c>
      <c r="D1577" s="112" t="s">
        <v>1569</v>
      </c>
      <c r="E1577" s="112" t="s">
        <v>1543</v>
      </c>
      <c r="F1577" s="112" t="s">
        <v>1569</v>
      </c>
      <c r="G1577" s="112" t="s">
        <v>1469</v>
      </c>
      <c r="H1577" s="112" t="s">
        <v>1543</v>
      </c>
      <c r="I1577" s="112">
        <v>15335.358819999999</v>
      </c>
    </row>
    <row r="1578" spans="1:9">
      <c r="A1578" s="112" t="s">
        <v>1470</v>
      </c>
      <c r="B1578" s="112" t="s">
        <v>1571</v>
      </c>
      <c r="C1578" s="112">
        <v>0</v>
      </c>
      <c r="D1578" s="112" t="s">
        <v>1569</v>
      </c>
      <c r="E1578" s="112" t="s">
        <v>1543</v>
      </c>
      <c r="F1578" s="112" t="s">
        <v>1569</v>
      </c>
      <c r="G1578" s="112" t="s">
        <v>1470</v>
      </c>
      <c r="H1578" s="112" t="s">
        <v>1543</v>
      </c>
      <c r="I1578" s="112">
        <v>2028.3975660000001</v>
      </c>
    </row>
    <row r="1579" spans="1:9">
      <c r="A1579" s="112" t="s">
        <v>1471</v>
      </c>
      <c r="B1579" s="112" t="s">
        <v>1571</v>
      </c>
      <c r="C1579" s="112">
        <v>63.247364519999998</v>
      </c>
      <c r="D1579" s="112" t="s">
        <v>1569</v>
      </c>
      <c r="E1579" s="112" t="s">
        <v>1543</v>
      </c>
      <c r="F1579" s="112" t="s">
        <v>1569</v>
      </c>
      <c r="G1579" s="112" t="s">
        <v>1471</v>
      </c>
      <c r="H1579" s="112" t="s">
        <v>1543</v>
      </c>
      <c r="I1579" s="112">
        <v>1889.2599849999999</v>
      </c>
    </row>
    <row r="1580" spans="1:9">
      <c r="A1580" s="112" t="s">
        <v>1472</v>
      </c>
      <c r="B1580" s="112" t="s">
        <v>1571</v>
      </c>
      <c r="C1580" s="112">
        <v>0</v>
      </c>
      <c r="D1580" s="112" t="s">
        <v>1569</v>
      </c>
      <c r="E1580" s="112" t="s">
        <v>1543</v>
      </c>
      <c r="F1580" s="112" t="s">
        <v>1569</v>
      </c>
      <c r="G1580" s="112" t="s">
        <v>1472</v>
      </c>
      <c r="H1580" s="112" t="s">
        <v>1543</v>
      </c>
      <c r="I1580" s="112">
        <v>0</v>
      </c>
    </row>
    <row r="1581" spans="1:9">
      <c r="A1581" s="112" t="s">
        <v>1473</v>
      </c>
      <c r="B1581" s="112" t="s">
        <v>1571</v>
      </c>
      <c r="C1581" s="112">
        <v>299.83859910000001</v>
      </c>
      <c r="D1581" s="112" t="s">
        <v>1569</v>
      </c>
      <c r="E1581" s="112" t="s">
        <v>1543</v>
      </c>
      <c r="F1581" s="112" t="s">
        <v>1569</v>
      </c>
      <c r="G1581" s="112" t="s">
        <v>1473</v>
      </c>
      <c r="H1581" s="112" t="s">
        <v>1543</v>
      </c>
      <c r="I1581" s="112">
        <v>8575.9415389999995</v>
      </c>
    </row>
    <row r="1582" spans="1:9">
      <c r="A1582" s="112" t="s">
        <v>1474</v>
      </c>
      <c r="B1582" s="112" t="s">
        <v>1571</v>
      </c>
      <c r="C1582" s="112">
        <v>0</v>
      </c>
      <c r="D1582" s="112" t="s">
        <v>1569</v>
      </c>
      <c r="E1582" s="112" t="s">
        <v>1543</v>
      </c>
      <c r="F1582" s="112" t="s">
        <v>1569</v>
      </c>
      <c r="G1582" s="112" t="s">
        <v>1474</v>
      </c>
      <c r="H1582" s="112" t="s">
        <v>1543</v>
      </c>
      <c r="I1582" s="112">
        <v>0</v>
      </c>
    </row>
    <row r="1583" spans="1:9">
      <c r="A1583" s="112" t="s">
        <v>1475</v>
      </c>
      <c r="B1583" s="112" t="s">
        <v>1571</v>
      </c>
      <c r="C1583" s="112">
        <v>0</v>
      </c>
      <c r="D1583" s="112" t="s">
        <v>1569</v>
      </c>
      <c r="E1583" s="112" t="s">
        <v>1543</v>
      </c>
      <c r="F1583" s="112" t="s">
        <v>1569</v>
      </c>
      <c r="G1583" s="112" t="s">
        <v>1475</v>
      </c>
      <c r="H1583" s="112" t="s">
        <v>1543</v>
      </c>
      <c r="I1583" s="112">
        <v>0</v>
      </c>
    </row>
    <row r="1584" spans="1:9">
      <c r="A1584" s="112" t="s">
        <v>1476</v>
      </c>
      <c r="B1584" s="112" t="s">
        <v>1571</v>
      </c>
      <c r="C1584" s="112">
        <v>37.930223560000002</v>
      </c>
      <c r="D1584" s="112" t="s">
        <v>1569</v>
      </c>
      <c r="E1584" s="112" t="s">
        <v>1543</v>
      </c>
      <c r="F1584" s="112" t="s">
        <v>1569</v>
      </c>
      <c r="G1584" s="112" t="s">
        <v>1476</v>
      </c>
      <c r="H1584" s="112" t="s">
        <v>1543</v>
      </c>
      <c r="I1584" s="112">
        <v>227.58134129999999</v>
      </c>
    </row>
    <row r="1585" spans="1:9">
      <c r="A1585" s="112" t="s">
        <v>1477</v>
      </c>
      <c r="B1585" s="112" t="s">
        <v>1571</v>
      </c>
      <c r="C1585" s="112">
        <v>725.32639689999996</v>
      </c>
      <c r="D1585" s="112" t="s">
        <v>1569</v>
      </c>
      <c r="E1585" s="112" t="s">
        <v>1543</v>
      </c>
      <c r="F1585" s="112" t="s">
        <v>1569</v>
      </c>
      <c r="G1585" s="112" t="s">
        <v>1477</v>
      </c>
      <c r="H1585" s="112" t="s">
        <v>1543</v>
      </c>
      <c r="I1585" s="112">
        <v>8428.7929569999997</v>
      </c>
    </row>
    <row r="1586" spans="1:9">
      <c r="A1586" s="112" t="s">
        <v>1478</v>
      </c>
      <c r="B1586" s="112" t="s">
        <v>1571</v>
      </c>
      <c r="C1586" s="112">
        <v>16.669081550000001</v>
      </c>
      <c r="D1586" s="112" t="s">
        <v>1569</v>
      </c>
      <c r="E1586" s="112" t="s">
        <v>1543</v>
      </c>
      <c r="F1586" s="112" t="s">
        <v>1569</v>
      </c>
      <c r="G1586" s="112" t="s">
        <v>1478</v>
      </c>
      <c r="H1586" s="112" t="s">
        <v>1543</v>
      </c>
      <c r="I1586" s="112">
        <v>2438.1737360000002</v>
      </c>
    </row>
    <row r="1587" spans="1:9">
      <c r="A1587" s="112" t="s">
        <v>1479</v>
      </c>
      <c r="B1587" s="112" t="s">
        <v>1571</v>
      </c>
      <c r="C1587" s="112">
        <v>0</v>
      </c>
      <c r="D1587" s="112" t="s">
        <v>1569</v>
      </c>
      <c r="E1587" s="112" t="s">
        <v>1543</v>
      </c>
      <c r="F1587" s="112" t="s">
        <v>1569</v>
      </c>
      <c r="G1587" s="112" t="s">
        <v>1479</v>
      </c>
      <c r="H1587" s="112" t="s">
        <v>1543</v>
      </c>
      <c r="I1587" s="112">
        <v>13730.743469999999</v>
      </c>
    </row>
    <row r="1588" spans="1:9">
      <c r="A1588" s="112" t="s">
        <v>1480</v>
      </c>
      <c r="B1588" s="112" t="s">
        <v>1571</v>
      </c>
      <c r="C1588" s="112">
        <v>15.93943017</v>
      </c>
      <c r="D1588" s="112" t="s">
        <v>1569</v>
      </c>
      <c r="E1588" s="112" t="s">
        <v>1543</v>
      </c>
      <c r="F1588" s="112" t="s">
        <v>1569</v>
      </c>
      <c r="G1588" s="112" t="s">
        <v>1480</v>
      </c>
      <c r="H1588" s="112" t="s">
        <v>1543</v>
      </c>
      <c r="I1588" s="112">
        <v>95.636581000000007</v>
      </c>
    </row>
    <row r="1589" spans="1:9">
      <c r="A1589" s="112" t="s">
        <v>1481</v>
      </c>
      <c r="B1589" s="112" t="s">
        <v>1571</v>
      </c>
      <c r="C1589" s="112">
        <v>0</v>
      </c>
      <c r="D1589" s="112" t="s">
        <v>1569</v>
      </c>
      <c r="E1589" s="112" t="s">
        <v>1543</v>
      </c>
      <c r="F1589" s="112" t="s">
        <v>1569</v>
      </c>
      <c r="G1589" s="112" t="s">
        <v>1481</v>
      </c>
      <c r="H1589" s="112" t="s">
        <v>1543</v>
      </c>
      <c r="I1589" s="112">
        <v>0</v>
      </c>
    </row>
    <row r="1590" spans="1:9">
      <c r="A1590" s="112" t="s">
        <v>1482</v>
      </c>
      <c r="B1590" s="112" t="s">
        <v>1571</v>
      </c>
      <c r="C1590" s="112">
        <v>0</v>
      </c>
      <c r="D1590" s="112" t="s">
        <v>1569</v>
      </c>
      <c r="E1590" s="112" t="s">
        <v>1543</v>
      </c>
      <c r="F1590" s="112" t="s">
        <v>1569</v>
      </c>
      <c r="G1590" s="112" t="s">
        <v>1482</v>
      </c>
      <c r="H1590" s="112" t="s">
        <v>1543</v>
      </c>
      <c r="I1590" s="112">
        <v>0</v>
      </c>
    </row>
    <row r="1591" spans="1:9">
      <c r="A1591" s="112" t="s">
        <v>1483</v>
      </c>
      <c r="B1591" s="112" t="s">
        <v>1571</v>
      </c>
      <c r="C1591" s="112">
        <v>0</v>
      </c>
      <c r="D1591" s="112" t="s">
        <v>1569</v>
      </c>
      <c r="E1591" s="112" t="s">
        <v>1543</v>
      </c>
      <c r="F1591" s="112" t="s">
        <v>1569</v>
      </c>
      <c r="G1591" s="112" t="s">
        <v>1483</v>
      </c>
      <c r="H1591" s="112" t="s">
        <v>1543</v>
      </c>
      <c r="I1591" s="112">
        <v>0</v>
      </c>
    </row>
    <row r="1592" spans="1:9">
      <c r="A1592" s="112" t="s">
        <v>1484</v>
      </c>
      <c r="B1592" s="112" t="s">
        <v>1571</v>
      </c>
      <c r="C1592" s="112">
        <v>0</v>
      </c>
      <c r="D1592" s="112" t="s">
        <v>1569</v>
      </c>
      <c r="E1592" s="112" t="s">
        <v>1543</v>
      </c>
      <c r="F1592" s="112" t="s">
        <v>1569</v>
      </c>
      <c r="G1592" s="112" t="s">
        <v>1484</v>
      </c>
      <c r="H1592" s="112" t="s">
        <v>1543</v>
      </c>
      <c r="I1592" s="112">
        <v>0</v>
      </c>
    </row>
    <row r="1593" spans="1:9">
      <c r="A1593" s="112" t="s">
        <v>1485</v>
      </c>
      <c r="B1593" s="112" t="s">
        <v>1571</v>
      </c>
      <c r="C1593" s="112">
        <v>0</v>
      </c>
      <c r="D1593" s="112" t="s">
        <v>1569</v>
      </c>
      <c r="E1593" s="112" t="s">
        <v>1543</v>
      </c>
      <c r="F1593" s="112" t="s">
        <v>1569</v>
      </c>
      <c r="G1593" s="112" t="s">
        <v>1485</v>
      </c>
      <c r="H1593" s="112" t="s">
        <v>1543</v>
      </c>
      <c r="I1593" s="112">
        <v>0</v>
      </c>
    </row>
    <row r="1594" spans="1:9">
      <c r="A1594" s="112" t="s">
        <v>1486</v>
      </c>
      <c r="B1594" s="112" t="s">
        <v>1571</v>
      </c>
      <c r="C1594" s="112">
        <v>0</v>
      </c>
      <c r="D1594" s="112" t="s">
        <v>1569</v>
      </c>
      <c r="E1594" s="112" t="s">
        <v>1543</v>
      </c>
      <c r="F1594" s="112" t="s">
        <v>1569</v>
      </c>
      <c r="G1594" s="112" t="s">
        <v>1486</v>
      </c>
      <c r="H1594" s="112" t="s">
        <v>1543</v>
      </c>
      <c r="I1594" s="112">
        <v>0</v>
      </c>
    </row>
    <row r="1595" spans="1:9">
      <c r="A1595" s="112" t="s">
        <v>1487</v>
      </c>
      <c r="B1595" s="112" t="s">
        <v>1571</v>
      </c>
      <c r="C1595" s="112">
        <v>0</v>
      </c>
      <c r="D1595" s="112" t="s">
        <v>1569</v>
      </c>
      <c r="E1595" s="112" t="s">
        <v>1543</v>
      </c>
      <c r="F1595" s="112" t="s">
        <v>1569</v>
      </c>
      <c r="G1595" s="112" t="s">
        <v>1487</v>
      </c>
      <c r="H1595" s="112" t="s">
        <v>1543</v>
      </c>
      <c r="I1595" s="112">
        <v>45.97067071</v>
      </c>
    </row>
    <row r="1596" spans="1:9">
      <c r="A1596" s="112" t="s">
        <v>1488</v>
      </c>
      <c r="B1596" s="112" t="s">
        <v>1571</v>
      </c>
      <c r="C1596" s="112">
        <v>79.649542019999998</v>
      </c>
      <c r="D1596" s="112" t="s">
        <v>1569</v>
      </c>
      <c r="E1596" s="112" t="s">
        <v>1543</v>
      </c>
      <c r="F1596" s="112" t="s">
        <v>1569</v>
      </c>
      <c r="G1596" s="112" t="s">
        <v>1488</v>
      </c>
      <c r="H1596" s="112" t="s">
        <v>1543</v>
      </c>
      <c r="I1596" s="112">
        <v>159.29908399999999</v>
      </c>
    </row>
    <row r="1597" spans="1:9">
      <c r="A1597" s="112" t="s">
        <v>1489</v>
      </c>
      <c r="B1597" s="112" t="s">
        <v>1571</v>
      </c>
      <c r="C1597" s="112">
        <v>0</v>
      </c>
      <c r="D1597" s="112" t="s">
        <v>1569</v>
      </c>
      <c r="E1597" s="112" t="s">
        <v>1543</v>
      </c>
      <c r="F1597" s="112" t="s">
        <v>1569</v>
      </c>
      <c r="G1597" s="112" t="s">
        <v>1489</v>
      </c>
      <c r="H1597" s="112" t="s">
        <v>1543</v>
      </c>
      <c r="I1597" s="112">
        <v>23.29956838</v>
      </c>
    </row>
    <row r="1598" spans="1:9">
      <c r="A1598" s="112" t="s">
        <v>1490</v>
      </c>
      <c r="B1598" s="112" t="s">
        <v>1571</v>
      </c>
      <c r="C1598" s="112">
        <v>0</v>
      </c>
      <c r="D1598" s="112" t="s">
        <v>1569</v>
      </c>
      <c r="E1598" s="112" t="s">
        <v>1543</v>
      </c>
      <c r="F1598" s="112" t="s">
        <v>1569</v>
      </c>
      <c r="G1598" s="112" t="s">
        <v>1490</v>
      </c>
      <c r="H1598" s="112" t="s">
        <v>1543</v>
      </c>
      <c r="I1598" s="112">
        <v>0</v>
      </c>
    </row>
    <row r="1599" spans="1:9">
      <c r="A1599" s="112" t="s">
        <v>1461</v>
      </c>
      <c r="B1599" s="112" t="s">
        <v>1572</v>
      </c>
      <c r="C1599" s="112">
        <v>0</v>
      </c>
      <c r="D1599" s="112" t="s">
        <v>1551</v>
      </c>
      <c r="E1599" s="112" t="s">
        <v>1543</v>
      </c>
      <c r="F1599" s="112" t="s">
        <v>1551</v>
      </c>
      <c r="G1599" s="112" t="s">
        <v>1461</v>
      </c>
      <c r="H1599" s="112" t="s">
        <v>1543</v>
      </c>
      <c r="I1599" s="112">
        <v>40.851041029999998</v>
      </c>
    </row>
    <row r="1600" spans="1:9">
      <c r="A1600" s="112" t="s">
        <v>1465</v>
      </c>
      <c r="B1600" s="112" t="s">
        <v>1572</v>
      </c>
      <c r="C1600" s="112">
        <v>2.4417997040000001</v>
      </c>
      <c r="D1600" s="112" t="s">
        <v>1551</v>
      </c>
      <c r="E1600" s="112" t="s">
        <v>1543</v>
      </c>
      <c r="F1600" s="112" t="s">
        <v>1551</v>
      </c>
      <c r="G1600" s="112" t="s">
        <v>1465</v>
      </c>
      <c r="H1600" s="112" t="s">
        <v>1543</v>
      </c>
      <c r="I1600" s="112">
        <v>2.4417997040000001</v>
      </c>
    </row>
    <row r="1601" spans="1:9">
      <c r="A1601" s="112" t="s">
        <v>1466</v>
      </c>
      <c r="B1601" s="112" t="s">
        <v>1572</v>
      </c>
      <c r="C1601" s="112">
        <v>2660.7796429999999</v>
      </c>
      <c r="D1601" s="112" t="s">
        <v>1551</v>
      </c>
      <c r="E1601" s="112" t="s">
        <v>1543</v>
      </c>
      <c r="F1601" s="112" t="s">
        <v>1551</v>
      </c>
      <c r="G1601" s="112" t="s">
        <v>1466</v>
      </c>
      <c r="H1601" s="112" t="s">
        <v>1543</v>
      </c>
      <c r="I1601" s="112">
        <v>29872.770570000001</v>
      </c>
    </row>
    <row r="1602" spans="1:9">
      <c r="A1602" s="112" t="s">
        <v>1467</v>
      </c>
      <c r="B1602" s="112" t="s">
        <v>1572</v>
      </c>
      <c r="C1602" s="112">
        <v>1715.4476970000001</v>
      </c>
      <c r="D1602" s="112" t="s">
        <v>1551</v>
      </c>
      <c r="E1602" s="112" t="s">
        <v>1543</v>
      </c>
      <c r="F1602" s="112" t="s">
        <v>1551</v>
      </c>
      <c r="G1602" s="112" t="s">
        <v>1467</v>
      </c>
      <c r="H1602" s="112" t="s">
        <v>1543</v>
      </c>
      <c r="I1602" s="112">
        <v>24876.325079999999</v>
      </c>
    </row>
    <row r="1603" spans="1:9">
      <c r="A1603" s="112" t="s">
        <v>1468</v>
      </c>
      <c r="B1603" s="112" t="s">
        <v>1572</v>
      </c>
      <c r="C1603" s="112">
        <v>0</v>
      </c>
      <c r="D1603" s="112" t="s">
        <v>1551</v>
      </c>
      <c r="E1603" s="112" t="s">
        <v>1543</v>
      </c>
      <c r="F1603" s="112" t="s">
        <v>1551</v>
      </c>
      <c r="G1603" s="112" t="s">
        <v>1468</v>
      </c>
      <c r="H1603" s="112" t="s">
        <v>1543</v>
      </c>
      <c r="I1603" s="112">
        <v>3.6075296360000002</v>
      </c>
    </row>
    <row r="1604" spans="1:9">
      <c r="A1604" s="112" t="s">
        <v>1469</v>
      </c>
      <c r="B1604" s="112" t="s">
        <v>1572</v>
      </c>
      <c r="C1604" s="112">
        <v>6211.0606879999996</v>
      </c>
      <c r="D1604" s="112" t="s">
        <v>1551</v>
      </c>
      <c r="E1604" s="112" t="s">
        <v>1543</v>
      </c>
      <c r="F1604" s="112" t="s">
        <v>1551</v>
      </c>
      <c r="G1604" s="112" t="s">
        <v>1469</v>
      </c>
      <c r="H1604" s="112" t="s">
        <v>1543</v>
      </c>
      <c r="I1604" s="112">
        <v>47688.639340000002</v>
      </c>
    </row>
    <row r="1605" spans="1:9">
      <c r="A1605" s="112" t="s">
        <v>1470</v>
      </c>
      <c r="B1605" s="112" t="s">
        <v>1572</v>
      </c>
      <c r="C1605" s="112">
        <v>0</v>
      </c>
      <c r="D1605" s="112" t="s">
        <v>1551</v>
      </c>
      <c r="E1605" s="112" t="s">
        <v>1543</v>
      </c>
      <c r="F1605" s="112" t="s">
        <v>1551</v>
      </c>
      <c r="G1605" s="112" t="s">
        <v>1470</v>
      </c>
      <c r="H1605" s="112" t="s">
        <v>1543</v>
      </c>
      <c r="I1605" s="112">
        <v>0</v>
      </c>
    </row>
    <row r="1606" spans="1:9">
      <c r="A1606" s="112" t="s">
        <v>1471</v>
      </c>
      <c r="B1606" s="112" t="s">
        <v>1572</v>
      </c>
      <c r="C1606" s="112">
        <v>506.4889756</v>
      </c>
      <c r="D1606" s="112" t="s">
        <v>1551</v>
      </c>
      <c r="E1606" s="112" t="s">
        <v>1543</v>
      </c>
      <c r="F1606" s="112" t="s">
        <v>1551</v>
      </c>
      <c r="G1606" s="112" t="s">
        <v>1471</v>
      </c>
      <c r="H1606" s="112" t="s">
        <v>1543</v>
      </c>
      <c r="I1606" s="112">
        <v>3630.6027479999998</v>
      </c>
    </row>
    <row r="1607" spans="1:9">
      <c r="A1607" s="112" t="s">
        <v>1472</v>
      </c>
      <c r="B1607" s="112" t="s">
        <v>1572</v>
      </c>
      <c r="C1607" s="112">
        <v>0</v>
      </c>
      <c r="D1607" s="112" t="s">
        <v>1551</v>
      </c>
      <c r="E1607" s="112" t="s">
        <v>1543</v>
      </c>
      <c r="F1607" s="112" t="s">
        <v>1551</v>
      </c>
      <c r="G1607" s="112" t="s">
        <v>1472</v>
      </c>
      <c r="H1607" s="112" t="s">
        <v>1543</v>
      </c>
      <c r="I1607" s="112">
        <v>0</v>
      </c>
    </row>
    <row r="1608" spans="1:9">
      <c r="A1608" s="112" t="s">
        <v>1473</v>
      </c>
      <c r="B1608" s="112" t="s">
        <v>1572</v>
      </c>
      <c r="C1608" s="112">
        <v>867.32686920000003</v>
      </c>
      <c r="D1608" s="112" t="s">
        <v>1551</v>
      </c>
      <c r="E1608" s="112" t="s">
        <v>1543</v>
      </c>
      <c r="F1608" s="112" t="s">
        <v>1551</v>
      </c>
      <c r="G1608" s="112" t="s">
        <v>1473</v>
      </c>
      <c r="H1608" s="112" t="s">
        <v>1543</v>
      </c>
      <c r="I1608" s="112">
        <v>19254.048200000001</v>
      </c>
    </row>
    <row r="1609" spans="1:9">
      <c r="A1609" s="112" t="s">
        <v>1474</v>
      </c>
      <c r="B1609" s="112" t="s">
        <v>1572</v>
      </c>
      <c r="C1609" s="112">
        <v>0</v>
      </c>
      <c r="D1609" s="112" t="s">
        <v>1551</v>
      </c>
      <c r="E1609" s="112" t="s">
        <v>1543</v>
      </c>
      <c r="F1609" s="112" t="s">
        <v>1551</v>
      </c>
      <c r="G1609" s="112" t="s">
        <v>1474</v>
      </c>
      <c r="H1609" s="112" t="s">
        <v>1543</v>
      </c>
      <c r="I1609" s="112">
        <v>0</v>
      </c>
    </row>
    <row r="1610" spans="1:9">
      <c r="A1610" s="112" t="s">
        <v>1475</v>
      </c>
      <c r="B1610" s="112" t="s">
        <v>1572</v>
      </c>
      <c r="C1610" s="112">
        <v>0</v>
      </c>
      <c r="D1610" s="112" t="s">
        <v>1551</v>
      </c>
      <c r="E1610" s="112" t="s">
        <v>1543</v>
      </c>
      <c r="F1610" s="112" t="s">
        <v>1551</v>
      </c>
      <c r="G1610" s="112" t="s">
        <v>1475</v>
      </c>
      <c r="H1610" s="112" t="s">
        <v>1543</v>
      </c>
      <c r="I1610" s="112">
        <v>0</v>
      </c>
    </row>
    <row r="1611" spans="1:9">
      <c r="A1611" s="112" t="s">
        <v>1476</v>
      </c>
      <c r="B1611" s="112" t="s">
        <v>1572</v>
      </c>
      <c r="C1611" s="112">
        <v>60.688357699999997</v>
      </c>
      <c r="D1611" s="112" t="s">
        <v>1551</v>
      </c>
      <c r="E1611" s="112" t="s">
        <v>1543</v>
      </c>
      <c r="F1611" s="112" t="s">
        <v>1551</v>
      </c>
      <c r="G1611" s="112" t="s">
        <v>1476</v>
      </c>
      <c r="H1611" s="112" t="s">
        <v>1543</v>
      </c>
      <c r="I1611" s="112">
        <v>337.57898970000002</v>
      </c>
    </row>
    <row r="1612" spans="1:9">
      <c r="A1612" s="112" t="s">
        <v>1477</v>
      </c>
      <c r="B1612" s="112" t="s">
        <v>1572</v>
      </c>
      <c r="C1612" s="112">
        <v>2451.1029960000001</v>
      </c>
      <c r="D1612" s="112" t="s">
        <v>1551</v>
      </c>
      <c r="E1612" s="112" t="s">
        <v>1543</v>
      </c>
      <c r="F1612" s="112" t="s">
        <v>1551</v>
      </c>
      <c r="G1612" s="112" t="s">
        <v>1477</v>
      </c>
      <c r="H1612" s="112" t="s">
        <v>1543</v>
      </c>
      <c r="I1612" s="112">
        <v>14368.966039999999</v>
      </c>
    </row>
    <row r="1613" spans="1:9">
      <c r="A1613" s="112" t="s">
        <v>1478</v>
      </c>
      <c r="B1613" s="112" t="s">
        <v>1572</v>
      </c>
      <c r="C1613" s="112">
        <v>51.289481680000002</v>
      </c>
      <c r="D1613" s="112" t="s">
        <v>1551</v>
      </c>
      <c r="E1613" s="112" t="s">
        <v>1543</v>
      </c>
      <c r="F1613" s="112" t="s">
        <v>1551</v>
      </c>
      <c r="G1613" s="112" t="s">
        <v>1478</v>
      </c>
      <c r="H1613" s="112" t="s">
        <v>1543</v>
      </c>
      <c r="I1613" s="112">
        <v>4046.098986</v>
      </c>
    </row>
    <row r="1614" spans="1:9">
      <c r="A1614" s="112" t="s">
        <v>1479</v>
      </c>
      <c r="B1614" s="112" t="s">
        <v>1572</v>
      </c>
      <c r="C1614" s="112">
        <v>14567.983920000001</v>
      </c>
      <c r="D1614" s="112" t="s">
        <v>1551</v>
      </c>
      <c r="E1614" s="112" t="s">
        <v>1543</v>
      </c>
      <c r="F1614" s="112" t="s">
        <v>1551</v>
      </c>
      <c r="G1614" s="112" t="s">
        <v>1479</v>
      </c>
      <c r="H1614" s="112" t="s">
        <v>1543</v>
      </c>
      <c r="I1614" s="112">
        <v>56764.902869999998</v>
      </c>
    </row>
    <row r="1615" spans="1:9">
      <c r="A1615" s="112" t="s">
        <v>1480</v>
      </c>
      <c r="B1615" s="112" t="s">
        <v>1572</v>
      </c>
      <c r="C1615" s="112">
        <v>7.9697150829999996</v>
      </c>
      <c r="D1615" s="112" t="s">
        <v>1551</v>
      </c>
      <c r="E1615" s="112" t="s">
        <v>1543</v>
      </c>
      <c r="F1615" s="112" t="s">
        <v>1551</v>
      </c>
      <c r="G1615" s="112" t="s">
        <v>1480</v>
      </c>
      <c r="H1615" s="112" t="s">
        <v>1543</v>
      </c>
      <c r="I1615" s="112">
        <v>828.85036860000002</v>
      </c>
    </row>
    <row r="1616" spans="1:9">
      <c r="A1616" s="112" t="s">
        <v>1481</v>
      </c>
      <c r="B1616" s="112" t="s">
        <v>1572</v>
      </c>
      <c r="C1616" s="112">
        <v>0</v>
      </c>
      <c r="D1616" s="112" t="s">
        <v>1551</v>
      </c>
      <c r="E1616" s="112" t="s">
        <v>1543</v>
      </c>
      <c r="F1616" s="112" t="s">
        <v>1551</v>
      </c>
      <c r="G1616" s="112" t="s">
        <v>1481</v>
      </c>
      <c r="H1616" s="112" t="s">
        <v>1543</v>
      </c>
      <c r="I1616" s="112">
        <v>0</v>
      </c>
    </row>
    <row r="1617" spans="1:9">
      <c r="A1617" s="112" t="s">
        <v>1482</v>
      </c>
      <c r="B1617" s="112" t="s">
        <v>1572</v>
      </c>
      <c r="C1617" s="112">
        <v>0</v>
      </c>
      <c r="D1617" s="112" t="s">
        <v>1551</v>
      </c>
      <c r="E1617" s="112" t="s">
        <v>1543</v>
      </c>
      <c r="F1617" s="112" t="s">
        <v>1551</v>
      </c>
      <c r="G1617" s="112" t="s">
        <v>1482</v>
      </c>
      <c r="H1617" s="112" t="s">
        <v>1543</v>
      </c>
      <c r="I1617" s="112">
        <v>0</v>
      </c>
    </row>
    <row r="1618" spans="1:9">
      <c r="A1618" s="112" t="s">
        <v>1483</v>
      </c>
      <c r="B1618" s="112" t="s">
        <v>1572</v>
      </c>
      <c r="C1618" s="112">
        <v>0</v>
      </c>
      <c r="D1618" s="112" t="s">
        <v>1551</v>
      </c>
      <c r="E1618" s="112" t="s">
        <v>1543</v>
      </c>
      <c r="F1618" s="112" t="s">
        <v>1551</v>
      </c>
      <c r="G1618" s="112" t="s">
        <v>1483</v>
      </c>
      <c r="H1618" s="112" t="s">
        <v>1543</v>
      </c>
      <c r="I1618" s="112">
        <v>0</v>
      </c>
    </row>
    <row r="1619" spans="1:9">
      <c r="A1619" s="112" t="s">
        <v>1484</v>
      </c>
      <c r="B1619" s="112" t="s">
        <v>1572</v>
      </c>
      <c r="C1619" s="112">
        <v>0</v>
      </c>
      <c r="D1619" s="112" t="s">
        <v>1551</v>
      </c>
      <c r="E1619" s="112" t="s">
        <v>1543</v>
      </c>
      <c r="F1619" s="112" t="s">
        <v>1551</v>
      </c>
      <c r="G1619" s="112" t="s">
        <v>1484</v>
      </c>
      <c r="H1619" s="112" t="s">
        <v>1543</v>
      </c>
      <c r="I1619" s="112">
        <v>0</v>
      </c>
    </row>
    <row r="1620" spans="1:9">
      <c r="A1620" s="112" t="s">
        <v>1485</v>
      </c>
      <c r="B1620" s="112" t="s">
        <v>1572</v>
      </c>
      <c r="C1620" s="112">
        <v>0</v>
      </c>
      <c r="D1620" s="112" t="s">
        <v>1551</v>
      </c>
      <c r="E1620" s="112" t="s">
        <v>1543</v>
      </c>
      <c r="F1620" s="112" t="s">
        <v>1551</v>
      </c>
      <c r="G1620" s="112" t="s">
        <v>1485</v>
      </c>
      <c r="H1620" s="112" t="s">
        <v>1543</v>
      </c>
      <c r="I1620" s="112">
        <v>0</v>
      </c>
    </row>
    <row r="1621" spans="1:9">
      <c r="A1621" s="112" t="s">
        <v>1486</v>
      </c>
      <c r="B1621" s="112" t="s">
        <v>1572</v>
      </c>
      <c r="C1621" s="112">
        <v>0</v>
      </c>
      <c r="D1621" s="112" t="s">
        <v>1551</v>
      </c>
      <c r="E1621" s="112" t="s">
        <v>1543</v>
      </c>
      <c r="F1621" s="112" t="s">
        <v>1551</v>
      </c>
      <c r="G1621" s="112" t="s">
        <v>1486</v>
      </c>
      <c r="H1621" s="112" t="s">
        <v>1543</v>
      </c>
      <c r="I1621" s="112">
        <v>0</v>
      </c>
    </row>
    <row r="1622" spans="1:9">
      <c r="A1622" s="112" t="s">
        <v>1487</v>
      </c>
      <c r="B1622" s="112" t="s">
        <v>1572</v>
      </c>
      <c r="C1622" s="112">
        <v>0</v>
      </c>
      <c r="D1622" s="112" t="s">
        <v>1551</v>
      </c>
      <c r="E1622" s="112" t="s">
        <v>1543</v>
      </c>
      <c r="F1622" s="112" t="s">
        <v>1551</v>
      </c>
      <c r="G1622" s="112" t="s">
        <v>1487</v>
      </c>
      <c r="H1622" s="112" t="s">
        <v>1543</v>
      </c>
      <c r="I1622" s="112">
        <v>0</v>
      </c>
    </row>
    <row r="1623" spans="1:9">
      <c r="A1623" s="112" t="s">
        <v>1488</v>
      </c>
      <c r="B1623" s="112" t="s">
        <v>1572</v>
      </c>
      <c r="C1623" s="112">
        <v>0</v>
      </c>
      <c r="D1623" s="112" t="s">
        <v>1551</v>
      </c>
      <c r="E1623" s="112" t="s">
        <v>1543</v>
      </c>
      <c r="F1623" s="112" t="s">
        <v>1551</v>
      </c>
      <c r="G1623" s="112" t="s">
        <v>1488</v>
      </c>
      <c r="H1623" s="112" t="s">
        <v>1543</v>
      </c>
      <c r="I1623" s="112">
        <v>318.59816799999999</v>
      </c>
    </row>
    <row r="1624" spans="1:9">
      <c r="A1624" s="112" t="s">
        <v>1489</v>
      </c>
      <c r="B1624" s="112" t="s">
        <v>1572</v>
      </c>
      <c r="C1624" s="112">
        <v>0</v>
      </c>
      <c r="D1624" s="112" t="s">
        <v>1551</v>
      </c>
      <c r="E1624" s="112" t="s">
        <v>1543</v>
      </c>
      <c r="F1624" s="112" t="s">
        <v>1551</v>
      </c>
      <c r="G1624" s="112" t="s">
        <v>1489</v>
      </c>
      <c r="H1624" s="112" t="s">
        <v>1543</v>
      </c>
      <c r="I1624" s="112">
        <v>5.824892094</v>
      </c>
    </row>
    <row r="1625" spans="1:9">
      <c r="A1625" s="112" t="s">
        <v>1490</v>
      </c>
      <c r="B1625" s="112" t="s">
        <v>1572</v>
      </c>
      <c r="C1625" s="112">
        <v>0</v>
      </c>
      <c r="D1625" s="112" t="s">
        <v>1551</v>
      </c>
      <c r="E1625" s="112" t="s">
        <v>1543</v>
      </c>
      <c r="F1625" s="112" t="s">
        <v>1551</v>
      </c>
      <c r="G1625" s="112" t="s">
        <v>1490</v>
      </c>
      <c r="H1625" s="112" t="s">
        <v>1543</v>
      </c>
      <c r="I1625" s="112">
        <v>420.3446826</v>
      </c>
    </row>
    <row r="1626" spans="1:9">
      <c r="A1626" s="112" t="s">
        <v>1461</v>
      </c>
      <c r="B1626" s="112" t="s">
        <v>1573</v>
      </c>
      <c r="C1626" s="112">
        <v>0</v>
      </c>
      <c r="D1626" s="112" t="s">
        <v>1551</v>
      </c>
      <c r="E1626" s="112" t="s">
        <v>1543</v>
      </c>
      <c r="F1626" s="112" t="s">
        <v>1551</v>
      </c>
      <c r="G1626" s="112" t="s">
        <v>1461</v>
      </c>
      <c r="H1626" s="112" t="s">
        <v>1543</v>
      </c>
      <c r="I1626" s="112">
        <v>40.851041029999998</v>
      </c>
    </row>
    <row r="1627" spans="1:9">
      <c r="A1627" s="112" t="s">
        <v>1465</v>
      </c>
      <c r="B1627" s="112" t="s">
        <v>1573</v>
      </c>
      <c r="C1627" s="112">
        <v>0</v>
      </c>
      <c r="D1627" s="112" t="s">
        <v>1551</v>
      </c>
      <c r="E1627" s="112" t="s">
        <v>1543</v>
      </c>
      <c r="F1627" s="112" t="s">
        <v>1551</v>
      </c>
      <c r="G1627" s="112" t="s">
        <v>1465</v>
      </c>
      <c r="H1627" s="112" t="s">
        <v>1543</v>
      </c>
      <c r="I1627" s="112">
        <v>2.4417997040000001</v>
      </c>
    </row>
    <row r="1628" spans="1:9">
      <c r="A1628" s="112" t="s">
        <v>1466</v>
      </c>
      <c r="B1628" s="112" t="s">
        <v>1573</v>
      </c>
      <c r="C1628" s="112">
        <v>2974.49602</v>
      </c>
      <c r="D1628" s="112" t="s">
        <v>1551</v>
      </c>
      <c r="E1628" s="112" t="s">
        <v>1543</v>
      </c>
      <c r="F1628" s="112" t="s">
        <v>1551</v>
      </c>
      <c r="G1628" s="112" t="s">
        <v>1466</v>
      </c>
      <c r="H1628" s="112" t="s">
        <v>1543</v>
      </c>
      <c r="I1628" s="112">
        <v>29872.770570000001</v>
      </c>
    </row>
    <row r="1629" spans="1:9">
      <c r="A1629" s="112" t="s">
        <v>1467</v>
      </c>
      <c r="B1629" s="112" t="s">
        <v>1573</v>
      </c>
      <c r="C1629" s="112">
        <v>272.68484569999998</v>
      </c>
      <c r="D1629" s="112" t="s">
        <v>1551</v>
      </c>
      <c r="E1629" s="112" t="s">
        <v>1543</v>
      </c>
      <c r="F1629" s="112" t="s">
        <v>1551</v>
      </c>
      <c r="G1629" s="112" t="s">
        <v>1467</v>
      </c>
      <c r="H1629" s="112" t="s">
        <v>1543</v>
      </c>
      <c r="I1629" s="112">
        <v>24876.325079999999</v>
      </c>
    </row>
    <row r="1630" spans="1:9">
      <c r="A1630" s="112" t="s">
        <v>1468</v>
      </c>
      <c r="B1630" s="112" t="s">
        <v>1573</v>
      </c>
      <c r="C1630" s="112">
        <v>0</v>
      </c>
      <c r="D1630" s="112" t="s">
        <v>1551</v>
      </c>
      <c r="E1630" s="112" t="s">
        <v>1543</v>
      </c>
      <c r="F1630" s="112" t="s">
        <v>1551</v>
      </c>
      <c r="G1630" s="112" t="s">
        <v>1468</v>
      </c>
      <c r="H1630" s="112" t="s">
        <v>1543</v>
      </c>
      <c r="I1630" s="112">
        <v>3.6075296360000002</v>
      </c>
    </row>
    <row r="1631" spans="1:9">
      <c r="A1631" s="112" t="s">
        <v>1469</v>
      </c>
      <c r="B1631" s="112" t="s">
        <v>1573</v>
      </c>
      <c r="C1631" s="112">
        <v>5038.0739940000003</v>
      </c>
      <c r="D1631" s="112" t="s">
        <v>1551</v>
      </c>
      <c r="E1631" s="112" t="s">
        <v>1543</v>
      </c>
      <c r="F1631" s="112" t="s">
        <v>1551</v>
      </c>
      <c r="G1631" s="112" t="s">
        <v>1469</v>
      </c>
      <c r="H1631" s="112" t="s">
        <v>1543</v>
      </c>
      <c r="I1631" s="112">
        <v>47688.639340000002</v>
      </c>
    </row>
    <row r="1632" spans="1:9">
      <c r="A1632" s="112" t="s">
        <v>1470</v>
      </c>
      <c r="B1632" s="112" t="s">
        <v>1573</v>
      </c>
      <c r="C1632" s="112">
        <v>0</v>
      </c>
      <c r="D1632" s="112" t="s">
        <v>1551</v>
      </c>
      <c r="E1632" s="112" t="s">
        <v>1543</v>
      </c>
      <c r="F1632" s="112" t="s">
        <v>1551</v>
      </c>
      <c r="G1632" s="112" t="s">
        <v>1470</v>
      </c>
      <c r="H1632" s="112" t="s">
        <v>1543</v>
      </c>
      <c r="I1632" s="112">
        <v>0</v>
      </c>
    </row>
    <row r="1633" spans="1:9">
      <c r="A1633" s="112" t="s">
        <v>1471</v>
      </c>
      <c r="B1633" s="112" t="s">
        <v>1573</v>
      </c>
      <c r="C1633" s="112">
        <v>66.817780260000006</v>
      </c>
      <c r="D1633" s="112" t="s">
        <v>1551</v>
      </c>
      <c r="E1633" s="112" t="s">
        <v>1543</v>
      </c>
      <c r="F1633" s="112" t="s">
        <v>1551</v>
      </c>
      <c r="G1633" s="112" t="s">
        <v>1471</v>
      </c>
      <c r="H1633" s="112" t="s">
        <v>1543</v>
      </c>
      <c r="I1633" s="112">
        <v>3630.6027479999998</v>
      </c>
    </row>
    <row r="1634" spans="1:9">
      <c r="A1634" s="112" t="s">
        <v>1472</v>
      </c>
      <c r="B1634" s="112" t="s">
        <v>1573</v>
      </c>
      <c r="C1634" s="112">
        <v>0</v>
      </c>
      <c r="D1634" s="112" t="s">
        <v>1551</v>
      </c>
      <c r="E1634" s="112" t="s">
        <v>1543</v>
      </c>
      <c r="F1634" s="112" t="s">
        <v>1551</v>
      </c>
      <c r="G1634" s="112" t="s">
        <v>1472</v>
      </c>
      <c r="H1634" s="112" t="s">
        <v>1543</v>
      </c>
      <c r="I1634" s="112">
        <v>0</v>
      </c>
    </row>
    <row r="1635" spans="1:9">
      <c r="A1635" s="112" t="s">
        <v>1473</v>
      </c>
      <c r="B1635" s="112" t="s">
        <v>1573</v>
      </c>
      <c r="C1635" s="112">
        <v>93.271855009999996</v>
      </c>
      <c r="D1635" s="112" t="s">
        <v>1551</v>
      </c>
      <c r="E1635" s="112" t="s">
        <v>1543</v>
      </c>
      <c r="F1635" s="112" t="s">
        <v>1551</v>
      </c>
      <c r="G1635" s="112" t="s">
        <v>1473</v>
      </c>
      <c r="H1635" s="112" t="s">
        <v>1543</v>
      </c>
      <c r="I1635" s="112">
        <v>19254.048200000001</v>
      </c>
    </row>
    <row r="1636" spans="1:9">
      <c r="A1636" s="112" t="s">
        <v>1474</v>
      </c>
      <c r="B1636" s="112" t="s">
        <v>1573</v>
      </c>
      <c r="C1636" s="112">
        <v>0</v>
      </c>
      <c r="D1636" s="112" t="s">
        <v>1551</v>
      </c>
      <c r="E1636" s="112" t="s">
        <v>1543</v>
      </c>
      <c r="F1636" s="112" t="s">
        <v>1551</v>
      </c>
      <c r="G1636" s="112" t="s">
        <v>1474</v>
      </c>
      <c r="H1636" s="112" t="s">
        <v>1543</v>
      </c>
      <c r="I1636" s="112">
        <v>0</v>
      </c>
    </row>
    <row r="1637" spans="1:9">
      <c r="A1637" s="112" t="s">
        <v>1475</v>
      </c>
      <c r="B1637" s="112" t="s">
        <v>1573</v>
      </c>
      <c r="C1637" s="112">
        <v>0</v>
      </c>
      <c r="D1637" s="112" t="s">
        <v>1551</v>
      </c>
      <c r="E1637" s="112" t="s">
        <v>1543</v>
      </c>
      <c r="F1637" s="112" t="s">
        <v>1551</v>
      </c>
      <c r="G1637" s="112" t="s">
        <v>1475</v>
      </c>
      <c r="H1637" s="112" t="s">
        <v>1543</v>
      </c>
      <c r="I1637" s="112">
        <v>0</v>
      </c>
    </row>
    <row r="1638" spans="1:9">
      <c r="A1638" s="112" t="s">
        <v>1476</v>
      </c>
      <c r="B1638" s="112" t="s">
        <v>1573</v>
      </c>
      <c r="C1638" s="112">
        <v>49.30929063</v>
      </c>
      <c r="D1638" s="112" t="s">
        <v>1551</v>
      </c>
      <c r="E1638" s="112" t="s">
        <v>1543</v>
      </c>
      <c r="F1638" s="112" t="s">
        <v>1551</v>
      </c>
      <c r="G1638" s="112" t="s">
        <v>1476</v>
      </c>
      <c r="H1638" s="112" t="s">
        <v>1543</v>
      </c>
      <c r="I1638" s="112">
        <v>337.57898970000002</v>
      </c>
    </row>
    <row r="1639" spans="1:9">
      <c r="A1639" s="112" t="s">
        <v>1477</v>
      </c>
      <c r="B1639" s="112" t="s">
        <v>1573</v>
      </c>
      <c r="C1639" s="112">
        <v>1938.3722680000001</v>
      </c>
      <c r="D1639" s="112" t="s">
        <v>1551</v>
      </c>
      <c r="E1639" s="112" t="s">
        <v>1543</v>
      </c>
      <c r="F1639" s="112" t="s">
        <v>1551</v>
      </c>
      <c r="G1639" s="112" t="s">
        <v>1477</v>
      </c>
      <c r="H1639" s="112" t="s">
        <v>1543</v>
      </c>
      <c r="I1639" s="112">
        <v>14368.966039999999</v>
      </c>
    </row>
    <row r="1640" spans="1:9">
      <c r="A1640" s="112" t="s">
        <v>1478</v>
      </c>
      <c r="B1640" s="112" t="s">
        <v>1573</v>
      </c>
      <c r="C1640" s="112">
        <v>2.564474084</v>
      </c>
      <c r="D1640" s="112" t="s">
        <v>1551</v>
      </c>
      <c r="E1640" s="112" t="s">
        <v>1543</v>
      </c>
      <c r="F1640" s="112" t="s">
        <v>1551</v>
      </c>
      <c r="G1640" s="112" t="s">
        <v>1478</v>
      </c>
      <c r="H1640" s="112" t="s">
        <v>1543</v>
      </c>
      <c r="I1640" s="112">
        <v>4046.098986</v>
      </c>
    </row>
    <row r="1641" spans="1:9">
      <c r="A1641" s="112" t="s">
        <v>1479</v>
      </c>
      <c r="B1641" s="112" t="s">
        <v>1573</v>
      </c>
      <c r="C1641" s="112">
        <v>3851.3060949999999</v>
      </c>
      <c r="D1641" s="112" t="s">
        <v>1551</v>
      </c>
      <c r="E1641" s="112" t="s">
        <v>1543</v>
      </c>
      <c r="F1641" s="112" t="s">
        <v>1551</v>
      </c>
      <c r="G1641" s="112" t="s">
        <v>1479</v>
      </c>
      <c r="H1641" s="112" t="s">
        <v>1543</v>
      </c>
      <c r="I1641" s="112">
        <v>56764.902869999998</v>
      </c>
    </row>
    <row r="1642" spans="1:9">
      <c r="A1642" s="112" t="s">
        <v>1480</v>
      </c>
      <c r="B1642" s="112" t="s">
        <v>1573</v>
      </c>
      <c r="C1642" s="112">
        <v>0</v>
      </c>
      <c r="D1642" s="112" t="s">
        <v>1551</v>
      </c>
      <c r="E1642" s="112" t="s">
        <v>1543</v>
      </c>
      <c r="F1642" s="112" t="s">
        <v>1551</v>
      </c>
      <c r="G1642" s="112" t="s">
        <v>1480</v>
      </c>
      <c r="H1642" s="112" t="s">
        <v>1543</v>
      </c>
      <c r="I1642" s="112">
        <v>828.85036860000002</v>
      </c>
    </row>
    <row r="1643" spans="1:9">
      <c r="A1643" s="112" t="s">
        <v>1481</v>
      </c>
      <c r="B1643" s="112" t="s">
        <v>1573</v>
      </c>
      <c r="C1643" s="112">
        <v>0</v>
      </c>
      <c r="D1643" s="112" t="s">
        <v>1551</v>
      </c>
      <c r="E1643" s="112" t="s">
        <v>1543</v>
      </c>
      <c r="F1643" s="112" t="s">
        <v>1551</v>
      </c>
      <c r="G1643" s="112" t="s">
        <v>1481</v>
      </c>
      <c r="H1643" s="112" t="s">
        <v>1543</v>
      </c>
      <c r="I1643" s="112">
        <v>0</v>
      </c>
    </row>
    <row r="1644" spans="1:9">
      <c r="A1644" s="112" t="s">
        <v>1482</v>
      </c>
      <c r="B1644" s="112" t="s">
        <v>1573</v>
      </c>
      <c r="C1644" s="112">
        <v>0</v>
      </c>
      <c r="D1644" s="112" t="s">
        <v>1551</v>
      </c>
      <c r="E1644" s="112" t="s">
        <v>1543</v>
      </c>
      <c r="F1644" s="112" t="s">
        <v>1551</v>
      </c>
      <c r="G1644" s="112" t="s">
        <v>1482</v>
      </c>
      <c r="H1644" s="112" t="s">
        <v>1543</v>
      </c>
      <c r="I1644" s="112">
        <v>0</v>
      </c>
    </row>
    <row r="1645" spans="1:9">
      <c r="A1645" s="112" t="s">
        <v>1483</v>
      </c>
      <c r="B1645" s="112" t="s">
        <v>1573</v>
      </c>
      <c r="C1645" s="112">
        <v>0</v>
      </c>
      <c r="D1645" s="112" t="s">
        <v>1551</v>
      </c>
      <c r="E1645" s="112" t="s">
        <v>1543</v>
      </c>
      <c r="F1645" s="112" t="s">
        <v>1551</v>
      </c>
      <c r="G1645" s="112" t="s">
        <v>1483</v>
      </c>
      <c r="H1645" s="112" t="s">
        <v>1543</v>
      </c>
      <c r="I1645" s="112">
        <v>0</v>
      </c>
    </row>
    <row r="1646" spans="1:9">
      <c r="A1646" s="112" t="s">
        <v>1484</v>
      </c>
      <c r="B1646" s="112" t="s">
        <v>1573</v>
      </c>
      <c r="C1646" s="112">
        <v>0</v>
      </c>
      <c r="D1646" s="112" t="s">
        <v>1551</v>
      </c>
      <c r="E1646" s="112" t="s">
        <v>1543</v>
      </c>
      <c r="F1646" s="112" t="s">
        <v>1551</v>
      </c>
      <c r="G1646" s="112" t="s">
        <v>1484</v>
      </c>
      <c r="H1646" s="112" t="s">
        <v>1543</v>
      </c>
      <c r="I1646" s="112">
        <v>0</v>
      </c>
    </row>
    <row r="1647" spans="1:9">
      <c r="A1647" s="112" t="s">
        <v>1485</v>
      </c>
      <c r="B1647" s="112" t="s">
        <v>1573</v>
      </c>
      <c r="C1647" s="112">
        <v>0</v>
      </c>
      <c r="D1647" s="112" t="s">
        <v>1551</v>
      </c>
      <c r="E1647" s="112" t="s">
        <v>1543</v>
      </c>
      <c r="F1647" s="112" t="s">
        <v>1551</v>
      </c>
      <c r="G1647" s="112" t="s">
        <v>1485</v>
      </c>
      <c r="H1647" s="112" t="s">
        <v>1543</v>
      </c>
      <c r="I1647" s="112">
        <v>0</v>
      </c>
    </row>
    <row r="1648" spans="1:9">
      <c r="A1648" s="112" t="s">
        <v>1486</v>
      </c>
      <c r="B1648" s="112" t="s">
        <v>1573</v>
      </c>
      <c r="C1648" s="112">
        <v>0</v>
      </c>
      <c r="D1648" s="112" t="s">
        <v>1551</v>
      </c>
      <c r="E1648" s="112" t="s">
        <v>1543</v>
      </c>
      <c r="F1648" s="112" t="s">
        <v>1551</v>
      </c>
      <c r="G1648" s="112" t="s">
        <v>1486</v>
      </c>
      <c r="H1648" s="112" t="s">
        <v>1543</v>
      </c>
      <c r="I1648" s="112">
        <v>0</v>
      </c>
    </row>
    <row r="1649" spans="1:9">
      <c r="A1649" s="112" t="s">
        <v>1487</v>
      </c>
      <c r="B1649" s="112" t="s">
        <v>1573</v>
      </c>
      <c r="C1649" s="112">
        <v>0</v>
      </c>
      <c r="D1649" s="112" t="s">
        <v>1551</v>
      </c>
      <c r="E1649" s="112" t="s">
        <v>1543</v>
      </c>
      <c r="F1649" s="112" t="s">
        <v>1551</v>
      </c>
      <c r="G1649" s="112" t="s">
        <v>1487</v>
      </c>
      <c r="H1649" s="112" t="s">
        <v>1543</v>
      </c>
      <c r="I1649" s="112">
        <v>0</v>
      </c>
    </row>
    <row r="1650" spans="1:9">
      <c r="A1650" s="112" t="s">
        <v>1488</v>
      </c>
      <c r="B1650" s="112" t="s">
        <v>1573</v>
      </c>
      <c r="C1650" s="112">
        <v>0</v>
      </c>
      <c r="D1650" s="112" t="s">
        <v>1551</v>
      </c>
      <c r="E1650" s="112" t="s">
        <v>1543</v>
      </c>
      <c r="F1650" s="112" t="s">
        <v>1551</v>
      </c>
      <c r="G1650" s="112" t="s">
        <v>1488</v>
      </c>
      <c r="H1650" s="112" t="s">
        <v>1543</v>
      </c>
      <c r="I1650" s="112">
        <v>318.59816799999999</v>
      </c>
    </row>
    <row r="1651" spans="1:9">
      <c r="A1651" s="112" t="s">
        <v>1489</v>
      </c>
      <c r="B1651" s="112" t="s">
        <v>1573</v>
      </c>
      <c r="C1651" s="112">
        <v>0</v>
      </c>
      <c r="D1651" s="112" t="s">
        <v>1551</v>
      </c>
      <c r="E1651" s="112" t="s">
        <v>1543</v>
      </c>
      <c r="F1651" s="112" t="s">
        <v>1551</v>
      </c>
      <c r="G1651" s="112" t="s">
        <v>1489</v>
      </c>
      <c r="H1651" s="112" t="s">
        <v>1543</v>
      </c>
      <c r="I1651" s="112">
        <v>5.824892094</v>
      </c>
    </row>
    <row r="1652" spans="1:9">
      <c r="A1652" s="112" t="s">
        <v>1490</v>
      </c>
      <c r="B1652" s="112" t="s">
        <v>1573</v>
      </c>
      <c r="C1652" s="112">
        <v>0</v>
      </c>
      <c r="D1652" s="112" t="s">
        <v>1551</v>
      </c>
      <c r="E1652" s="112" t="s">
        <v>1543</v>
      </c>
      <c r="F1652" s="112" t="s">
        <v>1551</v>
      </c>
      <c r="G1652" s="112" t="s">
        <v>1490</v>
      </c>
      <c r="H1652" s="112" t="s">
        <v>1543</v>
      </c>
      <c r="I1652" s="112">
        <v>420.3446826</v>
      </c>
    </row>
    <row r="1653" spans="1:9">
      <c r="A1653" s="112" t="s">
        <v>1461</v>
      </c>
      <c r="B1653" s="112" t="s">
        <v>1574</v>
      </c>
      <c r="C1653" s="112">
        <v>124.5621907</v>
      </c>
      <c r="D1653" s="112" t="s">
        <v>1575</v>
      </c>
      <c r="E1653" s="112" t="s">
        <v>1576</v>
      </c>
      <c r="F1653" s="112" t="s">
        <v>1575</v>
      </c>
      <c r="G1653" s="112" t="s">
        <v>1461</v>
      </c>
      <c r="H1653" s="112" t="s">
        <v>1576</v>
      </c>
      <c r="I1653" s="112">
        <v>4569.9590820000003</v>
      </c>
    </row>
    <row r="1654" spans="1:9">
      <c r="A1654" s="112" t="s">
        <v>1465</v>
      </c>
      <c r="B1654" s="112" t="s">
        <v>1574</v>
      </c>
      <c r="C1654" s="112">
        <v>129.4153843</v>
      </c>
      <c r="D1654" s="112" t="s">
        <v>1575</v>
      </c>
      <c r="E1654" s="112" t="s">
        <v>1576</v>
      </c>
      <c r="F1654" s="112" t="s">
        <v>1575</v>
      </c>
      <c r="G1654" s="112" t="s">
        <v>1465</v>
      </c>
      <c r="H1654" s="112" t="s">
        <v>1576</v>
      </c>
      <c r="I1654" s="112">
        <v>2651.7944779999998</v>
      </c>
    </row>
    <row r="1655" spans="1:9">
      <c r="A1655" s="112" t="s">
        <v>1466</v>
      </c>
      <c r="B1655" s="112" t="s">
        <v>1574</v>
      </c>
      <c r="C1655" s="112">
        <v>58.095625400000003</v>
      </c>
      <c r="D1655" s="112" t="s">
        <v>1575</v>
      </c>
      <c r="E1655" s="112" t="s">
        <v>1576</v>
      </c>
      <c r="F1655" s="112" t="s">
        <v>1575</v>
      </c>
      <c r="G1655" s="112" t="s">
        <v>1466</v>
      </c>
      <c r="H1655" s="112" t="s">
        <v>1576</v>
      </c>
      <c r="I1655" s="112">
        <v>1336.199384</v>
      </c>
    </row>
    <row r="1656" spans="1:9">
      <c r="A1656" s="112" t="s">
        <v>1467</v>
      </c>
      <c r="B1656" s="112" t="s">
        <v>1574</v>
      </c>
      <c r="C1656" s="112">
        <v>172.01146739999999</v>
      </c>
      <c r="D1656" s="112" t="s">
        <v>1575</v>
      </c>
      <c r="E1656" s="112" t="s">
        <v>1576</v>
      </c>
      <c r="F1656" s="112" t="s">
        <v>1575</v>
      </c>
      <c r="G1656" s="112" t="s">
        <v>1467</v>
      </c>
      <c r="H1656" s="112" t="s">
        <v>1576</v>
      </c>
      <c r="I1656" s="112">
        <v>1611.4407619999999</v>
      </c>
    </row>
    <row r="1657" spans="1:9">
      <c r="A1657" s="112" t="s">
        <v>1468</v>
      </c>
      <c r="B1657" s="112" t="s">
        <v>1574</v>
      </c>
      <c r="C1657" s="112">
        <v>205.62918920000001</v>
      </c>
      <c r="D1657" s="112" t="s">
        <v>1575</v>
      </c>
      <c r="E1657" s="112" t="s">
        <v>1576</v>
      </c>
      <c r="F1657" s="112" t="s">
        <v>1575</v>
      </c>
      <c r="G1657" s="112" t="s">
        <v>1468</v>
      </c>
      <c r="H1657" s="112" t="s">
        <v>1576</v>
      </c>
      <c r="I1657" s="112">
        <v>9011.6090299999996</v>
      </c>
    </row>
    <row r="1658" spans="1:9">
      <c r="A1658" s="112" t="s">
        <v>1469</v>
      </c>
      <c r="B1658" s="112" t="s">
        <v>1574</v>
      </c>
      <c r="C1658" s="112">
        <v>48.073225139999998</v>
      </c>
      <c r="D1658" s="112" t="s">
        <v>1575</v>
      </c>
      <c r="E1658" s="112" t="s">
        <v>1576</v>
      </c>
      <c r="F1658" s="112" t="s">
        <v>1575</v>
      </c>
      <c r="G1658" s="112" t="s">
        <v>1469</v>
      </c>
      <c r="H1658" s="112" t="s">
        <v>1576</v>
      </c>
      <c r="I1658" s="112">
        <v>1413.352819</v>
      </c>
    </row>
    <row r="1659" spans="1:9">
      <c r="A1659" s="112" t="s">
        <v>1470</v>
      </c>
      <c r="B1659" s="112" t="s">
        <v>1574</v>
      </c>
      <c r="C1659" s="112">
        <v>0</v>
      </c>
      <c r="D1659" s="112" t="s">
        <v>1575</v>
      </c>
      <c r="E1659" s="112" t="s">
        <v>1576</v>
      </c>
      <c r="F1659" s="112" t="s">
        <v>1575</v>
      </c>
      <c r="G1659" s="112" t="s">
        <v>1470</v>
      </c>
      <c r="H1659" s="112" t="s">
        <v>1576</v>
      </c>
      <c r="I1659" s="112">
        <v>2028.3975660000001</v>
      </c>
    </row>
    <row r="1660" spans="1:9">
      <c r="A1660" s="112" t="s">
        <v>1471</v>
      </c>
      <c r="B1660" s="112" t="s">
        <v>1574</v>
      </c>
      <c r="C1660" s="112">
        <v>871.18144040000004</v>
      </c>
      <c r="D1660" s="112" t="s">
        <v>1575</v>
      </c>
      <c r="E1660" s="112" t="s">
        <v>1576</v>
      </c>
      <c r="F1660" s="112" t="s">
        <v>1575</v>
      </c>
      <c r="G1660" s="112" t="s">
        <v>1471</v>
      </c>
      <c r="H1660" s="112" t="s">
        <v>1576</v>
      </c>
      <c r="I1660" s="112">
        <v>3822.8951379999999</v>
      </c>
    </row>
    <row r="1661" spans="1:9">
      <c r="A1661" s="112" t="s">
        <v>1472</v>
      </c>
      <c r="B1661" s="112" t="s">
        <v>1574</v>
      </c>
      <c r="C1661" s="112">
        <v>314.45932349999998</v>
      </c>
      <c r="D1661" s="112" t="s">
        <v>1575</v>
      </c>
      <c r="E1661" s="112" t="s">
        <v>1576</v>
      </c>
      <c r="F1661" s="112" t="s">
        <v>1575</v>
      </c>
      <c r="G1661" s="112" t="s">
        <v>1472</v>
      </c>
      <c r="H1661" s="112" t="s">
        <v>1576</v>
      </c>
      <c r="I1661" s="112">
        <v>24813.259539999999</v>
      </c>
    </row>
    <row r="1662" spans="1:9">
      <c r="A1662" s="112" t="s">
        <v>1473</v>
      </c>
      <c r="B1662" s="112" t="s">
        <v>1574</v>
      </c>
      <c r="C1662" s="112">
        <v>268.1565832</v>
      </c>
      <c r="D1662" s="112" t="s">
        <v>1575</v>
      </c>
      <c r="E1662" s="112" t="s">
        <v>1576</v>
      </c>
      <c r="F1662" s="112" t="s">
        <v>1575</v>
      </c>
      <c r="G1662" s="112" t="s">
        <v>1473</v>
      </c>
      <c r="H1662" s="112" t="s">
        <v>1576</v>
      </c>
      <c r="I1662" s="112">
        <v>1312.3958299999999</v>
      </c>
    </row>
    <row r="1663" spans="1:9">
      <c r="A1663" s="112" t="s">
        <v>1474</v>
      </c>
      <c r="B1663" s="112" t="s">
        <v>1574</v>
      </c>
      <c r="C1663" s="112">
        <v>320.77871800000003</v>
      </c>
      <c r="D1663" s="112" t="s">
        <v>1575</v>
      </c>
      <c r="E1663" s="112" t="s">
        <v>1576</v>
      </c>
      <c r="F1663" s="112" t="s">
        <v>1575</v>
      </c>
      <c r="G1663" s="112" t="s">
        <v>1474</v>
      </c>
      <c r="H1663" s="112" t="s">
        <v>1576</v>
      </c>
      <c r="I1663" s="112">
        <v>9247.2761470000005</v>
      </c>
    </row>
    <row r="1664" spans="1:9">
      <c r="A1664" s="112" t="s">
        <v>1475</v>
      </c>
      <c r="B1664" s="112" t="s">
        <v>1574</v>
      </c>
      <c r="C1664" s="112">
        <v>232.86337270000001</v>
      </c>
      <c r="D1664" s="112" t="s">
        <v>1575</v>
      </c>
      <c r="E1664" s="112" t="s">
        <v>1576</v>
      </c>
      <c r="F1664" s="112" t="s">
        <v>1575</v>
      </c>
      <c r="G1664" s="112" t="s">
        <v>1475</v>
      </c>
      <c r="H1664" s="112" t="s">
        <v>1576</v>
      </c>
      <c r="I1664" s="112">
        <v>17126.042600000001</v>
      </c>
    </row>
    <row r="1665" spans="1:9">
      <c r="A1665" s="112" t="s">
        <v>1476</v>
      </c>
      <c r="B1665" s="112" t="s">
        <v>1574</v>
      </c>
      <c r="C1665" s="112">
        <v>413.43943680000001</v>
      </c>
      <c r="D1665" s="112" t="s">
        <v>1575</v>
      </c>
      <c r="E1665" s="112" t="s">
        <v>1576</v>
      </c>
      <c r="F1665" s="112" t="s">
        <v>1575</v>
      </c>
      <c r="G1665" s="112" t="s">
        <v>1476</v>
      </c>
      <c r="H1665" s="112" t="s">
        <v>1576</v>
      </c>
      <c r="I1665" s="112">
        <v>22105.73429</v>
      </c>
    </row>
    <row r="1666" spans="1:9">
      <c r="A1666" s="112" t="s">
        <v>1477</v>
      </c>
      <c r="B1666" s="112" t="s">
        <v>1574</v>
      </c>
      <c r="C1666" s="112">
        <v>337.65194339999999</v>
      </c>
      <c r="D1666" s="112" t="s">
        <v>1575</v>
      </c>
      <c r="E1666" s="112" t="s">
        <v>1576</v>
      </c>
      <c r="F1666" s="112" t="s">
        <v>1575</v>
      </c>
      <c r="G1666" s="112" t="s">
        <v>1477</v>
      </c>
      <c r="H1666" s="112" t="s">
        <v>1576</v>
      </c>
      <c r="I1666" s="112">
        <v>12155.46996</v>
      </c>
    </row>
    <row r="1667" spans="1:9">
      <c r="A1667" s="112" t="s">
        <v>1478</v>
      </c>
      <c r="B1667" s="112" t="s">
        <v>1574</v>
      </c>
      <c r="C1667" s="112">
        <v>412.23920900000002</v>
      </c>
      <c r="D1667" s="112" t="s">
        <v>1575</v>
      </c>
      <c r="E1667" s="112" t="s">
        <v>1576</v>
      </c>
      <c r="F1667" s="112" t="s">
        <v>1575</v>
      </c>
      <c r="G1667" s="112" t="s">
        <v>1478</v>
      </c>
      <c r="H1667" s="112" t="s">
        <v>1576</v>
      </c>
      <c r="I1667" s="112">
        <v>4898.7866190000004</v>
      </c>
    </row>
    <row r="1668" spans="1:9">
      <c r="A1668" s="112" t="s">
        <v>1479</v>
      </c>
      <c r="B1668" s="112" t="s">
        <v>1574</v>
      </c>
      <c r="C1668" s="112">
        <v>0</v>
      </c>
      <c r="D1668" s="112" t="s">
        <v>1575</v>
      </c>
      <c r="E1668" s="112" t="s">
        <v>1576</v>
      </c>
      <c r="F1668" s="112" t="s">
        <v>1575</v>
      </c>
      <c r="G1668" s="112" t="s">
        <v>1479</v>
      </c>
      <c r="H1668" s="112" t="s">
        <v>1576</v>
      </c>
      <c r="I1668" s="112">
        <v>1004.688547</v>
      </c>
    </row>
    <row r="1669" spans="1:9">
      <c r="A1669" s="112" t="s">
        <v>1480</v>
      </c>
      <c r="B1669" s="112" t="s">
        <v>1574</v>
      </c>
      <c r="C1669" s="112">
        <v>247.0611676</v>
      </c>
      <c r="D1669" s="112" t="s">
        <v>1575</v>
      </c>
      <c r="E1669" s="112" t="s">
        <v>1576</v>
      </c>
      <c r="F1669" s="112" t="s">
        <v>1575</v>
      </c>
      <c r="G1669" s="112" t="s">
        <v>1480</v>
      </c>
      <c r="H1669" s="112" t="s">
        <v>1576</v>
      </c>
      <c r="I1669" s="112">
        <v>7443.7138869999999</v>
      </c>
    </row>
    <row r="1670" spans="1:9">
      <c r="A1670" s="112" t="s">
        <v>1481</v>
      </c>
      <c r="B1670" s="112" t="s">
        <v>1574</v>
      </c>
      <c r="C1670" s="112">
        <v>89.033320720000006</v>
      </c>
      <c r="D1670" s="112" t="s">
        <v>1575</v>
      </c>
      <c r="E1670" s="112" t="s">
        <v>1576</v>
      </c>
      <c r="F1670" s="112" t="s">
        <v>1575</v>
      </c>
      <c r="G1670" s="112" t="s">
        <v>1481</v>
      </c>
      <c r="H1670" s="112" t="s">
        <v>1576</v>
      </c>
      <c r="I1670" s="112">
        <v>10639.481830000001</v>
      </c>
    </row>
    <row r="1671" spans="1:9">
      <c r="A1671" s="112" t="s">
        <v>1482</v>
      </c>
      <c r="B1671" s="112" t="s">
        <v>1574</v>
      </c>
      <c r="C1671" s="112">
        <v>0</v>
      </c>
      <c r="D1671" s="112" t="s">
        <v>1575</v>
      </c>
      <c r="E1671" s="112" t="s">
        <v>1576</v>
      </c>
      <c r="F1671" s="112" t="s">
        <v>1575</v>
      </c>
      <c r="G1671" s="112" t="s">
        <v>1482</v>
      </c>
      <c r="H1671" s="112" t="s">
        <v>1576</v>
      </c>
      <c r="I1671" s="112">
        <v>508.13008129999997</v>
      </c>
    </row>
    <row r="1672" spans="1:9">
      <c r="A1672" s="112" t="s">
        <v>1483</v>
      </c>
      <c r="B1672" s="112" t="s">
        <v>1574</v>
      </c>
      <c r="C1672" s="112">
        <v>325.22087920000001</v>
      </c>
      <c r="D1672" s="112" t="s">
        <v>1575</v>
      </c>
      <c r="E1672" s="112" t="s">
        <v>1576</v>
      </c>
      <c r="F1672" s="112" t="s">
        <v>1575</v>
      </c>
      <c r="G1672" s="112" t="s">
        <v>1483</v>
      </c>
      <c r="H1672" s="112" t="s">
        <v>1576</v>
      </c>
      <c r="I1672" s="112">
        <v>6992.2489020000003</v>
      </c>
    </row>
    <row r="1673" spans="1:9">
      <c r="A1673" s="112" t="s">
        <v>1484</v>
      </c>
      <c r="B1673" s="112" t="s">
        <v>1574</v>
      </c>
      <c r="C1673" s="112">
        <v>600.60060060000001</v>
      </c>
      <c r="D1673" s="112" t="s">
        <v>1575</v>
      </c>
      <c r="E1673" s="112" t="s">
        <v>1576</v>
      </c>
      <c r="F1673" s="112" t="s">
        <v>1575</v>
      </c>
      <c r="G1673" s="112" t="s">
        <v>1484</v>
      </c>
      <c r="H1673" s="112" t="s">
        <v>1576</v>
      </c>
      <c r="I1673" s="112">
        <v>10030.03003</v>
      </c>
    </row>
    <row r="1674" spans="1:9">
      <c r="A1674" s="112" t="s">
        <v>1485</v>
      </c>
      <c r="B1674" s="112" t="s">
        <v>1574</v>
      </c>
      <c r="C1674" s="112">
        <v>196.76836890000001</v>
      </c>
      <c r="D1674" s="112" t="s">
        <v>1575</v>
      </c>
      <c r="E1674" s="112" t="s">
        <v>1576</v>
      </c>
      <c r="F1674" s="112" t="s">
        <v>1575</v>
      </c>
      <c r="G1674" s="112" t="s">
        <v>1485</v>
      </c>
      <c r="H1674" s="112" t="s">
        <v>1576</v>
      </c>
      <c r="I1674" s="112">
        <v>3831.1958890000001</v>
      </c>
    </row>
    <row r="1675" spans="1:9">
      <c r="A1675" s="112" t="s">
        <v>1486</v>
      </c>
      <c r="B1675" s="112" t="s">
        <v>1574</v>
      </c>
      <c r="C1675" s="112">
        <v>221.64758029999999</v>
      </c>
      <c r="D1675" s="112" t="s">
        <v>1575</v>
      </c>
      <c r="E1675" s="112" t="s">
        <v>1576</v>
      </c>
      <c r="F1675" s="112" t="s">
        <v>1575</v>
      </c>
      <c r="G1675" s="112" t="s">
        <v>1486</v>
      </c>
      <c r="H1675" s="112" t="s">
        <v>1576</v>
      </c>
      <c r="I1675" s="112">
        <v>3287.7724410000001</v>
      </c>
    </row>
    <row r="1676" spans="1:9">
      <c r="A1676" s="112" t="s">
        <v>1487</v>
      </c>
      <c r="B1676" s="112" t="s">
        <v>1574</v>
      </c>
      <c r="C1676" s="112">
        <v>183.8826828</v>
      </c>
      <c r="D1676" s="112" t="s">
        <v>1575</v>
      </c>
      <c r="E1676" s="112" t="s">
        <v>1576</v>
      </c>
      <c r="F1676" s="112" t="s">
        <v>1575</v>
      </c>
      <c r="G1676" s="112" t="s">
        <v>1487</v>
      </c>
      <c r="H1676" s="112" t="s">
        <v>1576</v>
      </c>
      <c r="I1676" s="112">
        <v>9998.6208800000004</v>
      </c>
    </row>
    <row r="1677" spans="1:9">
      <c r="A1677" s="112" t="s">
        <v>1488</v>
      </c>
      <c r="B1677" s="112" t="s">
        <v>1574</v>
      </c>
      <c r="C1677" s="112">
        <v>398.24771010000001</v>
      </c>
      <c r="D1677" s="112" t="s">
        <v>1575</v>
      </c>
      <c r="E1677" s="112" t="s">
        <v>1576</v>
      </c>
      <c r="F1677" s="112" t="s">
        <v>1575</v>
      </c>
      <c r="G1677" s="112" t="s">
        <v>1488</v>
      </c>
      <c r="H1677" s="112" t="s">
        <v>1576</v>
      </c>
      <c r="I1677" s="112">
        <v>6371.9633610000001</v>
      </c>
    </row>
    <row r="1678" spans="1:9">
      <c r="A1678" s="112" t="s">
        <v>1489</v>
      </c>
      <c r="B1678" s="112" t="s">
        <v>1574</v>
      </c>
      <c r="C1678" s="112">
        <v>914.50805869999999</v>
      </c>
      <c r="D1678" s="112" t="s">
        <v>1575</v>
      </c>
      <c r="E1678" s="112" t="s">
        <v>1576</v>
      </c>
      <c r="F1678" s="112" t="s">
        <v>1575</v>
      </c>
      <c r="G1678" s="112" t="s">
        <v>1489</v>
      </c>
      <c r="H1678" s="112" t="s">
        <v>1576</v>
      </c>
      <c r="I1678" s="112">
        <v>2848.3722339999999</v>
      </c>
    </row>
    <row r="1679" spans="1:9">
      <c r="A1679" s="112" t="s">
        <v>1490</v>
      </c>
      <c r="B1679" s="112" t="s">
        <v>1574</v>
      </c>
      <c r="C1679" s="112">
        <v>0</v>
      </c>
      <c r="D1679" s="112" t="s">
        <v>1575</v>
      </c>
      <c r="E1679" s="112" t="s">
        <v>1576</v>
      </c>
      <c r="F1679" s="112" t="s">
        <v>1575</v>
      </c>
      <c r="G1679" s="112" t="s">
        <v>1490</v>
      </c>
      <c r="H1679" s="112" t="s">
        <v>1576</v>
      </c>
      <c r="I1679" s="112">
        <v>13451.029839999999</v>
      </c>
    </row>
    <row r="1680" spans="1:9">
      <c r="A1680" s="112" t="s">
        <v>1461</v>
      </c>
      <c r="B1680" s="112" t="s">
        <v>1577</v>
      </c>
      <c r="C1680" s="112">
        <v>979.75529559999995</v>
      </c>
      <c r="D1680" s="112" t="s">
        <v>1575</v>
      </c>
      <c r="E1680" s="112" t="s">
        <v>1576</v>
      </c>
      <c r="F1680" s="112" t="s">
        <v>1575</v>
      </c>
      <c r="G1680" s="112" t="s">
        <v>1461</v>
      </c>
      <c r="H1680" s="112" t="s">
        <v>1576</v>
      </c>
      <c r="I1680" s="112">
        <v>4569.9590820000003</v>
      </c>
    </row>
    <row r="1681" spans="1:9">
      <c r="A1681" s="112" t="s">
        <v>1465</v>
      </c>
      <c r="B1681" s="112" t="s">
        <v>1577</v>
      </c>
      <c r="C1681" s="112">
        <v>2497.9610969999999</v>
      </c>
      <c r="D1681" s="112" t="s">
        <v>1575</v>
      </c>
      <c r="E1681" s="112" t="s">
        <v>1576</v>
      </c>
      <c r="F1681" s="112" t="s">
        <v>1575</v>
      </c>
      <c r="G1681" s="112" t="s">
        <v>1465</v>
      </c>
      <c r="H1681" s="112" t="s">
        <v>1576</v>
      </c>
      <c r="I1681" s="112">
        <v>2651.7944779999998</v>
      </c>
    </row>
    <row r="1682" spans="1:9">
      <c r="A1682" s="112" t="s">
        <v>1466</v>
      </c>
      <c r="B1682" s="112" t="s">
        <v>1577</v>
      </c>
      <c r="C1682" s="112">
        <v>1278.1037590000001</v>
      </c>
      <c r="D1682" s="112" t="s">
        <v>1575</v>
      </c>
      <c r="E1682" s="112" t="s">
        <v>1576</v>
      </c>
      <c r="F1682" s="112" t="s">
        <v>1575</v>
      </c>
      <c r="G1682" s="112" t="s">
        <v>1466</v>
      </c>
      <c r="H1682" s="112" t="s">
        <v>1576</v>
      </c>
      <c r="I1682" s="112">
        <v>1336.199384</v>
      </c>
    </row>
    <row r="1683" spans="1:9">
      <c r="A1683" s="112" t="s">
        <v>1467</v>
      </c>
      <c r="B1683" s="112" t="s">
        <v>1577</v>
      </c>
      <c r="C1683" s="112">
        <v>148.0098673</v>
      </c>
      <c r="D1683" s="112" t="s">
        <v>1575</v>
      </c>
      <c r="E1683" s="112" t="s">
        <v>1576</v>
      </c>
      <c r="F1683" s="112" t="s">
        <v>1575</v>
      </c>
      <c r="G1683" s="112" t="s">
        <v>1467</v>
      </c>
      <c r="H1683" s="112" t="s">
        <v>1576</v>
      </c>
      <c r="I1683" s="112">
        <v>1611.4407619999999</v>
      </c>
    </row>
    <row r="1684" spans="1:9">
      <c r="A1684" s="112" t="s">
        <v>1468</v>
      </c>
      <c r="B1684" s="112" t="s">
        <v>1577</v>
      </c>
      <c r="C1684" s="112">
        <v>8802.3723109999992</v>
      </c>
      <c r="D1684" s="112" t="s">
        <v>1575</v>
      </c>
      <c r="E1684" s="112" t="s">
        <v>1576</v>
      </c>
      <c r="F1684" s="112" t="s">
        <v>1575</v>
      </c>
      <c r="G1684" s="112" t="s">
        <v>1468</v>
      </c>
      <c r="H1684" s="112" t="s">
        <v>1576</v>
      </c>
      <c r="I1684" s="112">
        <v>9011.6090299999996</v>
      </c>
    </row>
    <row r="1685" spans="1:9">
      <c r="A1685" s="112" t="s">
        <v>1469</v>
      </c>
      <c r="B1685" s="112" t="s">
        <v>1577</v>
      </c>
      <c r="C1685" s="112">
        <v>1355.664949</v>
      </c>
      <c r="D1685" s="112" t="s">
        <v>1575</v>
      </c>
      <c r="E1685" s="112" t="s">
        <v>1576</v>
      </c>
      <c r="F1685" s="112" t="s">
        <v>1575</v>
      </c>
      <c r="G1685" s="112" t="s">
        <v>1469</v>
      </c>
      <c r="H1685" s="112" t="s">
        <v>1576</v>
      </c>
      <c r="I1685" s="112">
        <v>1413.352819</v>
      </c>
    </row>
    <row r="1686" spans="1:9">
      <c r="A1686" s="112" t="s">
        <v>1470</v>
      </c>
      <c r="B1686" s="112" t="s">
        <v>1577</v>
      </c>
      <c r="C1686" s="112">
        <v>0</v>
      </c>
      <c r="D1686" s="112" t="s">
        <v>1575</v>
      </c>
      <c r="E1686" s="112" t="s">
        <v>1576</v>
      </c>
      <c r="F1686" s="112" t="s">
        <v>1575</v>
      </c>
      <c r="G1686" s="112" t="s">
        <v>1470</v>
      </c>
      <c r="H1686" s="112" t="s">
        <v>1576</v>
      </c>
      <c r="I1686" s="112">
        <v>2028.3975660000001</v>
      </c>
    </row>
    <row r="1687" spans="1:9">
      <c r="A1687" s="112" t="s">
        <v>1471</v>
      </c>
      <c r="B1687" s="112" t="s">
        <v>1577</v>
      </c>
      <c r="C1687" s="112">
        <v>1029.2998520000001</v>
      </c>
      <c r="D1687" s="112" t="s">
        <v>1575</v>
      </c>
      <c r="E1687" s="112" t="s">
        <v>1576</v>
      </c>
      <c r="F1687" s="112" t="s">
        <v>1575</v>
      </c>
      <c r="G1687" s="112" t="s">
        <v>1471</v>
      </c>
      <c r="H1687" s="112" t="s">
        <v>1576</v>
      </c>
      <c r="I1687" s="112">
        <v>3822.8951379999999</v>
      </c>
    </row>
    <row r="1688" spans="1:9">
      <c r="A1688" s="112" t="s">
        <v>1472</v>
      </c>
      <c r="B1688" s="112" t="s">
        <v>1577</v>
      </c>
      <c r="C1688" s="112">
        <v>1577.1344529999999</v>
      </c>
      <c r="D1688" s="112" t="s">
        <v>1575</v>
      </c>
      <c r="E1688" s="112" t="s">
        <v>1576</v>
      </c>
      <c r="F1688" s="112" t="s">
        <v>1575</v>
      </c>
      <c r="G1688" s="112" t="s">
        <v>1472</v>
      </c>
      <c r="H1688" s="112" t="s">
        <v>1576</v>
      </c>
      <c r="I1688" s="112">
        <v>24813.259539999999</v>
      </c>
    </row>
    <row r="1689" spans="1:9">
      <c r="A1689" s="112" t="s">
        <v>1473</v>
      </c>
      <c r="B1689" s="112" t="s">
        <v>1577</v>
      </c>
      <c r="C1689" s="112">
        <v>576.61269059999995</v>
      </c>
      <c r="D1689" s="112" t="s">
        <v>1575</v>
      </c>
      <c r="E1689" s="112" t="s">
        <v>1576</v>
      </c>
      <c r="F1689" s="112" t="s">
        <v>1575</v>
      </c>
      <c r="G1689" s="112" t="s">
        <v>1473</v>
      </c>
      <c r="H1689" s="112" t="s">
        <v>1576</v>
      </c>
      <c r="I1689" s="112">
        <v>1312.3958299999999</v>
      </c>
    </row>
    <row r="1690" spans="1:9">
      <c r="A1690" s="112" t="s">
        <v>1474</v>
      </c>
      <c r="B1690" s="112" t="s">
        <v>1577</v>
      </c>
      <c r="C1690" s="112">
        <v>746.64011949999997</v>
      </c>
      <c r="D1690" s="112" t="s">
        <v>1575</v>
      </c>
      <c r="E1690" s="112" t="s">
        <v>1576</v>
      </c>
      <c r="F1690" s="112" t="s">
        <v>1575</v>
      </c>
      <c r="G1690" s="112" t="s">
        <v>1474</v>
      </c>
      <c r="H1690" s="112" t="s">
        <v>1576</v>
      </c>
      <c r="I1690" s="112">
        <v>9247.2761470000005</v>
      </c>
    </row>
    <row r="1691" spans="1:9">
      <c r="A1691" s="112" t="s">
        <v>1475</v>
      </c>
      <c r="B1691" s="112" t="s">
        <v>1577</v>
      </c>
      <c r="C1691" s="112">
        <v>2773.1910750000002</v>
      </c>
      <c r="D1691" s="112" t="s">
        <v>1575</v>
      </c>
      <c r="E1691" s="112" t="s">
        <v>1576</v>
      </c>
      <c r="F1691" s="112" t="s">
        <v>1575</v>
      </c>
      <c r="G1691" s="112" t="s">
        <v>1475</v>
      </c>
      <c r="H1691" s="112" t="s">
        <v>1576</v>
      </c>
      <c r="I1691" s="112">
        <v>17126.042600000001</v>
      </c>
    </row>
    <row r="1692" spans="1:9">
      <c r="A1692" s="112" t="s">
        <v>1476</v>
      </c>
      <c r="B1692" s="112" t="s">
        <v>1577</v>
      </c>
      <c r="C1692" s="112">
        <v>1551.3461440000001</v>
      </c>
      <c r="D1692" s="112" t="s">
        <v>1575</v>
      </c>
      <c r="E1692" s="112" t="s">
        <v>1576</v>
      </c>
      <c r="F1692" s="112" t="s">
        <v>1575</v>
      </c>
      <c r="G1692" s="112" t="s">
        <v>1476</v>
      </c>
      <c r="H1692" s="112" t="s">
        <v>1576</v>
      </c>
      <c r="I1692" s="112">
        <v>22105.73429</v>
      </c>
    </row>
    <row r="1693" spans="1:9">
      <c r="A1693" s="112" t="s">
        <v>1477</v>
      </c>
      <c r="B1693" s="112" t="s">
        <v>1577</v>
      </c>
      <c r="C1693" s="112">
        <v>1062.9783399999999</v>
      </c>
      <c r="D1693" s="112" t="s">
        <v>1575</v>
      </c>
      <c r="E1693" s="112" t="s">
        <v>1576</v>
      </c>
      <c r="F1693" s="112" t="s">
        <v>1575</v>
      </c>
      <c r="G1693" s="112" t="s">
        <v>1477</v>
      </c>
      <c r="H1693" s="112" t="s">
        <v>1576</v>
      </c>
      <c r="I1693" s="112">
        <v>12155.46996</v>
      </c>
    </row>
    <row r="1694" spans="1:9">
      <c r="A1694" s="112" t="s">
        <v>1478</v>
      </c>
      <c r="B1694" s="112" t="s">
        <v>1577</v>
      </c>
      <c r="C1694" s="112">
        <v>2019.5233410000001</v>
      </c>
      <c r="D1694" s="112" t="s">
        <v>1575</v>
      </c>
      <c r="E1694" s="112" t="s">
        <v>1576</v>
      </c>
      <c r="F1694" s="112" t="s">
        <v>1575</v>
      </c>
      <c r="G1694" s="112" t="s">
        <v>1478</v>
      </c>
      <c r="H1694" s="112" t="s">
        <v>1576</v>
      </c>
      <c r="I1694" s="112">
        <v>4898.7866190000004</v>
      </c>
    </row>
    <row r="1695" spans="1:9">
      <c r="A1695" s="112" t="s">
        <v>1479</v>
      </c>
      <c r="B1695" s="112" t="s">
        <v>1577</v>
      </c>
      <c r="C1695" s="112">
        <v>0</v>
      </c>
      <c r="D1695" s="112" t="s">
        <v>1575</v>
      </c>
      <c r="E1695" s="112" t="s">
        <v>1576</v>
      </c>
      <c r="F1695" s="112" t="s">
        <v>1575</v>
      </c>
      <c r="G1695" s="112" t="s">
        <v>1479</v>
      </c>
      <c r="H1695" s="112" t="s">
        <v>1576</v>
      </c>
      <c r="I1695" s="112">
        <v>1004.688547</v>
      </c>
    </row>
    <row r="1696" spans="1:9">
      <c r="A1696" s="112" t="s">
        <v>1480</v>
      </c>
      <c r="B1696" s="112" t="s">
        <v>1577</v>
      </c>
      <c r="C1696" s="112">
        <v>1187.4875469999999</v>
      </c>
      <c r="D1696" s="112" t="s">
        <v>1575</v>
      </c>
      <c r="E1696" s="112" t="s">
        <v>1576</v>
      </c>
      <c r="F1696" s="112" t="s">
        <v>1575</v>
      </c>
      <c r="G1696" s="112" t="s">
        <v>1480</v>
      </c>
      <c r="H1696" s="112" t="s">
        <v>1576</v>
      </c>
      <c r="I1696" s="112">
        <v>7443.7138869999999</v>
      </c>
    </row>
    <row r="1697" spans="1:9">
      <c r="A1697" s="112" t="s">
        <v>1481</v>
      </c>
      <c r="B1697" s="112" t="s">
        <v>1577</v>
      </c>
      <c r="C1697" s="112">
        <v>10550.44851</v>
      </c>
      <c r="D1697" s="112" t="s">
        <v>1575</v>
      </c>
      <c r="E1697" s="112" t="s">
        <v>1576</v>
      </c>
      <c r="F1697" s="112" t="s">
        <v>1575</v>
      </c>
      <c r="G1697" s="112" t="s">
        <v>1481</v>
      </c>
      <c r="H1697" s="112" t="s">
        <v>1576</v>
      </c>
      <c r="I1697" s="112">
        <v>10639.481830000001</v>
      </c>
    </row>
    <row r="1698" spans="1:9">
      <c r="A1698" s="112" t="s">
        <v>1482</v>
      </c>
      <c r="B1698" s="112" t="s">
        <v>1577</v>
      </c>
      <c r="C1698" s="112">
        <v>508.13008129999997</v>
      </c>
      <c r="D1698" s="112" t="s">
        <v>1575</v>
      </c>
      <c r="E1698" s="112" t="s">
        <v>1576</v>
      </c>
      <c r="F1698" s="112" t="s">
        <v>1575</v>
      </c>
      <c r="G1698" s="112" t="s">
        <v>1482</v>
      </c>
      <c r="H1698" s="112" t="s">
        <v>1576</v>
      </c>
      <c r="I1698" s="112">
        <v>508.13008129999997</v>
      </c>
    </row>
    <row r="1699" spans="1:9">
      <c r="A1699" s="112" t="s">
        <v>1483</v>
      </c>
      <c r="B1699" s="112" t="s">
        <v>1577</v>
      </c>
      <c r="C1699" s="112">
        <v>6667.0280229999998</v>
      </c>
      <c r="D1699" s="112" t="s">
        <v>1575</v>
      </c>
      <c r="E1699" s="112" t="s">
        <v>1576</v>
      </c>
      <c r="F1699" s="112" t="s">
        <v>1575</v>
      </c>
      <c r="G1699" s="112" t="s">
        <v>1483</v>
      </c>
      <c r="H1699" s="112" t="s">
        <v>1576</v>
      </c>
      <c r="I1699" s="112">
        <v>6992.2489020000003</v>
      </c>
    </row>
    <row r="1700" spans="1:9">
      <c r="A1700" s="112" t="s">
        <v>1484</v>
      </c>
      <c r="B1700" s="112" t="s">
        <v>1577</v>
      </c>
      <c r="C1700" s="112">
        <v>9309.3093090000002</v>
      </c>
      <c r="D1700" s="112" t="s">
        <v>1575</v>
      </c>
      <c r="E1700" s="112" t="s">
        <v>1576</v>
      </c>
      <c r="F1700" s="112" t="s">
        <v>1575</v>
      </c>
      <c r="G1700" s="112" t="s">
        <v>1484</v>
      </c>
      <c r="H1700" s="112" t="s">
        <v>1576</v>
      </c>
      <c r="I1700" s="112">
        <v>10030.03003</v>
      </c>
    </row>
    <row r="1701" spans="1:9">
      <c r="A1701" s="112" t="s">
        <v>1485</v>
      </c>
      <c r="B1701" s="112" t="s">
        <v>1577</v>
      </c>
      <c r="C1701" s="112">
        <v>3617.0656049999998</v>
      </c>
      <c r="D1701" s="112" t="s">
        <v>1575</v>
      </c>
      <c r="E1701" s="112" t="s">
        <v>1576</v>
      </c>
      <c r="F1701" s="112" t="s">
        <v>1575</v>
      </c>
      <c r="G1701" s="112" t="s">
        <v>1485</v>
      </c>
      <c r="H1701" s="112" t="s">
        <v>1576</v>
      </c>
      <c r="I1701" s="112">
        <v>3831.1958890000001</v>
      </c>
    </row>
    <row r="1702" spans="1:9">
      <c r="A1702" s="112" t="s">
        <v>1486</v>
      </c>
      <c r="B1702" s="112" t="s">
        <v>1577</v>
      </c>
      <c r="C1702" s="112">
        <v>3066.1248609999998</v>
      </c>
      <c r="D1702" s="112" t="s">
        <v>1575</v>
      </c>
      <c r="E1702" s="112" t="s">
        <v>1576</v>
      </c>
      <c r="F1702" s="112" t="s">
        <v>1575</v>
      </c>
      <c r="G1702" s="112" t="s">
        <v>1486</v>
      </c>
      <c r="H1702" s="112" t="s">
        <v>1576</v>
      </c>
      <c r="I1702" s="112">
        <v>3287.7724410000001</v>
      </c>
    </row>
    <row r="1703" spans="1:9">
      <c r="A1703" s="112" t="s">
        <v>1487</v>
      </c>
      <c r="B1703" s="112" t="s">
        <v>1577</v>
      </c>
      <c r="C1703" s="112">
        <v>9814.7381970000006</v>
      </c>
      <c r="D1703" s="112" t="s">
        <v>1575</v>
      </c>
      <c r="E1703" s="112" t="s">
        <v>1576</v>
      </c>
      <c r="F1703" s="112" t="s">
        <v>1575</v>
      </c>
      <c r="G1703" s="112" t="s">
        <v>1487</v>
      </c>
      <c r="H1703" s="112" t="s">
        <v>1576</v>
      </c>
      <c r="I1703" s="112">
        <v>9998.6208800000004</v>
      </c>
    </row>
    <row r="1704" spans="1:9">
      <c r="A1704" s="112" t="s">
        <v>1488</v>
      </c>
      <c r="B1704" s="112" t="s">
        <v>1577</v>
      </c>
      <c r="C1704" s="112">
        <v>5973.7156510000004</v>
      </c>
      <c r="D1704" s="112" t="s">
        <v>1575</v>
      </c>
      <c r="E1704" s="112" t="s">
        <v>1576</v>
      </c>
      <c r="F1704" s="112" t="s">
        <v>1575</v>
      </c>
      <c r="G1704" s="112" t="s">
        <v>1488</v>
      </c>
      <c r="H1704" s="112" t="s">
        <v>1576</v>
      </c>
      <c r="I1704" s="112">
        <v>6371.9633610000001</v>
      </c>
    </row>
    <row r="1705" spans="1:9">
      <c r="A1705" s="112" t="s">
        <v>1489</v>
      </c>
      <c r="B1705" s="112" t="s">
        <v>1577</v>
      </c>
      <c r="C1705" s="112">
        <v>1928.0392830000001</v>
      </c>
      <c r="D1705" s="112" t="s">
        <v>1575</v>
      </c>
      <c r="E1705" s="112" t="s">
        <v>1576</v>
      </c>
      <c r="F1705" s="112" t="s">
        <v>1575</v>
      </c>
      <c r="G1705" s="112" t="s">
        <v>1489</v>
      </c>
      <c r="H1705" s="112" t="s">
        <v>1576</v>
      </c>
      <c r="I1705" s="112">
        <v>2848.3722339999999</v>
      </c>
    </row>
    <row r="1706" spans="1:9">
      <c r="A1706" s="112" t="s">
        <v>1490</v>
      </c>
      <c r="B1706" s="112" t="s">
        <v>1577</v>
      </c>
      <c r="C1706" s="112">
        <v>13451.029839999999</v>
      </c>
      <c r="D1706" s="112" t="s">
        <v>1575</v>
      </c>
      <c r="E1706" s="112" t="s">
        <v>1576</v>
      </c>
      <c r="F1706" s="112" t="s">
        <v>1575</v>
      </c>
      <c r="G1706" s="112" t="s">
        <v>1490</v>
      </c>
      <c r="H1706" s="112" t="s">
        <v>1576</v>
      </c>
      <c r="I1706" s="112">
        <v>13451.029839999999</v>
      </c>
    </row>
    <row r="1707" spans="1:9">
      <c r="A1707" s="112" t="s">
        <v>1461</v>
      </c>
      <c r="B1707" s="112" t="s">
        <v>1578</v>
      </c>
      <c r="C1707" s="112">
        <v>1280.445745</v>
      </c>
      <c r="D1707" s="112" t="s">
        <v>1579</v>
      </c>
      <c r="E1707" s="112" t="s">
        <v>1576</v>
      </c>
      <c r="F1707" s="112" t="s">
        <v>1579</v>
      </c>
      <c r="G1707" s="112" t="s">
        <v>1461</v>
      </c>
      <c r="H1707" s="112" t="s">
        <v>1576</v>
      </c>
      <c r="I1707" s="112">
        <v>2169.7929989999998</v>
      </c>
    </row>
    <row r="1708" spans="1:9">
      <c r="A1708" s="112" t="s">
        <v>1465</v>
      </c>
      <c r="B1708" s="112" t="s">
        <v>1578</v>
      </c>
      <c r="C1708" s="112">
        <v>9295.9314730000006</v>
      </c>
      <c r="D1708" s="112" t="s">
        <v>1579</v>
      </c>
      <c r="E1708" s="112" t="s">
        <v>1576</v>
      </c>
      <c r="F1708" s="112" t="s">
        <v>1579</v>
      </c>
      <c r="G1708" s="112" t="s">
        <v>1465</v>
      </c>
      <c r="H1708" s="112" t="s">
        <v>1576</v>
      </c>
      <c r="I1708" s="112">
        <v>17695.722460000001</v>
      </c>
    </row>
    <row r="1709" spans="1:9">
      <c r="A1709" s="112" t="s">
        <v>1466</v>
      </c>
      <c r="B1709" s="112" t="s">
        <v>1578</v>
      </c>
      <c r="C1709" s="112">
        <v>4845.175158</v>
      </c>
      <c r="D1709" s="112" t="s">
        <v>1579</v>
      </c>
      <c r="E1709" s="112" t="s">
        <v>1576</v>
      </c>
      <c r="F1709" s="112" t="s">
        <v>1579</v>
      </c>
      <c r="G1709" s="112" t="s">
        <v>1466</v>
      </c>
      <c r="H1709" s="112" t="s">
        <v>1576</v>
      </c>
      <c r="I1709" s="112">
        <v>8435.4848079999992</v>
      </c>
    </row>
    <row r="1710" spans="1:9">
      <c r="A1710" s="112" t="s">
        <v>1467</v>
      </c>
      <c r="B1710" s="112" t="s">
        <v>1578</v>
      </c>
      <c r="C1710" s="112">
        <v>308.02053469999998</v>
      </c>
      <c r="D1710" s="112" t="s">
        <v>1579</v>
      </c>
      <c r="E1710" s="112" t="s">
        <v>1576</v>
      </c>
      <c r="F1710" s="112" t="s">
        <v>1579</v>
      </c>
      <c r="G1710" s="112" t="s">
        <v>1467</v>
      </c>
      <c r="H1710" s="112" t="s">
        <v>1576</v>
      </c>
      <c r="I1710" s="112">
        <v>577.37182480000001</v>
      </c>
    </row>
    <row r="1711" spans="1:9">
      <c r="A1711" s="112" t="s">
        <v>1468</v>
      </c>
      <c r="B1711" s="112" t="s">
        <v>1578</v>
      </c>
      <c r="C1711" s="112">
        <v>27979.99986</v>
      </c>
      <c r="D1711" s="112" t="s">
        <v>1579</v>
      </c>
      <c r="E1711" s="112" t="s">
        <v>1576</v>
      </c>
      <c r="F1711" s="112" t="s">
        <v>1579</v>
      </c>
      <c r="G1711" s="112" t="s">
        <v>1468</v>
      </c>
      <c r="H1711" s="112" t="s">
        <v>1576</v>
      </c>
      <c r="I1711" s="112">
        <v>45494.556239999998</v>
      </c>
    </row>
    <row r="1712" spans="1:9">
      <c r="A1712" s="112" t="s">
        <v>1469</v>
      </c>
      <c r="B1712" s="112" t="s">
        <v>1578</v>
      </c>
      <c r="C1712" s="112">
        <v>3451.657565</v>
      </c>
      <c r="D1712" s="112" t="s">
        <v>1579</v>
      </c>
      <c r="E1712" s="112" t="s">
        <v>1576</v>
      </c>
      <c r="F1712" s="112" t="s">
        <v>1579</v>
      </c>
      <c r="G1712" s="112" t="s">
        <v>1469</v>
      </c>
      <c r="H1712" s="112" t="s">
        <v>1576</v>
      </c>
      <c r="I1712" s="112">
        <v>4682.332128</v>
      </c>
    </row>
    <row r="1713" spans="1:9">
      <c r="A1713" s="112" t="s">
        <v>1470</v>
      </c>
      <c r="B1713" s="112" t="s">
        <v>1578</v>
      </c>
      <c r="C1713" s="112">
        <v>0</v>
      </c>
      <c r="D1713" s="112" t="s">
        <v>1579</v>
      </c>
      <c r="E1713" s="112" t="s">
        <v>1576</v>
      </c>
      <c r="F1713" s="112" t="s">
        <v>1579</v>
      </c>
      <c r="G1713" s="112" t="s">
        <v>1470</v>
      </c>
      <c r="H1713" s="112" t="s">
        <v>1576</v>
      </c>
      <c r="I1713" s="112">
        <v>0</v>
      </c>
    </row>
    <row r="1714" spans="1:9">
      <c r="A1714" s="112" t="s">
        <v>1471</v>
      </c>
      <c r="B1714" s="112" t="s">
        <v>1578</v>
      </c>
      <c r="C1714" s="112">
        <v>4345.7060140000003</v>
      </c>
      <c r="D1714" s="112" t="s">
        <v>1579</v>
      </c>
      <c r="E1714" s="112" t="s">
        <v>1576</v>
      </c>
      <c r="F1714" s="112" t="s">
        <v>1579</v>
      </c>
      <c r="G1714" s="112" t="s">
        <v>1471</v>
      </c>
      <c r="H1714" s="112" t="s">
        <v>1576</v>
      </c>
      <c r="I1714" s="112">
        <v>7048.5107289999996</v>
      </c>
    </row>
    <row r="1715" spans="1:9">
      <c r="A1715" s="112" t="s">
        <v>1472</v>
      </c>
      <c r="B1715" s="112" t="s">
        <v>1578</v>
      </c>
      <c r="C1715" s="112">
        <v>0</v>
      </c>
      <c r="D1715" s="112" t="s">
        <v>1579</v>
      </c>
      <c r="E1715" s="112" t="s">
        <v>1576</v>
      </c>
      <c r="F1715" s="112" t="s">
        <v>1579</v>
      </c>
      <c r="G1715" s="112" t="s">
        <v>1472</v>
      </c>
      <c r="H1715" s="112" t="s">
        <v>1576</v>
      </c>
      <c r="I1715" s="112">
        <v>4.8378357459999997</v>
      </c>
    </row>
    <row r="1716" spans="1:9">
      <c r="A1716" s="112" t="s">
        <v>1473</v>
      </c>
      <c r="B1716" s="112" t="s">
        <v>1578</v>
      </c>
      <c r="C1716" s="112">
        <v>746.17484009999998</v>
      </c>
      <c r="D1716" s="112" t="s">
        <v>1579</v>
      </c>
      <c r="E1716" s="112" t="s">
        <v>1576</v>
      </c>
      <c r="F1716" s="112" t="s">
        <v>1579</v>
      </c>
      <c r="G1716" s="112" t="s">
        <v>1473</v>
      </c>
      <c r="H1716" s="112" t="s">
        <v>1576</v>
      </c>
      <c r="I1716" s="112">
        <v>1549.377309</v>
      </c>
    </row>
    <row r="1717" spans="1:9">
      <c r="A1717" s="112" t="s">
        <v>1474</v>
      </c>
      <c r="B1717" s="112" t="s">
        <v>1578</v>
      </c>
      <c r="C1717" s="112">
        <v>0</v>
      </c>
      <c r="D1717" s="112" t="s">
        <v>1579</v>
      </c>
      <c r="E1717" s="112" t="s">
        <v>1576</v>
      </c>
      <c r="F1717" s="112" t="s">
        <v>1579</v>
      </c>
      <c r="G1717" s="112" t="s">
        <v>1474</v>
      </c>
      <c r="H1717" s="112" t="s">
        <v>1576</v>
      </c>
      <c r="I1717" s="112">
        <v>0</v>
      </c>
    </row>
    <row r="1718" spans="1:9">
      <c r="A1718" s="112" t="s">
        <v>1475</v>
      </c>
      <c r="B1718" s="112" t="s">
        <v>1578</v>
      </c>
      <c r="C1718" s="112">
        <v>0</v>
      </c>
      <c r="D1718" s="112" t="s">
        <v>1579</v>
      </c>
      <c r="E1718" s="112" t="s">
        <v>1576</v>
      </c>
      <c r="F1718" s="112" t="s">
        <v>1579</v>
      </c>
      <c r="G1718" s="112" t="s">
        <v>1475</v>
      </c>
      <c r="H1718" s="112" t="s">
        <v>1576</v>
      </c>
      <c r="I1718" s="112">
        <v>0</v>
      </c>
    </row>
    <row r="1719" spans="1:9">
      <c r="A1719" s="112" t="s">
        <v>1476</v>
      </c>
      <c r="B1719" s="112" t="s">
        <v>1578</v>
      </c>
      <c r="C1719" s="112">
        <v>3.7930223559999998</v>
      </c>
      <c r="D1719" s="112" t="s">
        <v>1579</v>
      </c>
      <c r="E1719" s="112" t="s">
        <v>1576</v>
      </c>
      <c r="F1719" s="112" t="s">
        <v>1579</v>
      </c>
      <c r="G1719" s="112" t="s">
        <v>1476</v>
      </c>
      <c r="H1719" s="112" t="s">
        <v>1576</v>
      </c>
      <c r="I1719" s="112">
        <v>3.7930223559999998</v>
      </c>
    </row>
    <row r="1720" spans="1:9">
      <c r="A1720" s="112" t="s">
        <v>1477</v>
      </c>
      <c r="B1720" s="112" t="s">
        <v>1578</v>
      </c>
      <c r="C1720" s="112">
        <v>0</v>
      </c>
      <c r="D1720" s="112" t="s">
        <v>1579</v>
      </c>
      <c r="E1720" s="112" t="s">
        <v>1576</v>
      </c>
      <c r="F1720" s="112" t="s">
        <v>1579</v>
      </c>
      <c r="G1720" s="112" t="s">
        <v>1477</v>
      </c>
      <c r="H1720" s="112" t="s">
        <v>1576</v>
      </c>
      <c r="I1720" s="112">
        <v>0</v>
      </c>
    </row>
    <row r="1721" spans="1:9">
      <c r="A1721" s="112" t="s">
        <v>1478</v>
      </c>
      <c r="B1721" s="112" t="s">
        <v>1578</v>
      </c>
      <c r="C1721" s="112">
        <v>3618.472933</v>
      </c>
      <c r="D1721" s="112" t="s">
        <v>1579</v>
      </c>
      <c r="E1721" s="112" t="s">
        <v>1576</v>
      </c>
      <c r="F1721" s="112" t="s">
        <v>1579</v>
      </c>
      <c r="G1721" s="112" t="s">
        <v>1478</v>
      </c>
      <c r="H1721" s="112" t="s">
        <v>1576</v>
      </c>
      <c r="I1721" s="112">
        <v>5414.2459099999996</v>
      </c>
    </row>
    <row r="1722" spans="1:9">
      <c r="A1722" s="112" t="s">
        <v>1479</v>
      </c>
      <c r="B1722" s="112" t="s">
        <v>1578</v>
      </c>
      <c r="C1722" s="112">
        <v>0</v>
      </c>
      <c r="D1722" s="112" t="s">
        <v>1579</v>
      </c>
      <c r="E1722" s="112" t="s">
        <v>1576</v>
      </c>
      <c r="F1722" s="112" t="s">
        <v>1579</v>
      </c>
      <c r="G1722" s="112" t="s">
        <v>1479</v>
      </c>
      <c r="H1722" s="112" t="s">
        <v>1576</v>
      </c>
      <c r="I1722" s="112">
        <v>0</v>
      </c>
    </row>
    <row r="1723" spans="1:9">
      <c r="A1723" s="112" t="s">
        <v>1480</v>
      </c>
      <c r="B1723" s="112" t="s">
        <v>1578</v>
      </c>
      <c r="C1723" s="112">
        <v>0</v>
      </c>
      <c r="D1723" s="112" t="s">
        <v>1579</v>
      </c>
      <c r="E1723" s="112" t="s">
        <v>1576</v>
      </c>
      <c r="F1723" s="112" t="s">
        <v>1579</v>
      </c>
      <c r="G1723" s="112" t="s">
        <v>1480</v>
      </c>
      <c r="H1723" s="112" t="s">
        <v>1576</v>
      </c>
      <c r="I1723" s="112">
        <v>0</v>
      </c>
    </row>
    <row r="1724" spans="1:9">
      <c r="A1724" s="112" t="s">
        <v>1481</v>
      </c>
      <c r="B1724" s="112" t="s">
        <v>1578</v>
      </c>
      <c r="C1724" s="112">
        <v>17450.530859999999</v>
      </c>
      <c r="D1724" s="112" t="s">
        <v>1579</v>
      </c>
      <c r="E1724" s="112" t="s">
        <v>1576</v>
      </c>
      <c r="F1724" s="112" t="s">
        <v>1579</v>
      </c>
      <c r="G1724" s="112" t="s">
        <v>1481</v>
      </c>
      <c r="H1724" s="112" t="s">
        <v>1576</v>
      </c>
      <c r="I1724" s="112">
        <v>30338.104029999999</v>
      </c>
    </row>
    <row r="1725" spans="1:9">
      <c r="A1725" s="112" t="s">
        <v>1482</v>
      </c>
      <c r="B1725" s="112" t="s">
        <v>1578</v>
      </c>
      <c r="C1725" s="112">
        <v>8807.588076</v>
      </c>
      <c r="D1725" s="112" t="s">
        <v>1579</v>
      </c>
      <c r="E1725" s="112" t="s">
        <v>1576</v>
      </c>
      <c r="F1725" s="112" t="s">
        <v>1579</v>
      </c>
      <c r="G1725" s="112" t="s">
        <v>1482</v>
      </c>
      <c r="H1725" s="112" t="s">
        <v>1576</v>
      </c>
      <c r="I1725" s="112">
        <v>17276.422760000001</v>
      </c>
    </row>
    <row r="1726" spans="1:9">
      <c r="A1726" s="112" t="s">
        <v>1483</v>
      </c>
      <c r="B1726" s="112" t="s">
        <v>1578</v>
      </c>
      <c r="C1726" s="112">
        <v>9810.829855</v>
      </c>
      <c r="D1726" s="112" t="s">
        <v>1579</v>
      </c>
      <c r="E1726" s="112" t="s">
        <v>1576</v>
      </c>
      <c r="F1726" s="112" t="s">
        <v>1579</v>
      </c>
      <c r="G1726" s="112" t="s">
        <v>1483</v>
      </c>
      <c r="H1726" s="112" t="s">
        <v>1576</v>
      </c>
      <c r="I1726" s="112">
        <v>15990.02656</v>
      </c>
    </row>
    <row r="1727" spans="1:9">
      <c r="A1727" s="112" t="s">
        <v>1484</v>
      </c>
      <c r="B1727" s="112" t="s">
        <v>1578</v>
      </c>
      <c r="C1727" s="112">
        <v>8648.6486490000007</v>
      </c>
      <c r="D1727" s="112" t="s">
        <v>1579</v>
      </c>
      <c r="E1727" s="112" t="s">
        <v>1576</v>
      </c>
      <c r="F1727" s="112" t="s">
        <v>1579</v>
      </c>
      <c r="G1727" s="112" t="s">
        <v>1484</v>
      </c>
      <c r="H1727" s="112" t="s">
        <v>1576</v>
      </c>
      <c r="I1727" s="112">
        <v>12372.372369999999</v>
      </c>
    </row>
    <row r="1728" spans="1:9">
      <c r="A1728" s="112" t="s">
        <v>1485</v>
      </c>
      <c r="B1728" s="112" t="s">
        <v>1578</v>
      </c>
      <c r="C1728" s="112">
        <v>10475.021989999999</v>
      </c>
      <c r="D1728" s="112" t="s">
        <v>1579</v>
      </c>
      <c r="E1728" s="112" t="s">
        <v>1576</v>
      </c>
      <c r="F1728" s="112" t="s">
        <v>1579</v>
      </c>
      <c r="G1728" s="112" t="s">
        <v>1485</v>
      </c>
      <c r="H1728" s="112" t="s">
        <v>1576</v>
      </c>
      <c r="I1728" s="112">
        <v>14393.02745</v>
      </c>
    </row>
    <row r="1729" spans="1:9">
      <c r="A1729" s="112" t="s">
        <v>1486</v>
      </c>
      <c r="B1729" s="112" t="s">
        <v>1578</v>
      </c>
      <c r="C1729" s="112">
        <v>11082.37902</v>
      </c>
      <c r="D1729" s="112" t="s">
        <v>1579</v>
      </c>
      <c r="E1729" s="112" t="s">
        <v>1576</v>
      </c>
      <c r="F1729" s="112" t="s">
        <v>1579</v>
      </c>
      <c r="G1729" s="112" t="s">
        <v>1486</v>
      </c>
      <c r="H1729" s="112" t="s">
        <v>1576</v>
      </c>
      <c r="I1729" s="112">
        <v>24344.292580000001</v>
      </c>
    </row>
    <row r="1730" spans="1:9">
      <c r="A1730" s="112" t="s">
        <v>1487</v>
      </c>
      <c r="B1730" s="112" t="s">
        <v>1578</v>
      </c>
      <c r="C1730" s="112">
        <v>26548.06234</v>
      </c>
      <c r="D1730" s="112" t="s">
        <v>1579</v>
      </c>
      <c r="E1730" s="112" t="s">
        <v>1576</v>
      </c>
      <c r="F1730" s="112" t="s">
        <v>1579</v>
      </c>
      <c r="G1730" s="112" t="s">
        <v>1487</v>
      </c>
      <c r="H1730" s="112" t="s">
        <v>1576</v>
      </c>
      <c r="I1730" s="112">
        <v>46752.172120000003</v>
      </c>
    </row>
    <row r="1731" spans="1:9">
      <c r="A1731" s="112" t="s">
        <v>1488</v>
      </c>
      <c r="B1731" s="112" t="s">
        <v>1578</v>
      </c>
      <c r="C1731" s="112">
        <v>40900.039819999998</v>
      </c>
      <c r="D1731" s="112" t="s">
        <v>1579</v>
      </c>
      <c r="E1731" s="112" t="s">
        <v>1576</v>
      </c>
      <c r="F1731" s="112" t="s">
        <v>1579</v>
      </c>
      <c r="G1731" s="112" t="s">
        <v>1488</v>
      </c>
      <c r="H1731" s="112" t="s">
        <v>1576</v>
      </c>
      <c r="I1731" s="112">
        <v>65949.820779999995</v>
      </c>
    </row>
    <row r="1732" spans="1:9">
      <c r="A1732" s="112" t="s">
        <v>1489</v>
      </c>
      <c r="B1732" s="112" t="s">
        <v>1578</v>
      </c>
      <c r="C1732" s="112">
        <v>8201.4480679999997</v>
      </c>
      <c r="D1732" s="112" t="s">
        <v>1579</v>
      </c>
      <c r="E1732" s="112" t="s">
        <v>1576</v>
      </c>
      <c r="F1732" s="112" t="s">
        <v>1579</v>
      </c>
      <c r="G1732" s="112" t="s">
        <v>1489</v>
      </c>
      <c r="H1732" s="112" t="s">
        <v>1576</v>
      </c>
      <c r="I1732" s="112">
        <v>16286.398289999999</v>
      </c>
    </row>
    <row r="1733" spans="1:9">
      <c r="A1733" s="112" t="s">
        <v>1490</v>
      </c>
      <c r="B1733" s="112" t="s">
        <v>1578</v>
      </c>
      <c r="C1733" s="112">
        <v>2942.4127779999999</v>
      </c>
      <c r="D1733" s="112" t="s">
        <v>1579</v>
      </c>
      <c r="E1733" s="112" t="s">
        <v>1576</v>
      </c>
      <c r="F1733" s="112" t="s">
        <v>1579</v>
      </c>
      <c r="G1733" s="112" t="s">
        <v>1490</v>
      </c>
      <c r="H1733" s="112" t="s">
        <v>1576</v>
      </c>
      <c r="I1733" s="112">
        <v>7566.2042869999996</v>
      </c>
    </row>
    <row r="1734" spans="1:9">
      <c r="A1734" s="112" t="s">
        <v>1461</v>
      </c>
      <c r="B1734" s="112" t="s">
        <v>1580</v>
      </c>
      <c r="C1734" s="112">
        <v>889.34725390000006</v>
      </c>
      <c r="D1734" s="112" t="s">
        <v>1579</v>
      </c>
      <c r="E1734" s="112" t="s">
        <v>1576</v>
      </c>
      <c r="F1734" s="112" t="s">
        <v>1579</v>
      </c>
      <c r="G1734" s="112" t="s">
        <v>1461</v>
      </c>
      <c r="H1734" s="112" t="s">
        <v>1576</v>
      </c>
      <c r="I1734" s="112">
        <v>2169.7929989999998</v>
      </c>
    </row>
    <row r="1735" spans="1:9">
      <c r="A1735" s="112" t="s">
        <v>1465</v>
      </c>
      <c r="B1735" s="112" t="s">
        <v>1580</v>
      </c>
      <c r="C1735" s="112">
        <v>8399.7909820000004</v>
      </c>
      <c r="D1735" s="112" t="s">
        <v>1579</v>
      </c>
      <c r="E1735" s="112" t="s">
        <v>1576</v>
      </c>
      <c r="F1735" s="112" t="s">
        <v>1579</v>
      </c>
      <c r="G1735" s="112" t="s">
        <v>1465</v>
      </c>
      <c r="H1735" s="112" t="s">
        <v>1576</v>
      </c>
      <c r="I1735" s="112">
        <v>17695.722460000001</v>
      </c>
    </row>
    <row r="1736" spans="1:9">
      <c r="A1736" s="112" t="s">
        <v>1466</v>
      </c>
      <c r="B1736" s="112" t="s">
        <v>1580</v>
      </c>
      <c r="C1736" s="112">
        <v>3590.3096500000001</v>
      </c>
      <c r="D1736" s="112" t="s">
        <v>1579</v>
      </c>
      <c r="E1736" s="112" t="s">
        <v>1576</v>
      </c>
      <c r="F1736" s="112" t="s">
        <v>1579</v>
      </c>
      <c r="G1736" s="112" t="s">
        <v>1466</v>
      </c>
      <c r="H1736" s="112" t="s">
        <v>1576</v>
      </c>
      <c r="I1736" s="112">
        <v>8435.4848079999992</v>
      </c>
    </row>
    <row r="1737" spans="1:9">
      <c r="A1737" s="112" t="s">
        <v>1467</v>
      </c>
      <c r="B1737" s="112" t="s">
        <v>1580</v>
      </c>
      <c r="C1737" s="112">
        <v>269.35129010000003</v>
      </c>
      <c r="D1737" s="112" t="s">
        <v>1579</v>
      </c>
      <c r="E1737" s="112" t="s">
        <v>1576</v>
      </c>
      <c r="F1737" s="112" t="s">
        <v>1579</v>
      </c>
      <c r="G1737" s="112" t="s">
        <v>1467</v>
      </c>
      <c r="H1737" s="112" t="s">
        <v>1576</v>
      </c>
      <c r="I1737" s="112">
        <v>577.37182480000001</v>
      </c>
    </row>
    <row r="1738" spans="1:9">
      <c r="A1738" s="112" t="s">
        <v>1468</v>
      </c>
      <c r="B1738" s="112" t="s">
        <v>1580</v>
      </c>
      <c r="C1738" s="112">
        <v>17514.556380000002</v>
      </c>
      <c r="D1738" s="112" t="s">
        <v>1579</v>
      </c>
      <c r="E1738" s="112" t="s">
        <v>1576</v>
      </c>
      <c r="F1738" s="112" t="s">
        <v>1579</v>
      </c>
      <c r="G1738" s="112" t="s">
        <v>1468</v>
      </c>
      <c r="H1738" s="112" t="s">
        <v>1576</v>
      </c>
      <c r="I1738" s="112">
        <v>45494.556239999998</v>
      </c>
    </row>
    <row r="1739" spans="1:9">
      <c r="A1739" s="112" t="s">
        <v>1469</v>
      </c>
      <c r="B1739" s="112" t="s">
        <v>1580</v>
      </c>
      <c r="C1739" s="112">
        <v>1230.674563</v>
      </c>
      <c r="D1739" s="112" t="s">
        <v>1579</v>
      </c>
      <c r="E1739" s="112" t="s">
        <v>1576</v>
      </c>
      <c r="F1739" s="112" t="s">
        <v>1579</v>
      </c>
      <c r="G1739" s="112" t="s">
        <v>1469</v>
      </c>
      <c r="H1739" s="112" t="s">
        <v>1576</v>
      </c>
      <c r="I1739" s="112">
        <v>4682.332128</v>
      </c>
    </row>
    <row r="1740" spans="1:9">
      <c r="A1740" s="112" t="s">
        <v>1470</v>
      </c>
      <c r="B1740" s="112" t="s">
        <v>1580</v>
      </c>
      <c r="C1740" s="112">
        <v>0</v>
      </c>
      <c r="D1740" s="112" t="s">
        <v>1579</v>
      </c>
      <c r="E1740" s="112" t="s">
        <v>1576</v>
      </c>
      <c r="F1740" s="112" t="s">
        <v>1579</v>
      </c>
      <c r="G1740" s="112" t="s">
        <v>1470</v>
      </c>
      <c r="H1740" s="112" t="s">
        <v>1576</v>
      </c>
      <c r="I1740" s="112">
        <v>0</v>
      </c>
    </row>
    <row r="1741" spans="1:9">
      <c r="A1741" s="112" t="s">
        <v>1471</v>
      </c>
      <c r="B1741" s="112" t="s">
        <v>1580</v>
      </c>
      <c r="C1741" s="112">
        <v>2702.8047150000002</v>
      </c>
      <c r="D1741" s="112" t="s">
        <v>1579</v>
      </c>
      <c r="E1741" s="112" t="s">
        <v>1576</v>
      </c>
      <c r="F1741" s="112" t="s">
        <v>1579</v>
      </c>
      <c r="G1741" s="112" t="s">
        <v>1471</v>
      </c>
      <c r="H1741" s="112" t="s">
        <v>1576</v>
      </c>
      <c r="I1741" s="112">
        <v>7048.5107289999996</v>
      </c>
    </row>
    <row r="1742" spans="1:9">
      <c r="A1742" s="112" t="s">
        <v>1472</v>
      </c>
      <c r="B1742" s="112" t="s">
        <v>1580</v>
      </c>
      <c r="C1742" s="112">
        <v>4.8378357459999997</v>
      </c>
      <c r="D1742" s="112" t="s">
        <v>1579</v>
      </c>
      <c r="E1742" s="112" t="s">
        <v>1576</v>
      </c>
      <c r="F1742" s="112" t="s">
        <v>1579</v>
      </c>
      <c r="G1742" s="112" t="s">
        <v>1472</v>
      </c>
      <c r="H1742" s="112" t="s">
        <v>1576</v>
      </c>
      <c r="I1742" s="112">
        <v>4.8378357459999997</v>
      </c>
    </row>
    <row r="1743" spans="1:9">
      <c r="A1743" s="112" t="s">
        <v>1473</v>
      </c>
      <c r="B1743" s="112" t="s">
        <v>1580</v>
      </c>
      <c r="C1743" s="112">
        <v>803.20246889999999</v>
      </c>
      <c r="D1743" s="112" t="s">
        <v>1579</v>
      </c>
      <c r="E1743" s="112" t="s">
        <v>1576</v>
      </c>
      <c r="F1743" s="112" t="s">
        <v>1579</v>
      </c>
      <c r="G1743" s="112" t="s">
        <v>1473</v>
      </c>
      <c r="H1743" s="112" t="s">
        <v>1576</v>
      </c>
      <c r="I1743" s="112">
        <v>1549.377309</v>
      </c>
    </row>
    <row r="1744" spans="1:9">
      <c r="A1744" s="112" t="s">
        <v>1474</v>
      </c>
      <c r="B1744" s="112" t="s">
        <v>1580</v>
      </c>
      <c r="C1744" s="112">
        <v>0</v>
      </c>
      <c r="D1744" s="112" t="s">
        <v>1579</v>
      </c>
      <c r="E1744" s="112" t="s">
        <v>1576</v>
      </c>
      <c r="F1744" s="112" t="s">
        <v>1579</v>
      </c>
      <c r="G1744" s="112" t="s">
        <v>1474</v>
      </c>
      <c r="H1744" s="112" t="s">
        <v>1576</v>
      </c>
      <c r="I1744" s="112">
        <v>0</v>
      </c>
    </row>
    <row r="1745" spans="1:9">
      <c r="A1745" s="112" t="s">
        <v>1475</v>
      </c>
      <c r="B1745" s="112" t="s">
        <v>1580</v>
      </c>
      <c r="C1745" s="112">
        <v>0</v>
      </c>
      <c r="D1745" s="112" t="s">
        <v>1579</v>
      </c>
      <c r="E1745" s="112" t="s">
        <v>1576</v>
      </c>
      <c r="F1745" s="112" t="s">
        <v>1579</v>
      </c>
      <c r="G1745" s="112" t="s">
        <v>1475</v>
      </c>
      <c r="H1745" s="112" t="s">
        <v>1576</v>
      </c>
      <c r="I1745" s="112">
        <v>0</v>
      </c>
    </row>
    <row r="1746" spans="1:9">
      <c r="A1746" s="112" t="s">
        <v>1476</v>
      </c>
      <c r="B1746" s="112" t="s">
        <v>1580</v>
      </c>
      <c r="C1746" s="112">
        <v>0</v>
      </c>
      <c r="D1746" s="112" t="s">
        <v>1579</v>
      </c>
      <c r="E1746" s="112" t="s">
        <v>1576</v>
      </c>
      <c r="F1746" s="112" t="s">
        <v>1579</v>
      </c>
      <c r="G1746" s="112" t="s">
        <v>1476</v>
      </c>
      <c r="H1746" s="112" t="s">
        <v>1576</v>
      </c>
      <c r="I1746" s="112">
        <v>3.7930223559999998</v>
      </c>
    </row>
    <row r="1747" spans="1:9">
      <c r="A1747" s="112" t="s">
        <v>1477</v>
      </c>
      <c r="B1747" s="112" t="s">
        <v>1580</v>
      </c>
      <c r="C1747" s="112">
        <v>0</v>
      </c>
      <c r="D1747" s="112" t="s">
        <v>1579</v>
      </c>
      <c r="E1747" s="112" t="s">
        <v>1576</v>
      </c>
      <c r="F1747" s="112" t="s">
        <v>1579</v>
      </c>
      <c r="G1747" s="112" t="s">
        <v>1477</v>
      </c>
      <c r="H1747" s="112" t="s">
        <v>1576</v>
      </c>
      <c r="I1747" s="112">
        <v>0</v>
      </c>
    </row>
    <row r="1748" spans="1:9">
      <c r="A1748" s="112" t="s">
        <v>1478</v>
      </c>
      <c r="B1748" s="112" t="s">
        <v>1580</v>
      </c>
      <c r="C1748" s="112">
        <v>1795.7729770000001</v>
      </c>
      <c r="D1748" s="112" t="s">
        <v>1579</v>
      </c>
      <c r="E1748" s="112" t="s">
        <v>1576</v>
      </c>
      <c r="F1748" s="112" t="s">
        <v>1579</v>
      </c>
      <c r="G1748" s="112" t="s">
        <v>1478</v>
      </c>
      <c r="H1748" s="112" t="s">
        <v>1576</v>
      </c>
      <c r="I1748" s="112">
        <v>5414.2459099999996</v>
      </c>
    </row>
    <row r="1749" spans="1:9">
      <c r="A1749" s="112" t="s">
        <v>1479</v>
      </c>
      <c r="B1749" s="112" t="s">
        <v>1580</v>
      </c>
      <c r="C1749" s="112">
        <v>0</v>
      </c>
      <c r="D1749" s="112" t="s">
        <v>1579</v>
      </c>
      <c r="E1749" s="112" t="s">
        <v>1576</v>
      </c>
      <c r="F1749" s="112" t="s">
        <v>1579</v>
      </c>
      <c r="G1749" s="112" t="s">
        <v>1479</v>
      </c>
      <c r="H1749" s="112" t="s">
        <v>1576</v>
      </c>
      <c r="I1749" s="112">
        <v>0</v>
      </c>
    </row>
    <row r="1750" spans="1:9">
      <c r="A1750" s="112" t="s">
        <v>1480</v>
      </c>
      <c r="B1750" s="112" t="s">
        <v>1580</v>
      </c>
      <c r="C1750" s="112">
        <v>0</v>
      </c>
      <c r="D1750" s="112" t="s">
        <v>1579</v>
      </c>
      <c r="E1750" s="112" t="s">
        <v>1576</v>
      </c>
      <c r="F1750" s="112" t="s">
        <v>1579</v>
      </c>
      <c r="G1750" s="112" t="s">
        <v>1480</v>
      </c>
      <c r="H1750" s="112" t="s">
        <v>1576</v>
      </c>
      <c r="I1750" s="112">
        <v>0</v>
      </c>
    </row>
    <row r="1751" spans="1:9">
      <c r="A1751" s="112" t="s">
        <v>1481</v>
      </c>
      <c r="B1751" s="112" t="s">
        <v>1580</v>
      </c>
      <c r="C1751" s="112">
        <v>12887.57317</v>
      </c>
      <c r="D1751" s="112" t="s">
        <v>1579</v>
      </c>
      <c r="E1751" s="112" t="s">
        <v>1576</v>
      </c>
      <c r="F1751" s="112" t="s">
        <v>1579</v>
      </c>
      <c r="G1751" s="112" t="s">
        <v>1481</v>
      </c>
      <c r="H1751" s="112" t="s">
        <v>1576</v>
      </c>
      <c r="I1751" s="112">
        <v>30338.104029999999</v>
      </c>
    </row>
    <row r="1752" spans="1:9">
      <c r="A1752" s="112" t="s">
        <v>1482</v>
      </c>
      <c r="B1752" s="112" t="s">
        <v>1580</v>
      </c>
      <c r="C1752" s="112">
        <v>8468.8346880000008</v>
      </c>
      <c r="D1752" s="112" t="s">
        <v>1579</v>
      </c>
      <c r="E1752" s="112" t="s">
        <v>1576</v>
      </c>
      <c r="F1752" s="112" t="s">
        <v>1579</v>
      </c>
      <c r="G1752" s="112" t="s">
        <v>1482</v>
      </c>
      <c r="H1752" s="112" t="s">
        <v>1576</v>
      </c>
      <c r="I1752" s="112">
        <v>17276.422760000001</v>
      </c>
    </row>
    <row r="1753" spans="1:9">
      <c r="A1753" s="112" t="s">
        <v>1483</v>
      </c>
      <c r="B1753" s="112" t="s">
        <v>1580</v>
      </c>
      <c r="C1753" s="112">
        <v>6179.196704</v>
      </c>
      <c r="D1753" s="112" t="s">
        <v>1579</v>
      </c>
      <c r="E1753" s="112" t="s">
        <v>1576</v>
      </c>
      <c r="F1753" s="112" t="s">
        <v>1579</v>
      </c>
      <c r="G1753" s="112" t="s">
        <v>1483</v>
      </c>
      <c r="H1753" s="112" t="s">
        <v>1576</v>
      </c>
      <c r="I1753" s="112">
        <v>15990.02656</v>
      </c>
    </row>
    <row r="1754" spans="1:9">
      <c r="A1754" s="112" t="s">
        <v>1484</v>
      </c>
      <c r="B1754" s="112" t="s">
        <v>1580</v>
      </c>
      <c r="C1754" s="112">
        <v>3723.7237239999999</v>
      </c>
      <c r="D1754" s="112" t="s">
        <v>1579</v>
      </c>
      <c r="E1754" s="112" t="s">
        <v>1576</v>
      </c>
      <c r="F1754" s="112" t="s">
        <v>1579</v>
      </c>
      <c r="G1754" s="112" t="s">
        <v>1484</v>
      </c>
      <c r="H1754" s="112" t="s">
        <v>1576</v>
      </c>
      <c r="I1754" s="112">
        <v>12372.372369999999</v>
      </c>
    </row>
    <row r="1755" spans="1:9">
      <c r="A1755" s="112" t="s">
        <v>1485</v>
      </c>
      <c r="B1755" s="112" t="s">
        <v>1580</v>
      </c>
      <c r="C1755" s="112">
        <v>3918.005463</v>
      </c>
      <c r="D1755" s="112" t="s">
        <v>1579</v>
      </c>
      <c r="E1755" s="112" t="s">
        <v>1576</v>
      </c>
      <c r="F1755" s="112" t="s">
        <v>1579</v>
      </c>
      <c r="G1755" s="112" t="s">
        <v>1485</v>
      </c>
      <c r="H1755" s="112" t="s">
        <v>1576</v>
      </c>
      <c r="I1755" s="112">
        <v>14393.02745</v>
      </c>
    </row>
    <row r="1756" spans="1:9">
      <c r="A1756" s="112" t="s">
        <v>1486</v>
      </c>
      <c r="B1756" s="112" t="s">
        <v>1580</v>
      </c>
      <c r="C1756" s="112">
        <v>13261.913560000001</v>
      </c>
      <c r="D1756" s="112" t="s">
        <v>1579</v>
      </c>
      <c r="E1756" s="112" t="s">
        <v>1576</v>
      </c>
      <c r="F1756" s="112" t="s">
        <v>1579</v>
      </c>
      <c r="G1756" s="112" t="s">
        <v>1486</v>
      </c>
      <c r="H1756" s="112" t="s">
        <v>1576</v>
      </c>
      <c r="I1756" s="112">
        <v>24344.292580000001</v>
      </c>
    </row>
    <row r="1757" spans="1:9">
      <c r="A1757" s="112" t="s">
        <v>1487</v>
      </c>
      <c r="B1757" s="112" t="s">
        <v>1580</v>
      </c>
      <c r="C1757" s="112">
        <v>20204.109779999999</v>
      </c>
      <c r="D1757" s="112" t="s">
        <v>1579</v>
      </c>
      <c r="E1757" s="112" t="s">
        <v>1576</v>
      </c>
      <c r="F1757" s="112" t="s">
        <v>1579</v>
      </c>
      <c r="G1757" s="112" t="s">
        <v>1487</v>
      </c>
      <c r="H1757" s="112" t="s">
        <v>1576</v>
      </c>
      <c r="I1757" s="112">
        <v>46752.172120000003</v>
      </c>
    </row>
    <row r="1758" spans="1:9">
      <c r="A1758" s="112" t="s">
        <v>1488</v>
      </c>
      <c r="B1758" s="112" t="s">
        <v>1580</v>
      </c>
      <c r="C1758" s="112">
        <v>25049.78096</v>
      </c>
      <c r="D1758" s="112" t="s">
        <v>1579</v>
      </c>
      <c r="E1758" s="112" t="s">
        <v>1576</v>
      </c>
      <c r="F1758" s="112" t="s">
        <v>1579</v>
      </c>
      <c r="G1758" s="112" t="s">
        <v>1488</v>
      </c>
      <c r="H1758" s="112" t="s">
        <v>1576</v>
      </c>
      <c r="I1758" s="112">
        <v>65949.820779999995</v>
      </c>
    </row>
    <row r="1759" spans="1:9">
      <c r="A1759" s="112" t="s">
        <v>1489</v>
      </c>
      <c r="B1759" s="112" t="s">
        <v>1580</v>
      </c>
      <c r="C1759" s="112">
        <v>8084.9502259999999</v>
      </c>
      <c r="D1759" s="112" t="s">
        <v>1579</v>
      </c>
      <c r="E1759" s="112" t="s">
        <v>1576</v>
      </c>
      <c r="F1759" s="112" t="s">
        <v>1579</v>
      </c>
      <c r="G1759" s="112" t="s">
        <v>1489</v>
      </c>
      <c r="H1759" s="112" t="s">
        <v>1576</v>
      </c>
      <c r="I1759" s="112">
        <v>16286.398289999999</v>
      </c>
    </row>
    <row r="1760" spans="1:9">
      <c r="A1760" s="112" t="s">
        <v>1490</v>
      </c>
      <c r="B1760" s="112" t="s">
        <v>1580</v>
      </c>
      <c r="C1760" s="112">
        <v>4623.7915089999997</v>
      </c>
      <c r="D1760" s="112" t="s">
        <v>1579</v>
      </c>
      <c r="E1760" s="112" t="s">
        <v>1576</v>
      </c>
      <c r="F1760" s="112" t="s">
        <v>1579</v>
      </c>
      <c r="G1760" s="112" t="s">
        <v>1490</v>
      </c>
      <c r="H1760" s="112" t="s">
        <v>1576</v>
      </c>
      <c r="I1760" s="112">
        <v>7566.2042869999996</v>
      </c>
    </row>
    <row r="1761" spans="1:9">
      <c r="A1761" s="112" t="s">
        <v>1461</v>
      </c>
      <c r="B1761" s="112" t="s">
        <v>1581</v>
      </c>
      <c r="C1761" s="112">
        <v>2862.2516289999999</v>
      </c>
      <c r="D1761" s="112" t="s">
        <v>1575</v>
      </c>
      <c r="E1761" s="112" t="s">
        <v>1576</v>
      </c>
      <c r="F1761" s="112" t="s">
        <v>1575</v>
      </c>
      <c r="G1761" s="112" t="s">
        <v>1461</v>
      </c>
      <c r="H1761" s="112" t="s">
        <v>1576</v>
      </c>
      <c r="I1761" s="112">
        <v>4569.9590820000003</v>
      </c>
    </row>
    <row r="1762" spans="1:9">
      <c r="A1762" s="112" t="s">
        <v>1465</v>
      </c>
      <c r="B1762" s="112" t="s">
        <v>1581</v>
      </c>
      <c r="C1762" s="112">
        <v>0</v>
      </c>
      <c r="D1762" s="112" t="s">
        <v>1575</v>
      </c>
      <c r="E1762" s="112" t="s">
        <v>1576</v>
      </c>
      <c r="F1762" s="112" t="s">
        <v>1575</v>
      </c>
      <c r="G1762" s="112" t="s">
        <v>1465</v>
      </c>
      <c r="H1762" s="112" t="s">
        <v>1576</v>
      </c>
      <c r="I1762" s="112">
        <v>2651.7944779999998</v>
      </c>
    </row>
    <row r="1763" spans="1:9">
      <c r="A1763" s="112" t="s">
        <v>1466</v>
      </c>
      <c r="B1763" s="112" t="s">
        <v>1581</v>
      </c>
      <c r="C1763" s="112">
        <v>0</v>
      </c>
      <c r="D1763" s="112" t="s">
        <v>1575</v>
      </c>
      <c r="E1763" s="112" t="s">
        <v>1576</v>
      </c>
      <c r="F1763" s="112" t="s">
        <v>1575</v>
      </c>
      <c r="G1763" s="112" t="s">
        <v>1466</v>
      </c>
      <c r="H1763" s="112" t="s">
        <v>1576</v>
      </c>
      <c r="I1763" s="112">
        <v>1336.199384</v>
      </c>
    </row>
    <row r="1764" spans="1:9">
      <c r="A1764" s="112" t="s">
        <v>1467</v>
      </c>
      <c r="B1764" s="112" t="s">
        <v>1581</v>
      </c>
      <c r="C1764" s="112">
        <v>1030.068671</v>
      </c>
      <c r="D1764" s="112" t="s">
        <v>1575</v>
      </c>
      <c r="E1764" s="112" t="s">
        <v>1576</v>
      </c>
      <c r="F1764" s="112" t="s">
        <v>1575</v>
      </c>
      <c r="G1764" s="112" t="s">
        <v>1467</v>
      </c>
      <c r="H1764" s="112" t="s">
        <v>1576</v>
      </c>
      <c r="I1764" s="112">
        <v>1611.4407619999999</v>
      </c>
    </row>
    <row r="1765" spans="1:9">
      <c r="A1765" s="112" t="s">
        <v>1468</v>
      </c>
      <c r="B1765" s="112" t="s">
        <v>1581</v>
      </c>
      <c r="C1765" s="112">
        <v>0</v>
      </c>
      <c r="D1765" s="112" t="s">
        <v>1575</v>
      </c>
      <c r="E1765" s="112" t="s">
        <v>1576</v>
      </c>
      <c r="F1765" s="112" t="s">
        <v>1575</v>
      </c>
      <c r="G1765" s="112" t="s">
        <v>1468</v>
      </c>
      <c r="H1765" s="112" t="s">
        <v>1576</v>
      </c>
      <c r="I1765" s="112">
        <v>9011.6090299999996</v>
      </c>
    </row>
    <row r="1766" spans="1:9">
      <c r="A1766" s="112" t="s">
        <v>1469</v>
      </c>
      <c r="B1766" s="112" t="s">
        <v>1581</v>
      </c>
      <c r="C1766" s="112">
        <v>0</v>
      </c>
      <c r="D1766" s="112" t="s">
        <v>1575</v>
      </c>
      <c r="E1766" s="112" t="s">
        <v>1576</v>
      </c>
      <c r="F1766" s="112" t="s">
        <v>1575</v>
      </c>
      <c r="G1766" s="112" t="s">
        <v>1469</v>
      </c>
      <c r="H1766" s="112" t="s">
        <v>1576</v>
      </c>
      <c r="I1766" s="112">
        <v>1413.352819</v>
      </c>
    </row>
    <row r="1767" spans="1:9">
      <c r="A1767" s="112" t="s">
        <v>1470</v>
      </c>
      <c r="B1767" s="112" t="s">
        <v>1581</v>
      </c>
      <c r="C1767" s="112">
        <v>1727.894223</v>
      </c>
      <c r="D1767" s="112" t="s">
        <v>1575</v>
      </c>
      <c r="E1767" s="112" t="s">
        <v>1576</v>
      </c>
      <c r="F1767" s="112" t="s">
        <v>1575</v>
      </c>
      <c r="G1767" s="112" t="s">
        <v>1470</v>
      </c>
      <c r="H1767" s="112" t="s">
        <v>1576</v>
      </c>
      <c r="I1767" s="112">
        <v>2028.3975660000001</v>
      </c>
    </row>
    <row r="1768" spans="1:9">
      <c r="A1768" s="112" t="s">
        <v>1471</v>
      </c>
      <c r="B1768" s="112" t="s">
        <v>1581</v>
      </c>
      <c r="C1768" s="112">
        <v>1567.9225690000001</v>
      </c>
      <c r="D1768" s="112" t="s">
        <v>1575</v>
      </c>
      <c r="E1768" s="112" t="s">
        <v>1576</v>
      </c>
      <c r="F1768" s="112" t="s">
        <v>1575</v>
      </c>
      <c r="G1768" s="112" t="s">
        <v>1471</v>
      </c>
      <c r="H1768" s="112" t="s">
        <v>1576</v>
      </c>
      <c r="I1768" s="112">
        <v>3822.8951379999999</v>
      </c>
    </row>
    <row r="1769" spans="1:9">
      <c r="A1769" s="112" t="s">
        <v>1472</v>
      </c>
      <c r="B1769" s="112" t="s">
        <v>1581</v>
      </c>
      <c r="C1769" s="112">
        <v>15326.263639999999</v>
      </c>
      <c r="D1769" s="112" t="s">
        <v>1575</v>
      </c>
      <c r="E1769" s="112" t="s">
        <v>1576</v>
      </c>
      <c r="F1769" s="112" t="s">
        <v>1575</v>
      </c>
      <c r="G1769" s="112" t="s">
        <v>1472</v>
      </c>
      <c r="H1769" s="112" t="s">
        <v>1576</v>
      </c>
      <c r="I1769" s="112">
        <v>24813.259539999999</v>
      </c>
    </row>
    <row r="1770" spans="1:9">
      <c r="A1770" s="112" t="s">
        <v>1473</v>
      </c>
      <c r="B1770" s="112" t="s">
        <v>1581</v>
      </c>
      <c r="C1770" s="112">
        <v>227.60360270000001</v>
      </c>
      <c r="D1770" s="112" t="s">
        <v>1575</v>
      </c>
      <c r="E1770" s="112" t="s">
        <v>1576</v>
      </c>
      <c r="F1770" s="112" t="s">
        <v>1575</v>
      </c>
      <c r="G1770" s="112" t="s">
        <v>1473</v>
      </c>
      <c r="H1770" s="112" t="s">
        <v>1576</v>
      </c>
      <c r="I1770" s="112">
        <v>1312.3958299999999</v>
      </c>
    </row>
    <row r="1771" spans="1:9">
      <c r="A1771" s="112" t="s">
        <v>1474</v>
      </c>
      <c r="B1771" s="112" t="s">
        <v>1581</v>
      </c>
      <c r="C1771" s="112">
        <v>5469.8302089999997</v>
      </c>
      <c r="D1771" s="112" t="s">
        <v>1575</v>
      </c>
      <c r="E1771" s="112" t="s">
        <v>1576</v>
      </c>
      <c r="F1771" s="112" t="s">
        <v>1575</v>
      </c>
      <c r="G1771" s="112" t="s">
        <v>1474</v>
      </c>
      <c r="H1771" s="112" t="s">
        <v>1576</v>
      </c>
      <c r="I1771" s="112">
        <v>9247.2761470000005</v>
      </c>
    </row>
    <row r="1772" spans="1:9">
      <c r="A1772" s="112" t="s">
        <v>1475</v>
      </c>
      <c r="B1772" s="112" t="s">
        <v>1581</v>
      </c>
      <c r="C1772" s="112">
        <v>10351.83539</v>
      </c>
      <c r="D1772" s="112" t="s">
        <v>1575</v>
      </c>
      <c r="E1772" s="112" t="s">
        <v>1576</v>
      </c>
      <c r="F1772" s="112" t="s">
        <v>1575</v>
      </c>
      <c r="G1772" s="112" t="s">
        <v>1475</v>
      </c>
      <c r="H1772" s="112" t="s">
        <v>1576</v>
      </c>
      <c r="I1772" s="112">
        <v>17126.042600000001</v>
      </c>
    </row>
    <row r="1773" spans="1:9">
      <c r="A1773" s="112" t="s">
        <v>1476</v>
      </c>
      <c r="B1773" s="112" t="s">
        <v>1581</v>
      </c>
      <c r="C1773" s="112">
        <v>13927.978090000001</v>
      </c>
      <c r="D1773" s="112" t="s">
        <v>1575</v>
      </c>
      <c r="E1773" s="112" t="s">
        <v>1576</v>
      </c>
      <c r="F1773" s="112" t="s">
        <v>1575</v>
      </c>
      <c r="G1773" s="112" t="s">
        <v>1476</v>
      </c>
      <c r="H1773" s="112" t="s">
        <v>1576</v>
      </c>
      <c r="I1773" s="112">
        <v>22105.73429</v>
      </c>
    </row>
    <row r="1774" spans="1:9">
      <c r="A1774" s="112" t="s">
        <v>1477</v>
      </c>
      <c r="B1774" s="112" t="s">
        <v>1581</v>
      </c>
      <c r="C1774" s="112">
        <v>6815.5670049999999</v>
      </c>
      <c r="D1774" s="112" t="s">
        <v>1575</v>
      </c>
      <c r="E1774" s="112" t="s">
        <v>1576</v>
      </c>
      <c r="F1774" s="112" t="s">
        <v>1575</v>
      </c>
      <c r="G1774" s="112" t="s">
        <v>1477</v>
      </c>
      <c r="H1774" s="112" t="s">
        <v>1576</v>
      </c>
      <c r="I1774" s="112">
        <v>12155.46996</v>
      </c>
    </row>
    <row r="1775" spans="1:9">
      <c r="A1775" s="112" t="s">
        <v>1478</v>
      </c>
      <c r="B1775" s="112" t="s">
        <v>1581</v>
      </c>
      <c r="C1775" s="112">
        <v>1353.401198</v>
      </c>
      <c r="D1775" s="112" t="s">
        <v>1575</v>
      </c>
      <c r="E1775" s="112" t="s">
        <v>1576</v>
      </c>
      <c r="F1775" s="112" t="s">
        <v>1575</v>
      </c>
      <c r="G1775" s="112" t="s">
        <v>1478</v>
      </c>
      <c r="H1775" s="112" t="s">
        <v>1576</v>
      </c>
      <c r="I1775" s="112">
        <v>4898.7866190000004</v>
      </c>
    </row>
    <row r="1776" spans="1:9">
      <c r="A1776" s="112" t="s">
        <v>1479</v>
      </c>
      <c r="B1776" s="112" t="s">
        <v>1581</v>
      </c>
      <c r="C1776" s="112">
        <v>0</v>
      </c>
      <c r="D1776" s="112" t="s">
        <v>1575</v>
      </c>
      <c r="E1776" s="112" t="s">
        <v>1576</v>
      </c>
      <c r="F1776" s="112" t="s">
        <v>1575</v>
      </c>
      <c r="G1776" s="112" t="s">
        <v>1479</v>
      </c>
      <c r="H1776" s="112" t="s">
        <v>1576</v>
      </c>
      <c r="I1776" s="112">
        <v>1004.688547</v>
      </c>
    </row>
    <row r="1777" spans="1:9">
      <c r="A1777" s="112" t="s">
        <v>1480</v>
      </c>
      <c r="B1777" s="112" t="s">
        <v>1581</v>
      </c>
      <c r="C1777" s="112">
        <v>4757.9199040000003</v>
      </c>
      <c r="D1777" s="112" t="s">
        <v>1575</v>
      </c>
      <c r="E1777" s="112" t="s">
        <v>1576</v>
      </c>
      <c r="F1777" s="112" t="s">
        <v>1575</v>
      </c>
      <c r="G1777" s="112" t="s">
        <v>1480</v>
      </c>
      <c r="H1777" s="112" t="s">
        <v>1576</v>
      </c>
      <c r="I1777" s="112">
        <v>7443.7138869999999</v>
      </c>
    </row>
    <row r="1778" spans="1:9">
      <c r="A1778" s="112" t="s">
        <v>1481</v>
      </c>
      <c r="B1778" s="112" t="s">
        <v>1581</v>
      </c>
      <c r="C1778" s="112">
        <v>0</v>
      </c>
      <c r="D1778" s="112" t="s">
        <v>1575</v>
      </c>
      <c r="E1778" s="112" t="s">
        <v>1576</v>
      </c>
      <c r="F1778" s="112" t="s">
        <v>1575</v>
      </c>
      <c r="G1778" s="112" t="s">
        <v>1481</v>
      </c>
      <c r="H1778" s="112" t="s">
        <v>1576</v>
      </c>
      <c r="I1778" s="112">
        <v>10639.481830000001</v>
      </c>
    </row>
    <row r="1779" spans="1:9">
      <c r="A1779" s="112" t="s">
        <v>1482</v>
      </c>
      <c r="B1779" s="112" t="s">
        <v>1581</v>
      </c>
      <c r="C1779" s="112">
        <v>0</v>
      </c>
      <c r="D1779" s="112" t="s">
        <v>1575</v>
      </c>
      <c r="E1779" s="112" t="s">
        <v>1576</v>
      </c>
      <c r="F1779" s="112" t="s">
        <v>1575</v>
      </c>
      <c r="G1779" s="112" t="s">
        <v>1482</v>
      </c>
      <c r="H1779" s="112" t="s">
        <v>1576</v>
      </c>
      <c r="I1779" s="112">
        <v>508.13008129999997</v>
      </c>
    </row>
    <row r="1780" spans="1:9">
      <c r="A1780" s="112" t="s">
        <v>1483</v>
      </c>
      <c r="B1780" s="112" t="s">
        <v>1581</v>
      </c>
      <c r="C1780" s="112">
        <v>0</v>
      </c>
      <c r="D1780" s="112" t="s">
        <v>1575</v>
      </c>
      <c r="E1780" s="112" t="s">
        <v>1576</v>
      </c>
      <c r="F1780" s="112" t="s">
        <v>1575</v>
      </c>
      <c r="G1780" s="112" t="s">
        <v>1483</v>
      </c>
      <c r="H1780" s="112" t="s">
        <v>1576</v>
      </c>
      <c r="I1780" s="112">
        <v>6992.2489020000003</v>
      </c>
    </row>
    <row r="1781" spans="1:9">
      <c r="A1781" s="112" t="s">
        <v>1484</v>
      </c>
      <c r="B1781" s="112" t="s">
        <v>1581</v>
      </c>
      <c r="C1781" s="112">
        <v>120.12012009999999</v>
      </c>
      <c r="D1781" s="112" t="s">
        <v>1575</v>
      </c>
      <c r="E1781" s="112" t="s">
        <v>1576</v>
      </c>
      <c r="F1781" s="112" t="s">
        <v>1575</v>
      </c>
      <c r="G1781" s="112" t="s">
        <v>1484</v>
      </c>
      <c r="H1781" s="112" t="s">
        <v>1576</v>
      </c>
      <c r="I1781" s="112">
        <v>10030.03003</v>
      </c>
    </row>
    <row r="1782" spans="1:9">
      <c r="A1782" s="112" t="s">
        <v>1485</v>
      </c>
      <c r="B1782" s="112" t="s">
        <v>1581</v>
      </c>
      <c r="C1782" s="112">
        <v>17.361914899999999</v>
      </c>
      <c r="D1782" s="112" t="s">
        <v>1575</v>
      </c>
      <c r="E1782" s="112" t="s">
        <v>1576</v>
      </c>
      <c r="F1782" s="112" t="s">
        <v>1575</v>
      </c>
      <c r="G1782" s="112" t="s">
        <v>1485</v>
      </c>
      <c r="H1782" s="112" t="s">
        <v>1576</v>
      </c>
      <c r="I1782" s="112">
        <v>3831.1958890000001</v>
      </c>
    </row>
    <row r="1783" spans="1:9">
      <c r="A1783" s="112" t="s">
        <v>1486</v>
      </c>
      <c r="B1783" s="112" t="s">
        <v>1581</v>
      </c>
      <c r="C1783" s="112">
        <v>0</v>
      </c>
      <c r="D1783" s="112" t="s">
        <v>1575</v>
      </c>
      <c r="E1783" s="112" t="s">
        <v>1576</v>
      </c>
      <c r="F1783" s="112" t="s">
        <v>1575</v>
      </c>
      <c r="G1783" s="112" t="s">
        <v>1486</v>
      </c>
      <c r="H1783" s="112" t="s">
        <v>1576</v>
      </c>
      <c r="I1783" s="112">
        <v>3287.7724410000001</v>
      </c>
    </row>
    <row r="1784" spans="1:9">
      <c r="A1784" s="112" t="s">
        <v>1487</v>
      </c>
      <c r="B1784" s="112" t="s">
        <v>1581</v>
      </c>
      <c r="C1784" s="112">
        <v>0</v>
      </c>
      <c r="D1784" s="112" t="s">
        <v>1575</v>
      </c>
      <c r="E1784" s="112" t="s">
        <v>1576</v>
      </c>
      <c r="F1784" s="112" t="s">
        <v>1575</v>
      </c>
      <c r="G1784" s="112" t="s">
        <v>1487</v>
      </c>
      <c r="H1784" s="112" t="s">
        <v>1576</v>
      </c>
      <c r="I1784" s="112">
        <v>9998.6208800000004</v>
      </c>
    </row>
    <row r="1785" spans="1:9">
      <c r="A1785" s="112" t="s">
        <v>1488</v>
      </c>
      <c r="B1785" s="112" t="s">
        <v>1581</v>
      </c>
      <c r="C1785" s="112">
        <v>0</v>
      </c>
      <c r="D1785" s="112" t="s">
        <v>1575</v>
      </c>
      <c r="E1785" s="112" t="s">
        <v>1576</v>
      </c>
      <c r="F1785" s="112" t="s">
        <v>1575</v>
      </c>
      <c r="G1785" s="112" t="s">
        <v>1488</v>
      </c>
      <c r="H1785" s="112" t="s">
        <v>1576</v>
      </c>
      <c r="I1785" s="112">
        <v>6371.9633610000001</v>
      </c>
    </row>
    <row r="1786" spans="1:9">
      <c r="A1786" s="112" t="s">
        <v>1489</v>
      </c>
      <c r="B1786" s="112" t="s">
        <v>1581</v>
      </c>
      <c r="C1786" s="112">
        <v>5.824892094</v>
      </c>
      <c r="D1786" s="112" t="s">
        <v>1575</v>
      </c>
      <c r="E1786" s="112" t="s">
        <v>1576</v>
      </c>
      <c r="F1786" s="112" t="s">
        <v>1575</v>
      </c>
      <c r="G1786" s="112" t="s">
        <v>1489</v>
      </c>
      <c r="H1786" s="112" t="s">
        <v>1576</v>
      </c>
      <c r="I1786" s="112">
        <v>2848.3722339999999</v>
      </c>
    </row>
    <row r="1787" spans="1:9">
      <c r="A1787" s="112" t="s">
        <v>1490</v>
      </c>
      <c r="B1787" s="112" t="s">
        <v>1581</v>
      </c>
      <c r="C1787" s="112">
        <v>0</v>
      </c>
      <c r="D1787" s="112" t="s">
        <v>1575</v>
      </c>
      <c r="E1787" s="112" t="s">
        <v>1576</v>
      </c>
      <c r="F1787" s="112" t="s">
        <v>1575</v>
      </c>
      <c r="G1787" s="112" t="s">
        <v>1490</v>
      </c>
      <c r="H1787" s="112" t="s">
        <v>1576</v>
      </c>
      <c r="I1787" s="112">
        <v>13451.029839999999</v>
      </c>
    </row>
    <row r="1788" spans="1:9">
      <c r="A1788" s="112" t="s">
        <v>1461</v>
      </c>
      <c r="B1788" s="112" t="s">
        <v>1582</v>
      </c>
      <c r="C1788" s="112">
        <v>603.38996669999995</v>
      </c>
      <c r="D1788" s="112" t="s">
        <v>1575</v>
      </c>
      <c r="E1788" s="112" t="s">
        <v>1576</v>
      </c>
      <c r="F1788" s="112" t="s">
        <v>1575</v>
      </c>
      <c r="G1788" s="112" t="s">
        <v>1461</v>
      </c>
      <c r="H1788" s="112" t="s">
        <v>1576</v>
      </c>
      <c r="I1788" s="112">
        <v>4569.9590820000003</v>
      </c>
    </row>
    <row r="1789" spans="1:9">
      <c r="A1789" s="112" t="s">
        <v>1465</v>
      </c>
      <c r="B1789" s="112" t="s">
        <v>1582</v>
      </c>
      <c r="C1789" s="112">
        <v>24.417997039999999</v>
      </c>
      <c r="D1789" s="112" t="s">
        <v>1575</v>
      </c>
      <c r="E1789" s="112" t="s">
        <v>1576</v>
      </c>
      <c r="F1789" s="112" t="s">
        <v>1575</v>
      </c>
      <c r="G1789" s="112" t="s">
        <v>1465</v>
      </c>
      <c r="H1789" s="112" t="s">
        <v>1576</v>
      </c>
      <c r="I1789" s="112">
        <v>2651.7944779999998</v>
      </c>
    </row>
    <row r="1790" spans="1:9">
      <c r="A1790" s="112" t="s">
        <v>1466</v>
      </c>
      <c r="B1790" s="112" t="s">
        <v>1582</v>
      </c>
      <c r="C1790" s="112">
        <v>0</v>
      </c>
      <c r="D1790" s="112" t="s">
        <v>1575</v>
      </c>
      <c r="E1790" s="112" t="s">
        <v>1576</v>
      </c>
      <c r="F1790" s="112" t="s">
        <v>1575</v>
      </c>
      <c r="G1790" s="112" t="s">
        <v>1466</v>
      </c>
      <c r="H1790" s="112" t="s">
        <v>1576</v>
      </c>
      <c r="I1790" s="112">
        <v>1336.199384</v>
      </c>
    </row>
    <row r="1791" spans="1:9">
      <c r="A1791" s="112" t="s">
        <v>1467</v>
      </c>
      <c r="B1791" s="112" t="s">
        <v>1582</v>
      </c>
      <c r="C1791" s="112">
        <v>261.35075669999998</v>
      </c>
      <c r="D1791" s="112" t="s">
        <v>1575</v>
      </c>
      <c r="E1791" s="112" t="s">
        <v>1576</v>
      </c>
      <c r="F1791" s="112" t="s">
        <v>1575</v>
      </c>
      <c r="G1791" s="112" t="s">
        <v>1467</v>
      </c>
      <c r="H1791" s="112" t="s">
        <v>1576</v>
      </c>
      <c r="I1791" s="112">
        <v>1611.4407619999999</v>
      </c>
    </row>
    <row r="1792" spans="1:9">
      <c r="A1792" s="112" t="s">
        <v>1468</v>
      </c>
      <c r="B1792" s="112" t="s">
        <v>1582</v>
      </c>
      <c r="C1792" s="112">
        <v>3.6075296360000002</v>
      </c>
      <c r="D1792" s="112" t="s">
        <v>1575</v>
      </c>
      <c r="E1792" s="112" t="s">
        <v>1576</v>
      </c>
      <c r="F1792" s="112" t="s">
        <v>1575</v>
      </c>
      <c r="G1792" s="112" t="s">
        <v>1468</v>
      </c>
      <c r="H1792" s="112" t="s">
        <v>1576</v>
      </c>
      <c r="I1792" s="112">
        <v>9011.6090299999996</v>
      </c>
    </row>
    <row r="1793" spans="1:9">
      <c r="A1793" s="112" t="s">
        <v>1469</v>
      </c>
      <c r="B1793" s="112" t="s">
        <v>1582</v>
      </c>
      <c r="C1793" s="112">
        <v>9.6146450269999999</v>
      </c>
      <c r="D1793" s="112" t="s">
        <v>1575</v>
      </c>
      <c r="E1793" s="112" t="s">
        <v>1576</v>
      </c>
      <c r="F1793" s="112" t="s">
        <v>1575</v>
      </c>
      <c r="G1793" s="112" t="s">
        <v>1469</v>
      </c>
      <c r="H1793" s="112" t="s">
        <v>1576</v>
      </c>
      <c r="I1793" s="112">
        <v>1413.352819</v>
      </c>
    </row>
    <row r="1794" spans="1:9">
      <c r="A1794" s="112" t="s">
        <v>1470</v>
      </c>
      <c r="B1794" s="112" t="s">
        <v>1582</v>
      </c>
      <c r="C1794" s="112">
        <v>300.5033431</v>
      </c>
      <c r="D1794" s="112" t="s">
        <v>1575</v>
      </c>
      <c r="E1794" s="112" t="s">
        <v>1576</v>
      </c>
      <c r="F1794" s="112" t="s">
        <v>1575</v>
      </c>
      <c r="G1794" s="112" t="s">
        <v>1470</v>
      </c>
      <c r="H1794" s="112" t="s">
        <v>1576</v>
      </c>
      <c r="I1794" s="112">
        <v>2028.3975660000001</v>
      </c>
    </row>
    <row r="1795" spans="1:9">
      <c r="A1795" s="112" t="s">
        <v>1471</v>
      </c>
      <c r="B1795" s="112" t="s">
        <v>1582</v>
      </c>
      <c r="C1795" s="112">
        <v>354.49127700000003</v>
      </c>
      <c r="D1795" s="112" t="s">
        <v>1575</v>
      </c>
      <c r="E1795" s="112" t="s">
        <v>1576</v>
      </c>
      <c r="F1795" s="112" t="s">
        <v>1575</v>
      </c>
      <c r="G1795" s="112" t="s">
        <v>1471</v>
      </c>
      <c r="H1795" s="112" t="s">
        <v>1576</v>
      </c>
      <c r="I1795" s="112">
        <v>3822.8951379999999</v>
      </c>
    </row>
    <row r="1796" spans="1:9">
      <c r="A1796" s="112" t="s">
        <v>1472</v>
      </c>
      <c r="B1796" s="112" t="s">
        <v>1582</v>
      </c>
      <c r="C1796" s="112">
        <v>7595.4021210000001</v>
      </c>
      <c r="D1796" s="112" t="s">
        <v>1575</v>
      </c>
      <c r="E1796" s="112" t="s">
        <v>1576</v>
      </c>
      <c r="F1796" s="112" t="s">
        <v>1575</v>
      </c>
      <c r="G1796" s="112" t="s">
        <v>1472</v>
      </c>
      <c r="H1796" s="112" t="s">
        <v>1576</v>
      </c>
      <c r="I1796" s="112">
        <v>24813.259539999999</v>
      </c>
    </row>
    <row r="1797" spans="1:9">
      <c r="A1797" s="112" t="s">
        <v>1473</v>
      </c>
      <c r="B1797" s="112" t="s">
        <v>1582</v>
      </c>
      <c r="C1797" s="112">
        <v>240.022953</v>
      </c>
      <c r="D1797" s="112" t="s">
        <v>1575</v>
      </c>
      <c r="E1797" s="112" t="s">
        <v>1576</v>
      </c>
      <c r="F1797" s="112" t="s">
        <v>1575</v>
      </c>
      <c r="G1797" s="112" t="s">
        <v>1473</v>
      </c>
      <c r="H1797" s="112" t="s">
        <v>1576</v>
      </c>
      <c r="I1797" s="112">
        <v>1312.3958299999999</v>
      </c>
    </row>
    <row r="1798" spans="1:9">
      <c r="A1798" s="112" t="s">
        <v>1474</v>
      </c>
      <c r="B1798" s="112" t="s">
        <v>1582</v>
      </c>
      <c r="C1798" s="112">
        <v>2710.0270999999998</v>
      </c>
      <c r="D1798" s="112" t="s">
        <v>1575</v>
      </c>
      <c r="E1798" s="112" t="s">
        <v>1576</v>
      </c>
      <c r="F1798" s="112" t="s">
        <v>1575</v>
      </c>
      <c r="G1798" s="112" t="s">
        <v>1474</v>
      </c>
      <c r="H1798" s="112" t="s">
        <v>1576</v>
      </c>
      <c r="I1798" s="112">
        <v>9247.2761470000005</v>
      </c>
    </row>
    <row r="1799" spans="1:9">
      <c r="A1799" s="112" t="s">
        <v>1475</v>
      </c>
      <c r="B1799" s="112" t="s">
        <v>1582</v>
      </c>
      <c r="C1799" s="112">
        <v>3768.1527580000002</v>
      </c>
      <c r="D1799" s="112" t="s">
        <v>1575</v>
      </c>
      <c r="E1799" s="112" t="s">
        <v>1576</v>
      </c>
      <c r="F1799" s="112" t="s">
        <v>1575</v>
      </c>
      <c r="G1799" s="112" t="s">
        <v>1475</v>
      </c>
      <c r="H1799" s="112" t="s">
        <v>1576</v>
      </c>
      <c r="I1799" s="112">
        <v>17126.042600000001</v>
      </c>
    </row>
    <row r="1800" spans="1:9">
      <c r="A1800" s="112" t="s">
        <v>1476</v>
      </c>
      <c r="B1800" s="112" t="s">
        <v>1582</v>
      </c>
      <c r="C1800" s="112">
        <v>6212.9706189999997</v>
      </c>
      <c r="D1800" s="112" t="s">
        <v>1575</v>
      </c>
      <c r="E1800" s="112" t="s">
        <v>1576</v>
      </c>
      <c r="F1800" s="112" t="s">
        <v>1575</v>
      </c>
      <c r="G1800" s="112" t="s">
        <v>1476</v>
      </c>
      <c r="H1800" s="112" t="s">
        <v>1576</v>
      </c>
      <c r="I1800" s="112">
        <v>22105.73429</v>
      </c>
    </row>
    <row r="1801" spans="1:9">
      <c r="A1801" s="112" t="s">
        <v>1477</v>
      </c>
      <c r="B1801" s="112" t="s">
        <v>1582</v>
      </c>
      <c r="C1801" s="112">
        <v>3939.2726729999999</v>
      </c>
      <c r="D1801" s="112" t="s">
        <v>1575</v>
      </c>
      <c r="E1801" s="112" t="s">
        <v>1576</v>
      </c>
      <c r="F1801" s="112" t="s">
        <v>1575</v>
      </c>
      <c r="G1801" s="112" t="s">
        <v>1477</v>
      </c>
      <c r="H1801" s="112" t="s">
        <v>1576</v>
      </c>
      <c r="I1801" s="112">
        <v>12155.46996</v>
      </c>
    </row>
    <row r="1802" spans="1:9">
      <c r="A1802" s="112" t="s">
        <v>1478</v>
      </c>
      <c r="B1802" s="112" t="s">
        <v>1582</v>
      </c>
      <c r="C1802" s="112">
        <v>1113.622871</v>
      </c>
      <c r="D1802" s="112" t="s">
        <v>1575</v>
      </c>
      <c r="E1802" s="112" t="s">
        <v>1576</v>
      </c>
      <c r="F1802" s="112" t="s">
        <v>1575</v>
      </c>
      <c r="G1802" s="112" t="s">
        <v>1478</v>
      </c>
      <c r="H1802" s="112" t="s">
        <v>1576</v>
      </c>
      <c r="I1802" s="112">
        <v>4898.7866190000004</v>
      </c>
    </row>
    <row r="1803" spans="1:9">
      <c r="A1803" s="112" t="s">
        <v>1479</v>
      </c>
      <c r="B1803" s="112" t="s">
        <v>1582</v>
      </c>
      <c r="C1803" s="112">
        <v>1004.688547</v>
      </c>
      <c r="D1803" s="112" t="s">
        <v>1575</v>
      </c>
      <c r="E1803" s="112" t="s">
        <v>1576</v>
      </c>
      <c r="F1803" s="112" t="s">
        <v>1575</v>
      </c>
      <c r="G1803" s="112" t="s">
        <v>1479</v>
      </c>
      <c r="H1803" s="112" t="s">
        <v>1576</v>
      </c>
      <c r="I1803" s="112">
        <v>1004.688547</v>
      </c>
    </row>
    <row r="1804" spans="1:9">
      <c r="A1804" s="112" t="s">
        <v>1480</v>
      </c>
      <c r="B1804" s="112" t="s">
        <v>1582</v>
      </c>
      <c r="C1804" s="112">
        <v>1251.2452679999999</v>
      </c>
      <c r="D1804" s="112" t="s">
        <v>1575</v>
      </c>
      <c r="E1804" s="112" t="s">
        <v>1576</v>
      </c>
      <c r="F1804" s="112" t="s">
        <v>1575</v>
      </c>
      <c r="G1804" s="112" t="s">
        <v>1480</v>
      </c>
      <c r="H1804" s="112" t="s">
        <v>1576</v>
      </c>
      <c r="I1804" s="112">
        <v>7443.7138869999999</v>
      </c>
    </row>
    <row r="1805" spans="1:9">
      <c r="A1805" s="112" t="s">
        <v>1481</v>
      </c>
      <c r="B1805" s="112" t="s">
        <v>1582</v>
      </c>
      <c r="C1805" s="112">
        <v>0</v>
      </c>
      <c r="D1805" s="112" t="s">
        <v>1575</v>
      </c>
      <c r="E1805" s="112" t="s">
        <v>1576</v>
      </c>
      <c r="F1805" s="112" t="s">
        <v>1575</v>
      </c>
      <c r="G1805" s="112" t="s">
        <v>1481</v>
      </c>
      <c r="H1805" s="112" t="s">
        <v>1576</v>
      </c>
      <c r="I1805" s="112">
        <v>10639.481830000001</v>
      </c>
    </row>
    <row r="1806" spans="1:9">
      <c r="A1806" s="112" t="s">
        <v>1482</v>
      </c>
      <c r="B1806" s="112" t="s">
        <v>1582</v>
      </c>
      <c r="C1806" s="112">
        <v>0</v>
      </c>
      <c r="D1806" s="112" t="s">
        <v>1575</v>
      </c>
      <c r="E1806" s="112" t="s">
        <v>1576</v>
      </c>
      <c r="F1806" s="112" t="s">
        <v>1575</v>
      </c>
      <c r="G1806" s="112" t="s">
        <v>1482</v>
      </c>
      <c r="H1806" s="112" t="s">
        <v>1576</v>
      </c>
      <c r="I1806" s="112">
        <v>508.13008129999997</v>
      </c>
    </row>
    <row r="1807" spans="1:9">
      <c r="A1807" s="112" t="s">
        <v>1483</v>
      </c>
      <c r="B1807" s="112" t="s">
        <v>1582</v>
      </c>
      <c r="C1807" s="112">
        <v>0</v>
      </c>
      <c r="D1807" s="112" t="s">
        <v>1575</v>
      </c>
      <c r="E1807" s="112" t="s">
        <v>1576</v>
      </c>
      <c r="F1807" s="112" t="s">
        <v>1575</v>
      </c>
      <c r="G1807" s="112" t="s">
        <v>1483</v>
      </c>
      <c r="H1807" s="112" t="s">
        <v>1576</v>
      </c>
      <c r="I1807" s="112">
        <v>6992.2489020000003</v>
      </c>
    </row>
    <row r="1808" spans="1:9">
      <c r="A1808" s="112" t="s">
        <v>1484</v>
      </c>
      <c r="B1808" s="112" t="s">
        <v>1582</v>
      </c>
      <c r="C1808" s="112">
        <v>0</v>
      </c>
      <c r="D1808" s="112" t="s">
        <v>1575</v>
      </c>
      <c r="E1808" s="112" t="s">
        <v>1576</v>
      </c>
      <c r="F1808" s="112" t="s">
        <v>1575</v>
      </c>
      <c r="G1808" s="112" t="s">
        <v>1484</v>
      </c>
      <c r="H1808" s="112" t="s">
        <v>1576</v>
      </c>
      <c r="I1808" s="112">
        <v>10030.03003</v>
      </c>
    </row>
    <row r="1809" spans="1:9">
      <c r="A1809" s="112" t="s">
        <v>1485</v>
      </c>
      <c r="B1809" s="112" t="s">
        <v>1582</v>
      </c>
      <c r="C1809" s="112">
        <v>0</v>
      </c>
      <c r="D1809" s="112" t="s">
        <v>1575</v>
      </c>
      <c r="E1809" s="112" t="s">
        <v>1576</v>
      </c>
      <c r="F1809" s="112" t="s">
        <v>1575</v>
      </c>
      <c r="G1809" s="112" t="s">
        <v>1485</v>
      </c>
      <c r="H1809" s="112" t="s">
        <v>1576</v>
      </c>
      <c r="I1809" s="112">
        <v>3831.1958890000001</v>
      </c>
    </row>
    <row r="1810" spans="1:9">
      <c r="A1810" s="112" t="s">
        <v>1486</v>
      </c>
      <c r="B1810" s="112" t="s">
        <v>1582</v>
      </c>
      <c r="C1810" s="112">
        <v>0</v>
      </c>
      <c r="D1810" s="112" t="s">
        <v>1575</v>
      </c>
      <c r="E1810" s="112" t="s">
        <v>1576</v>
      </c>
      <c r="F1810" s="112" t="s">
        <v>1575</v>
      </c>
      <c r="G1810" s="112" t="s">
        <v>1486</v>
      </c>
      <c r="H1810" s="112" t="s">
        <v>1576</v>
      </c>
      <c r="I1810" s="112">
        <v>3287.7724410000001</v>
      </c>
    </row>
    <row r="1811" spans="1:9">
      <c r="A1811" s="112" t="s">
        <v>1487</v>
      </c>
      <c r="B1811" s="112" t="s">
        <v>1582</v>
      </c>
      <c r="C1811" s="112">
        <v>0</v>
      </c>
      <c r="D1811" s="112" t="s">
        <v>1575</v>
      </c>
      <c r="E1811" s="112" t="s">
        <v>1576</v>
      </c>
      <c r="F1811" s="112" t="s">
        <v>1575</v>
      </c>
      <c r="G1811" s="112" t="s">
        <v>1487</v>
      </c>
      <c r="H1811" s="112" t="s">
        <v>1576</v>
      </c>
      <c r="I1811" s="112">
        <v>9998.6208800000004</v>
      </c>
    </row>
    <row r="1812" spans="1:9">
      <c r="A1812" s="112" t="s">
        <v>1488</v>
      </c>
      <c r="B1812" s="112" t="s">
        <v>1582</v>
      </c>
      <c r="C1812" s="112">
        <v>0</v>
      </c>
      <c r="D1812" s="112" t="s">
        <v>1575</v>
      </c>
      <c r="E1812" s="112" t="s">
        <v>1576</v>
      </c>
      <c r="F1812" s="112" t="s">
        <v>1575</v>
      </c>
      <c r="G1812" s="112" t="s">
        <v>1488</v>
      </c>
      <c r="H1812" s="112" t="s">
        <v>1576</v>
      </c>
      <c r="I1812" s="112">
        <v>6371.9633610000001</v>
      </c>
    </row>
    <row r="1813" spans="1:9">
      <c r="A1813" s="112" t="s">
        <v>1489</v>
      </c>
      <c r="B1813" s="112" t="s">
        <v>1582</v>
      </c>
      <c r="C1813" s="112">
        <v>0</v>
      </c>
      <c r="D1813" s="112" t="s">
        <v>1575</v>
      </c>
      <c r="E1813" s="112" t="s">
        <v>1576</v>
      </c>
      <c r="F1813" s="112" t="s">
        <v>1575</v>
      </c>
      <c r="G1813" s="112" t="s">
        <v>1489</v>
      </c>
      <c r="H1813" s="112" t="s">
        <v>1576</v>
      </c>
      <c r="I1813" s="112">
        <v>2848.3722339999999</v>
      </c>
    </row>
    <row r="1814" spans="1:9">
      <c r="A1814" s="112" t="s">
        <v>1490</v>
      </c>
      <c r="B1814" s="112" t="s">
        <v>1582</v>
      </c>
      <c r="C1814" s="112">
        <v>0</v>
      </c>
      <c r="D1814" s="112" t="s">
        <v>1575</v>
      </c>
      <c r="E1814" s="112" t="s">
        <v>1576</v>
      </c>
      <c r="F1814" s="112" t="s">
        <v>1575</v>
      </c>
      <c r="G1814" s="112" t="s">
        <v>1490</v>
      </c>
      <c r="H1814" s="112" t="s">
        <v>1576</v>
      </c>
      <c r="I1814" s="112">
        <v>13451.029839999999</v>
      </c>
    </row>
    <row r="1815" spans="1:9">
      <c r="A1815" s="112" t="s">
        <v>1461</v>
      </c>
      <c r="B1815" s="112" t="s">
        <v>1583</v>
      </c>
      <c r="C1815" s="112">
        <v>81.032392869999995</v>
      </c>
      <c r="D1815" s="112" t="s">
        <v>1584</v>
      </c>
      <c r="E1815" s="112" t="s">
        <v>1576</v>
      </c>
      <c r="F1815" s="112" t="s">
        <v>1584</v>
      </c>
      <c r="G1815" s="112" t="s">
        <v>1461</v>
      </c>
      <c r="H1815" s="112" t="s">
        <v>1576</v>
      </c>
      <c r="I1815" s="112">
        <v>326.13863909999998</v>
      </c>
    </row>
    <row r="1816" spans="1:9">
      <c r="A1816" s="112" t="s">
        <v>1465</v>
      </c>
      <c r="B1816" s="112" t="s">
        <v>1583</v>
      </c>
      <c r="C1816" s="112">
        <v>0</v>
      </c>
      <c r="D1816" s="112" t="s">
        <v>1584</v>
      </c>
      <c r="E1816" s="112" t="s">
        <v>1576</v>
      </c>
      <c r="F1816" s="112" t="s">
        <v>1584</v>
      </c>
      <c r="G1816" s="112" t="s">
        <v>1465</v>
      </c>
      <c r="H1816" s="112" t="s">
        <v>1576</v>
      </c>
      <c r="I1816" s="112">
        <v>1342.9898370000001</v>
      </c>
    </row>
    <row r="1817" spans="1:9">
      <c r="A1817" s="112" t="s">
        <v>1466</v>
      </c>
      <c r="B1817" s="112" t="s">
        <v>1583</v>
      </c>
      <c r="C1817" s="112">
        <v>929.53000640000005</v>
      </c>
      <c r="D1817" s="112" t="s">
        <v>1584</v>
      </c>
      <c r="E1817" s="112" t="s">
        <v>1576</v>
      </c>
      <c r="F1817" s="112" t="s">
        <v>1584</v>
      </c>
      <c r="G1817" s="112" t="s">
        <v>1466</v>
      </c>
      <c r="H1817" s="112" t="s">
        <v>1576</v>
      </c>
      <c r="I1817" s="112">
        <v>1626.6775110000001</v>
      </c>
    </row>
    <row r="1818" spans="1:9">
      <c r="A1818" s="112" t="s">
        <v>1467</v>
      </c>
      <c r="B1818" s="112" t="s">
        <v>1583</v>
      </c>
      <c r="C1818" s="112">
        <v>57.337155809999999</v>
      </c>
      <c r="D1818" s="112" t="s">
        <v>1584</v>
      </c>
      <c r="E1818" s="112" t="s">
        <v>1576</v>
      </c>
      <c r="F1818" s="112" t="s">
        <v>1584</v>
      </c>
      <c r="G1818" s="112" t="s">
        <v>1467</v>
      </c>
      <c r="H1818" s="112" t="s">
        <v>1576</v>
      </c>
      <c r="I1818" s="112">
        <v>134.675645</v>
      </c>
    </row>
    <row r="1819" spans="1:9">
      <c r="A1819" s="112" t="s">
        <v>1468</v>
      </c>
      <c r="B1819" s="112" t="s">
        <v>1583</v>
      </c>
      <c r="C1819" s="112">
        <v>133.47859650000001</v>
      </c>
      <c r="D1819" s="112" t="s">
        <v>1584</v>
      </c>
      <c r="E1819" s="112" t="s">
        <v>1576</v>
      </c>
      <c r="F1819" s="112" t="s">
        <v>1584</v>
      </c>
      <c r="G1819" s="112" t="s">
        <v>1468</v>
      </c>
      <c r="H1819" s="112" t="s">
        <v>1576</v>
      </c>
      <c r="I1819" s="112">
        <v>912.70499789999997</v>
      </c>
    </row>
    <row r="1820" spans="1:9">
      <c r="A1820" s="112" t="s">
        <v>1469</v>
      </c>
      <c r="B1820" s="112" t="s">
        <v>1583</v>
      </c>
      <c r="C1820" s="112">
        <v>67.302515189999994</v>
      </c>
      <c r="D1820" s="112" t="s">
        <v>1584</v>
      </c>
      <c r="E1820" s="112" t="s">
        <v>1576</v>
      </c>
      <c r="F1820" s="112" t="s">
        <v>1584</v>
      </c>
      <c r="G1820" s="112" t="s">
        <v>1469</v>
      </c>
      <c r="H1820" s="112" t="s">
        <v>1576</v>
      </c>
      <c r="I1820" s="112">
        <v>374.97115609999997</v>
      </c>
    </row>
    <row r="1821" spans="1:9">
      <c r="A1821" s="112" t="s">
        <v>1470</v>
      </c>
      <c r="B1821" s="112" t="s">
        <v>1583</v>
      </c>
      <c r="C1821" s="112">
        <v>300.5033431</v>
      </c>
      <c r="D1821" s="112" t="s">
        <v>1584</v>
      </c>
      <c r="E1821" s="112" t="s">
        <v>1576</v>
      </c>
      <c r="F1821" s="112" t="s">
        <v>1584</v>
      </c>
      <c r="G1821" s="112" t="s">
        <v>1470</v>
      </c>
      <c r="H1821" s="112" t="s">
        <v>1576</v>
      </c>
      <c r="I1821" s="112">
        <v>1202.0133719999999</v>
      </c>
    </row>
    <row r="1822" spans="1:9">
      <c r="A1822" s="112" t="s">
        <v>1471</v>
      </c>
      <c r="B1822" s="112" t="s">
        <v>1583</v>
      </c>
      <c r="C1822" s="112">
        <v>297.8746845</v>
      </c>
      <c r="D1822" s="112" t="s">
        <v>1584</v>
      </c>
      <c r="E1822" s="112" t="s">
        <v>1576</v>
      </c>
      <c r="F1822" s="112" t="s">
        <v>1584</v>
      </c>
      <c r="G1822" s="112" t="s">
        <v>1471</v>
      </c>
      <c r="H1822" s="112" t="s">
        <v>1576</v>
      </c>
      <c r="I1822" s="112">
        <v>650.8357833</v>
      </c>
    </row>
    <row r="1823" spans="1:9">
      <c r="A1823" s="112" t="s">
        <v>1472</v>
      </c>
      <c r="B1823" s="112" t="s">
        <v>1583</v>
      </c>
      <c r="C1823" s="112">
        <v>2573.7286170000002</v>
      </c>
      <c r="D1823" s="112" t="s">
        <v>1584</v>
      </c>
      <c r="E1823" s="112" t="s">
        <v>1576</v>
      </c>
      <c r="F1823" s="112" t="s">
        <v>1584</v>
      </c>
      <c r="G1823" s="112" t="s">
        <v>1472</v>
      </c>
      <c r="H1823" s="112" t="s">
        <v>1576</v>
      </c>
      <c r="I1823" s="112">
        <v>6951.9699680000003</v>
      </c>
    </row>
    <row r="1824" spans="1:9">
      <c r="A1824" s="112" t="s">
        <v>1473</v>
      </c>
      <c r="B1824" s="112" t="s">
        <v>1583</v>
      </c>
      <c r="C1824" s="112">
        <v>19.26266571</v>
      </c>
      <c r="D1824" s="112" t="s">
        <v>1584</v>
      </c>
      <c r="E1824" s="112" t="s">
        <v>1576</v>
      </c>
      <c r="F1824" s="112" t="s">
        <v>1584</v>
      </c>
      <c r="G1824" s="112" t="s">
        <v>1473</v>
      </c>
      <c r="H1824" s="112" t="s">
        <v>1576</v>
      </c>
      <c r="I1824" s="112">
        <v>343.179597</v>
      </c>
    </row>
    <row r="1825" spans="1:9">
      <c r="A1825" s="112" t="s">
        <v>1474</v>
      </c>
      <c r="B1825" s="112" t="s">
        <v>1583</v>
      </c>
      <c r="C1825" s="112">
        <v>658.14943860000005</v>
      </c>
      <c r="D1825" s="112" t="s">
        <v>1584</v>
      </c>
      <c r="E1825" s="112" t="s">
        <v>1576</v>
      </c>
      <c r="F1825" s="112" t="s">
        <v>1584</v>
      </c>
      <c r="G1825" s="112" t="s">
        <v>1474</v>
      </c>
      <c r="H1825" s="112" t="s">
        <v>1576</v>
      </c>
      <c r="I1825" s="112">
        <v>1974.448316</v>
      </c>
    </row>
    <row r="1826" spans="1:9">
      <c r="A1826" s="112" t="s">
        <v>1475</v>
      </c>
      <c r="B1826" s="112" t="s">
        <v>1583</v>
      </c>
      <c r="C1826" s="112">
        <v>1566.5354159999999</v>
      </c>
      <c r="D1826" s="112" t="s">
        <v>1584</v>
      </c>
      <c r="E1826" s="112" t="s">
        <v>1576</v>
      </c>
      <c r="F1826" s="112" t="s">
        <v>1584</v>
      </c>
      <c r="G1826" s="112" t="s">
        <v>1475</v>
      </c>
      <c r="H1826" s="112" t="s">
        <v>1576</v>
      </c>
      <c r="I1826" s="112">
        <v>3810.4915529999998</v>
      </c>
    </row>
    <row r="1827" spans="1:9">
      <c r="A1827" s="112" t="s">
        <v>1476</v>
      </c>
      <c r="B1827" s="112" t="s">
        <v>1583</v>
      </c>
      <c r="C1827" s="112">
        <v>2108.9204300000001</v>
      </c>
      <c r="D1827" s="112" t="s">
        <v>1584</v>
      </c>
      <c r="E1827" s="112" t="s">
        <v>1576</v>
      </c>
      <c r="F1827" s="112" t="s">
        <v>1584</v>
      </c>
      <c r="G1827" s="112" t="s">
        <v>1476</v>
      </c>
      <c r="H1827" s="112" t="s">
        <v>1576</v>
      </c>
      <c r="I1827" s="112">
        <v>5716.084691</v>
      </c>
    </row>
    <row r="1828" spans="1:9">
      <c r="A1828" s="112" t="s">
        <v>1477</v>
      </c>
      <c r="B1828" s="112" t="s">
        <v>1583</v>
      </c>
      <c r="C1828" s="112">
        <v>1488.169676</v>
      </c>
      <c r="D1828" s="112" t="s">
        <v>1584</v>
      </c>
      <c r="E1828" s="112" t="s">
        <v>1576</v>
      </c>
      <c r="F1828" s="112" t="s">
        <v>1584</v>
      </c>
      <c r="G1828" s="112" t="s">
        <v>1477</v>
      </c>
      <c r="H1828" s="112" t="s">
        <v>1576</v>
      </c>
      <c r="I1828" s="112">
        <v>2963.833725</v>
      </c>
    </row>
    <row r="1829" spans="1:9">
      <c r="A1829" s="112" t="s">
        <v>1478</v>
      </c>
      <c r="B1829" s="112" t="s">
        <v>1583</v>
      </c>
      <c r="C1829" s="112">
        <v>294.91451970000003</v>
      </c>
      <c r="D1829" s="112" t="s">
        <v>1584</v>
      </c>
      <c r="E1829" s="112" t="s">
        <v>1576</v>
      </c>
      <c r="F1829" s="112" t="s">
        <v>1584</v>
      </c>
      <c r="G1829" s="112" t="s">
        <v>1478</v>
      </c>
      <c r="H1829" s="112" t="s">
        <v>1576</v>
      </c>
      <c r="I1829" s="112">
        <v>295.55563819999998</v>
      </c>
    </row>
    <row r="1830" spans="1:9">
      <c r="A1830" s="112" t="s">
        <v>1479</v>
      </c>
      <c r="B1830" s="112" t="s">
        <v>1583</v>
      </c>
      <c r="C1830" s="112">
        <v>0</v>
      </c>
      <c r="D1830" s="112" t="s">
        <v>1584</v>
      </c>
      <c r="E1830" s="112" t="s">
        <v>1576</v>
      </c>
      <c r="F1830" s="112" t="s">
        <v>1584</v>
      </c>
      <c r="G1830" s="112" t="s">
        <v>1479</v>
      </c>
      <c r="H1830" s="112" t="s">
        <v>1576</v>
      </c>
      <c r="I1830" s="112">
        <v>0</v>
      </c>
    </row>
    <row r="1831" spans="1:9">
      <c r="A1831" s="112" t="s">
        <v>1480</v>
      </c>
      <c r="B1831" s="112" t="s">
        <v>1583</v>
      </c>
      <c r="C1831" s="112">
        <v>518.03148039999996</v>
      </c>
      <c r="D1831" s="112" t="s">
        <v>1584</v>
      </c>
      <c r="E1831" s="112" t="s">
        <v>1576</v>
      </c>
      <c r="F1831" s="112" t="s">
        <v>1584</v>
      </c>
      <c r="G1831" s="112" t="s">
        <v>1480</v>
      </c>
      <c r="H1831" s="112" t="s">
        <v>1576</v>
      </c>
      <c r="I1831" s="112">
        <v>1490.33672</v>
      </c>
    </row>
    <row r="1832" spans="1:9">
      <c r="A1832" s="112" t="s">
        <v>1481</v>
      </c>
      <c r="B1832" s="112" t="s">
        <v>1583</v>
      </c>
      <c r="C1832" s="112">
        <v>422.90827339999998</v>
      </c>
      <c r="D1832" s="112" t="s">
        <v>1584</v>
      </c>
      <c r="E1832" s="112" t="s">
        <v>1576</v>
      </c>
      <c r="F1832" s="112" t="s">
        <v>1584</v>
      </c>
      <c r="G1832" s="112" t="s">
        <v>1481</v>
      </c>
      <c r="H1832" s="112" t="s">
        <v>1576</v>
      </c>
      <c r="I1832" s="112">
        <v>645.49157520000006</v>
      </c>
    </row>
    <row r="1833" spans="1:9">
      <c r="A1833" s="112" t="s">
        <v>1482</v>
      </c>
      <c r="B1833" s="112" t="s">
        <v>1583</v>
      </c>
      <c r="C1833" s="112">
        <v>6266.9376689999999</v>
      </c>
      <c r="D1833" s="112" t="s">
        <v>1584</v>
      </c>
      <c r="E1833" s="112" t="s">
        <v>1576</v>
      </c>
      <c r="F1833" s="112" t="s">
        <v>1584</v>
      </c>
      <c r="G1833" s="112" t="s">
        <v>1482</v>
      </c>
      <c r="H1833" s="112" t="s">
        <v>1576</v>
      </c>
      <c r="I1833" s="112">
        <v>6266.9376689999999</v>
      </c>
    </row>
    <row r="1834" spans="1:9">
      <c r="A1834" s="112" t="s">
        <v>1483</v>
      </c>
      <c r="B1834" s="112" t="s">
        <v>1583</v>
      </c>
      <c r="C1834" s="112">
        <v>867.25567779999994</v>
      </c>
      <c r="D1834" s="112" t="s">
        <v>1584</v>
      </c>
      <c r="E1834" s="112" t="s">
        <v>1576</v>
      </c>
      <c r="F1834" s="112" t="s">
        <v>1584</v>
      </c>
      <c r="G1834" s="112" t="s">
        <v>1483</v>
      </c>
      <c r="H1834" s="112" t="s">
        <v>1576</v>
      </c>
      <c r="I1834" s="112">
        <v>2222.342674</v>
      </c>
    </row>
    <row r="1835" spans="1:9">
      <c r="A1835" s="112" t="s">
        <v>1484</v>
      </c>
      <c r="B1835" s="112" t="s">
        <v>1583</v>
      </c>
      <c r="C1835" s="112">
        <v>1681.6816819999999</v>
      </c>
      <c r="D1835" s="112" t="s">
        <v>1584</v>
      </c>
      <c r="E1835" s="112" t="s">
        <v>1576</v>
      </c>
      <c r="F1835" s="112" t="s">
        <v>1584</v>
      </c>
      <c r="G1835" s="112" t="s">
        <v>1484</v>
      </c>
      <c r="H1835" s="112" t="s">
        <v>1576</v>
      </c>
      <c r="I1835" s="112">
        <v>3003.0030029999998</v>
      </c>
    </row>
    <row r="1836" spans="1:9">
      <c r="A1836" s="112" t="s">
        <v>1485</v>
      </c>
      <c r="B1836" s="112" t="s">
        <v>1583</v>
      </c>
      <c r="C1836" s="112">
        <v>109.9587944</v>
      </c>
      <c r="D1836" s="112" t="s">
        <v>1584</v>
      </c>
      <c r="E1836" s="112" t="s">
        <v>1576</v>
      </c>
      <c r="F1836" s="112" t="s">
        <v>1584</v>
      </c>
      <c r="G1836" s="112" t="s">
        <v>1485</v>
      </c>
      <c r="H1836" s="112" t="s">
        <v>1576</v>
      </c>
      <c r="I1836" s="112">
        <v>358.81290810000002</v>
      </c>
    </row>
    <row r="1837" spans="1:9">
      <c r="A1837" s="112" t="s">
        <v>1486</v>
      </c>
      <c r="B1837" s="112" t="s">
        <v>1583</v>
      </c>
      <c r="C1837" s="112">
        <v>1108.2379020000001</v>
      </c>
      <c r="D1837" s="112" t="s">
        <v>1584</v>
      </c>
      <c r="E1837" s="112" t="s">
        <v>1576</v>
      </c>
      <c r="F1837" s="112" t="s">
        <v>1584</v>
      </c>
      <c r="G1837" s="112" t="s">
        <v>1486</v>
      </c>
      <c r="H1837" s="112" t="s">
        <v>1576</v>
      </c>
      <c r="I1837" s="112">
        <v>4506.8341339999997</v>
      </c>
    </row>
    <row r="1838" spans="1:9">
      <c r="A1838" s="112" t="s">
        <v>1487</v>
      </c>
      <c r="B1838" s="112" t="s">
        <v>1583</v>
      </c>
      <c r="C1838" s="112">
        <v>45.97067071</v>
      </c>
      <c r="D1838" s="112" t="s">
        <v>1584</v>
      </c>
      <c r="E1838" s="112" t="s">
        <v>1576</v>
      </c>
      <c r="F1838" s="112" t="s">
        <v>1584</v>
      </c>
      <c r="G1838" s="112" t="s">
        <v>1487</v>
      </c>
      <c r="H1838" s="112" t="s">
        <v>1576</v>
      </c>
      <c r="I1838" s="112">
        <v>160.8973475</v>
      </c>
    </row>
    <row r="1839" spans="1:9">
      <c r="A1839" s="112" t="s">
        <v>1488</v>
      </c>
      <c r="B1839" s="112" t="s">
        <v>1583</v>
      </c>
      <c r="C1839" s="112">
        <v>0</v>
      </c>
      <c r="D1839" s="112" t="s">
        <v>1584</v>
      </c>
      <c r="E1839" s="112" t="s">
        <v>1576</v>
      </c>
      <c r="F1839" s="112" t="s">
        <v>1584</v>
      </c>
      <c r="G1839" s="112" t="s">
        <v>1488</v>
      </c>
      <c r="H1839" s="112" t="s">
        <v>1576</v>
      </c>
      <c r="I1839" s="112">
        <v>398.24771010000001</v>
      </c>
    </row>
    <row r="1840" spans="1:9">
      <c r="A1840" s="112" t="s">
        <v>1489</v>
      </c>
      <c r="B1840" s="112" t="s">
        <v>1583</v>
      </c>
      <c r="C1840" s="112">
        <v>623.26345400000002</v>
      </c>
      <c r="D1840" s="112" t="s">
        <v>1584</v>
      </c>
      <c r="E1840" s="112" t="s">
        <v>1576</v>
      </c>
      <c r="F1840" s="112" t="s">
        <v>1584</v>
      </c>
      <c r="G1840" s="112" t="s">
        <v>1489</v>
      </c>
      <c r="H1840" s="112" t="s">
        <v>1576</v>
      </c>
      <c r="I1840" s="112">
        <v>1060.130361</v>
      </c>
    </row>
    <row r="1841" spans="1:9">
      <c r="A1841" s="112" t="s">
        <v>1490</v>
      </c>
      <c r="B1841" s="112" t="s">
        <v>1583</v>
      </c>
      <c r="C1841" s="112">
        <v>2101.7234130000002</v>
      </c>
      <c r="D1841" s="112" t="s">
        <v>1584</v>
      </c>
      <c r="E1841" s="112" t="s">
        <v>1576</v>
      </c>
      <c r="F1841" s="112" t="s">
        <v>1584</v>
      </c>
      <c r="G1841" s="112" t="s">
        <v>1490</v>
      </c>
      <c r="H1841" s="112" t="s">
        <v>1576</v>
      </c>
      <c r="I1841" s="112">
        <v>2522.068096</v>
      </c>
    </row>
    <row r="1842" spans="1:9">
      <c r="A1842" s="112" t="s">
        <v>1461</v>
      </c>
      <c r="B1842" s="112" t="s">
        <v>1585</v>
      </c>
      <c r="C1842" s="112">
        <v>8.0362703670000002</v>
      </c>
      <c r="D1842" s="112" t="s">
        <v>1584</v>
      </c>
      <c r="E1842" s="112" t="s">
        <v>1576</v>
      </c>
      <c r="F1842" s="112" t="s">
        <v>1584</v>
      </c>
      <c r="G1842" s="112" t="s">
        <v>1461</v>
      </c>
      <c r="H1842" s="112" t="s">
        <v>1576</v>
      </c>
      <c r="I1842" s="112">
        <v>326.13863909999998</v>
      </c>
    </row>
    <row r="1843" spans="1:9">
      <c r="A1843" s="112" t="s">
        <v>1465</v>
      </c>
      <c r="B1843" s="112" t="s">
        <v>1585</v>
      </c>
      <c r="C1843" s="112">
        <v>0</v>
      </c>
      <c r="D1843" s="112" t="s">
        <v>1584</v>
      </c>
      <c r="E1843" s="112" t="s">
        <v>1576</v>
      </c>
      <c r="F1843" s="112" t="s">
        <v>1584</v>
      </c>
      <c r="G1843" s="112" t="s">
        <v>1465</v>
      </c>
      <c r="H1843" s="112" t="s">
        <v>1576</v>
      </c>
      <c r="I1843" s="112">
        <v>1342.9898370000001</v>
      </c>
    </row>
    <row r="1844" spans="1:9">
      <c r="A1844" s="112" t="s">
        <v>1466</v>
      </c>
      <c r="B1844" s="112" t="s">
        <v>1585</v>
      </c>
      <c r="C1844" s="112">
        <v>69.714750480000006</v>
      </c>
      <c r="D1844" s="112" t="s">
        <v>1584</v>
      </c>
      <c r="E1844" s="112" t="s">
        <v>1576</v>
      </c>
      <c r="F1844" s="112" t="s">
        <v>1584</v>
      </c>
      <c r="G1844" s="112" t="s">
        <v>1466</v>
      </c>
      <c r="H1844" s="112" t="s">
        <v>1576</v>
      </c>
      <c r="I1844" s="112">
        <v>1626.6775110000001</v>
      </c>
    </row>
    <row r="1845" spans="1:9">
      <c r="A1845" s="112" t="s">
        <v>1467</v>
      </c>
      <c r="B1845" s="112" t="s">
        <v>1585</v>
      </c>
      <c r="C1845" s="112">
        <v>0.66671111400000005</v>
      </c>
      <c r="D1845" s="112" t="s">
        <v>1584</v>
      </c>
      <c r="E1845" s="112" t="s">
        <v>1576</v>
      </c>
      <c r="F1845" s="112" t="s">
        <v>1584</v>
      </c>
      <c r="G1845" s="112" t="s">
        <v>1467</v>
      </c>
      <c r="H1845" s="112" t="s">
        <v>1576</v>
      </c>
      <c r="I1845" s="112">
        <v>134.675645</v>
      </c>
    </row>
    <row r="1846" spans="1:9">
      <c r="A1846" s="112" t="s">
        <v>1468</v>
      </c>
      <c r="B1846" s="112" t="s">
        <v>1585</v>
      </c>
      <c r="C1846" s="112">
        <v>75.758122349999994</v>
      </c>
      <c r="D1846" s="112" t="s">
        <v>1584</v>
      </c>
      <c r="E1846" s="112" t="s">
        <v>1576</v>
      </c>
      <c r="F1846" s="112" t="s">
        <v>1584</v>
      </c>
      <c r="G1846" s="112" t="s">
        <v>1468</v>
      </c>
      <c r="H1846" s="112" t="s">
        <v>1576</v>
      </c>
      <c r="I1846" s="112">
        <v>912.70499789999997</v>
      </c>
    </row>
    <row r="1847" spans="1:9">
      <c r="A1847" s="112" t="s">
        <v>1469</v>
      </c>
      <c r="B1847" s="112" t="s">
        <v>1585</v>
      </c>
      <c r="C1847" s="112">
        <v>9.6146450269999999</v>
      </c>
      <c r="D1847" s="112" t="s">
        <v>1584</v>
      </c>
      <c r="E1847" s="112" t="s">
        <v>1576</v>
      </c>
      <c r="F1847" s="112" t="s">
        <v>1584</v>
      </c>
      <c r="G1847" s="112" t="s">
        <v>1469</v>
      </c>
      <c r="H1847" s="112" t="s">
        <v>1576</v>
      </c>
      <c r="I1847" s="112">
        <v>374.97115609999997</v>
      </c>
    </row>
    <row r="1848" spans="1:9">
      <c r="A1848" s="112" t="s">
        <v>1470</v>
      </c>
      <c r="B1848" s="112" t="s">
        <v>1585</v>
      </c>
      <c r="C1848" s="112">
        <v>901.51002930000004</v>
      </c>
      <c r="D1848" s="112" t="s">
        <v>1584</v>
      </c>
      <c r="E1848" s="112" t="s">
        <v>1576</v>
      </c>
      <c r="F1848" s="112" t="s">
        <v>1584</v>
      </c>
      <c r="G1848" s="112" t="s">
        <v>1470</v>
      </c>
      <c r="H1848" s="112" t="s">
        <v>1576</v>
      </c>
      <c r="I1848" s="112">
        <v>1202.0133719999999</v>
      </c>
    </row>
    <row r="1849" spans="1:9">
      <c r="A1849" s="112" t="s">
        <v>1471</v>
      </c>
      <c r="B1849" s="112" t="s">
        <v>1585</v>
      </c>
      <c r="C1849" s="112">
        <v>74.978730519999999</v>
      </c>
      <c r="D1849" s="112" t="s">
        <v>1584</v>
      </c>
      <c r="E1849" s="112" t="s">
        <v>1576</v>
      </c>
      <c r="F1849" s="112" t="s">
        <v>1584</v>
      </c>
      <c r="G1849" s="112" t="s">
        <v>1471</v>
      </c>
      <c r="H1849" s="112" t="s">
        <v>1576</v>
      </c>
      <c r="I1849" s="112">
        <v>650.8357833</v>
      </c>
    </row>
    <row r="1850" spans="1:9">
      <c r="A1850" s="112" t="s">
        <v>1472</v>
      </c>
      <c r="B1850" s="112" t="s">
        <v>1585</v>
      </c>
      <c r="C1850" s="112">
        <v>1204.621101</v>
      </c>
      <c r="D1850" s="112" t="s">
        <v>1584</v>
      </c>
      <c r="E1850" s="112" t="s">
        <v>1576</v>
      </c>
      <c r="F1850" s="112" t="s">
        <v>1584</v>
      </c>
      <c r="G1850" s="112" t="s">
        <v>1472</v>
      </c>
      <c r="H1850" s="112" t="s">
        <v>1576</v>
      </c>
      <c r="I1850" s="112">
        <v>6951.9699680000003</v>
      </c>
    </row>
    <row r="1851" spans="1:9">
      <c r="A1851" s="112" t="s">
        <v>1473</v>
      </c>
      <c r="B1851" s="112" t="s">
        <v>1585</v>
      </c>
      <c r="C1851" s="112">
        <v>63.61748807</v>
      </c>
      <c r="D1851" s="112" t="s">
        <v>1584</v>
      </c>
      <c r="E1851" s="112" t="s">
        <v>1576</v>
      </c>
      <c r="F1851" s="112" t="s">
        <v>1584</v>
      </c>
      <c r="G1851" s="112" t="s">
        <v>1473</v>
      </c>
      <c r="H1851" s="112" t="s">
        <v>1576</v>
      </c>
      <c r="I1851" s="112">
        <v>343.179597</v>
      </c>
    </row>
    <row r="1852" spans="1:9">
      <c r="A1852" s="112" t="s">
        <v>1474</v>
      </c>
      <c r="B1852" s="112" t="s">
        <v>1585</v>
      </c>
      <c r="C1852" s="112">
        <v>254.41070740000001</v>
      </c>
      <c r="D1852" s="112" t="s">
        <v>1584</v>
      </c>
      <c r="E1852" s="112" t="s">
        <v>1576</v>
      </c>
      <c r="F1852" s="112" t="s">
        <v>1584</v>
      </c>
      <c r="G1852" s="112" t="s">
        <v>1474</v>
      </c>
      <c r="H1852" s="112" t="s">
        <v>1576</v>
      </c>
      <c r="I1852" s="112">
        <v>1974.448316</v>
      </c>
    </row>
    <row r="1853" spans="1:9">
      <c r="A1853" s="112" t="s">
        <v>1475</v>
      </c>
      <c r="B1853" s="112" t="s">
        <v>1585</v>
      </c>
      <c r="C1853" s="112">
        <v>1111.39337</v>
      </c>
      <c r="D1853" s="112" t="s">
        <v>1584</v>
      </c>
      <c r="E1853" s="112" t="s">
        <v>1576</v>
      </c>
      <c r="F1853" s="112" t="s">
        <v>1584</v>
      </c>
      <c r="G1853" s="112" t="s">
        <v>1475</v>
      </c>
      <c r="H1853" s="112" t="s">
        <v>1576</v>
      </c>
      <c r="I1853" s="112">
        <v>3810.4915529999998</v>
      </c>
    </row>
    <row r="1854" spans="1:9">
      <c r="A1854" s="112" t="s">
        <v>1476</v>
      </c>
      <c r="B1854" s="112" t="s">
        <v>1585</v>
      </c>
      <c r="C1854" s="112">
        <v>906.53234310000005</v>
      </c>
      <c r="D1854" s="112" t="s">
        <v>1584</v>
      </c>
      <c r="E1854" s="112" t="s">
        <v>1576</v>
      </c>
      <c r="F1854" s="112" t="s">
        <v>1584</v>
      </c>
      <c r="G1854" s="112" t="s">
        <v>1476</v>
      </c>
      <c r="H1854" s="112" t="s">
        <v>1576</v>
      </c>
      <c r="I1854" s="112">
        <v>5716.084691</v>
      </c>
    </row>
    <row r="1855" spans="1:9">
      <c r="A1855" s="112" t="s">
        <v>1477</v>
      </c>
      <c r="B1855" s="112" t="s">
        <v>1585</v>
      </c>
      <c r="C1855" s="112">
        <v>875.39392729999997</v>
      </c>
      <c r="D1855" s="112" t="s">
        <v>1584</v>
      </c>
      <c r="E1855" s="112" t="s">
        <v>1576</v>
      </c>
      <c r="F1855" s="112" t="s">
        <v>1584</v>
      </c>
      <c r="G1855" s="112" t="s">
        <v>1477</v>
      </c>
      <c r="H1855" s="112" t="s">
        <v>1576</v>
      </c>
      <c r="I1855" s="112">
        <v>2963.833725</v>
      </c>
    </row>
    <row r="1856" spans="1:9">
      <c r="A1856" s="112" t="s">
        <v>1478</v>
      </c>
      <c r="B1856" s="112" t="s">
        <v>1585</v>
      </c>
      <c r="C1856" s="112">
        <v>0</v>
      </c>
      <c r="D1856" s="112" t="s">
        <v>1584</v>
      </c>
      <c r="E1856" s="112" t="s">
        <v>1576</v>
      </c>
      <c r="F1856" s="112" t="s">
        <v>1584</v>
      </c>
      <c r="G1856" s="112" t="s">
        <v>1478</v>
      </c>
      <c r="H1856" s="112" t="s">
        <v>1576</v>
      </c>
      <c r="I1856" s="112">
        <v>295.55563819999998</v>
      </c>
    </row>
    <row r="1857" spans="1:9">
      <c r="A1857" s="112" t="s">
        <v>1479</v>
      </c>
      <c r="B1857" s="112" t="s">
        <v>1585</v>
      </c>
      <c r="C1857" s="112">
        <v>0</v>
      </c>
      <c r="D1857" s="112" t="s">
        <v>1584</v>
      </c>
      <c r="E1857" s="112" t="s">
        <v>1576</v>
      </c>
      <c r="F1857" s="112" t="s">
        <v>1584</v>
      </c>
      <c r="G1857" s="112" t="s">
        <v>1479</v>
      </c>
      <c r="H1857" s="112" t="s">
        <v>1576</v>
      </c>
      <c r="I1857" s="112">
        <v>0</v>
      </c>
    </row>
    <row r="1858" spans="1:9">
      <c r="A1858" s="112" t="s">
        <v>1480</v>
      </c>
      <c r="B1858" s="112" t="s">
        <v>1585</v>
      </c>
      <c r="C1858" s="112">
        <v>239.0914525</v>
      </c>
      <c r="D1858" s="112" t="s">
        <v>1584</v>
      </c>
      <c r="E1858" s="112" t="s">
        <v>1576</v>
      </c>
      <c r="F1858" s="112" t="s">
        <v>1584</v>
      </c>
      <c r="G1858" s="112" t="s">
        <v>1480</v>
      </c>
      <c r="H1858" s="112" t="s">
        <v>1576</v>
      </c>
      <c r="I1858" s="112">
        <v>1490.33672</v>
      </c>
    </row>
    <row r="1859" spans="1:9">
      <c r="A1859" s="112" t="s">
        <v>1481</v>
      </c>
      <c r="B1859" s="112" t="s">
        <v>1585</v>
      </c>
      <c r="C1859" s="112">
        <v>66.774990540000005</v>
      </c>
      <c r="D1859" s="112" t="s">
        <v>1584</v>
      </c>
      <c r="E1859" s="112" t="s">
        <v>1576</v>
      </c>
      <c r="F1859" s="112" t="s">
        <v>1584</v>
      </c>
      <c r="G1859" s="112" t="s">
        <v>1481</v>
      </c>
      <c r="H1859" s="112" t="s">
        <v>1576</v>
      </c>
      <c r="I1859" s="112">
        <v>645.49157520000006</v>
      </c>
    </row>
    <row r="1860" spans="1:9">
      <c r="A1860" s="112" t="s">
        <v>1482</v>
      </c>
      <c r="B1860" s="112" t="s">
        <v>1585</v>
      </c>
      <c r="C1860" s="112">
        <v>0</v>
      </c>
      <c r="D1860" s="112" t="s">
        <v>1584</v>
      </c>
      <c r="E1860" s="112" t="s">
        <v>1576</v>
      </c>
      <c r="F1860" s="112" t="s">
        <v>1584</v>
      </c>
      <c r="G1860" s="112" t="s">
        <v>1482</v>
      </c>
      <c r="H1860" s="112" t="s">
        <v>1576</v>
      </c>
      <c r="I1860" s="112">
        <v>6266.9376689999999</v>
      </c>
    </row>
    <row r="1861" spans="1:9">
      <c r="A1861" s="112" t="s">
        <v>1483</v>
      </c>
      <c r="B1861" s="112" t="s">
        <v>1585</v>
      </c>
      <c r="C1861" s="112">
        <v>487.83131880000002</v>
      </c>
      <c r="D1861" s="112" t="s">
        <v>1584</v>
      </c>
      <c r="E1861" s="112" t="s">
        <v>1576</v>
      </c>
      <c r="F1861" s="112" t="s">
        <v>1584</v>
      </c>
      <c r="G1861" s="112" t="s">
        <v>1483</v>
      </c>
      <c r="H1861" s="112" t="s">
        <v>1576</v>
      </c>
      <c r="I1861" s="112">
        <v>2222.342674</v>
      </c>
    </row>
    <row r="1862" spans="1:9">
      <c r="A1862" s="112" t="s">
        <v>1484</v>
      </c>
      <c r="B1862" s="112" t="s">
        <v>1585</v>
      </c>
      <c r="C1862" s="112">
        <v>120.12012009999999</v>
      </c>
      <c r="D1862" s="112" t="s">
        <v>1584</v>
      </c>
      <c r="E1862" s="112" t="s">
        <v>1576</v>
      </c>
      <c r="F1862" s="112" t="s">
        <v>1584</v>
      </c>
      <c r="G1862" s="112" t="s">
        <v>1484</v>
      </c>
      <c r="H1862" s="112" t="s">
        <v>1576</v>
      </c>
      <c r="I1862" s="112">
        <v>3003.0030029999998</v>
      </c>
    </row>
    <row r="1863" spans="1:9">
      <c r="A1863" s="112" t="s">
        <v>1485</v>
      </c>
      <c r="B1863" s="112" t="s">
        <v>1585</v>
      </c>
      <c r="C1863" s="112">
        <v>69.447659610000002</v>
      </c>
      <c r="D1863" s="112" t="s">
        <v>1584</v>
      </c>
      <c r="E1863" s="112" t="s">
        <v>1576</v>
      </c>
      <c r="F1863" s="112" t="s">
        <v>1584</v>
      </c>
      <c r="G1863" s="112" t="s">
        <v>1485</v>
      </c>
      <c r="H1863" s="112" t="s">
        <v>1576</v>
      </c>
      <c r="I1863" s="112">
        <v>358.81290810000002</v>
      </c>
    </row>
    <row r="1864" spans="1:9">
      <c r="A1864" s="112" t="s">
        <v>1486</v>
      </c>
      <c r="B1864" s="112" t="s">
        <v>1585</v>
      </c>
      <c r="C1864" s="112">
        <v>923.53158480000002</v>
      </c>
      <c r="D1864" s="112" t="s">
        <v>1584</v>
      </c>
      <c r="E1864" s="112" t="s">
        <v>1576</v>
      </c>
      <c r="F1864" s="112" t="s">
        <v>1584</v>
      </c>
      <c r="G1864" s="112" t="s">
        <v>1486</v>
      </c>
      <c r="H1864" s="112" t="s">
        <v>1576</v>
      </c>
      <c r="I1864" s="112">
        <v>4506.8341339999997</v>
      </c>
    </row>
    <row r="1865" spans="1:9">
      <c r="A1865" s="112" t="s">
        <v>1487</v>
      </c>
      <c r="B1865" s="112" t="s">
        <v>1585</v>
      </c>
      <c r="C1865" s="112">
        <v>22.985335360000001</v>
      </c>
      <c r="D1865" s="112" t="s">
        <v>1584</v>
      </c>
      <c r="E1865" s="112" t="s">
        <v>1576</v>
      </c>
      <c r="F1865" s="112" t="s">
        <v>1584</v>
      </c>
      <c r="G1865" s="112" t="s">
        <v>1487</v>
      </c>
      <c r="H1865" s="112" t="s">
        <v>1576</v>
      </c>
      <c r="I1865" s="112">
        <v>160.8973475</v>
      </c>
    </row>
    <row r="1866" spans="1:9">
      <c r="A1866" s="112" t="s">
        <v>1488</v>
      </c>
      <c r="B1866" s="112" t="s">
        <v>1585</v>
      </c>
      <c r="C1866" s="112">
        <v>79.649542019999998</v>
      </c>
      <c r="D1866" s="112" t="s">
        <v>1584</v>
      </c>
      <c r="E1866" s="112" t="s">
        <v>1576</v>
      </c>
      <c r="F1866" s="112" t="s">
        <v>1584</v>
      </c>
      <c r="G1866" s="112" t="s">
        <v>1488</v>
      </c>
      <c r="H1866" s="112" t="s">
        <v>1576</v>
      </c>
      <c r="I1866" s="112">
        <v>398.24771010000001</v>
      </c>
    </row>
    <row r="1867" spans="1:9">
      <c r="A1867" s="112" t="s">
        <v>1489</v>
      </c>
      <c r="B1867" s="112" t="s">
        <v>1585</v>
      </c>
      <c r="C1867" s="112">
        <v>75.723597220000002</v>
      </c>
      <c r="D1867" s="112" t="s">
        <v>1584</v>
      </c>
      <c r="E1867" s="112" t="s">
        <v>1576</v>
      </c>
      <c r="F1867" s="112" t="s">
        <v>1584</v>
      </c>
      <c r="G1867" s="112" t="s">
        <v>1489</v>
      </c>
      <c r="H1867" s="112" t="s">
        <v>1576</v>
      </c>
      <c r="I1867" s="112">
        <v>1060.130361</v>
      </c>
    </row>
    <row r="1868" spans="1:9">
      <c r="A1868" s="112" t="s">
        <v>1490</v>
      </c>
      <c r="B1868" s="112" t="s">
        <v>1585</v>
      </c>
      <c r="C1868" s="112">
        <v>0</v>
      </c>
      <c r="D1868" s="112" t="s">
        <v>1584</v>
      </c>
      <c r="E1868" s="112" t="s">
        <v>1576</v>
      </c>
      <c r="F1868" s="112" t="s">
        <v>1584</v>
      </c>
      <c r="G1868" s="112" t="s">
        <v>1490</v>
      </c>
      <c r="H1868" s="112" t="s">
        <v>1576</v>
      </c>
      <c r="I1868" s="112">
        <v>2522.068096</v>
      </c>
    </row>
    <row r="1869" spans="1:9">
      <c r="A1869" s="112" t="s">
        <v>1461</v>
      </c>
      <c r="B1869" s="112" t="s">
        <v>1586</v>
      </c>
      <c r="C1869" s="112">
        <v>23.4391219</v>
      </c>
      <c r="D1869" s="112" t="s">
        <v>1584</v>
      </c>
      <c r="E1869" s="112" t="s">
        <v>1576</v>
      </c>
      <c r="F1869" s="112" t="s">
        <v>1584</v>
      </c>
      <c r="G1869" s="112" t="s">
        <v>1461</v>
      </c>
      <c r="H1869" s="112" t="s">
        <v>1576</v>
      </c>
      <c r="I1869" s="112">
        <v>326.13863909999998</v>
      </c>
    </row>
    <row r="1870" spans="1:9">
      <c r="A1870" s="112" t="s">
        <v>1465</v>
      </c>
      <c r="B1870" s="112" t="s">
        <v>1586</v>
      </c>
      <c r="C1870" s="112">
        <v>0</v>
      </c>
      <c r="D1870" s="112" t="s">
        <v>1584</v>
      </c>
      <c r="E1870" s="112" t="s">
        <v>1576</v>
      </c>
      <c r="F1870" s="112" t="s">
        <v>1584</v>
      </c>
      <c r="G1870" s="112" t="s">
        <v>1465</v>
      </c>
      <c r="H1870" s="112" t="s">
        <v>1576</v>
      </c>
      <c r="I1870" s="112">
        <v>1342.9898370000001</v>
      </c>
    </row>
    <row r="1871" spans="1:9">
      <c r="A1871" s="112" t="s">
        <v>1466</v>
      </c>
      <c r="B1871" s="112" t="s">
        <v>1586</v>
      </c>
      <c r="C1871" s="112">
        <v>58.095625400000003</v>
      </c>
      <c r="D1871" s="112" t="s">
        <v>1584</v>
      </c>
      <c r="E1871" s="112" t="s">
        <v>1576</v>
      </c>
      <c r="F1871" s="112" t="s">
        <v>1584</v>
      </c>
      <c r="G1871" s="112" t="s">
        <v>1466</v>
      </c>
      <c r="H1871" s="112" t="s">
        <v>1576</v>
      </c>
      <c r="I1871" s="112">
        <v>1626.6775110000001</v>
      </c>
    </row>
    <row r="1872" spans="1:9">
      <c r="A1872" s="112" t="s">
        <v>1467</v>
      </c>
      <c r="B1872" s="112" t="s">
        <v>1586</v>
      </c>
      <c r="C1872" s="112">
        <v>0</v>
      </c>
      <c r="D1872" s="112" t="s">
        <v>1584</v>
      </c>
      <c r="E1872" s="112" t="s">
        <v>1576</v>
      </c>
      <c r="F1872" s="112" t="s">
        <v>1584</v>
      </c>
      <c r="G1872" s="112" t="s">
        <v>1467</v>
      </c>
      <c r="H1872" s="112" t="s">
        <v>1576</v>
      </c>
      <c r="I1872" s="112">
        <v>134.675645</v>
      </c>
    </row>
    <row r="1873" spans="1:9">
      <c r="A1873" s="112" t="s">
        <v>1468</v>
      </c>
      <c r="B1873" s="112" t="s">
        <v>1586</v>
      </c>
      <c r="C1873" s="112">
        <v>28.860237089999998</v>
      </c>
      <c r="D1873" s="112" t="s">
        <v>1584</v>
      </c>
      <c r="E1873" s="112" t="s">
        <v>1576</v>
      </c>
      <c r="F1873" s="112" t="s">
        <v>1584</v>
      </c>
      <c r="G1873" s="112" t="s">
        <v>1468</v>
      </c>
      <c r="H1873" s="112" t="s">
        <v>1576</v>
      </c>
      <c r="I1873" s="112">
        <v>912.70499789999997</v>
      </c>
    </row>
    <row r="1874" spans="1:9">
      <c r="A1874" s="112" t="s">
        <v>1469</v>
      </c>
      <c r="B1874" s="112" t="s">
        <v>1586</v>
      </c>
      <c r="C1874" s="112">
        <v>38.45858011</v>
      </c>
      <c r="D1874" s="112" t="s">
        <v>1584</v>
      </c>
      <c r="E1874" s="112" t="s">
        <v>1576</v>
      </c>
      <c r="F1874" s="112" t="s">
        <v>1584</v>
      </c>
      <c r="G1874" s="112" t="s">
        <v>1469</v>
      </c>
      <c r="H1874" s="112" t="s">
        <v>1576</v>
      </c>
      <c r="I1874" s="112">
        <v>374.97115609999997</v>
      </c>
    </row>
    <row r="1875" spans="1:9">
      <c r="A1875" s="112" t="s">
        <v>1470</v>
      </c>
      <c r="B1875" s="112" t="s">
        <v>1586</v>
      </c>
      <c r="C1875" s="112">
        <v>0</v>
      </c>
      <c r="D1875" s="112" t="s">
        <v>1584</v>
      </c>
      <c r="E1875" s="112" t="s">
        <v>1576</v>
      </c>
      <c r="F1875" s="112" t="s">
        <v>1584</v>
      </c>
      <c r="G1875" s="112" t="s">
        <v>1470</v>
      </c>
      <c r="H1875" s="112" t="s">
        <v>1576</v>
      </c>
      <c r="I1875" s="112">
        <v>1202.0133719999999</v>
      </c>
    </row>
    <row r="1876" spans="1:9">
      <c r="A1876" s="112" t="s">
        <v>1471</v>
      </c>
      <c r="B1876" s="112" t="s">
        <v>1586</v>
      </c>
      <c r="C1876" s="112">
        <v>20.40237565</v>
      </c>
      <c r="D1876" s="112" t="s">
        <v>1584</v>
      </c>
      <c r="E1876" s="112" t="s">
        <v>1576</v>
      </c>
      <c r="F1876" s="112" t="s">
        <v>1584</v>
      </c>
      <c r="G1876" s="112" t="s">
        <v>1471</v>
      </c>
      <c r="H1876" s="112" t="s">
        <v>1576</v>
      </c>
      <c r="I1876" s="112">
        <v>650.8357833</v>
      </c>
    </row>
    <row r="1877" spans="1:9">
      <c r="A1877" s="112" t="s">
        <v>1472</v>
      </c>
      <c r="B1877" s="112" t="s">
        <v>1586</v>
      </c>
      <c r="C1877" s="112">
        <v>498.2970818</v>
      </c>
      <c r="D1877" s="112" t="s">
        <v>1584</v>
      </c>
      <c r="E1877" s="112" t="s">
        <v>1576</v>
      </c>
      <c r="F1877" s="112" t="s">
        <v>1584</v>
      </c>
      <c r="G1877" s="112" t="s">
        <v>1472</v>
      </c>
      <c r="H1877" s="112" t="s">
        <v>1576</v>
      </c>
      <c r="I1877" s="112">
        <v>6951.9699680000003</v>
      </c>
    </row>
    <row r="1878" spans="1:9">
      <c r="A1878" s="112" t="s">
        <v>1473</v>
      </c>
      <c r="B1878" s="112" t="s">
        <v>1586</v>
      </c>
      <c r="C1878" s="112">
        <v>27.373261800000002</v>
      </c>
      <c r="D1878" s="112" t="s">
        <v>1584</v>
      </c>
      <c r="E1878" s="112" t="s">
        <v>1576</v>
      </c>
      <c r="F1878" s="112" t="s">
        <v>1584</v>
      </c>
      <c r="G1878" s="112" t="s">
        <v>1473</v>
      </c>
      <c r="H1878" s="112" t="s">
        <v>1576</v>
      </c>
      <c r="I1878" s="112">
        <v>343.179597</v>
      </c>
    </row>
    <row r="1879" spans="1:9">
      <c r="A1879" s="112" t="s">
        <v>1474</v>
      </c>
      <c r="B1879" s="112" t="s">
        <v>1586</v>
      </c>
      <c r="C1879" s="112">
        <v>121.6746861</v>
      </c>
      <c r="D1879" s="112" t="s">
        <v>1584</v>
      </c>
      <c r="E1879" s="112" t="s">
        <v>1576</v>
      </c>
      <c r="F1879" s="112" t="s">
        <v>1584</v>
      </c>
      <c r="G1879" s="112" t="s">
        <v>1474</v>
      </c>
      <c r="H1879" s="112" t="s">
        <v>1576</v>
      </c>
      <c r="I1879" s="112">
        <v>1974.448316</v>
      </c>
    </row>
    <row r="1880" spans="1:9">
      <c r="A1880" s="112" t="s">
        <v>1475</v>
      </c>
      <c r="B1880" s="112" t="s">
        <v>1586</v>
      </c>
      <c r="C1880" s="112">
        <v>296.37156529999999</v>
      </c>
      <c r="D1880" s="112" t="s">
        <v>1584</v>
      </c>
      <c r="E1880" s="112" t="s">
        <v>1576</v>
      </c>
      <c r="F1880" s="112" t="s">
        <v>1584</v>
      </c>
      <c r="G1880" s="112" t="s">
        <v>1475</v>
      </c>
      <c r="H1880" s="112" t="s">
        <v>1576</v>
      </c>
      <c r="I1880" s="112">
        <v>3810.4915529999998</v>
      </c>
    </row>
    <row r="1881" spans="1:9">
      <c r="A1881" s="112" t="s">
        <v>1476</v>
      </c>
      <c r="B1881" s="112" t="s">
        <v>1586</v>
      </c>
      <c r="C1881" s="112">
        <v>485.50686159999998</v>
      </c>
      <c r="D1881" s="112" t="s">
        <v>1584</v>
      </c>
      <c r="E1881" s="112" t="s">
        <v>1576</v>
      </c>
      <c r="F1881" s="112" t="s">
        <v>1584</v>
      </c>
      <c r="G1881" s="112" t="s">
        <v>1476</v>
      </c>
      <c r="H1881" s="112" t="s">
        <v>1576</v>
      </c>
      <c r="I1881" s="112">
        <v>5716.084691</v>
      </c>
    </row>
    <row r="1882" spans="1:9">
      <c r="A1882" s="112" t="s">
        <v>1477</v>
      </c>
      <c r="B1882" s="112" t="s">
        <v>1586</v>
      </c>
      <c r="C1882" s="112">
        <v>200.09004049999999</v>
      </c>
      <c r="D1882" s="112" t="s">
        <v>1584</v>
      </c>
      <c r="E1882" s="112" t="s">
        <v>1576</v>
      </c>
      <c r="F1882" s="112" t="s">
        <v>1584</v>
      </c>
      <c r="G1882" s="112" t="s">
        <v>1477</v>
      </c>
      <c r="H1882" s="112" t="s">
        <v>1576</v>
      </c>
      <c r="I1882" s="112">
        <v>2963.833725</v>
      </c>
    </row>
    <row r="1883" spans="1:9">
      <c r="A1883" s="112" t="s">
        <v>1478</v>
      </c>
      <c r="B1883" s="112" t="s">
        <v>1586</v>
      </c>
      <c r="C1883" s="112">
        <v>0.641118521</v>
      </c>
      <c r="D1883" s="112" t="s">
        <v>1584</v>
      </c>
      <c r="E1883" s="112" t="s">
        <v>1576</v>
      </c>
      <c r="F1883" s="112" t="s">
        <v>1584</v>
      </c>
      <c r="G1883" s="112" t="s">
        <v>1478</v>
      </c>
      <c r="H1883" s="112" t="s">
        <v>1576</v>
      </c>
      <c r="I1883" s="112">
        <v>295.55563819999998</v>
      </c>
    </row>
    <row r="1884" spans="1:9">
      <c r="A1884" s="112" t="s">
        <v>1479</v>
      </c>
      <c r="B1884" s="112" t="s">
        <v>1586</v>
      </c>
      <c r="C1884" s="112">
        <v>0</v>
      </c>
      <c r="D1884" s="112" t="s">
        <v>1584</v>
      </c>
      <c r="E1884" s="112" t="s">
        <v>1576</v>
      </c>
      <c r="F1884" s="112" t="s">
        <v>1584</v>
      </c>
      <c r="G1884" s="112" t="s">
        <v>1479</v>
      </c>
      <c r="H1884" s="112" t="s">
        <v>1576</v>
      </c>
      <c r="I1884" s="112">
        <v>0</v>
      </c>
    </row>
    <row r="1885" spans="1:9">
      <c r="A1885" s="112" t="s">
        <v>1480</v>
      </c>
      <c r="B1885" s="112" t="s">
        <v>1586</v>
      </c>
      <c r="C1885" s="112">
        <v>135.48515639999999</v>
      </c>
      <c r="D1885" s="112" t="s">
        <v>1584</v>
      </c>
      <c r="E1885" s="112" t="s">
        <v>1576</v>
      </c>
      <c r="F1885" s="112" t="s">
        <v>1584</v>
      </c>
      <c r="G1885" s="112" t="s">
        <v>1480</v>
      </c>
      <c r="H1885" s="112" t="s">
        <v>1576</v>
      </c>
      <c r="I1885" s="112">
        <v>1490.33672</v>
      </c>
    </row>
    <row r="1886" spans="1:9">
      <c r="A1886" s="112" t="s">
        <v>1481</v>
      </c>
      <c r="B1886" s="112" t="s">
        <v>1586</v>
      </c>
      <c r="C1886" s="112">
        <v>22.258330180000002</v>
      </c>
      <c r="D1886" s="112" t="s">
        <v>1584</v>
      </c>
      <c r="E1886" s="112" t="s">
        <v>1576</v>
      </c>
      <c r="F1886" s="112" t="s">
        <v>1584</v>
      </c>
      <c r="G1886" s="112" t="s">
        <v>1481</v>
      </c>
      <c r="H1886" s="112" t="s">
        <v>1576</v>
      </c>
      <c r="I1886" s="112">
        <v>645.49157520000006</v>
      </c>
    </row>
    <row r="1887" spans="1:9">
      <c r="A1887" s="112" t="s">
        <v>1482</v>
      </c>
      <c r="B1887" s="112" t="s">
        <v>1586</v>
      </c>
      <c r="C1887" s="112">
        <v>0</v>
      </c>
      <c r="D1887" s="112" t="s">
        <v>1584</v>
      </c>
      <c r="E1887" s="112" t="s">
        <v>1576</v>
      </c>
      <c r="F1887" s="112" t="s">
        <v>1584</v>
      </c>
      <c r="G1887" s="112" t="s">
        <v>1482</v>
      </c>
      <c r="H1887" s="112" t="s">
        <v>1576</v>
      </c>
      <c r="I1887" s="112">
        <v>6266.9376689999999</v>
      </c>
    </row>
    <row r="1888" spans="1:9">
      <c r="A1888" s="112" t="s">
        <v>1483</v>
      </c>
      <c r="B1888" s="112" t="s">
        <v>1586</v>
      </c>
      <c r="C1888" s="112">
        <v>216.8139195</v>
      </c>
      <c r="D1888" s="112" t="s">
        <v>1584</v>
      </c>
      <c r="E1888" s="112" t="s">
        <v>1576</v>
      </c>
      <c r="F1888" s="112" t="s">
        <v>1584</v>
      </c>
      <c r="G1888" s="112" t="s">
        <v>1483</v>
      </c>
      <c r="H1888" s="112" t="s">
        <v>1576</v>
      </c>
      <c r="I1888" s="112">
        <v>2222.342674</v>
      </c>
    </row>
    <row r="1889" spans="1:9">
      <c r="A1889" s="112" t="s">
        <v>1484</v>
      </c>
      <c r="B1889" s="112" t="s">
        <v>1586</v>
      </c>
      <c r="C1889" s="112">
        <v>180.1801802</v>
      </c>
      <c r="D1889" s="112" t="s">
        <v>1584</v>
      </c>
      <c r="E1889" s="112" t="s">
        <v>1576</v>
      </c>
      <c r="F1889" s="112" t="s">
        <v>1584</v>
      </c>
      <c r="G1889" s="112" t="s">
        <v>1484</v>
      </c>
      <c r="H1889" s="112" t="s">
        <v>1576</v>
      </c>
      <c r="I1889" s="112">
        <v>3003.0030029999998</v>
      </c>
    </row>
    <row r="1890" spans="1:9">
      <c r="A1890" s="112" t="s">
        <v>1485</v>
      </c>
      <c r="B1890" s="112" t="s">
        <v>1586</v>
      </c>
      <c r="C1890" s="112">
        <v>17.361914899999999</v>
      </c>
      <c r="D1890" s="112" t="s">
        <v>1584</v>
      </c>
      <c r="E1890" s="112" t="s">
        <v>1576</v>
      </c>
      <c r="F1890" s="112" t="s">
        <v>1584</v>
      </c>
      <c r="G1890" s="112" t="s">
        <v>1485</v>
      </c>
      <c r="H1890" s="112" t="s">
        <v>1576</v>
      </c>
      <c r="I1890" s="112">
        <v>358.81290810000002</v>
      </c>
    </row>
    <row r="1891" spans="1:9">
      <c r="A1891" s="112" t="s">
        <v>1486</v>
      </c>
      <c r="B1891" s="112" t="s">
        <v>1586</v>
      </c>
      <c r="C1891" s="112">
        <v>147.76505359999999</v>
      </c>
      <c r="D1891" s="112" t="s">
        <v>1584</v>
      </c>
      <c r="E1891" s="112" t="s">
        <v>1576</v>
      </c>
      <c r="F1891" s="112" t="s">
        <v>1584</v>
      </c>
      <c r="G1891" s="112" t="s">
        <v>1486</v>
      </c>
      <c r="H1891" s="112" t="s">
        <v>1576</v>
      </c>
      <c r="I1891" s="112">
        <v>4506.8341339999997</v>
      </c>
    </row>
    <row r="1892" spans="1:9">
      <c r="A1892" s="112" t="s">
        <v>1487</v>
      </c>
      <c r="B1892" s="112" t="s">
        <v>1586</v>
      </c>
      <c r="C1892" s="112">
        <v>0</v>
      </c>
      <c r="D1892" s="112" t="s">
        <v>1584</v>
      </c>
      <c r="E1892" s="112" t="s">
        <v>1576</v>
      </c>
      <c r="F1892" s="112" t="s">
        <v>1584</v>
      </c>
      <c r="G1892" s="112" t="s">
        <v>1487</v>
      </c>
      <c r="H1892" s="112" t="s">
        <v>1576</v>
      </c>
      <c r="I1892" s="112">
        <v>160.8973475</v>
      </c>
    </row>
    <row r="1893" spans="1:9">
      <c r="A1893" s="112" t="s">
        <v>1488</v>
      </c>
      <c r="B1893" s="112" t="s">
        <v>1586</v>
      </c>
      <c r="C1893" s="112">
        <v>0</v>
      </c>
      <c r="D1893" s="112" t="s">
        <v>1584</v>
      </c>
      <c r="E1893" s="112" t="s">
        <v>1576</v>
      </c>
      <c r="F1893" s="112" t="s">
        <v>1584</v>
      </c>
      <c r="G1893" s="112" t="s">
        <v>1488</v>
      </c>
      <c r="H1893" s="112" t="s">
        <v>1576</v>
      </c>
      <c r="I1893" s="112">
        <v>398.24771010000001</v>
      </c>
    </row>
    <row r="1894" spans="1:9">
      <c r="A1894" s="112" t="s">
        <v>1489</v>
      </c>
      <c r="B1894" s="112" t="s">
        <v>1586</v>
      </c>
      <c r="C1894" s="112">
        <v>40.774244660000001</v>
      </c>
      <c r="D1894" s="112" t="s">
        <v>1584</v>
      </c>
      <c r="E1894" s="112" t="s">
        <v>1576</v>
      </c>
      <c r="F1894" s="112" t="s">
        <v>1584</v>
      </c>
      <c r="G1894" s="112" t="s">
        <v>1489</v>
      </c>
      <c r="H1894" s="112" t="s">
        <v>1576</v>
      </c>
      <c r="I1894" s="112">
        <v>1060.130361</v>
      </c>
    </row>
    <row r="1895" spans="1:9">
      <c r="A1895" s="112" t="s">
        <v>1490</v>
      </c>
      <c r="B1895" s="112" t="s">
        <v>1586</v>
      </c>
      <c r="C1895" s="112">
        <v>0</v>
      </c>
      <c r="D1895" s="112" t="s">
        <v>1584</v>
      </c>
      <c r="E1895" s="112" t="s">
        <v>1576</v>
      </c>
      <c r="F1895" s="112" t="s">
        <v>1584</v>
      </c>
      <c r="G1895" s="112" t="s">
        <v>1490</v>
      </c>
      <c r="H1895" s="112" t="s">
        <v>1576</v>
      </c>
      <c r="I1895" s="112">
        <v>2522.068096</v>
      </c>
    </row>
    <row r="1896" spans="1:9">
      <c r="A1896" s="112" t="s">
        <v>1461</v>
      </c>
      <c r="B1896" s="112" t="s">
        <v>1587</v>
      </c>
      <c r="C1896" s="112">
        <v>80.362703670000002</v>
      </c>
      <c r="D1896" s="112" t="s">
        <v>1584</v>
      </c>
      <c r="E1896" s="112" t="s">
        <v>1576</v>
      </c>
      <c r="F1896" s="112" t="s">
        <v>1584</v>
      </c>
      <c r="G1896" s="112" t="s">
        <v>1461</v>
      </c>
      <c r="H1896" s="112" t="s">
        <v>1576</v>
      </c>
      <c r="I1896" s="112">
        <v>326.13863909999998</v>
      </c>
    </row>
    <row r="1897" spans="1:9">
      <c r="A1897" s="112" t="s">
        <v>1465</v>
      </c>
      <c r="B1897" s="112" t="s">
        <v>1587</v>
      </c>
      <c r="C1897" s="112">
        <v>0</v>
      </c>
      <c r="D1897" s="112" t="s">
        <v>1584</v>
      </c>
      <c r="E1897" s="112" t="s">
        <v>1576</v>
      </c>
      <c r="F1897" s="112" t="s">
        <v>1584</v>
      </c>
      <c r="G1897" s="112" t="s">
        <v>1465</v>
      </c>
      <c r="H1897" s="112" t="s">
        <v>1576</v>
      </c>
      <c r="I1897" s="112">
        <v>1342.9898370000001</v>
      </c>
    </row>
    <row r="1898" spans="1:9">
      <c r="A1898" s="112" t="s">
        <v>1466</v>
      </c>
      <c r="B1898" s="112" t="s">
        <v>1587</v>
      </c>
      <c r="C1898" s="112">
        <v>0</v>
      </c>
      <c r="D1898" s="112" t="s">
        <v>1584</v>
      </c>
      <c r="E1898" s="112" t="s">
        <v>1576</v>
      </c>
      <c r="F1898" s="112" t="s">
        <v>1584</v>
      </c>
      <c r="G1898" s="112" t="s">
        <v>1466</v>
      </c>
      <c r="H1898" s="112" t="s">
        <v>1576</v>
      </c>
      <c r="I1898" s="112">
        <v>1626.6775110000001</v>
      </c>
    </row>
    <row r="1899" spans="1:9">
      <c r="A1899" s="112" t="s">
        <v>1467</v>
      </c>
      <c r="B1899" s="112" t="s">
        <v>1587</v>
      </c>
      <c r="C1899" s="112">
        <v>0</v>
      </c>
      <c r="D1899" s="112" t="s">
        <v>1584</v>
      </c>
      <c r="E1899" s="112" t="s">
        <v>1576</v>
      </c>
      <c r="F1899" s="112" t="s">
        <v>1584</v>
      </c>
      <c r="G1899" s="112" t="s">
        <v>1467</v>
      </c>
      <c r="H1899" s="112" t="s">
        <v>1576</v>
      </c>
      <c r="I1899" s="112">
        <v>134.675645</v>
      </c>
    </row>
    <row r="1900" spans="1:9">
      <c r="A1900" s="112" t="s">
        <v>1468</v>
      </c>
      <c r="B1900" s="112" t="s">
        <v>1587</v>
      </c>
      <c r="C1900" s="112">
        <v>36.075296360000003</v>
      </c>
      <c r="D1900" s="112" t="s">
        <v>1584</v>
      </c>
      <c r="E1900" s="112" t="s">
        <v>1576</v>
      </c>
      <c r="F1900" s="112" t="s">
        <v>1584</v>
      </c>
      <c r="G1900" s="112" t="s">
        <v>1468</v>
      </c>
      <c r="H1900" s="112" t="s">
        <v>1576</v>
      </c>
      <c r="I1900" s="112">
        <v>912.70499789999997</v>
      </c>
    </row>
    <row r="1901" spans="1:9">
      <c r="A1901" s="112" t="s">
        <v>1469</v>
      </c>
      <c r="B1901" s="112" t="s">
        <v>1587</v>
      </c>
      <c r="C1901" s="112">
        <v>57.687870160000003</v>
      </c>
      <c r="D1901" s="112" t="s">
        <v>1584</v>
      </c>
      <c r="E1901" s="112" t="s">
        <v>1576</v>
      </c>
      <c r="F1901" s="112" t="s">
        <v>1584</v>
      </c>
      <c r="G1901" s="112" t="s">
        <v>1469</v>
      </c>
      <c r="H1901" s="112" t="s">
        <v>1576</v>
      </c>
      <c r="I1901" s="112">
        <v>374.97115609999997</v>
      </c>
    </row>
    <row r="1902" spans="1:9">
      <c r="A1902" s="112" t="s">
        <v>1470</v>
      </c>
      <c r="B1902" s="112" t="s">
        <v>1587</v>
      </c>
      <c r="C1902" s="112">
        <v>0</v>
      </c>
      <c r="D1902" s="112" t="s">
        <v>1584</v>
      </c>
      <c r="E1902" s="112" t="s">
        <v>1576</v>
      </c>
      <c r="F1902" s="112" t="s">
        <v>1584</v>
      </c>
      <c r="G1902" s="112" t="s">
        <v>1470</v>
      </c>
      <c r="H1902" s="112" t="s">
        <v>1576</v>
      </c>
      <c r="I1902" s="112">
        <v>1202.0133719999999</v>
      </c>
    </row>
    <row r="1903" spans="1:9">
      <c r="A1903" s="112" t="s">
        <v>1471</v>
      </c>
      <c r="B1903" s="112" t="s">
        <v>1587</v>
      </c>
      <c r="C1903" s="112">
        <v>2.550296957</v>
      </c>
      <c r="D1903" s="112" t="s">
        <v>1584</v>
      </c>
      <c r="E1903" s="112" t="s">
        <v>1576</v>
      </c>
      <c r="F1903" s="112" t="s">
        <v>1584</v>
      </c>
      <c r="G1903" s="112" t="s">
        <v>1471</v>
      </c>
      <c r="H1903" s="112" t="s">
        <v>1576</v>
      </c>
      <c r="I1903" s="112">
        <v>650.8357833</v>
      </c>
    </row>
    <row r="1904" spans="1:9">
      <c r="A1904" s="112" t="s">
        <v>1472</v>
      </c>
      <c r="B1904" s="112" t="s">
        <v>1587</v>
      </c>
      <c r="C1904" s="112">
        <v>353.16200939999999</v>
      </c>
      <c r="D1904" s="112" t="s">
        <v>1584</v>
      </c>
      <c r="E1904" s="112" t="s">
        <v>1576</v>
      </c>
      <c r="F1904" s="112" t="s">
        <v>1584</v>
      </c>
      <c r="G1904" s="112" t="s">
        <v>1472</v>
      </c>
      <c r="H1904" s="112" t="s">
        <v>1576</v>
      </c>
      <c r="I1904" s="112">
        <v>6951.9699680000003</v>
      </c>
    </row>
    <row r="1905" spans="1:9">
      <c r="A1905" s="112" t="s">
        <v>1473</v>
      </c>
      <c r="B1905" s="112" t="s">
        <v>1587</v>
      </c>
      <c r="C1905" s="112">
        <v>0</v>
      </c>
      <c r="D1905" s="112" t="s">
        <v>1584</v>
      </c>
      <c r="E1905" s="112" t="s">
        <v>1576</v>
      </c>
      <c r="F1905" s="112" t="s">
        <v>1584</v>
      </c>
      <c r="G1905" s="112" t="s">
        <v>1473</v>
      </c>
      <c r="H1905" s="112" t="s">
        <v>1576</v>
      </c>
      <c r="I1905" s="112">
        <v>343.179597</v>
      </c>
    </row>
    <row r="1906" spans="1:9">
      <c r="A1906" s="112" t="s">
        <v>1474</v>
      </c>
      <c r="B1906" s="112" t="s">
        <v>1587</v>
      </c>
      <c r="C1906" s="112">
        <v>143.79735629999999</v>
      </c>
      <c r="D1906" s="112" t="s">
        <v>1584</v>
      </c>
      <c r="E1906" s="112" t="s">
        <v>1576</v>
      </c>
      <c r="F1906" s="112" t="s">
        <v>1584</v>
      </c>
      <c r="G1906" s="112" t="s">
        <v>1474</v>
      </c>
      <c r="H1906" s="112" t="s">
        <v>1576</v>
      </c>
      <c r="I1906" s="112">
        <v>1974.448316</v>
      </c>
    </row>
    <row r="1907" spans="1:9">
      <c r="A1907" s="112" t="s">
        <v>1475</v>
      </c>
      <c r="B1907" s="112" t="s">
        <v>1587</v>
      </c>
      <c r="C1907" s="112">
        <v>84.677590080000002</v>
      </c>
      <c r="D1907" s="112" t="s">
        <v>1584</v>
      </c>
      <c r="E1907" s="112" t="s">
        <v>1576</v>
      </c>
      <c r="F1907" s="112" t="s">
        <v>1584</v>
      </c>
      <c r="G1907" s="112" t="s">
        <v>1475</v>
      </c>
      <c r="H1907" s="112" t="s">
        <v>1576</v>
      </c>
      <c r="I1907" s="112">
        <v>3810.4915529999998</v>
      </c>
    </row>
    <row r="1908" spans="1:9">
      <c r="A1908" s="112" t="s">
        <v>1476</v>
      </c>
      <c r="B1908" s="112" t="s">
        <v>1587</v>
      </c>
      <c r="C1908" s="112">
        <v>329.99294500000002</v>
      </c>
      <c r="D1908" s="112" t="s">
        <v>1584</v>
      </c>
      <c r="E1908" s="112" t="s">
        <v>1576</v>
      </c>
      <c r="F1908" s="112" t="s">
        <v>1584</v>
      </c>
      <c r="G1908" s="112" t="s">
        <v>1476</v>
      </c>
      <c r="H1908" s="112" t="s">
        <v>1576</v>
      </c>
      <c r="I1908" s="112">
        <v>5716.084691</v>
      </c>
    </row>
    <row r="1909" spans="1:9">
      <c r="A1909" s="112" t="s">
        <v>1477</v>
      </c>
      <c r="B1909" s="112" t="s">
        <v>1587</v>
      </c>
      <c r="C1909" s="112">
        <v>87.539392730000003</v>
      </c>
      <c r="D1909" s="112" t="s">
        <v>1584</v>
      </c>
      <c r="E1909" s="112" t="s">
        <v>1576</v>
      </c>
      <c r="F1909" s="112" t="s">
        <v>1584</v>
      </c>
      <c r="G1909" s="112" t="s">
        <v>1477</v>
      </c>
      <c r="H1909" s="112" t="s">
        <v>1576</v>
      </c>
      <c r="I1909" s="112">
        <v>2963.833725</v>
      </c>
    </row>
    <row r="1910" spans="1:9">
      <c r="A1910" s="112" t="s">
        <v>1478</v>
      </c>
      <c r="B1910" s="112" t="s">
        <v>1587</v>
      </c>
      <c r="C1910" s="112">
        <v>0</v>
      </c>
      <c r="D1910" s="112" t="s">
        <v>1584</v>
      </c>
      <c r="E1910" s="112" t="s">
        <v>1576</v>
      </c>
      <c r="F1910" s="112" t="s">
        <v>1584</v>
      </c>
      <c r="G1910" s="112" t="s">
        <v>1478</v>
      </c>
      <c r="H1910" s="112" t="s">
        <v>1576</v>
      </c>
      <c r="I1910" s="112">
        <v>295.55563819999998</v>
      </c>
    </row>
    <row r="1911" spans="1:9">
      <c r="A1911" s="112" t="s">
        <v>1479</v>
      </c>
      <c r="B1911" s="112" t="s">
        <v>1587</v>
      </c>
      <c r="C1911" s="112">
        <v>0</v>
      </c>
      <c r="D1911" s="112" t="s">
        <v>1584</v>
      </c>
      <c r="E1911" s="112" t="s">
        <v>1576</v>
      </c>
      <c r="F1911" s="112" t="s">
        <v>1584</v>
      </c>
      <c r="G1911" s="112" t="s">
        <v>1479</v>
      </c>
      <c r="H1911" s="112" t="s">
        <v>1576</v>
      </c>
      <c r="I1911" s="112">
        <v>0</v>
      </c>
    </row>
    <row r="1912" spans="1:9">
      <c r="A1912" s="112" t="s">
        <v>1480</v>
      </c>
      <c r="B1912" s="112" t="s">
        <v>1587</v>
      </c>
      <c r="C1912" s="112">
        <v>183.30344690000001</v>
      </c>
      <c r="D1912" s="112" t="s">
        <v>1584</v>
      </c>
      <c r="E1912" s="112" t="s">
        <v>1576</v>
      </c>
      <c r="F1912" s="112" t="s">
        <v>1584</v>
      </c>
      <c r="G1912" s="112" t="s">
        <v>1480</v>
      </c>
      <c r="H1912" s="112" t="s">
        <v>1576</v>
      </c>
      <c r="I1912" s="112">
        <v>1490.33672</v>
      </c>
    </row>
    <row r="1913" spans="1:9">
      <c r="A1913" s="112" t="s">
        <v>1481</v>
      </c>
      <c r="B1913" s="112" t="s">
        <v>1587</v>
      </c>
      <c r="C1913" s="112">
        <v>22.258330180000002</v>
      </c>
      <c r="D1913" s="112" t="s">
        <v>1584</v>
      </c>
      <c r="E1913" s="112" t="s">
        <v>1576</v>
      </c>
      <c r="F1913" s="112" t="s">
        <v>1584</v>
      </c>
      <c r="G1913" s="112" t="s">
        <v>1481</v>
      </c>
      <c r="H1913" s="112" t="s">
        <v>1576</v>
      </c>
      <c r="I1913" s="112">
        <v>645.49157520000006</v>
      </c>
    </row>
    <row r="1914" spans="1:9">
      <c r="A1914" s="112" t="s">
        <v>1482</v>
      </c>
      <c r="B1914" s="112" t="s">
        <v>1587</v>
      </c>
      <c r="C1914" s="112">
        <v>0</v>
      </c>
      <c r="D1914" s="112" t="s">
        <v>1584</v>
      </c>
      <c r="E1914" s="112" t="s">
        <v>1576</v>
      </c>
      <c r="F1914" s="112" t="s">
        <v>1584</v>
      </c>
      <c r="G1914" s="112" t="s">
        <v>1482</v>
      </c>
      <c r="H1914" s="112" t="s">
        <v>1576</v>
      </c>
      <c r="I1914" s="112">
        <v>6266.9376689999999</v>
      </c>
    </row>
    <row r="1915" spans="1:9">
      <c r="A1915" s="112" t="s">
        <v>1483</v>
      </c>
      <c r="B1915" s="112" t="s">
        <v>1587</v>
      </c>
      <c r="C1915" s="112">
        <v>54.203479860000002</v>
      </c>
      <c r="D1915" s="112" t="s">
        <v>1584</v>
      </c>
      <c r="E1915" s="112" t="s">
        <v>1576</v>
      </c>
      <c r="F1915" s="112" t="s">
        <v>1584</v>
      </c>
      <c r="G1915" s="112" t="s">
        <v>1483</v>
      </c>
      <c r="H1915" s="112" t="s">
        <v>1576</v>
      </c>
      <c r="I1915" s="112">
        <v>2222.342674</v>
      </c>
    </row>
    <row r="1916" spans="1:9">
      <c r="A1916" s="112" t="s">
        <v>1484</v>
      </c>
      <c r="B1916" s="112" t="s">
        <v>1587</v>
      </c>
      <c r="C1916" s="112">
        <v>0</v>
      </c>
      <c r="D1916" s="112" t="s">
        <v>1584</v>
      </c>
      <c r="E1916" s="112" t="s">
        <v>1576</v>
      </c>
      <c r="F1916" s="112" t="s">
        <v>1584</v>
      </c>
      <c r="G1916" s="112" t="s">
        <v>1484</v>
      </c>
      <c r="H1916" s="112" t="s">
        <v>1576</v>
      </c>
      <c r="I1916" s="112">
        <v>3003.0030029999998</v>
      </c>
    </row>
    <row r="1917" spans="1:9">
      <c r="A1917" s="112" t="s">
        <v>1485</v>
      </c>
      <c r="B1917" s="112" t="s">
        <v>1587</v>
      </c>
      <c r="C1917" s="112">
        <v>0</v>
      </c>
      <c r="D1917" s="112" t="s">
        <v>1584</v>
      </c>
      <c r="E1917" s="112" t="s">
        <v>1576</v>
      </c>
      <c r="F1917" s="112" t="s">
        <v>1584</v>
      </c>
      <c r="G1917" s="112" t="s">
        <v>1485</v>
      </c>
      <c r="H1917" s="112" t="s">
        <v>1576</v>
      </c>
      <c r="I1917" s="112">
        <v>358.81290810000002</v>
      </c>
    </row>
    <row r="1918" spans="1:9">
      <c r="A1918" s="112" t="s">
        <v>1486</v>
      </c>
      <c r="B1918" s="112" t="s">
        <v>1587</v>
      </c>
      <c r="C1918" s="112">
        <v>73.882526780000006</v>
      </c>
      <c r="D1918" s="112" t="s">
        <v>1584</v>
      </c>
      <c r="E1918" s="112" t="s">
        <v>1576</v>
      </c>
      <c r="F1918" s="112" t="s">
        <v>1584</v>
      </c>
      <c r="G1918" s="112" t="s">
        <v>1486</v>
      </c>
      <c r="H1918" s="112" t="s">
        <v>1576</v>
      </c>
      <c r="I1918" s="112">
        <v>4506.8341339999997</v>
      </c>
    </row>
    <row r="1919" spans="1:9">
      <c r="A1919" s="112" t="s">
        <v>1487</v>
      </c>
      <c r="B1919" s="112" t="s">
        <v>1587</v>
      </c>
      <c r="C1919" s="112">
        <v>0</v>
      </c>
      <c r="D1919" s="112" t="s">
        <v>1584</v>
      </c>
      <c r="E1919" s="112" t="s">
        <v>1576</v>
      </c>
      <c r="F1919" s="112" t="s">
        <v>1584</v>
      </c>
      <c r="G1919" s="112" t="s">
        <v>1487</v>
      </c>
      <c r="H1919" s="112" t="s">
        <v>1576</v>
      </c>
      <c r="I1919" s="112">
        <v>160.8973475</v>
      </c>
    </row>
    <row r="1920" spans="1:9">
      <c r="A1920" s="112" t="s">
        <v>1488</v>
      </c>
      <c r="B1920" s="112" t="s">
        <v>1587</v>
      </c>
      <c r="C1920" s="112">
        <v>0</v>
      </c>
      <c r="D1920" s="112" t="s">
        <v>1584</v>
      </c>
      <c r="E1920" s="112" t="s">
        <v>1576</v>
      </c>
      <c r="F1920" s="112" t="s">
        <v>1584</v>
      </c>
      <c r="G1920" s="112" t="s">
        <v>1488</v>
      </c>
      <c r="H1920" s="112" t="s">
        <v>1576</v>
      </c>
      <c r="I1920" s="112">
        <v>398.24771010000001</v>
      </c>
    </row>
    <row r="1921" spans="1:9">
      <c r="A1921" s="112" t="s">
        <v>1489</v>
      </c>
      <c r="B1921" s="112" t="s">
        <v>1587</v>
      </c>
      <c r="C1921" s="112">
        <v>29.124460469999999</v>
      </c>
      <c r="D1921" s="112" t="s">
        <v>1584</v>
      </c>
      <c r="E1921" s="112" t="s">
        <v>1576</v>
      </c>
      <c r="F1921" s="112" t="s">
        <v>1584</v>
      </c>
      <c r="G1921" s="112" t="s">
        <v>1489</v>
      </c>
      <c r="H1921" s="112" t="s">
        <v>1576</v>
      </c>
      <c r="I1921" s="112">
        <v>1060.130361</v>
      </c>
    </row>
    <row r="1922" spans="1:9">
      <c r="A1922" s="112" t="s">
        <v>1490</v>
      </c>
      <c r="B1922" s="112" t="s">
        <v>1587</v>
      </c>
      <c r="C1922" s="112">
        <v>0</v>
      </c>
      <c r="D1922" s="112" t="s">
        <v>1584</v>
      </c>
      <c r="E1922" s="112" t="s">
        <v>1576</v>
      </c>
      <c r="F1922" s="112" t="s">
        <v>1584</v>
      </c>
      <c r="G1922" s="112" t="s">
        <v>1490</v>
      </c>
      <c r="H1922" s="112" t="s">
        <v>1576</v>
      </c>
      <c r="I1922" s="112">
        <v>2522.068096</v>
      </c>
    </row>
    <row r="1923" spans="1:9">
      <c r="A1923" s="112" t="s">
        <v>1461</v>
      </c>
      <c r="B1923" s="112" t="s">
        <v>1588</v>
      </c>
      <c r="C1923" s="112">
        <v>88.398974039999999</v>
      </c>
      <c r="D1923" s="112" t="s">
        <v>1584</v>
      </c>
      <c r="E1923" s="112" t="s">
        <v>1576</v>
      </c>
      <c r="F1923" s="112" t="s">
        <v>1584</v>
      </c>
      <c r="G1923" s="112" t="s">
        <v>1461</v>
      </c>
      <c r="H1923" s="112" t="s">
        <v>1576</v>
      </c>
      <c r="I1923" s="112">
        <v>326.13863909999998</v>
      </c>
    </row>
    <row r="1924" spans="1:9">
      <c r="A1924" s="112" t="s">
        <v>1465</v>
      </c>
      <c r="B1924" s="112" t="s">
        <v>1588</v>
      </c>
      <c r="C1924" s="112">
        <v>1342.9898370000001</v>
      </c>
      <c r="D1924" s="112" t="s">
        <v>1584</v>
      </c>
      <c r="E1924" s="112" t="s">
        <v>1576</v>
      </c>
      <c r="F1924" s="112" t="s">
        <v>1584</v>
      </c>
      <c r="G1924" s="112" t="s">
        <v>1465</v>
      </c>
      <c r="H1924" s="112" t="s">
        <v>1576</v>
      </c>
      <c r="I1924" s="112">
        <v>1342.9898370000001</v>
      </c>
    </row>
    <row r="1925" spans="1:9">
      <c r="A1925" s="112" t="s">
        <v>1466</v>
      </c>
      <c r="B1925" s="112" t="s">
        <v>1588</v>
      </c>
      <c r="C1925" s="112">
        <v>371.81200260000003</v>
      </c>
      <c r="D1925" s="112" t="s">
        <v>1584</v>
      </c>
      <c r="E1925" s="112" t="s">
        <v>1576</v>
      </c>
      <c r="F1925" s="112" t="s">
        <v>1584</v>
      </c>
      <c r="G1925" s="112" t="s">
        <v>1466</v>
      </c>
      <c r="H1925" s="112" t="s">
        <v>1576</v>
      </c>
      <c r="I1925" s="112">
        <v>1626.6775110000001</v>
      </c>
    </row>
    <row r="1926" spans="1:9">
      <c r="A1926" s="112" t="s">
        <v>1467</v>
      </c>
      <c r="B1926" s="112" t="s">
        <v>1588</v>
      </c>
      <c r="C1926" s="112">
        <v>67.337822520000003</v>
      </c>
      <c r="D1926" s="112" t="s">
        <v>1584</v>
      </c>
      <c r="E1926" s="112" t="s">
        <v>1576</v>
      </c>
      <c r="F1926" s="112" t="s">
        <v>1584</v>
      </c>
      <c r="G1926" s="112" t="s">
        <v>1467</v>
      </c>
      <c r="H1926" s="112" t="s">
        <v>1576</v>
      </c>
      <c r="I1926" s="112">
        <v>134.675645</v>
      </c>
    </row>
    <row r="1927" spans="1:9">
      <c r="A1927" s="112" t="s">
        <v>1468</v>
      </c>
      <c r="B1927" s="112" t="s">
        <v>1588</v>
      </c>
      <c r="C1927" s="112">
        <v>580.81227139999999</v>
      </c>
      <c r="D1927" s="112" t="s">
        <v>1584</v>
      </c>
      <c r="E1927" s="112" t="s">
        <v>1576</v>
      </c>
      <c r="F1927" s="112" t="s">
        <v>1584</v>
      </c>
      <c r="G1927" s="112" t="s">
        <v>1468</v>
      </c>
      <c r="H1927" s="112" t="s">
        <v>1576</v>
      </c>
      <c r="I1927" s="112">
        <v>912.70499789999997</v>
      </c>
    </row>
    <row r="1928" spans="1:9">
      <c r="A1928" s="112" t="s">
        <v>1469</v>
      </c>
      <c r="B1928" s="112" t="s">
        <v>1588</v>
      </c>
      <c r="C1928" s="112">
        <v>173.06361050000001</v>
      </c>
      <c r="D1928" s="112" t="s">
        <v>1584</v>
      </c>
      <c r="E1928" s="112" t="s">
        <v>1576</v>
      </c>
      <c r="F1928" s="112" t="s">
        <v>1584</v>
      </c>
      <c r="G1928" s="112" t="s">
        <v>1469</v>
      </c>
      <c r="H1928" s="112" t="s">
        <v>1576</v>
      </c>
      <c r="I1928" s="112">
        <v>374.97115609999997</v>
      </c>
    </row>
    <row r="1929" spans="1:9">
      <c r="A1929" s="112" t="s">
        <v>1470</v>
      </c>
      <c r="B1929" s="112" t="s">
        <v>1588</v>
      </c>
      <c r="C1929" s="112">
        <v>0</v>
      </c>
      <c r="D1929" s="112" t="s">
        <v>1584</v>
      </c>
      <c r="E1929" s="112" t="s">
        <v>1576</v>
      </c>
      <c r="F1929" s="112" t="s">
        <v>1584</v>
      </c>
      <c r="G1929" s="112" t="s">
        <v>1470</v>
      </c>
      <c r="H1929" s="112" t="s">
        <v>1576</v>
      </c>
      <c r="I1929" s="112">
        <v>1202.0133719999999</v>
      </c>
    </row>
    <row r="1930" spans="1:9">
      <c r="A1930" s="112" t="s">
        <v>1471</v>
      </c>
      <c r="B1930" s="112" t="s">
        <v>1588</v>
      </c>
      <c r="C1930" s="112">
        <v>223.91607279999999</v>
      </c>
      <c r="D1930" s="112" t="s">
        <v>1584</v>
      </c>
      <c r="E1930" s="112" t="s">
        <v>1576</v>
      </c>
      <c r="F1930" s="112" t="s">
        <v>1584</v>
      </c>
      <c r="G1930" s="112" t="s">
        <v>1471</v>
      </c>
      <c r="H1930" s="112" t="s">
        <v>1576</v>
      </c>
      <c r="I1930" s="112">
        <v>650.8357833</v>
      </c>
    </row>
    <row r="1931" spans="1:9">
      <c r="A1931" s="112" t="s">
        <v>1472</v>
      </c>
      <c r="B1931" s="112" t="s">
        <v>1588</v>
      </c>
      <c r="C1931" s="112">
        <v>1949.6478059999999</v>
      </c>
      <c r="D1931" s="112" t="s">
        <v>1584</v>
      </c>
      <c r="E1931" s="112" t="s">
        <v>1576</v>
      </c>
      <c r="F1931" s="112" t="s">
        <v>1584</v>
      </c>
      <c r="G1931" s="112" t="s">
        <v>1472</v>
      </c>
      <c r="H1931" s="112" t="s">
        <v>1576</v>
      </c>
      <c r="I1931" s="112">
        <v>6951.9699680000003</v>
      </c>
    </row>
    <row r="1932" spans="1:9">
      <c r="A1932" s="112" t="s">
        <v>1473</v>
      </c>
      <c r="B1932" s="112" t="s">
        <v>1588</v>
      </c>
      <c r="C1932" s="112">
        <v>232.6727253</v>
      </c>
      <c r="D1932" s="112" t="s">
        <v>1584</v>
      </c>
      <c r="E1932" s="112" t="s">
        <v>1576</v>
      </c>
      <c r="F1932" s="112" t="s">
        <v>1584</v>
      </c>
      <c r="G1932" s="112" t="s">
        <v>1473</v>
      </c>
      <c r="H1932" s="112" t="s">
        <v>1576</v>
      </c>
      <c r="I1932" s="112">
        <v>343.179597</v>
      </c>
    </row>
    <row r="1933" spans="1:9">
      <c r="A1933" s="112" t="s">
        <v>1474</v>
      </c>
      <c r="B1933" s="112" t="s">
        <v>1588</v>
      </c>
      <c r="C1933" s="112">
        <v>602.84276309999996</v>
      </c>
      <c r="D1933" s="112" t="s">
        <v>1584</v>
      </c>
      <c r="E1933" s="112" t="s">
        <v>1576</v>
      </c>
      <c r="F1933" s="112" t="s">
        <v>1584</v>
      </c>
      <c r="G1933" s="112" t="s">
        <v>1474</v>
      </c>
      <c r="H1933" s="112" t="s">
        <v>1576</v>
      </c>
      <c r="I1933" s="112">
        <v>1974.448316</v>
      </c>
    </row>
    <row r="1934" spans="1:9">
      <c r="A1934" s="112" t="s">
        <v>1475</v>
      </c>
      <c r="B1934" s="112" t="s">
        <v>1588</v>
      </c>
      <c r="C1934" s="112">
        <v>635.08192559999998</v>
      </c>
      <c r="D1934" s="112" t="s">
        <v>1584</v>
      </c>
      <c r="E1934" s="112" t="s">
        <v>1576</v>
      </c>
      <c r="F1934" s="112" t="s">
        <v>1584</v>
      </c>
      <c r="G1934" s="112" t="s">
        <v>1475</v>
      </c>
      <c r="H1934" s="112" t="s">
        <v>1576</v>
      </c>
      <c r="I1934" s="112">
        <v>3810.4915529999998</v>
      </c>
    </row>
    <row r="1935" spans="1:9">
      <c r="A1935" s="112" t="s">
        <v>1476</v>
      </c>
      <c r="B1935" s="112" t="s">
        <v>1588</v>
      </c>
      <c r="C1935" s="112">
        <v>1433.7624510000001</v>
      </c>
      <c r="D1935" s="112" t="s">
        <v>1584</v>
      </c>
      <c r="E1935" s="112" t="s">
        <v>1576</v>
      </c>
      <c r="F1935" s="112" t="s">
        <v>1584</v>
      </c>
      <c r="G1935" s="112" t="s">
        <v>1476</v>
      </c>
      <c r="H1935" s="112" t="s">
        <v>1576</v>
      </c>
      <c r="I1935" s="112">
        <v>5716.084691</v>
      </c>
    </row>
    <row r="1936" spans="1:9">
      <c r="A1936" s="112" t="s">
        <v>1477</v>
      </c>
      <c r="B1936" s="112" t="s">
        <v>1588</v>
      </c>
      <c r="C1936" s="112">
        <v>250.11255059999999</v>
      </c>
      <c r="D1936" s="112" t="s">
        <v>1584</v>
      </c>
      <c r="E1936" s="112" t="s">
        <v>1576</v>
      </c>
      <c r="F1936" s="112" t="s">
        <v>1584</v>
      </c>
      <c r="G1936" s="112" t="s">
        <v>1477</v>
      </c>
      <c r="H1936" s="112" t="s">
        <v>1576</v>
      </c>
      <c r="I1936" s="112">
        <v>2963.833725</v>
      </c>
    </row>
    <row r="1937" spans="1:9">
      <c r="A1937" s="112" t="s">
        <v>1478</v>
      </c>
      <c r="B1937" s="112" t="s">
        <v>1588</v>
      </c>
      <c r="C1937" s="112">
        <v>0</v>
      </c>
      <c r="D1937" s="112" t="s">
        <v>1584</v>
      </c>
      <c r="E1937" s="112" t="s">
        <v>1576</v>
      </c>
      <c r="F1937" s="112" t="s">
        <v>1584</v>
      </c>
      <c r="G1937" s="112" t="s">
        <v>1478</v>
      </c>
      <c r="H1937" s="112" t="s">
        <v>1576</v>
      </c>
      <c r="I1937" s="112">
        <v>295.55563819999998</v>
      </c>
    </row>
    <row r="1938" spans="1:9">
      <c r="A1938" s="112" t="s">
        <v>1479</v>
      </c>
      <c r="B1938" s="112" t="s">
        <v>1588</v>
      </c>
      <c r="C1938" s="112">
        <v>0</v>
      </c>
      <c r="D1938" s="112" t="s">
        <v>1584</v>
      </c>
      <c r="E1938" s="112" t="s">
        <v>1576</v>
      </c>
      <c r="F1938" s="112" t="s">
        <v>1584</v>
      </c>
      <c r="G1938" s="112" t="s">
        <v>1479</v>
      </c>
      <c r="H1938" s="112" t="s">
        <v>1576</v>
      </c>
      <c r="I1938" s="112">
        <v>0</v>
      </c>
    </row>
    <row r="1939" spans="1:9">
      <c r="A1939" s="112" t="s">
        <v>1480</v>
      </c>
      <c r="B1939" s="112" t="s">
        <v>1588</v>
      </c>
      <c r="C1939" s="112">
        <v>350.66746360000002</v>
      </c>
      <c r="D1939" s="112" t="s">
        <v>1584</v>
      </c>
      <c r="E1939" s="112" t="s">
        <v>1576</v>
      </c>
      <c r="F1939" s="112" t="s">
        <v>1584</v>
      </c>
      <c r="G1939" s="112" t="s">
        <v>1480</v>
      </c>
      <c r="H1939" s="112" t="s">
        <v>1576</v>
      </c>
      <c r="I1939" s="112">
        <v>1490.33672</v>
      </c>
    </row>
    <row r="1940" spans="1:9">
      <c r="A1940" s="112" t="s">
        <v>1481</v>
      </c>
      <c r="B1940" s="112" t="s">
        <v>1588</v>
      </c>
      <c r="C1940" s="112">
        <v>22.258330180000002</v>
      </c>
      <c r="D1940" s="112" t="s">
        <v>1584</v>
      </c>
      <c r="E1940" s="112" t="s">
        <v>1576</v>
      </c>
      <c r="F1940" s="112" t="s">
        <v>1584</v>
      </c>
      <c r="G1940" s="112" t="s">
        <v>1481</v>
      </c>
      <c r="H1940" s="112" t="s">
        <v>1576</v>
      </c>
      <c r="I1940" s="112">
        <v>645.49157520000006</v>
      </c>
    </row>
    <row r="1941" spans="1:9">
      <c r="A1941" s="112" t="s">
        <v>1482</v>
      </c>
      <c r="B1941" s="112" t="s">
        <v>1588</v>
      </c>
      <c r="C1941" s="112">
        <v>0</v>
      </c>
      <c r="D1941" s="112" t="s">
        <v>1584</v>
      </c>
      <c r="E1941" s="112" t="s">
        <v>1576</v>
      </c>
      <c r="F1941" s="112" t="s">
        <v>1584</v>
      </c>
      <c r="G1941" s="112" t="s">
        <v>1482</v>
      </c>
      <c r="H1941" s="112" t="s">
        <v>1576</v>
      </c>
      <c r="I1941" s="112">
        <v>6266.9376689999999</v>
      </c>
    </row>
    <row r="1942" spans="1:9">
      <c r="A1942" s="112" t="s">
        <v>1483</v>
      </c>
      <c r="B1942" s="112" t="s">
        <v>1588</v>
      </c>
      <c r="C1942" s="112">
        <v>433.62783889999997</v>
      </c>
      <c r="D1942" s="112" t="s">
        <v>1584</v>
      </c>
      <c r="E1942" s="112" t="s">
        <v>1576</v>
      </c>
      <c r="F1942" s="112" t="s">
        <v>1584</v>
      </c>
      <c r="G1942" s="112" t="s">
        <v>1483</v>
      </c>
      <c r="H1942" s="112" t="s">
        <v>1576</v>
      </c>
      <c r="I1942" s="112">
        <v>2222.342674</v>
      </c>
    </row>
    <row r="1943" spans="1:9">
      <c r="A1943" s="112" t="s">
        <v>1484</v>
      </c>
      <c r="B1943" s="112" t="s">
        <v>1588</v>
      </c>
      <c r="C1943" s="112">
        <v>720.72072070000002</v>
      </c>
      <c r="D1943" s="112" t="s">
        <v>1584</v>
      </c>
      <c r="E1943" s="112" t="s">
        <v>1576</v>
      </c>
      <c r="F1943" s="112" t="s">
        <v>1584</v>
      </c>
      <c r="G1943" s="112" t="s">
        <v>1484</v>
      </c>
      <c r="H1943" s="112" t="s">
        <v>1576</v>
      </c>
      <c r="I1943" s="112">
        <v>3003.0030029999998</v>
      </c>
    </row>
    <row r="1944" spans="1:9">
      <c r="A1944" s="112" t="s">
        <v>1485</v>
      </c>
      <c r="B1944" s="112" t="s">
        <v>1588</v>
      </c>
      <c r="C1944" s="112">
        <v>133.10801430000001</v>
      </c>
      <c r="D1944" s="112" t="s">
        <v>1584</v>
      </c>
      <c r="E1944" s="112" t="s">
        <v>1576</v>
      </c>
      <c r="F1944" s="112" t="s">
        <v>1584</v>
      </c>
      <c r="G1944" s="112" t="s">
        <v>1485</v>
      </c>
      <c r="H1944" s="112" t="s">
        <v>1576</v>
      </c>
      <c r="I1944" s="112">
        <v>358.81290810000002</v>
      </c>
    </row>
    <row r="1945" spans="1:9">
      <c r="A1945" s="112" t="s">
        <v>1486</v>
      </c>
      <c r="B1945" s="112" t="s">
        <v>1588</v>
      </c>
      <c r="C1945" s="112">
        <v>1551.533062</v>
      </c>
      <c r="D1945" s="112" t="s">
        <v>1584</v>
      </c>
      <c r="E1945" s="112" t="s">
        <v>1576</v>
      </c>
      <c r="F1945" s="112" t="s">
        <v>1584</v>
      </c>
      <c r="G1945" s="112" t="s">
        <v>1486</v>
      </c>
      <c r="H1945" s="112" t="s">
        <v>1576</v>
      </c>
      <c r="I1945" s="112">
        <v>4506.8341339999997</v>
      </c>
    </row>
    <row r="1946" spans="1:9">
      <c r="A1946" s="112" t="s">
        <v>1487</v>
      </c>
      <c r="B1946" s="112" t="s">
        <v>1588</v>
      </c>
      <c r="C1946" s="112">
        <v>91.941341420000001</v>
      </c>
      <c r="D1946" s="112" t="s">
        <v>1584</v>
      </c>
      <c r="E1946" s="112" t="s">
        <v>1576</v>
      </c>
      <c r="F1946" s="112" t="s">
        <v>1584</v>
      </c>
      <c r="G1946" s="112" t="s">
        <v>1487</v>
      </c>
      <c r="H1946" s="112" t="s">
        <v>1576</v>
      </c>
      <c r="I1946" s="112">
        <v>160.8973475</v>
      </c>
    </row>
    <row r="1947" spans="1:9">
      <c r="A1947" s="112" t="s">
        <v>1488</v>
      </c>
      <c r="B1947" s="112" t="s">
        <v>1588</v>
      </c>
      <c r="C1947" s="112">
        <v>318.59816810000001</v>
      </c>
      <c r="D1947" s="112" t="s">
        <v>1584</v>
      </c>
      <c r="E1947" s="112" t="s">
        <v>1576</v>
      </c>
      <c r="F1947" s="112" t="s">
        <v>1584</v>
      </c>
      <c r="G1947" s="112" t="s">
        <v>1488</v>
      </c>
      <c r="H1947" s="112" t="s">
        <v>1576</v>
      </c>
      <c r="I1947" s="112">
        <v>398.24771010000001</v>
      </c>
    </row>
    <row r="1948" spans="1:9">
      <c r="A1948" s="112" t="s">
        <v>1489</v>
      </c>
      <c r="B1948" s="112" t="s">
        <v>1588</v>
      </c>
      <c r="C1948" s="112">
        <v>186.396547</v>
      </c>
      <c r="D1948" s="112" t="s">
        <v>1584</v>
      </c>
      <c r="E1948" s="112" t="s">
        <v>1576</v>
      </c>
      <c r="F1948" s="112" t="s">
        <v>1584</v>
      </c>
      <c r="G1948" s="112" t="s">
        <v>1489</v>
      </c>
      <c r="H1948" s="112" t="s">
        <v>1576</v>
      </c>
      <c r="I1948" s="112">
        <v>1060.130361</v>
      </c>
    </row>
    <row r="1949" spans="1:9">
      <c r="A1949" s="112" t="s">
        <v>1490</v>
      </c>
      <c r="B1949" s="112" t="s">
        <v>1588</v>
      </c>
      <c r="C1949" s="112">
        <v>420.3446826</v>
      </c>
      <c r="D1949" s="112" t="s">
        <v>1584</v>
      </c>
      <c r="E1949" s="112" t="s">
        <v>1576</v>
      </c>
      <c r="F1949" s="112" t="s">
        <v>1584</v>
      </c>
      <c r="G1949" s="112" t="s">
        <v>1490</v>
      </c>
      <c r="H1949" s="112" t="s">
        <v>1576</v>
      </c>
      <c r="I1949" s="112">
        <v>2522.068096</v>
      </c>
    </row>
    <row r="1950" spans="1:9">
      <c r="A1950" s="112" t="s">
        <v>1461</v>
      </c>
      <c r="B1950" s="112" t="s">
        <v>1589</v>
      </c>
      <c r="C1950" s="112">
        <v>44.86917622</v>
      </c>
      <c r="D1950" s="112" t="s">
        <v>1584</v>
      </c>
      <c r="E1950" s="112" t="s">
        <v>1576</v>
      </c>
      <c r="F1950" s="112" t="s">
        <v>1584</v>
      </c>
      <c r="G1950" s="112" t="s">
        <v>1461</v>
      </c>
      <c r="H1950" s="112" t="s">
        <v>1576</v>
      </c>
      <c r="I1950" s="112">
        <v>326.13863909999998</v>
      </c>
    </row>
    <row r="1951" spans="1:9">
      <c r="A1951" s="112" t="s">
        <v>1465</v>
      </c>
      <c r="B1951" s="112" t="s">
        <v>1589</v>
      </c>
      <c r="C1951" s="112">
        <v>0</v>
      </c>
      <c r="D1951" s="112" t="s">
        <v>1584</v>
      </c>
      <c r="E1951" s="112" t="s">
        <v>1576</v>
      </c>
      <c r="F1951" s="112" t="s">
        <v>1584</v>
      </c>
      <c r="G1951" s="112" t="s">
        <v>1465</v>
      </c>
      <c r="H1951" s="112" t="s">
        <v>1576</v>
      </c>
      <c r="I1951" s="112">
        <v>1342.9898370000001</v>
      </c>
    </row>
    <row r="1952" spans="1:9">
      <c r="A1952" s="112" t="s">
        <v>1466</v>
      </c>
      <c r="B1952" s="112" t="s">
        <v>1589</v>
      </c>
      <c r="C1952" s="112">
        <v>197.5251264</v>
      </c>
      <c r="D1952" s="112" t="s">
        <v>1584</v>
      </c>
      <c r="E1952" s="112" t="s">
        <v>1576</v>
      </c>
      <c r="F1952" s="112" t="s">
        <v>1584</v>
      </c>
      <c r="G1952" s="112" t="s">
        <v>1466</v>
      </c>
      <c r="H1952" s="112" t="s">
        <v>1576</v>
      </c>
      <c r="I1952" s="112">
        <v>1626.6775110000001</v>
      </c>
    </row>
    <row r="1953" spans="1:9">
      <c r="A1953" s="112" t="s">
        <v>1467</v>
      </c>
      <c r="B1953" s="112" t="s">
        <v>1589</v>
      </c>
      <c r="C1953" s="112">
        <v>9.3339555969999992</v>
      </c>
      <c r="D1953" s="112" t="s">
        <v>1584</v>
      </c>
      <c r="E1953" s="112" t="s">
        <v>1576</v>
      </c>
      <c r="F1953" s="112" t="s">
        <v>1584</v>
      </c>
      <c r="G1953" s="112" t="s">
        <v>1467</v>
      </c>
      <c r="H1953" s="112" t="s">
        <v>1576</v>
      </c>
      <c r="I1953" s="112">
        <v>134.675645</v>
      </c>
    </row>
    <row r="1954" spans="1:9">
      <c r="A1954" s="112" t="s">
        <v>1468</v>
      </c>
      <c r="B1954" s="112" t="s">
        <v>1589</v>
      </c>
      <c r="C1954" s="112">
        <v>57.720474170000003</v>
      </c>
      <c r="D1954" s="112" t="s">
        <v>1584</v>
      </c>
      <c r="E1954" s="112" t="s">
        <v>1576</v>
      </c>
      <c r="F1954" s="112" t="s">
        <v>1584</v>
      </c>
      <c r="G1954" s="112" t="s">
        <v>1468</v>
      </c>
      <c r="H1954" s="112" t="s">
        <v>1576</v>
      </c>
      <c r="I1954" s="112">
        <v>912.70499789999997</v>
      </c>
    </row>
    <row r="1955" spans="1:9">
      <c r="A1955" s="112" t="s">
        <v>1469</v>
      </c>
      <c r="B1955" s="112" t="s">
        <v>1589</v>
      </c>
      <c r="C1955" s="112">
        <v>28.843935080000001</v>
      </c>
      <c r="D1955" s="112" t="s">
        <v>1584</v>
      </c>
      <c r="E1955" s="112" t="s">
        <v>1576</v>
      </c>
      <c r="F1955" s="112" t="s">
        <v>1584</v>
      </c>
      <c r="G1955" s="112" t="s">
        <v>1469</v>
      </c>
      <c r="H1955" s="112" t="s">
        <v>1576</v>
      </c>
      <c r="I1955" s="112">
        <v>374.97115609999997</v>
      </c>
    </row>
    <row r="1956" spans="1:9">
      <c r="A1956" s="112" t="s">
        <v>1470</v>
      </c>
      <c r="B1956" s="112" t="s">
        <v>1589</v>
      </c>
      <c r="C1956" s="112">
        <v>0</v>
      </c>
      <c r="D1956" s="112" t="s">
        <v>1584</v>
      </c>
      <c r="E1956" s="112" t="s">
        <v>1576</v>
      </c>
      <c r="F1956" s="112" t="s">
        <v>1584</v>
      </c>
      <c r="G1956" s="112" t="s">
        <v>1470</v>
      </c>
      <c r="H1956" s="112" t="s">
        <v>1576</v>
      </c>
      <c r="I1956" s="112">
        <v>1202.0133719999999</v>
      </c>
    </row>
    <row r="1957" spans="1:9">
      <c r="A1957" s="112" t="s">
        <v>1471</v>
      </c>
      <c r="B1957" s="112" t="s">
        <v>1589</v>
      </c>
      <c r="C1957" s="112">
        <v>31.11362287</v>
      </c>
      <c r="D1957" s="112" t="s">
        <v>1584</v>
      </c>
      <c r="E1957" s="112" t="s">
        <v>1576</v>
      </c>
      <c r="F1957" s="112" t="s">
        <v>1584</v>
      </c>
      <c r="G1957" s="112" t="s">
        <v>1471</v>
      </c>
      <c r="H1957" s="112" t="s">
        <v>1576</v>
      </c>
      <c r="I1957" s="112">
        <v>650.8357833</v>
      </c>
    </row>
    <row r="1958" spans="1:9">
      <c r="A1958" s="112" t="s">
        <v>1472</v>
      </c>
      <c r="B1958" s="112" t="s">
        <v>1589</v>
      </c>
      <c r="C1958" s="112">
        <v>372.51335239999997</v>
      </c>
      <c r="D1958" s="112" t="s">
        <v>1584</v>
      </c>
      <c r="E1958" s="112" t="s">
        <v>1576</v>
      </c>
      <c r="F1958" s="112" t="s">
        <v>1584</v>
      </c>
      <c r="G1958" s="112" t="s">
        <v>1472</v>
      </c>
      <c r="H1958" s="112" t="s">
        <v>1576</v>
      </c>
      <c r="I1958" s="112">
        <v>6951.9699680000003</v>
      </c>
    </row>
    <row r="1959" spans="1:9">
      <c r="A1959" s="112" t="s">
        <v>1473</v>
      </c>
      <c r="B1959" s="112" t="s">
        <v>1589</v>
      </c>
      <c r="C1959" s="112">
        <v>0.253456128</v>
      </c>
      <c r="D1959" s="112" t="s">
        <v>1584</v>
      </c>
      <c r="E1959" s="112" t="s">
        <v>1576</v>
      </c>
      <c r="F1959" s="112" t="s">
        <v>1584</v>
      </c>
      <c r="G1959" s="112" t="s">
        <v>1473</v>
      </c>
      <c r="H1959" s="112" t="s">
        <v>1576</v>
      </c>
      <c r="I1959" s="112">
        <v>343.179597</v>
      </c>
    </row>
    <row r="1960" spans="1:9">
      <c r="A1960" s="112" t="s">
        <v>1474</v>
      </c>
      <c r="B1960" s="112" t="s">
        <v>1589</v>
      </c>
      <c r="C1960" s="112">
        <v>193.57336430000001</v>
      </c>
      <c r="D1960" s="112" t="s">
        <v>1584</v>
      </c>
      <c r="E1960" s="112" t="s">
        <v>1576</v>
      </c>
      <c r="F1960" s="112" t="s">
        <v>1584</v>
      </c>
      <c r="G1960" s="112" t="s">
        <v>1474</v>
      </c>
      <c r="H1960" s="112" t="s">
        <v>1576</v>
      </c>
      <c r="I1960" s="112">
        <v>1974.448316</v>
      </c>
    </row>
    <row r="1961" spans="1:9">
      <c r="A1961" s="112" t="s">
        <v>1475</v>
      </c>
      <c r="B1961" s="112" t="s">
        <v>1589</v>
      </c>
      <c r="C1961" s="112">
        <v>116.4316864</v>
      </c>
      <c r="D1961" s="112" t="s">
        <v>1584</v>
      </c>
      <c r="E1961" s="112" t="s">
        <v>1576</v>
      </c>
      <c r="F1961" s="112" t="s">
        <v>1584</v>
      </c>
      <c r="G1961" s="112" t="s">
        <v>1475</v>
      </c>
      <c r="H1961" s="112" t="s">
        <v>1576</v>
      </c>
      <c r="I1961" s="112">
        <v>3810.4915529999998</v>
      </c>
    </row>
    <row r="1962" spans="1:9">
      <c r="A1962" s="112" t="s">
        <v>1476</v>
      </c>
      <c r="B1962" s="112" t="s">
        <v>1589</v>
      </c>
      <c r="C1962" s="112">
        <v>451.36966039999999</v>
      </c>
      <c r="D1962" s="112" t="s">
        <v>1584</v>
      </c>
      <c r="E1962" s="112" t="s">
        <v>1576</v>
      </c>
      <c r="F1962" s="112" t="s">
        <v>1584</v>
      </c>
      <c r="G1962" s="112" t="s">
        <v>1476</v>
      </c>
      <c r="H1962" s="112" t="s">
        <v>1576</v>
      </c>
      <c r="I1962" s="112">
        <v>5716.084691</v>
      </c>
    </row>
    <row r="1963" spans="1:9">
      <c r="A1963" s="112" t="s">
        <v>1477</v>
      </c>
      <c r="B1963" s="112" t="s">
        <v>1589</v>
      </c>
      <c r="C1963" s="112">
        <v>62.528137659999999</v>
      </c>
      <c r="D1963" s="112" t="s">
        <v>1584</v>
      </c>
      <c r="E1963" s="112" t="s">
        <v>1576</v>
      </c>
      <c r="F1963" s="112" t="s">
        <v>1584</v>
      </c>
      <c r="G1963" s="112" t="s">
        <v>1477</v>
      </c>
      <c r="H1963" s="112" t="s">
        <v>1576</v>
      </c>
      <c r="I1963" s="112">
        <v>2963.833725</v>
      </c>
    </row>
    <row r="1964" spans="1:9">
      <c r="A1964" s="112" t="s">
        <v>1478</v>
      </c>
      <c r="B1964" s="112" t="s">
        <v>1589</v>
      </c>
      <c r="C1964" s="112">
        <v>0</v>
      </c>
      <c r="D1964" s="112" t="s">
        <v>1584</v>
      </c>
      <c r="E1964" s="112" t="s">
        <v>1576</v>
      </c>
      <c r="F1964" s="112" t="s">
        <v>1584</v>
      </c>
      <c r="G1964" s="112" t="s">
        <v>1478</v>
      </c>
      <c r="H1964" s="112" t="s">
        <v>1576</v>
      </c>
      <c r="I1964" s="112">
        <v>295.55563819999998</v>
      </c>
    </row>
    <row r="1965" spans="1:9">
      <c r="A1965" s="112" t="s">
        <v>1479</v>
      </c>
      <c r="B1965" s="112" t="s">
        <v>1589</v>
      </c>
      <c r="C1965" s="112">
        <v>0</v>
      </c>
      <c r="D1965" s="112" t="s">
        <v>1584</v>
      </c>
      <c r="E1965" s="112" t="s">
        <v>1576</v>
      </c>
      <c r="F1965" s="112" t="s">
        <v>1584</v>
      </c>
      <c r="G1965" s="112" t="s">
        <v>1479</v>
      </c>
      <c r="H1965" s="112" t="s">
        <v>1576</v>
      </c>
      <c r="I1965" s="112">
        <v>0</v>
      </c>
    </row>
    <row r="1966" spans="1:9">
      <c r="A1966" s="112" t="s">
        <v>1480</v>
      </c>
      <c r="B1966" s="112" t="s">
        <v>1589</v>
      </c>
      <c r="C1966" s="112">
        <v>63.757720659999997</v>
      </c>
      <c r="D1966" s="112" t="s">
        <v>1584</v>
      </c>
      <c r="E1966" s="112" t="s">
        <v>1576</v>
      </c>
      <c r="F1966" s="112" t="s">
        <v>1584</v>
      </c>
      <c r="G1966" s="112" t="s">
        <v>1480</v>
      </c>
      <c r="H1966" s="112" t="s">
        <v>1576</v>
      </c>
      <c r="I1966" s="112">
        <v>1490.33672</v>
      </c>
    </row>
    <row r="1967" spans="1:9">
      <c r="A1967" s="112" t="s">
        <v>1481</v>
      </c>
      <c r="B1967" s="112" t="s">
        <v>1589</v>
      </c>
      <c r="C1967" s="112">
        <v>89.033320720000006</v>
      </c>
      <c r="D1967" s="112" t="s">
        <v>1584</v>
      </c>
      <c r="E1967" s="112" t="s">
        <v>1576</v>
      </c>
      <c r="F1967" s="112" t="s">
        <v>1584</v>
      </c>
      <c r="G1967" s="112" t="s">
        <v>1481</v>
      </c>
      <c r="H1967" s="112" t="s">
        <v>1576</v>
      </c>
      <c r="I1967" s="112">
        <v>645.49157520000006</v>
      </c>
    </row>
    <row r="1968" spans="1:9">
      <c r="A1968" s="112" t="s">
        <v>1482</v>
      </c>
      <c r="B1968" s="112" t="s">
        <v>1589</v>
      </c>
      <c r="C1968" s="112">
        <v>0</v>
      </c>
      <c r="D1968" s="112" t="s">
        <v>1584</v>
      </c>
      <c r="E1968" s="112" t="s">
        <v>1576</v>
      </c>
      <c r="F1968" s="112" t="s">
        <v>1584</v>
      </c>
      <c r="G1968" s="112" t="s">
        <v>1482</v>
      </c>
      <c r="H1968" s="112" t="s">
        <v>1576</v>
      </c>
      <c r="I1968" s="112">
        <v>6266.9376689999999</v>
      </c>
    </row>
    <row r="1969" spans="1:9">
      <c r="A1969" s="112" t="s">
        <v>1483</v>
      </c>
      <c r="B1969" s="112" t="s">
        <v>1589</v>
      </c>
      <c r="C1969" s="112">
        <v>162.61043960000001</v>
      </c>
      <c r="D1969" s="112" t="s">
        <v>1584</v>
      </c>
      <c r="E1969" s="112" t="s">
        <v>1576</v>
      </c>
      <c r="F1969" s="112" t="s">
        <v>1584</v>
      </c>
      <c r="G1969" s="112" t="s">
        <v>1483</v>
      </c>
      <c r="H1969" s="112" t="s">
        <v>1576</v>
      </c>
      <c r="I1969" s="112">
        <v>2222.342674</v>
      </c>
    </row>
    <row r="1970" spans="1:9">
      <c r="A1970" s="112" t="s">
        <v>1484</v>
      </c>
      <c r="B1970" s="112" t="s">
        <v>1589</v>
      </c>
      <c r="C1970" s="112">
        <v>300.3003003</v>
      </c>
      <c r="D1970" s="112" t="s">
        <v>1584</v>
      </c>
      <c r="E1970" s="112" t="s">
        <v>1576</v>
      </c>
      <c r="F1970" s="112" t="s">
        <v>1584</v>
      </c>
      <c r="G1970" s="112" t="s">
        <v>1484</v>
      </c>
      <c r="H1970" s="112" t="s">
        <v>1576</v>
      </c>
      <c r="I1970" s="112">
        <v>3003.0030029999998</v>
      </c>
    </row>
    <row r="1971" spans="1:9">
      <c r="A1971" s="112" t="s">
        <v>1485</v>
      </c>
      <c r="B1971" s="112" t="s">
        <v>1589</v>
      </c>
      <c r="C1971" s="112">
        <v>28.936524840000001</v>
      </c>
      <c r="D1971" s="112" t="s">
        <v>1584</v>
      </c>
      <c r="E1971" s="112" t="s">
        <v>1576</v>
      </c>
      <c r="F1971" s="112" t="s">
        <v>1584</v>
      </c>
      <c r="G1971" s="112" t="s">
        <v>1485</v>
      </c>
      <c r="H1971" s="112" t="s">
        <v>1576</v>
      </c>
      <c r="I1971" s="112">
        <v>358.81290810000002</v>
      </c>
    </row>
    <row r="1972" spans="1:9">
      <c r="A1972" s="112" t="s">
        <v>1486</v>
      </c>
      <c r="B1972" s="112" t="s">
        <v>1589</v>
      </c>
      <c r="C1972" s="112">
        <v>701.88400439999998</v>
      </c>
      <c r="D1972" s="112" t="s">
        <v>1584</v>
      </c>
      <c r="E1972" s="112" t="s">
        <v>1576</v>
      </c>
      <c r="F1972" s="112" t="s">
        <v>1584</v>
      </c>
      <c r="G1972" s="112" t="s">
        <v>1486</v>
      </c>
      <c r="H1972" s="112" t="s">
        <v>1576</v>
      </c>
      <c r="I1972" s="112">
        <v>4506.8341339999997</v>
      </c>
    </row>
    <row r="1973" spans="1:9">
      <c r="A1973" s="112" t="s">
        <v>1487</v>
      </c>
      <c r="B1973" s="112" t="s">
        <v>1589</v>
      </c>
      <c r="C1973" s="112">
        <v>0</v>
      </c>
      <c r="D1973" s="112" t="s">
        <v>1584</v>
      </c>
      <c r="E1973" s="112" t="s">
        <v>1576</v>
      </c>
      <c r="F1973" s="112" t="s">
        <v>1584</v>
      </c>
      <c r="G1973" s="112" t="s">
        <v>1487</v>
      </c>
      <c r="H1973" s="112" t="s">
        <v>1576</v>
      </c>
      <c r="I1973" s="112">
        <v>160.8973475</v>
      </c>
    </row>
    <row r="1974" spans="1:9">
      <c r="A1974" s="112" t="s">
        <v>1488</v>
      </c>
      <c r="B1974" s="112" t="s">
        <v>1589</v>
      </c>
      <c r="C1974" s="112">
        <v>0</v>
      </c>
      <c r="D1974" s="112" t="s">
        <v>1584</v>
      </c>
      <c r="E1974" s="112" t="s">
        <v>1576</v>
      </c>
      <c r="F1974" s="112" t="s">
        <v>1584</v>
      </c>
      <c r="G1974" s="112" t="s">
        <v>1488</v>
      </c>
      <c r="H1974" s="112" t="s">
        <v>1576</v>
      </c>
      <c r="I1974" s="112">
        <v>398.24771010000001</v>
      </c>
    </row>
    <row r="1975" spans="1:9">
      <c r="A1975" s="112" t="s">
        <v>1489</v>
      </c>
      <c r="B1975" s="112" t="s">
        <v>1589</v>
      </c>
      <c r="C1975" s="112">
        <v>104.8480577</v>
      </c>
      <c r="D1975" s="112" t="s">
        <v>1584</v>
      </c>
      <c r="E1975" s="112" t="s">
        <v>1576</v>
      </c>
      <c r="F1975" s="112" t="s">
        <v>1584</v>
      </c>
      <c r="G1975" s="112" t="s">
        <v>1489</v>
      </c>
      <c r="H1975" s="112" t="s">
        <v>1576</v>
      </c>
      <c r="I1975" s="112">
        <v>1060.130361</v>
      </c>
    </row>
    <row r="1976" spans="1:9">
      <c r="A1976" s="112" t="s">
        <v>1490</v>
      </c>
      <c r="B1976" s="112" t="s">
        <v>1589</v>
      </c>
      <c r="C1976" s="112">
        <v>0</v>
      </c>
      <c r="D1976" s="112" t="s">
        <v>1584</v>
      </c>
      <c r="E1976" s="112" t="s">
        <v>1576</v>
      </c>
      <c r="F1976" s="112" t="s">
        <v>1584</v>
      </c>
      <c r="G1976" s="112" t="s">
        <v>1490</v>
      </c>
      <c r="H1976" s="112" t="s">
        <v>1576</v>
      </c>
      <c r="I1976" s="112">
        <v>2522.068096</v>
      </c>
    </row>
    <row r="1977" spans="1:9">
      <c r="A1977" s="112" t="s">
        <v>1461</v>
      </c>
      <c r="B1977" s="112" t="s">
        <v>1590</v>
      </c>
      <c r="C1977" s="112">
        <v>85.720217250000005</v>
      </c>
      <c r="D1977" s="112" t="s">
        <v>1591</v>
      </c>
      <c r="E1977" s="112" t="s">
        <v>1576</v>
      </c>
      <c r="F1977" s="112" t="s">
        <v>1591</v>
      </c>
      <c r="G1977" s="112" t="s">
        <v>1461</v>
      </c>
      <c r="H1977" s="112" t="s">
        <v>1576</v>
      </c>
      <c r="I1977" s="112">
        <v>239.74873260000001</v>
      </c>
    </row>
    <row r="1978" spans="1:9">
      <c r="A1978" s="112" t="s">
        <v>1465</v>
      </c>
      <c r="B1978" s="112" t="s">
        <v>1590</v>
      </c>
      <c r="C1978" s="112">
        <v>0</v>
      </c>
      <c r="D1978" s="112" t="s">
        <v>1591</v>
      </c>
      <c r="E1978" s="112" t="s">
        <v>1576</v>
      </c>
      <c r="F1978" s="112" t="s">
        <v>1591</v>
      </c>
      <c r="G1978" s="112" t="s">
        <v>1465</v>
      </c>
      <c r="H1978" s="112" t="s">
        <v>1576</v>
      </c>
      <c r="I1978" s="112">
        <v>0</v>
      </c>
    </row>
    <row r="1979" spans="1:9">
      <c r="A1979" s="112" t="s">
        <v>1466</v>
      </c>
      <c r="B1979" s="112" t="s">
        <v>1590</v>
      </c>
      <c r="C1979" s="112">
        <v>0</v>
      </c>
      <c r="D1979" s="112" t="s">
        <v>1591</v>
      </c>
      <c r="E1979" s="112" t="s">
        <v>1576</v>
      </c>
      <c r="F1979" s="112" t="s">
        <v>1591</v>
      </c>
      <c r="G1979" s="112" t="s">
        <v>1466</v>
      </c>
      <c r="H1979" s="112" t="s">
        <v>1576</v>
      </c>
      <c r="I1979" s="112">
        <v>0</v>
      </c>
    </row>
    <row r="1980" spans="1:9">
      <c r="A1980" s="112" t="s">
        <v>1467</v>
      </c>
      <c r="B1980" s="112" t="s">
        <v>1590</v>
      </c>
      <c r="C1980" s="112">
        <v>101.3400893</v>
      </c>
      <c r="D1980" s="112" t="s">
        <v>1591</v>
      </c>
      <c r="E1980" s="112" t="s">
        <v>1576</v>
      </c>
      <c r="F1980" s="112" t="s">
        <v>1591</v>
      </c>
      <c r="G1980" s="112" t="s">
        <v>1467</v>
      </c>
      <c r="H1980" s="112" t="s">
        <v>1576</v>
      </c>
      <c r="I1980" s="112">
        <v>150.01000060000001</v>
      </c>
    </row>
    <row r="1981" spans="1:9">
      <c r="A1981" s="112" t="s">
        <v>1468</v>
      </c>
      <c r="B1981" s="112" t="s">
        <v>1590</v>
      </c>
      <c r="C1981" s="112">
        <v>0</v>
      </c>
      <c r="D1981" s="112" t="s">
        <v>1591</v>
      </c>
      <c r="E1981" s="112" t="s">
        <v>1576</v>
      </c>
      <c r="F1981" s="112" t="s">
        <v>1591</v>
      </c>
      <c r="G1981" s="112" t="s">
        <v>1468</v>
      </c>
      <c r="H1981" s="112" t="s">
        <v>1576</v>
      </c>
      <c r="I1981" s="112">
        <v>0</v>
      </c>
    </row>
    <row r="1982" spans="1:9">
      <c r="A1982" s="112" t="s">
        <v>1469</v>
      </c>
      <c r="B1982" s="112" t="s">
        <v>1590</v>
      </c>
      <c r="C1982" s="112">
        <v>0</v>
      </c>
      <c r="D1982" s="112" t="s">
        <v>1591</v>
      </c>
      <c r="E1982" s="112" t="s">
        <v>1576</v>
      </c>
      <c r="F1982" s="112" t="s">
        <v>1591</v>
      </c>
      <c r="G1982" s="112" t="s">
        <v>1469</v>
      </c>
      <c r="H1982" s="112" t="s">
        <v>1576</v>
      </c>
      <c r="I1982" s="112">
        <v>0</v>
      </c>
    </row>
    <row r="1983" spans="1:9">
      <c r="A1983" s="112" t="s">
        <v>1470</v>
      </c>
      <c r="B1983" s="112" t="s">
        <v>1590</v>
      </c>
      <c r="C1983" s="112">
        <v>1126.8875370000001</v>
      </c>
      <c r="D1983" s="112" t="s">
        <v>1591</v>
      </c>
      <c r="E1983" s="112" t="s">
        <v>1576</v>
      </c>
      <c r="F1983" s="112" t="s">
        <v>1591</v>
      </c>
      <c r="G1983" s="112" t="s">
        <v>1470</v>
      </c>
      <c r="H1983" s="112" t="s">
        <v>1576</v>
      </c>
      <c r="I1983" s="112">
        <v>4131.9209680000004</v>
      </c>
    </row>
    <row r="1984" spans="1:9">
      <c r="A1984" s="112" t="s">
        <v>1471</v>
      </c>
      <c r="B1984" s="112" t="s">
        <v>1590</v>
      </c>
      <c r="C1984" s="112">
        <v>135.16573869999999</v>
      </c>
      <c r="D1984" s="112" t="s">
        <v>1591</v>
      </c>
      <c r="E1984" s="112" t="s">
        <v>1576</v>
      </c>
      <c r="F1984" s="112" t="s">
        <v>1591</v>
      </c>
      <c r="G1984" s="112" t="s">
        <v>1471</v>
      </c>
      <c r="H1984" s="112" t="s">
        <v>1576</v>
      </c>
      <c r="I1984" s="112">
        <v>400.39662220000002</v>
      </c>
    </row>
    <row r="1985" spans="1:9">
      <c r="A1985" s="112" t="s">
        <v>1472</v>
      </c>
      <c r="B1985" s="112" t="s">
        <v>1590</v>
      </c>
      <c r="C1985" s="112">
        <v>2389.8908580000002</v>
      </c>
      <c r="D1985" s="112" t="s">
        <v>1591</v>
      </c>
      <c r="E1985" s="112" t="s">
        <v>1576</v>
      </c>
      <c r="F1985" s="112" t="s">
        <v>1591</v>
      </c>
      <c r="G1985" s="112" t="s">
        <v>1472</v>
      </c>
      <c r="H1985" s="112" t="s">
        <v>1576</v>
      </c>
      <c r="I1985" s="112">
        <v>7953.401965</v>
      </c>
    </row>
    <row r="1986" spans="1:9">
      <c r="A1986" s="112" t="s">
        <v>1473</v>
      </c>
      <c r="B1986" s="112" t="s">
        <v>1590</v>
      </c>
      <c r="C1986" s="112">
        <v>39.285699800000003</v>
      </c>
      <c r="D1986" s="112" t="s">
        <v>1591</v>
      </c>
      <c r="E1986" s="112" t="s">
        <v>1576</v>
      </c>
      <c r="F1986" s="112" t="s">
        <v>1591</v>
      </c>
      <c r="G1986" s="112" t="s">
        <v>1473</v>
      </c>
      <c r="H1986" s="112" t="s">
        <v>1576</v>
      </c>
      <c r="I1986" s="112">
        <v>193.89393770000001</v>
      </c>
    </row>
    <row r="1987" spans="1:9">
      <c r="A1987" s="112" t="s">
        <v>1474</v>
      </c>
      <c r="B1987" s="112" t="s">
        <v>1590</v>
      </c>
      <c r="C1987" s="112">
        <v>497.76007959999998</v>
      </c>
      <c r="D1987" s="112" t="s">
        <v>1591</v>
      </c>
      <c r="E1987" s="112" t="s">
        <v>1576</v>
      </c>
      <c r="F1987" s="112" t="s">
        <v>1591</v>
      </c>
      <c r="G1987" s="112" t="s">
        <v>1474</v>
      </c>
      <c r="H1987" s="112" t="s">
        <v>1576</v>
      </c>
      <c r="I1987" s="112">
        <v>1924.6723079999999</v>
      </c>
    </row>
    <row r="1988" spans="1:9">
      <c r="A1988" s="112" t="s">
        <v>1475</v>
      </c>
      <c r="B1988" s="112" t="s">
        <v>1590</v>
      </c>
      <c r="C1988" s="112">
        <v>1640.6283080000001</v>
      </c>
      <c r="D1988" s="112" t="s">
        <v>1591</v>
      </c>
      <c r="E1988" s="112" t="s">
        <v>1576</v>
      </c>
      <c r="F1988" s="112" t="s">
        <v>1591</v>
      </c>
      <c r="G1988" s="112" t="s">
        <v>1475</v>
      </c>
      <c r="H1988" s="112" t="s">
        <v>1576</v>
      </c>
      <c r="I1988" s="112">
        <v>5556.9668490000004</v>
      </c>
    </row>
    <row r="1989" spans="1:9">
      <c r="A1989" s="112" t="s">
        <v>1476</v>
      </c>
      <c r="B1989" s="112" t="s">
        <v>1590</v>
      </c>
      <c r="C1989" s="112">
        <v>2382.0180399999999</v>
      </c>
      <c r="D1989" s="112" t="s">
        <v>1591</v>
      </c>
      <c r="E1989" s="112" t="s">
        <v>1576</v>
      </c>
      <c r="F1989" s="112" t="s">
        <v>1591</v>
      </c>
      <c r="G1989" s="112" t="s">
        <v>1476</v>
      </c>
      <c r="H1989" s="112" t="s">
        <v>1576</v>
      </c>
      <c r="I1989" s="112">
        <v>9770.825589</v>
      </c>
    </row>
    <row r="1990" spans="1:9">
      <c r="A1990" s="112" t="s">
        <v>1477</v>
      </c>
      <c r="B1990" s="112" t="s">
        <v>1590</v>
      </c>
      <c r="C1990" s="112">
        <v>1688.2597169999999</v>
      </c>
      <c r="D1990" s="112" t="s">
        <v>1591</v>
      </c>
      <c r="E1990" s="112" t="s">
        <v>1576</v>
      </c>
      <c r="F1990" s="112" t="s">
        <v>1591</v>
      </c>
      <c r="G1990" s="112" t="s">
        <v>1477</v>
      </c>
      <c r="H1990" s="112" t="s">
        <v>1576</v>
      </c>
      <c r="I1990" s="112">
        <v>7565.9046580000004</v>
      </c>
    </row>
    <row r="1991" spans="1:9">
      <c r="A1991" s="112" t="s">
        <v>1478</v>
      </c>
      <c r="B1991" s="112" t="s">
        <v>1590</v>
      </c>
      <c r="C1991" s="112">
        <v>426.3438165</v>
      </c>
      <c r="D1991" s="112" t="s">
        <v>1591</v>
      </c>
      <c r="E1991" s="112" t="s">
        <v>1576</v>
      </c>
      <c r="F1991" s="112" t="s">
        <v>1591</v>
      </c>
      <c r="G1991" s="112" t="s">
        <v>1478</v>
      </c>
      <c r="H1991" s="112" t="s">
        <v>1576</v>
      </c>
      <c r="I1991" s="112">
        <v>644.96523219999995</v>
      </c>
    </row>
    <row r="1992" spans="1:9">
      <c r="A1992" s="112" t="s">
        <v>1479</v>
      </c>
      <c r="B1992" s="112" t="s">
        <v>1590</v>
      </c>
      <c r="C1992" s="112">
        <v>0</v>
      </c>
      <c r="D1992" s="112" t="s">
        <v>1591</v>
      </c>
      <c r="E1992" s="112" t="s">
        <v>1576</v>
      </c>
      <c r="F1992" s="112" t="s">
        <v>1591</v>
      </c>
      <c r="G1992" s="112" t="s">
        <v>1479</v>
      </c>
      <c r="H1992" s="112" t="s">
        <v>1576</v>
      </c>
      <c r="I1992" s="112">
        <v>0</v>
      </c>
    </row>
    <row r="1993" spans="1:9">
      <c r="A1993" s="112" t="s">
        <v>1480</v>
      </c>
      <c r="B1993" s="112" t="s">
        <v>1590</v>
      </c>
      <c r="C1993" s="112">
        <v>653.51663680000001</v>
      </c>
      <c r="D1993" s="112" t="s">
        <v>1591</v>
      </c>
      <c r="E1993" s="112" t="s">
        <v>1576</v>
      </c>
      <c r="F1993" s="112" t="s">
        <v>1591</v>
      </c>
      <c r="G1993" s="112" t="s">
        <v>1480</v>
      </c>
      <c r="H1993" s="112" t="s">
        <v>1576</v>
      </c>
      <c r="I1993" s="112">
        <v>1721.4584580000001</v>
      </c>
    </row>
    <row r="1994" spans="1:9">
      <c r="A1994" s="112" t="s">
        <v>1481</v>
      </c>
      <c r="B1994" s="112" t="s">
        <v>1590</v>
      </c>
      <c r="C1994" s="112">
        <v>0</v>
      </c>
      <c r="D1994" s="112" t="s">
        <v>1591</v>
      </c>
      <c r="E1994" s="112" t="s">
        <v>1576</v>
      </c>
      <c r="F1994" s="112" t="s">
        <v>1591</v>
      </c>
      <c r="G1994" s="112" t="s">
        <v>1481</v>
      </c>
      <c r="H1994" s="112" t="s">
        <v>1576</v>
      </c>
      <c r="I1994" s="112">
        <v>0</v>
      </c>
    </row>
    <row r="1995" spans="1:9">
      <c r="A1995" s="112" t="s">
        <v>1482</v>
      </c>
      <c r="B1995" s="112" t="s">
        <v>1590</v>
      </c>
      <c r="C1995" s="112">
        <v>0</v>
      </c>
      <c r="D1995" s="112" t="s">
        <v>1591</v>
      </c>
      <c r="E1995" s="112" t="s">
        <v>1576</v>
      </c>
      <c r="F1995" s="112" t="s">
        <v>1591</v>
      </c>
      <c r="G1995" s="112" t="s">
        <v>1482</v>
      </c>
      <c r="H1995" s="112" t="s">
        <v>1576</v>
      </c>
      <c r="I1995" s="112">
        <v>0</v>
      </c>
    </row>
    <row r="1996" spans="1:9">
      <c r="A1996" s="112" t="s">
        <v>1483</v>
      </c>
      <c r="B1996" s="112" t="s">
        <v>1590</v>
      </c>
      <c r="C1996" s="112">
        <v>0</v>
      </c>
      <c r="D1996" s="112" t="s">
        <v>1591</v>
      </c>
      <c r="E1996" s="112" t="s">
        <v>1576</v>
      </c>
      <c r="F1996" s="112" t="s">
        <v>1591</v>
      </c>
      <c r="G1996" s="112" t="s">
        <v>1483</v>
      </c>
      <c r="H1996" s="112" t="s">
        <v>1576</v>
      </c>
      <c r="I1996" s="112">
        <v>108.4069597</v>
      </c>
    </row>
    <row r="1997" spans="1:9">
      <c r="A1997" s="112" t="s">
        <v>1484</v>
      </c>
      <c r="B1997" s="112" t="s">
        <v>1590</v>
      </c>
      <c r="C1997" s="112">
        <v>0</v>
      </c>
      <c r="D1997" s="112" t="s">
        <v>1591</v>
      </c>
      <c r="E1997" s="112" t="s">
        <v>1576</v>
      </c>
      <c r="F1997" s="112" t="s">
        <v>1591</v>
      </c>
      <c r="G1997" s="112" t="s">
        <v>1484</v>
      </c>
      <c r="H1997" s="112" t="s">
        <v>1576</v>
      </c>
      <c r="I1997" s="112">
        <v>0</v>
      </c>
    </row>
    <row r="1998" spans="1:9">
      <c r="A1998" s="112" t="s">
        <v>1485</v>
      </c>
      <c r="B1998" s="112" t="s">
        <v>1590</v>
      </c>
      <c r="C1998" s="112">
        <v>0</v>
      </c>
      <c r="D1998" s="112" t="s">
        <v>1591</v>
      </c>
      <c r="E1998" s="112" t="s">
        <v>1576</v>
      </c>
      <c r="F1998" s="112" t="s">
        <v>1591</v>
      </c>
      <c r="G1998" s="112" t="s">
        <v>1485</v>
      </c>
      <c r="H1998" s="112" t="s">
        <v>1576</v>
      </c>
      <c r="I1998" s="112">
        <v>0</v>
      </c>
    </row>
    <row r="1999" spans="1:9">
      <c r="A1999" s="112" t="s">
        <v>1486</v>
      </c>
      <c r="B1999" s="112" t="s">
        <v>1590</v>
      </c>
      <c r="C1999" s="112">
        <v>0</v>
      </c>
      <c r="D1999" s="112" t="s">
        <v>1591</v>
      </c>
      <c r="E1999" s="112" t="s">
        <v>1576</v>
      </c>
      <c r="F1999" s="112" t="s">
        <v>1591</v>
      </c>
      <c r="G1999" s="112" t="s">
        <v>1486</v>
      </c>
      <c r="H1999" s="112" t="s">
        <v>1576</v>
      </c>
      <c r="I1999" s="112">
        <v>0</v>
      </c>
    </row>
    <row r="2000" spans="1:9">
      <c r="A2000" s="112" t="s">
        <v>1487</v>
      </c>
      <c r="B2000" s="112" t="s">
        <v>1590</v>
      </c>
      <c r="C2000" s="112">
        <v>0</v>
      </c>
      <c r="D2000" s="112" t="s">
        <v>1591</v>
      </c>
      <c r="E2000" s="112" t="s">
        <v>1576</v>
      </c>
      <c r="F2000" s="112" t="s">
        <v>1591</v>
      </c>
      <c r="G2000" s="112" t="s">
        <v>1487</v>
      </c>
      <c r="H2000" s="112" t="s">
        <v>1576</v>
      </c>
      <c r="I2000" s="112">
        <v>0</v>
      </c>
    </row>
    <row r="2001" spans="1:9">
      <c r="A2001" s="112" t="s">
        <v>1488</v>
      </c>
      <c r="B2001" s="112" t="s">
        <v>1590</v>
      </c>
      <c r="C2001" s="112">
        <v>0</v>
      </c>
      <c r="D2001" s="112" t="s">
        <v>1591</v>
      </c>
      <c r="E2001" s="112" t="s">
        <v>1576</v>
      </c>
      <c r="F2001" s="112" t="s">
        <v>1591</v>
      </c>
      <c r="G2001" s="112" t="s">
        <v>1488</v>
      </c>
      <c r="H2001" s="112" t="s">
        <v>1576</v>
      </c>
      <c r="I2001" s="112">
        <v>0</v>
      </c>
    </row>
    <row r="2002" spans="1:9">
      <c r="A2002" s="112" t="s">
        <v>1489</v>
      </c>
      <c r="B2002" s="112" t="s">
        <v>1590</v>
      </c>
      <c r="C2002" s="112">
        <v>0</v>
      </c>
      <c r="D2002" s="112" t="s">
        <v>1591</v>
      </c>
      <c r="E2002" s="112" t="s">
        <v>1576</v>
      </c>
      <c r="F2002" s="112" t="s">
        <v>1591</v>
      </c>
      <c r="G2002" s="112" t="s">
        <v>1489</v>
      </c>
      <c r="H2002" s="112" t="s">
        <v>1576</v>
      </c>
      <c r="I2002" s="112">
        <v>0</v>
      </c>
    </row>
    <row r="2003" spans="1:9">
      <c r="A2003" s="112" t="s">
        <v>1490</v>
      </c>
      <c r="B2003" s="112" t="s">
        <v>1590</v>
      </c>
      <c r="C2003" s="112">
        <v>0</v>
      </c>
      <c r="D2003" s="112" t="s">
        <v>1591</v>
      </c>
      <c r="E2003" s="112" t="s">
        <v>1576</v>
      </c>
      <c r="F2003" s="112" t="s">
        <v>1591</v>
      </c>
      <c r="G2003" s="112" t="s">
        <v>1490</v>
      </c>
      <c r="H2003" s="112" t="s">
        <v>1576</v>
      </c>
      <c r="I2003" s="112">
        <v>0</v>
      </c>
    </row>
    <row r="2004" spans="1:9">
      <c r="A2004" s="112" t="s">
        <v>1461</v>
      </c>
      <c r="B2004" s="112" t="s">
        <v>1592</v>
      </c>
      <c r="C2004" s="112">
        <v>23.4391219</v>
      </c>
      <c r="D2004" s="112" t="s">
        <v>1591</v>
      </c>
      <c r="E2004" s="112" t="s">
        <v>1576</v>
      </c>
      <c r="F2004" s="112" t="s">
        <v>1591</v>
      </c>
      <c r="G2004" s="112" t="s">
        <v>1461</v>
      </c>
      <c r="H2004" s="112" t="s">
        <v>1576</v>
      </c>
      <c r="I2004" s="112">
        <v>239.74873260000001</v>
      </c>
    </row>
    <row r="2005" spans="1:9">
      <c r="A2005" s="112" t="s">
        <v>1465</v>
      </c>
      <c r="B2005" s="112" t="s">
        <v>1592</v>
      </c>
      <c r="C2005" s="112">
        <v>0</v>
      </c>
      <c r="D2005" s="112" t="s">
        <v>1591</v>
      </c>
      <c r="E2005" s="112" t="s">
        <v>1576</v>
      </c>
      <c r="F2005" s="112" t="s">
        <v>1591</v>
      </c>
      <c r="G2005" s="112" t="s">
        <v>1465</v>
      </c>
      <c r="H2005" s="112" t="s">
        <v>1576</v>
      </c>
      <c r="I2005" s="112">
        <v>0</v>
      </c>
    </row>
    <row r="2006" spans="1:9">
      <c r="A2006" s="112" t="s">
        <v>1466</v>
      </c>
      <c r="B2006" s="112" t="s">
        <v>1592</v>
      </c>
      <c r="C2006" s="112">
        <v>0</v>
      </c>
      <c r="D2006" s="112" t="s">
        <v>1591</v>
      </c>
      <c r="E2006" s="112" t="s">
        <v>1576</v>
      </c>
      <c r="F2006" s="112" t="s">
        <v>1591</v>
      </c>
      <c r="G2006" s="112" t="s">
        <v>1466</v>
      </c>
      <c r="H2006" s="112" t="s">
        <v>1576</v>
      </c>
      <c r="I2006" s="112">
        <v>0</v>
      </c>
    </row>
    <row r="2007" spans="1:9">
      <c r="A2007" s="112" t="s">
        <v>1467</v>
      </c>
      <c r="B2007" s="112" t="s">
        <v>1592</v>
      </c>
      <c r="C2007" s="112">
        <v>2.0001333419999998</v>
      </c>
      <c r="D2007" s="112" t="s">
        <v>1591</v>
      </c>
      <c r="E2007" s="112" t="s">
        <v>1576</v>
      </c>
      <c r="F2007" s="112" t="s">
        <v>1591</v>
      </c>
      <c r="G2007" s="112" t="s">
        <v>1467</v>
      </c>
      <c r="H2007" s="112" t="s">
        <v>1576</v>
      </c>
      <c r="I2007" s="112">
        <v>150.01000060000001</v>
      </c>
    </row>
    <row r="2008" spans="1:9">
      <c r="A2008" s="112" t="s">
        <v>1468</v>
      </c>
      <c r="B2008" s="112" t="s">
        <v>1592</v>
      </c>
      <c r="C2008" s="112">
        <v>0</v>
      </c>
      <c r="D2008" s="112" t="s">
        <v>1591</v>
      </c>
      <c r="E2008" s="112" t="s">
        <v>1576</v>
      </c>
      <c r="F2008" s="112" t="s">
        <v>1591</v>
      </c>
      <c r="G2008" s="112" t="s">
        <v>1468</v>
      </c>
      <c r="H2008" s="112" t="s">
        <v>1576</v>
      </c>
      <c r="I2008" s="112">
        <v>0</v>
      </c>
    </row>
    <row r="2009" spans="1:9">
      <c r="A2009" s="112" t="s">
        <v>1469</v>
      </c>
      <c r="B2009" s="112" t="s">
        <v>1592</v>
      </c>
      <c r="C2009" s="112">
        <v>0</v>
      </c>
      <c r="D2009" s="112" t="s">
        <v>1591</v>
      </c>
      <c r="E2009" s="112" t="s">
        <v>1576</v>
      </c>
      <c r="F2009" s="112" t="s">
        <v>1591</v>
      </c>
      <c r="G2009" s="112" t="s">
        <v>1469</v>
      </c>
      <c r="H2009" s="112" t="s">
        <v>1576</v>
      </c>
      <c r="I2009" s="112">
        <v>0</v>
      </c>
    </row>
    <row r="2010" spans="1:9">
      <c r="A2010" s="112" t="s">
        <v>1470</v>
      </c>
      <c r="B2010" s="112" t="s">
        <v>1592</v>
      </c>
      <c r="C2010" s="112">
        <v>1126.8875370000001</v>
      </c>
      <c r="D2010" s="112" t="s">
        <v>1591</v>
      </c>
      <c r="E2010" s="112" t="s">
        <v>1576</v>
      </c>
      <c r="F2010" s="112" t="s">
        <v>1591</v>
      </c>
      <c r="G2010" s="112" t="s">
        <v>1470</v>
      </c>
      <c r="H2010" s="112" t="s">
        <v>1576</v>
      </c>
      <c r="I2010" s="112">
        <v>4131.9209680000004</v>
      </c>
    </row>
    <row r="2011" spans="1:9">
      <c r="A2011" s="112" t="s">
        <v>1471</v>
      </c>
      <c r="B2011" s="112" t="s">
        <v>1592</v>
      </c>
      <c r="C2011" s="112">
        <v>19.382256869999999</v>
      </c>
      <c r="D2011" s="112" t="s">
        <v>1591</v>
      </c>
      <c r="E2011" s="112" t="s">
        <v>1576</v>
      </c>
      <c r="F2011" s="112" t="s">
        <v>1591</v>
      </c>
      <c r="G2011" s="112" t="s">
        <v>1471</v>
      </c>
      <c r="H2011" s="112" t="s">
        <v>1576</v>
      </c>
      <c r="I2011" s="112">
        <v>400.39662220000002</v>
      </c>
    </row>
    <row r="2012" spans="1:9">
      <c r="A2012" s="112" t="s">
        <v>1472</v>
      </c>
      <c r="B2012" s="112" t="s">
        <v>1592</v>
      </c>
      <c r="C2012" s="112">
        <v>1499.729081</v>
      </c>
      <c r="D2012" s="112" t="s">
        <v>1591</v>
      </c>
      <c r="E2012" s="112" t="s">
        <v>1576</v>
      </c>
      <c r="F2012" s="112" t="s">
        <v>1591</v>
      </c>
      <c r="G2012" s="112" t="s">
        <v>1472</v>
      </c>
      <c r="H2012" s="112" t="s">
        <v>1576</v>
      </c>
      <c r="I2012" s="112">
        <v>7953.401965</v>
      </c>
    </row>
    <row r="2013" spans="1:9">
      <c r="A2013" s="112" t="s">
        <v>1473</v>
      </c>
      <c r="B2013" s="112" t="s">
        <v>1592</v>
      </c>
      <c r="C2013" s="112">
        <v>3.5483857890000001</v>
      </c>
      <c r="D2013" s="112" t="s">
        <v>1591</v>
      </c>
      <c r="E2013" s="112" t="s">
        <v>1576</v>
      </c>
      <c r="F2013" s="112" t="s">
        <v>1591</v>
      </c>
      <c r="G2013" s="112" t="s">
        <v>1473</v>
      </c>
      <c r="H2013" s="112" t="s">
        <v>1576</v>
      </c>
      <c r="I2013" s="112">
        <v>193.89393770000001</v>
      </c>
    </row>
    <row r="2014" spans="1:9">
      <c r="A2014" s="112" t="s">
        <v>1474</v>
      </c>
      <c r="B2014" s="112" t="s">
        <v>1592</v>
      </c>
      <c r="C2014" s="112">
        <v>326.30938550000002</v>
      </c>
      <c r="D2014" s="112" t="s">
        <v>1591</v>
      </c>
      <c r="E2014" s="112" t="s">
        <v>1576</v>
      </c>
      <c r="F2014" s="112" t="s">
        <v>1591</v>
      </c>
      <c r="G2014" s="112" t="s">
        <v>1474</v>
      </c>
      <c r="H2014" s="112" t="s">
        <v>1576</v>
      </c>
      <c r="I2014" s="112">
        <v>1924.6723079999999</v>
      </c>
    </row>
    <row r="2015" spans="1:9">
      <c r="A2015" s="112" t="s">
        <v>1475</v>
      </c>
      <c r="B2015" s="112" t="s">
        <v>1592</v>
      </c>
      <c r="C2015" s="112">
        <v>1333.6720439999999</v>
      </c>
      <c r="D2015" s="112" t="s">
        <v>1591</v>
      </c>
      <c r="E2015" s="112" t="s">
        <v>1576</v>
      </c>
      <c r="F2015" s="112" t="s">
        <v>1591</v>
      </c>
      <c r="G2015" s="112" t="s">
        <v>1475</v>
      </c>
      <c r="H2015" s="112" t="s">
        <v>1576</v>
      </c>
      <c r="I2015" s="112">
        <v>5556.9668490000004</v>
      </c>
    </row>
    <row r="2016" spans="1:9">
      <c r="A2016" s="112" t="s">
        <v>1476</v>
      </c>
      <c r="B2016" s="112" t="s">
        <v>1592</v>
      </c>
      <c r="C2016" s="112">
        <v>1888.925133</v>
      </c>
      <c r="D2016" s="112" t="s">
        <v>1591</v>
      </c>
      <c r="E2016" s="112" t="s">
        <v>1576</v>
      </c>
      <c r="F2016" s="112" t="s">
        <v>1591</v>
      </c>
      <c r="G2016" s="112" t="s">
        <v>1476</v>
      </c>
      <c r="H2016" s="112" t="s">
        <v>1576</v>
      </c>
      <c r="I2016" s="112">
        <v>9770.825589</v>
      </c>
    </row>
    <row r="2017" spans="1:9">
      <c r="A2017" s="112" t="s">
        <v>1477</v>
      </c>
      <c r="B2017" s="112" t="s">
        <v>1592</v>
      </c>
      <c r="C2017" s="112">
        <v>2363.5636039999999</v>
      </c>
      <c r="D2017" s="112" t="s">
        <v>1591</v>
      </c>
      <c r="E2017" s="112" t="s">
        <v>1576</v>
      </c>
      <c r="F2017" s="112" t="s">
        <v>1591</v>
      </c>
      <c r="G2017" s="112" t="s">
        <v>1477</v>
      </c>
      <c r="H2017" s="112" t="s">
        <v>1576</v>
      </c>
      <c r="I2017" s="112">
        <v>7565.9046580000004</v>
      </c>
    </row>
    <row r="2018" spans="1:9">
      <c r="A2018" s="112" t="s">
        <v>1478</v>
      </c>
      <c r="B2018" s="112" t="s">
        <v>1592</v>
      </c>
      <c r="C2018" s="112">
        <v>0</v>
      </c>
      <c r="D2018" s="112" t="s">
        <v>1591</v>
      </c>
      <c r="E2018" s="112" t="s">
        <v>1576</v>
      </c>
      <c r="F2018" s="112" t="s">
        <v>1591</v>
      </c>
      <c r="G2018" s="112" t="s">
        <v>1478</v>
      </c>
      <c r="H2018" s="112" t="s">
        <v>1576</v>
      </c>
      <c r="I2018" s="112">
        <v>644.96523219999995</v>
      </c>
    </row>
    <row r="2019" spans="1:9">
      <c r="A2019" s="112" t="s">
        <v>1479</v>
      </c>
      <c r="B2019" s="112" t="s">
        <v>1592</v>
      </c>
      <c r="C2019" s="112">
        <v>0</v>
      </c>
      <c r="D2019" s="112" t="s">
        <v>1591</v>
      </c>
      <c r="E2019" s="112" t="s">
        <v>1576</v>
      </c>
      <c r="F2019" s="112" t="s">
        <v>1591</v>
      </c>
      <c r="G2019" s="112" t="s">
        <v>1479</v>
      </c>
      <c r="H2019" s="112" t="s">
        <v>1576</v>
      </c>
      <c r="I2019" s="112">
        <v>0</v>
      </c>
    </row>
    <row r="2020" spans="1:9">
      <c r="A2020" s="112" t="s">
        <v>1480</v>
      </c>
      <c r="B2020" s="112" t="s">
        <v>1592</v>
      </c>
      <c r="C2020" s="112">
        <v>350.66746360000002</v>
      </c>
      <c r="D2020" s="112" t="s">
        <v>1591</v>
      </c>
      <c r="E2020" s="112" t="s">
        <v>1576</v>
      </c>
      <c r="F2020" s="112" t="s">
        <v>1591</v>
      </c>
      <c r="G2020" s="112" t="s">
        <v>1480</v>
      </c>
      <c r="H2020" s="112" t="s">
        <v>1576</v>
      </c>
      <c r="I2020" s="112">
        <v>1721.4584580000001</v>
      </c>
    </row>
    <row r="2021" spans="1:9">
      <c r="A2021" s="112" t="s">
        <v>1481</v>
      </c>
      <c r="B2021" s="112" t="s">
        <v>1592</v>
      </c>
      <c r="C2021" s="112">
        <v>0</v>
      </c>
      <c r="D2021" s="112" t="s">
        <v>1591</v>
      </c>
      <c r="E2021" s="112" t="s">
        <v>1576</v>
      </c>
      <c r="F2021" s="112" t="s">
        <v>1591</v>
      </c>
      <c r="G2021" s="112" t="s">
        <v>1481</v>
      </c>
      <c r="H2021" s="112" t="s">
        <v>1576</v>
      </c>
      <c r="I2021" s="112">
        <v>0</v>
      </c>
    </row>
    <row r="2022" spans="1:9">
      <c r="A2022" s="112" t="s">
        <v>1482</v>
      </c>
      <c r="B2022" s="112" t="s">
        <v>1592</v>
      </c>
      <c r="C2022" s="112">
        <v>0</v>
      </c>
      <c r="D2022" s="112" t="s">
        <v>1591</v>
      </c>
      <c r="E2022" s="112" t="s">
        <v>1576</v>
      </c>
      <c r="F2022" s="112" t="s">
        <v>1591</v>
      </c>
      <c r="G2022" s="112" t="s">
        <v>1482</v>
      </c>
      <c r="H2022" s="112" t="s">
        <v>1576</v>
      </c>
      <c r="I2022" s="112">
        <v>0</v>
      </c>
    </row>
    <row r="2023" spans="1:9">
      <c r="A2023" s="112" t="s">
        <v>1483</v>
      </c>
      <c r="B2023" s="112" t="s">
        <v>1592</v>
      </c>
      <c r="C2023" s="112">
        <v>54.203479860000002</v>
      </c>
      <c r="D2023" s="112" t="s">
        <v>1591</v>
      </c>
      <c r="E2023" s="112" t="s">
        <v>1576</v>
      </c>
      <c r="F2023" s="112" t="s">
        <v>1591</v>
      </c>
      <c r="G2023" s="112" t="s">
        <v>1483</v>
      </c>
      <c r="H2023" s="112" t="s">
        <v>1576</v>
      </c>
      <c r="I2023" s="112">
        <v>108.4069597</v>
      </c>
    </row>
    <row r="2024" spans="1:9">
      <c r="A2024" s="112" t="s">
        <v>1484</v>
      </c>
      <c r="B2024" s="112" t="s">
        <v>1592</v>
      </c>
      <c r="C2024" s="112">
        <v>0</v>
      </c>
      <c r="D2024" s="112" t="s">
        <v>1591</v>
      </c>
      <c r="E2024" s="112" t="s">
        <v>1576</v>
      </c>
      <c r="F2024" s="112" t="s">
        <v>1591</v>
      </c>
      <c r="G2024" s="112" t="s">
        <v>1484</v>
      </c>
      <c r="H2024" s="112" t="s">
        <v>1576</v>
      </c>
      <c r="I2024" s="112">
        <v>0</v>
      </c>
    </row>
    <row r="2025" spans="1:9">
      <c r="A2025" s="112" t="s">
        <v>1485</v>
      </c>
      <c r="B2025" s="112" t="s">
        <v>1592</v>
      </c>
      <c r="C2025" s="112">
        <v>0</v>
      </c>
      <c r="D2025" s="112" t="s">
        <v>1591</v>
      </c>
      <c r="E2025" s="112" t="s">
        <v>1576</v>
      </c>
      <c r="F2025" s="112" t="s">
        <v>1591</v>
      </c>
      <c r="G2025" s="112" t="s">
        <v>1485</v>
      </c>
      <c r="H2025" s="112" t="s">
        <v>1576</v>
      </c>
      <c r="I2025" s="112">
        <v>0</v>
      </c>
    </row>
    <row r="2026" spans="1:9">
      <c r="A2026" s="112" t="s">
        <v>1486</v>
      </c>
      <c r="B2026" s="112" t="s">
        <v>1592</v>
      </c>
      <c r="C2026" s="112">
        <v>0</v>
      </c>
      <c r="D2026" s="112" t="s">
        <v>1591</v>
      </c>
      <c r="E2026" s="112" t="s">
        <v>1576</v>
      </c>
      <c r="F2026" s="112" t="s">
        <v>1591</v>
      </c>
      <c r="G2026" s="112" t="s">
        <v>1486</v>
      </c>
      <c r="H2026" s="112" t="s">
        <v>1576</v>
      </c>
      <c r="I2026" s="112">
        <v>0</v>
      </c>
    </row>
    <row r="2027" spans="1:9">
      <c r="A2027" s="112" t="s">
        <v>1487</v>
      </c>
      <c r="B2027" s="112" t="s">
        <v>1592</v>
      </c>
      <c r="C2027" s="112">
        <v>0</v>
      </c>
      <c r="D2027" s="112" t="s">
        <v>1591</v>
      </c>
      <c r="E2027" s="112" t="s">
        <v>1576</v>
      </c>
      <c r="F2027" s="112" t="s">
        <v>1591</v>
      </c>
      <c r="G2027" s="112" t="s">
        <v>1487</v>
      </c>
      <c r="H2027" s="112" t="s">
        <v>1576</v>
      </c>
      <c r="I2027" s="112">
        <v>0</v>
      </c>
    </row>
    <row r="2028" spans="1:9">
      <c r="A2028" s="112" t="s">
        <v>1488</v>
      </c>
      <c r="B2028" s="112" t="s">
        <v>1592</v>
      </c>
      <c r="C2028" s="112">
        <v>0</v>
      </c>
      <c r="D2028" s="112" t="s">
        <v>1591</v>
      </c>
      <c r="E2028" s="112" t="s">
        <v>1576</v>
      </c>
      <c r="F2028" s="112" t="s">
        <v>1591</v>
      </c>
      <c r="G2028" s="112" t="s">
        <v>1488</v>
      </c>
      <c r="H2028" s="112" t="s">
        <v>1576</v>
      </c>
      <c r="I2028" s="112">
        <v>0</v>
      </c>
    </row>
    <row r="2029" spans="1:9">
      <c r="A2029" s="112" t="s">
        <v>1489</v>
      </c>
      <c r="B2029" s="112" t="s">
        <v>1592</v>
      </c>
      <c r="C2029" s="112">
        <v>0</v>
      </c>
      <c r="D2029" s="112" t="s">
        <v>1591</v>
      </c>
      <c r="E2029" s="112" t="s">
        <v>1576</v>
      </c>
      <c r="F2029" s="112" t="s">
        <v>1591</v>
      </c>
      <c r="G2029" s="112" t="s">
        <v>1489</v>
      </c>
      <c r="H2029" s="112" t="s">
        <v>1576</v>
      </c>
      <c r="I2029" s="112">
        <v>0</v>
      </c>
    </row>
    <row r="2030" spans="1:9">
      <c r="A2030" s="112" t="s">
        <v>1490</v>
      </c>
      <c r="B2030" s="112" t="s">
        <v>1592</v>
      </c>
      <c r="C2030" s="112">
        <v>0</v>
      </c>
      <c r="D2030" s="112" t="s">
        <v>1591</v>
      </c>
      <c r="E2030" s="112" t="s">
        <v>1576</v>
      </c>
      <c r="F2030" s="112" t="s">
        <v>1591</v>
      </c>
      <c r="G2030" s="112" t="s">
        <v>1490</v>
      </c>
      <c r="H2030" s="112" t="s">
        <v>1576</v>
      </c>
      <c r="I2030" s="112">
        <v>0</v>
      </c>
    </row>
    <row r="2031" spans="1:9">
      <c r="A2031" s="112" t="s">
        <v>1461</v>
      </c>
      <c r="B2031" s="112" t="s">
        <v>1593</v>
      </c>
      <c r="C2031" s="112">
        <v>66.299230530000003</v>
      </c>
      <c r="D2031" s="112" t="s">
        <v>1591</v>
      </c>
      <c r="E2031" s="112" t="s">
        <v>1576</v>
      </c>
      <c r="F2031" s="112" t="s">
        <v>1591</v>
      </c>
      <c r="G2031" s="112" t="s">
        <v>1461</v>
      </c>
      <c r="H2031" s="112" t="s">
        <v>1576</v>
      </c>
      <c r="I2031" s="112">
        <v>239.74873260000001</v>
      </c>
    </row>
    <row r="2032" spans="1:9">
      <c r="A2032" s="112" t="s">
        <v>1465</v>
      </c>
      <c r="B2032" s="112" t="s">
        <v>1593</v>
      </c>
      <c r="C2032" s="112">
        <v>0</v>
      </c>
      <c r="D2032" s="112" t="s">
        <v>1591</v>
      </c>
      <c r="E2032" s="112" t="s">
        <v>1576</v>
      </c>
      <c r="F2032" s="112" t="s">
        <v>1591</v>
      </c>
      <c r="G2032" s="112" t="s">
        <v>1465</v>
      </c>
      <c r="H2032" s="112" t="s">
        <v>1576</v>
      </c>
      <c r="I2032" s="112">
        <v>0</v>
      </c>
    </row>
    <row r="2033" spans="1:9">
      <c r="A2033" s="112" t="s">
        <v>1466</v>
      </c>
      <c r="B2033" s="112" t="s">
        <v>1593</v>
      </c>
      <c r="C2033" s="112">
        <v>0</v>
      </c>
      <c r="D2033" s="112" t="s">
        <v>1591</v>
      </c>
      <c r="E2033" s="112" t="s">
        <v>1576</v>
      </c>
      <c r="F2033" s="112" t="s">
        <v>1591</v>
      </c>
      <c r="G2033" s="112" t="s">
        <v>1466</v>
      </c>
      <c r="H2033" s="112" t="s">
        <v>1576</v>
      </c>
      <c r="I2033" s="112">
        <v>0</v>
      </c>
    </row>
    <row r="2034" spans="1:9">
      <c r="A2034" s="112" t="s">
        <v>1467</v>
      </c>
      <c r="B2034" s="112" t="s">
        <v>1593</v>
      </c>
      <c r="C2034" s="112">
        <v>44.00293353</v>
      </c>
      <c r="D2034" s="112" t="s">
        <v>1591</v>
      </c>
      <c r="E2034" s="112" t="s">
        <v>1576</v>
      </c>
      <c r="F2034" s="112" t="s">
        <v>1591</v>
      </c>
      <c r="G2034" s="112" t="s">
        <v>1467</v>
      </c>
      <c r="H2034" s="112" t="s">
        <v>1576</v>
      </c>
      <c r="I2034" s="112">
        <v>150.01000060000001</v>
      </c>
    </row>
    <row r="2035" spans="1:9">
      <c r="A2035" s="112" t="s">
        <v>1468</v>
      </c>
      <c r="B2035" s="112" t="s">
        <v>1593</v>
      </c>
      <c r="C2035" s="112">
        <v>0</v>
      </c>
      <c r="D2035" s="112" t="s">
        <v>1591</v>
      </c>
      <c r="E2035" s="112" t="s">
        <v>1576</v>
      </c>
      <c r="F2035" s="112" t="s">
        <v>1591</v>
      </c>
      <c r="G2035" s="112" t="s">
        <v>1468</v>
      </c>
      <c r="H2035" s="112" t="s">
        <v>1576</v>
      </c>
      <c r="I2035" s="112">
        <v>0</v>
      </c>
    </row>
    <row r="2036" spans="1:9">
      <c r="A2036" s="112" t="s">
        <v>1469</v>
      </c>
      <c r="B2036" s="112" t="s">
        <v>1593</v>
      </c>
      <c r="C2036" s="112">
        <v>0</v>
      </c>
      <c r="D2036" s="112" t="s">
        <v>1591</v>
      </c>
      <c r="E2036" s="112" t="s">
        <v>1576</v>
      </c>
      <c r="F2036" s="112" t="s">
        <v>1591</v>
      </c>
      <c r="G2036" s="112" t="s">
        <v>1469</v>
      </c>
      <c r="H2036" s="112" t="s">
        <v>1576</v>
      </c>
      <c r="I2036" s="112">
        <v>0</v>
      </c>
    </row>
    <row r="2037" spans="1:9">
      <c r="A2037" s="112" t="s">
        <v>1470</v>
      </c>
      <c r="B2037" s="112" t="s">
        <v>1593</v>
      </c>
      <c r="C2037" s="112">
        <v>676.13252199999999</v>
      </c>
      <c r="D2037" s="112" t="s">
        <v>1591</v>
      </c>
      <c r="E2037" s="112" t="s">
        <v>1576</v>
      </c>
      <c r="F2037" s="112" t="s">
        <v>1591</v>
      </c>
      <c r="G2037" s="112" t="s">
        <v>1470</v>
      </c>
      <c r="H2037" s="112" t="s">
        <v>1576</v>
      </c>
      <c r="I2037" s="112">
        <v>4131.9209680000004</v>
      </c>
    </row>
    <row r="2038" spans="1:9">
      <c r="A2038" s="112" t="s">
        <v>1471</v>
      </c>
      <c r="B2038" s="112" t="s">
        <v>1593</v>
      </c>
      <c r="C2038" s="112">
        <v>3.570415739</v>
      </c>
      <c r="D2038" s="112" t="s">
        <v>1591</v>
      </c>
      <c r="E2038" s="112" t="s">
        <v>1576</v>
      </c>
      <c r="F2038" s="112" t="s">
        <v>1591</v>
      </c>
      <c r="G2038" s="112" t="s">
        <v>1471</v>
      </c>
      <c r="H2038" s="112" t="s">
        <v>1576</v>
      </c>
      <c r="I2038" s="112">
        <v>400.39662220000002</v>
      </c>
    </row>
    <row r="2039" spans="1:9">
      <c r="A2039" s="112" t="s">
        <v>1472</v>
      </c>
      <c r="B2039" s="112" t="s">
        <v>1593</v>
      </c>
      <c r="C2039" s="112">
        <v>2070.593699</v>
      </c>
      <c r="D2039" s="112" t="s">
        <v>1591</v>
      </c>
      <c r="E2039" s="112" t="s">
        <v>1576</v>
      </c>
      <c r="F2039" s="112" t="s">
        <v>1591</v>
      </c>
      <c r="G2039" s="112" t="s">
        <v>1472</v>
      </c>
      <c r="H2039" s="112" t="s">
        <v>1576</v>
      </c>
      <c r="I2039" s="112">
        <v>7953.401965</v>
      </c>
    </row>
    <row r="2040" spans="1:9">
      <c r="A2040" s="112" t="s">
        <v>1473</v>
      </c>
      <c r="B2040" s="112" t="s">
        <v>1593</v>
      </c>
      <c r="C2040" s="112">
        <v>86.175083439999995</v>
      </c>
      <c r="D2040" s="112" t="s">
        <v>1591</v>
      </c>
      <c r="E2040" s="112" t="s">
        <v>1576</v>
      </c>
      <c r="F2040" s="112" t="s">
        <v>1591</v>
      </c>
      <c r="G2040" s="112" t="s">
        <v>1473</v>
      </c>
      <c r="H2040" s="112" t="s">
        <v>1576</v>
      </c>
      <c r="I2040" s="112">
        <v>193.89393770000001</v>
      </c>
    </row>
    <row r="2041" spans="1:9">
      <c r="A2041" s="112" t="s">
        <v>1474</v>
      </c>
      <c r="B2041" s="112" t="s">
        <v>1593</v>
      </c>
      <c r="C2041" s="112">
        <v>309.71738290000002</v>
      </c>
      <c r="D2041" s="112" t="s">
        <v>1591</v>
      </c>
      <c r="E2041" s="112" t="s">
        <v>1576</v>
      </c>
      <c r="F2041" s="112" t="s">
        <v>1591</v>
      </c>
      <c r="G2041" s="112" t="s">
        <v>1474</v>
      </c>
      <c r="H2041" s="112" t="s">
        <v>1576</v>
      </c>
      <c r="I2041" s="112">
        <v>1924.6723079999999</v>
      </c>
    </row>
    <row r="2042" spans="1:9">
      <c r="A2042" s="112" t="s">
        <v>1475</v>
      </c>
      <c r="B2042" s="112" t="s">
        <v>1593</v>
      </c>
      <c r="C2042" s="112">
        <v>1354.841441</v>
      </c>
      <c r="D2042" s="112" t="s">
        <v>1591</v>
      </c>
      <c r="E2042" s="112" t="s">
        <v>1576</v>
      </c>
      <c r="F2042" s="112" t="s">
        <v>1591</v>
      </c>
      <c r="G2042" s="112" t="s">
        <v>1475</v>
      </c>
      <c r="H2042" s="112" t="s">
        <v>1576</v>
      </c>
      <c r="I2042" s="112">
        <v>5556.9668490000004</v>
      </c>
    </row>
    <row r="2043" spans="1:9">
      <c r="A2043" s="112" t="s">
        <v>1476</v>
      </c>
      <c r="B2043" s="112" t="s">
        <v>1593</v>
      </c>
      <c r="C2043" s="112">
        <v>1915.4762900000001</v>
      </c>
      <c r="D2043" s="112" t="s">
        <v>1591</v>
      </c>
      <c r="E2043" s="112" t="s">
        <v>1576</v>
      </c>
      <c r="F2043" s="112" t="s">
        <v>1591</v>
      </c>
      <c r="G2043" s="112" t="s">
        <v>1476</v>
      </c>
      <c r="H2043" s="112" t="s">
        <v>1576</v>
      </c>
      <c r="I2043" s="112">
        <v>9770.825589</v>
      </c>
    </row>
    <row r="2044" spans="1:9">
      <c r="A2044" s="112" t="s">
        <v>1477</v>
      </c>
      <c r="B2044" s="112" t="s">
        <v>1593</v>
      </c>
      <c r="C2044" s="112">
        <v>1763.293482</v>
      </c>
      <c r="D2044" s="112" t="s">
        <v>1591</v>
      </c>
      <c r="E2044" s="112" t="s">
        <v>1576</v>
      </c>
      <c r="F2044" s="112" t="s">
        <v>1591</v>
      </c>
      <c r="G2044" s="112" t="s">
        <v>1477</v>
      </c>
      <c r="H2044" s="112" t="s">
        <v>1576</v>
      </c>
      <c r="I2044" s="112">
        <v>7565.9046580000004</v>
      </c>
    </row>
    <row r="2045" spans="1:9">
      <c r="A2045" s="112" t="s">
        <v>1478</v>
      </c>
      <c r="B2045" s="112" t="s">
        <v>1593</v>
      </c>
      <c r="C2045" s="112">
        <v>134.63488939999999</v>
      </c>
      <c r="D2045" s="112" t="s">
        <v>1591</v>
      </c>
      <c r="E2045" s="112" t="s">
        <v>1576</v>
      </c>
      <c r="F2045" s="112" t="s">
        <v>1591</v>
      </c>
      <c r="G2045" s="112" t="s">
        <v>1478</v>
      </c>
      <c r="H2045" s="112" t="s">
        <v>1576</v>
      </c>
      <c r="I2045" s="112">
        <v>644.96523219999995</v>
      </c>
    </row>
    <row r="2046" spans="1:9">
      <c r="A2046" s="112" t="s">
        <v>1479</v>
      </c>
      <c r="B2046" s="112" t="s">
        <v>1593</v>
      </c>
      <c r="C2046" s="112">
        <v>0</v>
      </c>
      <c r="D2046" s="112" t="s">
        <v>1591</v>
      </c>
      <c r="E2046" s="112" t="s">
        <v>1576</v>
      </c>
      <c r="F2046" s="112" t="s">
        <v>1591</v>
      </c>
      <c r="G2046" s="112" t="s">
        <v>1479</v>
      </c>
      <c r="H2046" s="112" t="s">
        <v>1576</v>
      </c>
      <c r="I2046" s="112">
        <v>0</v>
      </c>
    </row>
    <row r="2047" spans="1:9">
      <c r="A2047" s="112" t="s">
        <v>1480</v>
      </c>
      <c r="B2047" s="112" t="s">
        <v>1593</v>
      </c>
      <c r="C2047" s="112">
        <v>374.5766089</v>
      </c>
      <c r="D2047" s="112" t="s">
        <v>1591</v>
      </c>
      <c r="E2047" s="112" t="s">
        <v>1576</v>
      </c>
      <c r="F2047" s="112" t="s">
        <v>1591</v>
      </c>
      <c r="G2047" s="112" t="s">
        <v>1480</v>
      </c>
      <c r="H2047" s="112" t="s">
        <v>1576</v>
      </c>
      <c r="I2047" s="112">
        <v>1721.4584580000001</v>
      </c>
    </row>
    <row r="2048" spans="1:9">
      <c r="A2048" s="112" t="s">
        <v>1481</v>
      </c>
      <c r="B2048" s="112" t="s">
        <v>1593</v>
      </c>
      <c r="C2048" s="112">
        <v>0</v>
      </c>
      <c r="D2048" s="112" t="s">
        <v>1591</v>
      </c>
      <c r="E2048" s="112" t="s">
        <v>1576</v>
      </c>
      <c r="F2048" s="112" t="s">
        <v>1591</v>
      </c>
      <c r="G2048" s="112" t="s">
        <v>1481</v>
      </c>
      <c r="H2048" s="112" t="s">
        <v>1576</v>
      </c>
      <c r="I2048" s="112">
        <v>0</v>
      </c>
    </row>
    <row r="2049" spans="1:9">
      <c r="A2049" s="112" t="s">
        <v>1482</v>
      </c>
      <c r="B2049" s="112" t="s">
        <v>1593</v>
      </c>
      <c r="C2049" s="112">
        <v>0</v>
      </c>
      <c r="D2049" s="112" t="s">
        <v>1591</v>
      </c>
      <c r="E2049" s="112" t="s">
        <v>1576</v>
      </c>
      <c r="F2049" s="112" t="s">
        <v>1591</v>
      </c>
      <c r="G2049" s="112" t="s">
        <v>1482</v>
      </c>
      <c r="H2049" s="112" t="s">
        <v>1576</v>
      </c>
      <c r="I2049" s="112">
        <v>0</v>
      </c>
    </row>
    <row r="2050" spans="1:9">
      <c r="A2050" s="112" t="s">
        <v>1483</v>
      </c>
      <c r="B2050" s="112" t="s">
        <v>1593</v>
      </c>
      <c r="C2050" s="112">
        <v>54.203479860000002</v>
      </c>
      <c r="D2050" s="112" t="s">
        <v>1591</v>
      </c>
      <c r="E2050" s="112" t="s">
        <v>1576</v>
      </c>
      <c r="F2050" s="112" t="s">
        <v>1591</v>
      </c>
      <c r="G2050" s="112" t="s">
        <v>1483</v>
      </c>
      <c r="H2050" s="112" t="s">
        <v>1576</v>
      </c>
      <c r="I2050" s="112">
        <v>108.4069597</v>
      </c>
    </row>
    <row r="2051" spans="1:9">
      <c r="A2051" s="112" t="s">
        <v>1484</v>
      </c>
      <c r="B2051" s="112" t="s">
        <v>1593</v>
      </c>
      <c r="C2051" s="112">
        <v>0</v>
      </c>
      <c r="D2051" s="112" t="s">
        <v>1591</v>
      </c>
      <c r="E2051" s="112" t="s">
        <v>1576</v>
      </c>
      <c r="F2051" s="112" t="s">
        <v>1591</v>
      </c>
      <c r="G2051" s="112" t="s">
        <v>1484</v>
      </c>
      <c r="H2051" s="112" t="s">
        <v>1576</v>
      </c>
      <c r="I2051" s="112">
        <v>0</v>
      </c>
    </row>
    <row r="2052" spans="1:9">
      <c r="A2052" s="112" t="s">
        <v>1485</v>
      </c>
      <c r="B2052" s="112" t="s">
        <v>1593</v>
      </c>
      <c r="C2052" s="112">
        <v>0</v>
      </c>
      <c r="D2052" s="112" t="s">
        <v>1591</v>
      </c>
      <c r="E2052" s="112" t="s">
        <v>1576</v>
      </c>
      <c r="F2052" s="112" t="s">
        <v>1591</v>
      </c>
      <c r="G2052" s="112" t="s">
        <v>1485</v>
      </c>
      <c r="H2052" s="112" t="s">
        <v>1576</v>
      </c>
      <c r="I2052" s="112">
        <v>0</v>
      </c>
    </row>
    <row r="2053" spans="1:9">
      <c r="A2053" s="112" t="s">
        <v>1486</v>
      </c>
      <c r="B2053" s="112" t="s">
        <v>1593</v>
      </c>
      <c r="C2053" s="112">
        <v>0</v>
      </c>
      <c r="D2053" s="112" t="s">
        <v>1591</v>
      </c>
      <c r="E2053" s="112" t="s">
        <v>1576</v>
      </c>
      <c r="F2053" s="112" t="s">
        <v>1591</v>
      </c>
      <c r="G2053" s="112" t="s">
        <v>1486</v>
      </c>
      <c r="H2053" s="112" t="s">
        <v>1576</v>
      </c>
      <c r="I2053" s="112">
        <v>0</v>
      </c>
    </row>
    <row r="2054" spans="1:9">
      <c r="A2054" s="112" t="s">
        <v>1487</v>
      </c>
      <c r="B2054" s="112" t="s">
        <v>1593</v>
      </c>
      <c r="C2054" s="112">
        <v>0</v>
      </c>
      <c r="D2054" s="112" t="s">
        <v>1591</v>
      </c>
      <c r="E2054" s="112" t="s">
        <v>1576</v>
      </c>
      <c r="F2054" s="112" t="s">
        <v>1591</v>
      </c>
      <c r="G2054" s="112" t="s">
        <v>1487</v>
      </c>
      <c r="H2054" s="112" t="s">
        <v>1576</v>
      </c>
      <c r="I2054" s="112">
        <v>0</v>
      </c>
    </row>
    <row r="2055" spans="1:9">
      <c r="A2055" s="112" t="s">
        <v>1488</v>
      </c>
      <c r="B2055" s="112" t="s">
        <v>1593</v>
      </c>
      <c r="C2055" s="112">
        <v>0</v>
      </c>
      <c r="D2055" s="112" t="s">
        <v>1591</v>
      </c>
      <c r="E2055" s="112" t="s">
        <v>1576</v>
      </c>
      <c r="F2055" s="112" t="s">
        <v>1591</v>
      </c>
      <c r="G2055" s="112" t="s">
        <v>1488</v>
      </c>
      <c r="H2055" s="112" t="s">
        <v>1576</v>
      </c>
      <c r="I2055" s="112">
        <v>0</v>
      </c>
    </row>
    <row r="2056" spans="1:9">
      <c r="A2056" s="112" t="s">
        <v>1489</v>
      </c>
      <c r="B2056" s="112" t="s">
        <v>1593</v>
      </c>
      <c r="C2056" s="112">
        <v>0</v>
      </c>
      <c r="D2056" s="112" t="s">
        <v>1591</v>
      </c>
      <c r="E2056" s="112" t="s">
        <v>1576</v>
      </c>
      <c r="F2056" s="112" t="s">
        <v>1591</v>
      </c>
      <c r="G2056" s="112" t="s">
        <v>1489</v>
      </c>
      <c r="H2056" s="112" t="s">
        <v>1576</v>
      </c>
      <c r="I2056" s="112">
        <v>0</v>
      </c>
    </row>
    <row r="2057" spans="1:9">
      <c r="A2057" s="112" t="s">
        <v>1490</v>
      </c>
      <c r="B2057" s="112" t="s">
        <v>1593</v>
      </c>
      <c r="C2057" s="112">
        <v>0</v>
      </c>
      <c r="D2057" s="112" t="s">
        <v>1591</v>
      </c>
      <c r="E2057" s="112" t="s">
        <v>1576</v>
      </c>
      <c r="F2057" s="112" t="s">
        <v>1591</v>
      </c>
      <c r="G2057" s="112" t="s">
        <v>1490</v>
      </c>
      <c r="H2057" s="112" t="s">
        <v>1576</v>
      </c>
      <c r="I2057" s="112">
        <v>0</v>
      </c>
    </row>
    <row r="2058" spans="1:9">
      <c r="A2058" s="112" t="s">
        <v>1461</v>
      </c>
      <c r="B2058" s="112" t="s">
        <v>1594</v>
      </c>
      <c r="C2058" s="112">
        <v>64.290162940000002</v>
      </c>
      <c r="D2058" s="112" t="s">
        <v>1591</v>
      </c>
      <c r="E2058" s="112" t="s">
        <v>1576</v>
      </c>
      <c r="F2058" s="112" t="s">
        <v>1591</v>
      </c>
      <c r="G2058" s="112" t="s">
        <v>1461</v>
      </c>
      <c r="H2058" s="112" t="s">
        <v>1576</v>
      </c>
      <c r="I2058" s="112">
        <v>239.74873260000001</v>
      </c>
    </row>
    <row r="2059" spans="1:9">
      <c r="A2059" s="112" t="s">
        <v>1465</v>
      </c>
      <c r="B2059" s="112" t="s">
        <v>1594</v>
      </c>
      <c r="C2059" s="112">
        <v>0</v>
      </c>
      <c r="D2059" s="112" t="s">
        <v>1591</v>
      </c>
      <c r="E2059" s="112" t="s">
        <v>1576</v>
      </c>
      <c r="F2059" s="112" t="s">
        <v>1591</v>
      </c>
      <c r="G2059" s="112" t="s">
        <v>1465</v>
      </c>
      <c r="H2059" s="112" t="s">
        <v>1576</v>
      </c>
      <c r="I2059" s="112">
        <v>0</v>
      </c>
    </row>
    <row r="2060" spans="1:9">
      <c r="A2060" s="112" t="s">
        <v>1466</v>
      </c>
      <c r="B2060" s="112" t="s">
        <v>1594</v>
      </c>
      <c r="C2060" s="112">
        <v>0</v>
      </c>
      <c r="D2060" s="112" t="s">
        <v>1591</v>
      </c>
      <c r="E2060" s="112" t="s">
        <v>1576</v>
      </c>
      <c r="F2060" s="112" t="s">
        <v>1591</v>
      </c>
      <c r="G2060" s="112" t="s">
        <v>1466</v>
      </c>
      <c r="H2060" s="112" t="s">
        <v>1576</v>
      </c>
      <c r="I2060" s="112">
        <v>0</v>
      </c>
    </row>
    <row r="2061" spans="1:9">
      <c r="A2061" s="112" t="s">
        <v>1467</v>
      </c>
      <c r="B2061" s="112" t="s">
        <v>1594</v>
      </c>
      <c r="C2061" s="112">
        <v>2.6668444560000002</v>
      </c>
      <c r="D2061" s="112" t="s">
        <v>1591</v>
      </c>
      <c r="E2061" s="112" t="s">
        <v>1576</v>
      </c>
      <c r="F2061" s="112" t="s">
        <v>1591</v>
      </c>
      <c r="G2061" s="112" t="s">
        <v>1467</v>
      </c>
      <c r="H2061" s="112" t="s">
        <v>1576</v>
      </c>
      <c r="I2061" s="112">
        <v>150.01000060000001</v>
      </c>
    </row>
    <row r="2062" spans="1:9">
      <c r="A2062" s="112" t="s">
        <v>1468</v>
      </c>
      <c r="B2062" s="112" t="s">
        <v>1594</v>
      </c>
      <c r="C2062" s="112">
        <v>0</v>
      </c>
      <c r="D2062" s="112" t="s">
        <v>1591</v>
      </c>
      <c r="E2062" s="112" t="s">
        <v>1576</v>
      </c>
      <c r="F2062" s="112" t="s">
        <v>1591</v>
      </c>
      <c r="G2062" s="112" t="s">
        <v>1468</v>
      </c>
      <c r="H2062" s="112" t="s">
        <v>1576</v>
      </c>
      <c r="I2062" s="112">
        <v>0</v>
      </c>
    </row>
    <row r="2063" spans="1:9">
      <c r="A2063" s="112" t="s">
        <v>1469</v>
      </c>
      <c r="B2063" s="112" t="s">
        <v>1594</v>
      </c>
      <c r="C2063" s="112">
        <v>0</v>
      </c>
      <c r="D2063" s="112" t="s">
        <v>1591</v>
      </c>
      <c r="E2063" s="112" t="s">
        <v>1576</v>
      </c>
      <c r="F2063" s="112" t="s">
        <v>1591</v>
      </c>
      <c r="G2063" s="112" t="s">
        <v>1469</v>
      </c>
      <c r="H2063" s="112" t="s">
        <v>1576</v>
      </c>
      <c r="I2063" s="112">
        <v>0</v>
      </c>
    </row>
    <row r="2064" spans="1:9">
      <c r="A2064" s="112" t="s">
        <v>1470</v>
      </c>
      <c r="B2064" s="112" t="s">
        <v>1594</v>
      </c>
      <c r="C2064" s="112">
        <v>1202.0133719999999</v>
      </c>
      <c r="D2064" s="112" t="s">
        <v>1591</v>
      </c>
      <c r="E2064" s="112" t="s">
        <v>1576</v>
      </c>
      <c r="F2064" s="112" t="s">
        <v>1591</v>
      </c>
      <c r="G2064" s="112" t="s">
        <v>1470</v>
      </c>
      <c r="H2064" s="112" t="s">
        <v>1576</v>
      </c>
      <c r="I2064" s="112">
        <v>4131.9209680000004</v>
      </c>
    </row>
    <row r="2065" spans="1:9">
      <c r="A2065" s="112" t="s">
        <v>1471</v>
      </c>
      <c r="B2065" s="112" t="s">
        <v>1594</v>
      </c>
      <c r="C2065" s="112">
        <v>242.2782109</v>
      </c>
      <c r="D2065" s="112" t="s">
        <v>1591</v>
      </c>
      <c r="E2065" s="112" t="s">
        <v>1576</v>
      </c>
      <c r="F2065" s="112" t="s">
        <v>1591</v>
      </c>
      <c r="G2065" s="112" t="s">
        <v>1471</v>
      </c>
      <c r="H2065" s="112" t="s">
        <v>1576</v>
      </c>
      <c r="I2065" s="112">
        <v>400.39662220000002</v>
      </c>
    </row>
    <row r="2066" spans="1:9">
      <c r="A2066" s="112" t="s">
        <v>1472</v>
      </c>
      <c r="B2066" s="112" t="s">
        <v>1594</v>
      </c>
      <c r="C2066" s="112">
        <v>1993.1883270000001</v>
      </c>
      <c r="D2066" s="112" t="s">
        <v>1591</v>
      </c>
      <c r="E2066" s="112" t="s">
        <v>1576</v>
      </c>
      <c r="F2066" s="112" t="s">
        <v>1591</v>
      </c>
      <c r="G2066" s="112" t="s">
        <v>1472</v>
      </c>
      <c r="H2066" s="112" t="s">
        <v>1576</v>
      </c>
      <c r="I2066" s="112">
        <v>7953.401965</v>
      </c>
    </row>
    <row r="2067" spans="1:9">
      <c r="A2067" s="112" t="s">
        <v>1473</v>
      </c>
      <c r="B2067" s="112" t="s">
        <v>1594</v>
      </c>
      <c r="C2067" s="112">
        <v>64.884768710000003</v>
      </c>
      <c r="D2067" s="112" t="s">
        <v>1591</v>
      </c>
      <c r="E2067" s="112" t="s">
        <v>1576</v>
      </c>
      <c r="F2067" s="112" t="s">
        <v>1591</v>
      </c>
      <c r="G2067" s="112" t="s">
        <v>1473</v>
      </c>
      <c r="H2067" s="112" t="s">
        <v>1576</v>
      </c>
      <c r="I2067" s="112">
        <v>193.89393770000001</v>
      </c>
    </row>
    <row r="2068" spans="1:9">
      <c r="A2068" s="112" t="s">
        <v>1474</v>
      </c>
      <c r="B2068" s="112" t="s">
        <v>1594</v>
      </c>
      <c r="C2068" s="112">
        <v>790.8854599</v>
      </c>
      <c r="D2068" s="112" t="s">
        <v>1591</v>
      </c>
      <c r="E2068" s="112" t="s">
        <v>1576</v>
      </c>
      <c r="F2068" s="112" t="s">
        <v>1591</v>
      </c>
      <c r="G2068" s="112" t="s">
        <v>1474</v>
      </c>
      <c r="H2068" s="112" t="s">
        <v>1576</v>
      </c>
      <c r="I2068" s="112">
        <v>1924.6723079999999</v>
      </c>
    </row>
    <row r="2069" spans="1:9">
      <c r="A2069" s="112" t="s">
        <v>1475</v>
      </c>
      <c r="B2069" s="112" t="s">
        <v>1594</v>
      </c>
      <c r="C2069" s="112">
        <v>1227.8250559999999</v>
      </c>
      <c r="D2069" s="112" t="s">
        <v>1591</v>
      </c>
      <c r="E2069" s="112" t="s">
        <v>1576</v>
      </c>
      <c r="F2069" s="112" t="s">
        <v>1591</v>
      </c>
      <c r="G2069" s="112" t="s">
        <v>1475</v>
      </c>
      <c r="H2069" s="112" t="s">
        <v>1576</v>
      </c>
      <c r="I2069" s="112">
        <v>5556.9668490000004</v>
      </c>
    </row>
    <row r="2070" spans="1:9">
      <c r="A2070" s="112" t="s">
        <v>1476</v>
      </c>
      <c r="B2070" s="112" t="s">
        <v>1594</v>
      </c>
      <c r="C2070" s="112">
        <v>3584.4061259999999</v>
      </c>
      <c r="D2070" s="112" t="s">
        <v>1591</v>
      </c>
      <c r="E2070" s="112" t="s">
        <v>1576</v>
      </c>
      <c r="F2070" s="112" t="s">
        <v>1591</v>
      </c>
      <c r="G2070" s="112" t="s">
        <v>1476</v>
      </c>
      <c r="H2070" s="112" t="s">
        <v>1576</v>
      </c>
      <c r="I2070" s="112">
        <v>9770.825589</v>
      </c>
    </row>
    <row r="2071" spans="1:9">
      <c r="A2071" s="112" t="s">
        <v>1477</v>
      </c>
      <c r="B2071" s="112" t="s">
        <v>1594</v>
      </c>
      <c r="C2071" s="112">
        <v>1750.787855</v>
      </c>
      <c r="D2071" s="112" t="s">
        <v>1591</v>
      </c>
      <c r="E2071" s="112" t="s">
        <v>1576</v>
      </c>
      <c r="F2071" s="112" t="s">
        <v>1591</v>
      </c>
      <c r="G2071" s="112" t="s">
        <v>1477</v>
      </c>
      <c r="H2071" s="112" t="s">
        <v>1576</v>
      </c>
      <c r="I2071" s="112">
        <v>7565.9046580000004</v>
      </c>
    </row>
    <row r="2072" spans="1:9">
      <c r="A2072" s="112" t="s">
        <v>1478</v>
      </c>
      <c r="B2072" s="112" t="s">
        <v>1594</v>
      </c>
      <c r="C2072" s="112">
        <v>83.986526249999997</v>
      </c>
      <c r="D2072" s="112" t="s">
        <v>1591</v>
      </c>
      <c r="E2072" s="112" t="s">
        <v>1576</v>
      </c>
      <c r="F2072" s="112" t="s">
        <v>1591</v>
      </c>
      <c r="G2072" s="112" t="s">
        <v>1478</v>
      </c>
      <c r="H2072" s="112" t="s">
        <v>1576</v>
      </c>
      <c r="I2072" s="112">
        <v>644.96523219999995</v>
      </c>
    </row>
    <row r="2073" spans="1:9">
      <c r="A2073" s="112" t="s">
        <v>1479</v>
      </c>
      <c r="B2073" s="112" t="s">
        <v>1594</v>
      </c>
      <c r="C2073" s="112">
        <v>0</v>
      </c>
      <c r="D2073" s="112" t="s">
        <v>1591</v>
      </c>
      <c r="E2073" s="112" t="s">
        <v>1576</v>
      </c>
      <c r="F2073" s="112" t="s">
        <v>1591</v>
      </c>
      <c r="G2073" s="112" t="s">
        <v>1479</v>
      </c>
      <c r="H2073" s="112" t="s">
        <v>1576</v>
      </c>
      <c r="I2073" s="112">
        <v>0</v>
      </c>
    </row>
    <row r="2074" spans="1:9">
      <c r="A2074" s="112" t="s">
        <v>1480</v>
      </c>
      <c r="B2074" s="112" t="s">
        <v>1594</v>
      </c>
      <c r="C2074" s="112">
        <v>342.69774860000001</v>
      </c>
      <c r="D2074" s="112" t="s">
        <v>1591</v>
      </c>
      <c r="E2074" s="112" t="s">
        <v>1576</v>
      </c>
      <c r="F2074" s="112" t="s">
        <v>1591</v>
      </c>
      <c r="G2074" s="112" t="s">
        <v>1480</v>
      </c>
      <c r="H2074" s="112" t="s">
        <v>1576</v>
      </c>
      <c r="I2074" s="112">
        <v>1721.4584580000001</v>
      </c>
    </row>
    <row r="2075" spans="1:9">
      <c r="A2075" s="112" t="s">
        <v>1481</v>
      </c>
      <c r="B2075" s="112" t="s">
        <v>1594</v>
      </c>
      <c r="C2075" s="112">
        <v>0</v>
      </c>
      <c r="D2075" s="112" t="s">
        <v>1591</v>
      </c>
      <c r="E2075" s="112" t="s">
        <v>1576</v>
      </c>
      <c r="F2075" s="112" t="s">
        <v>1591</v>
      </c>
      <c r="G2075" s="112" t="s">
        <v>1481</v>
      </c>
      <c r="H2075" s="112" t="s">
        <v>1576</v>
      </c>
      <c r="I2075" s="112">
        <v>0</v>
      </c>
    </row>
    <row r="2076" spans="1:9">
      <c r="A2076" s="112" t="s">
        <v>1482</v>
      </c>
      <c r="B2076" s="112" t="s">
        <v>1594</v>
      </c>
      <c r="C2076" s="112">
        <v>0</v>
      </c>
      <c r="D2076" s="112" t="s">
        <v>1591</v>
      </c>
      <c r="E2076" s="112" t="s">
        <v>1576</v>
      </c>
      <c r="F2076" s="112" t="s">
        <v>1591</v>
      </c>
      <c r="G2076" s="112" t="s">
        <v>1482</v>
      </c>
      <c r="H2076" s="112" t="s">
        <v>1576</v>
      </c>
      <c r="I2076" s="112">
        <v>0</v>
      </c>
    </row>
    <row r="2077" spans="1:9">
      <c r="A2077" s="112" t="s">
        <v>1483</v>
      </c>
      <c r="B2077" s="112" t="s">
        <v>1594</v>
      </c>
      <c r="C2077" s="112">
        <v>0</v>
      </c>
      <c r="D2077" s="112" t="s">
        <v>1591</v>
      </c>
      <c r="E2077" s="112" t="s">
        <v>1576</v>
      </c>
      <c r="F2077" s="112" t="s">
        <v>1591</v>
      </c>
      <c r="G2077" s="112" t="s">
        <v>1483</v>
      </c>
      <c r="H2077" s="112" t="s">
        <v>1576</v>
      </c>
      <c r="I2077" s="112">
        <v>108.4069597</v>
      </c>
    </row>
    <row r="2078" spans="1:9">
      <c r="A2078" s="112" t="s">
        <v>1484</v>
      </c>
      <c r="B2078" s="112" t="s">
        <v>1594</v>
      </c>
      <c r="C2078" s="112">
        <v>0</v>
      </c>
      <c r="D2078" s="112" t="s">
        <v>1591</v>
      </c>
      <c r="E2078" s="112" t="s">
        <v>1576</v>
      </c>
      <c r="F2078" s="112" t="s">
        <v>1591</v>
      </c>
      <c r="G2078" s="112" t="s">
        <v>1484</v>
      </c>
      <c r="H2078" s="112" t="s">
        <v>1576</v>
      </c>
      <c r="I2078" s="112">
        <v>0</v>
      </c>
    </row>
    <row r="2079" spans="1:9">
      <c r="A2079" s="112" t="s">
        <v>1485</v>
      </c>
      <c r="B2079" s="112" t="s">
        <v>1594</v>
      </c>
      <c r="C2079" s="112">
        <v>0</v>
      </c>
      <c r="D2079" s="112" t="s">
        <v>1591</v>
      </c>
      <c r="E2079" s="112" t="s">
        <v>1576</v>
      </c>
      <c r="F2079" s="112" t="s">
        <v>1591</v>
      </c>
      <c r="G2079" s="112" t="s">
        <v>1485</v>
      </c>
      <c r="H2079" s="112" t="s">
        <v>1576</v>
      </c>
      <c r="I2079" s="112">
        <v>0</v>
      </c>
    </row>
    <row r="2080" spans="1:9">
      <c r="A2080" s="112" t="s">
        <v>1486</v>
      </c>
      <c r="B2080" s="112" t="s">
        <v>1594</v>
      </c>
      <c r="C2080" s="112">
        <v>0</v>
      </c>
      <c r="D2080" s="112" t="s">
        <v>1591</v>
      </c>
      <c r="E2080" s="112" t="s">
        <v>1576</v>
      </c>
      <c r="F2080" s="112" t="s">
        <v>1591</v>
      </c>
      <c r="G2080" s="112" t="s">
        <v>1486</v>
      </c>
      <c r="H2080" s="112" t="s">
        <v>1576</v>
      </c>
      <c r="I2080" s="112">
        <v>0</v>
      </c>
    </row>
    <row r="2081" spans="1:9">
      <c r="A2081" s="112" t="s">
        <v>1487</v>
      </c>
      <c r="B2081" s="112" t="s">
        <v>1594</v>
      </c>
      <c r="C2081" s="112">
        <v>0</v>
      </c>
      <c r="D2081" s="112" t="s">
        <v>1591</v>
      </c>
      <c r="E2081" s="112" t="s">
        <v>1576</v>
      </c>
      <c r="F2081" s="112" t="s">
        <v>1591</v>
      </c>
      <c r="G2081" s="112" t="s">
        <v>1487</v>
      </c>
      <c r="H2081" s="112" t="s">
        <v>1576</v>
      </c>
      <c r="I2081" s="112">
        <v>0</v>
      </c>
    </row>
    <row r="2082" spans="1:9">
      <c r="A2082" s="112" t="s">
        <v>1488</v>
      </c>
      <c r="B2082" s="112" t="s">
        <v>1594</v>
      </c>
      <c r="C2082" s="112">
        <v>0</v>
      </c>
      <c r="D2082" s="112" t="s">
        <v>1591</v>
      </c>
      <c r="E2082" s="112" t="s">
        <v>1576</v>
      </c>
      <c r="F2082" s="112" t="s">
        <v>1591</v>
      </c>
      <c r="G2082" s="112" t="s">
        <v>1488</v>
      </c>
      <c r="H2082" s="112" t="s">
        <v>1576</v>
      </c>
      <c r="I2082" s="112">
        <v>0</v>
      </c>
    </row>
    <row r="2083" spans="1:9">
      <c r="A2083" s="112" t="s">
        <v>1489</v>
      </c>
      <c r="B2083" s="112" t="s">
        <v>1594</v>
      </c>
      <c r="C2083" s="112">
        <v>0</v>
      </c>
      <c r="D2083" s="112" t="s">
        <v>1591</v>
      </c>
      <c r="E2083" s="112" t="s">
        <v>1576</v>
      </c>
      <c r="F2083" s="112" t="s">
        <v>1591</v>
      </c>
      <c r="G2083" s="112" t="s">
        <v>1489</v>
      </c>
      <c r="H2083" s="112" t="s">
        <v>1576</v>
      </c>
      <c r="I2083" s="112">
        <v>0</v>
      </c>
    </row>
    <row r="2084" spans="1:9">
      <c r="A2084" s="112" t="s">
        <v>1490</v>
      </c>
      <c r="B2084" s="112" t="s">
        <v>1594</v>
      </c>
      <c r="C2084" s="112">
        <v>0</v>
      </c>
      <c r="D2084" s="112" t="s">
        <v>1591</v>
      </c>
      <c r="E2084" s="112" t="s">
        <v>1576</v>
      </c>
      <c r="F2084" s="112" t="s">
        <v>1591</v>
      </c>
      <c r="G2084" s="112" t="s">
        <v>1490</v>
      </c>
      <c r="H2084" s="112" t="s">
        <v>1576</v>
      </c>
      <c r="I2084" s="112">
        <v>0</v>
      </c>
    </row>
    <row r="2085" spans="1:9">
      <c r="A2085" s="112" t="s">
        <v>1461</v>
      </c>
      <c r="B2085" s="112" t="s">
        <v>1595</v>
      </c>
      <c r="C2085" s="112">
        <v>2825.4187230000002</v>
      </c>
      <c r="D2085" s="112" t="s">
        <v>1596</v>
      </c>
      <c r="E2085" s="112" t="s">
        <v>1597</v>
      </c>
      <c r="F2085" s="112" t="s">
        <v>1596</v>
      </c>
      <c r="G2085" s="112" t="s">
        <v>1461</v>
      </c>
      <c r="H2085" s="112" t="s">
        <v>1597</v>
      </c>
      <c r="I2085" s="112">
        <v>2825.4187230000002</v>
      </c>
    </row>
    <row r="2086" spans="1:9">
      <c r="A2086" s="112" t="s">
        <v>1465</v>
      </c>
      <c r="B2086" s="112" t="s">
        <v>1595</v>
      </c>
      <c r="C2086" s="112">
        <v>11991.67835</v>
      </c>
      <c r="D2086" s="112" t="s">
        <v>1596</v>
      </c>
      <c r="E2086" s="112" t="s">
        <v>1597</v>
      </c>
      <c r="F2086" s="112" t="s">
        <v>1596</v>
      </c>
      <c r="G2086" s="112" t="s">
        <v>1465</v>
      </c>
      <c r="H2086" s="112" t="s">
        <v>1597</v>
      </c>
      <c r="I2086" s="112">
        <v>11991.67835</v>
      </c>
    </row>
    <row r="2087" spans="1:9">
      <c r="A2087" s="112" t="s">
        <v>1466</v>
      </c>
      <c r="B2087" s="112" t="s">
        <v>1595</v>
      </c>
      <c r="C2087" s="112">
        <v>4589.5544069999996</v>
      </c>
      <c r="D2087" s="112" t="s">
        <v>1596</v>
      </c>
      <c r="E2087" s="112" t="s">
        <v>1597</v>
      </c>
      <c r="F2087" s="112" t="s">
        <v>1596</v>
      </c>
      <c r="G2087" s="112" t="s">
        <v>1466</v>
      </c>
      <c r="H2087" s="112" t="s">
        <v>1597</v>
      </c>
      <c r="I2087" s="112">
        <v>4589.5544069999996</v>
      </c>
    </row>
    <row r="2088" spans="1:9">
      <c r="A2088" s="112" t="s">
        <v>1467</v>
      </c>
      <c r="B2088" s="112" t="s">
        <v>1595</v>
      </c>
      <c r="C2088" s="112">
        <v>2174.8116540000001</v>
      </c>
      <c r="D2088" s="112" t="s">
        <v>1596</v>
      </c>
      <c r="E2088" s="112" t="s">
        <v>1597</v>
      </c>
      <c r="F2088" s="112" t="s">
        <v>1596</v>
      </c>
      <c r="G2088" s="112" t="s">
        <v>1467</v>
      </c>
      <c r="H2088" s="112" t="s">
        <v>1597</v>
      </c>
      <c r="I2088" s="112">
        <v>2174.8116540000001</v>
      </c>
    </row>
    <row r="2089" spans="1:9">
      <c r="A2089" s="112" t="s">
        <v>1468</v>
      </c>
      <c r="B2089" s="112" t="s">
        <v>1595</v>
      </c>
      <c r="C2089" s="112">
        <v>9498.6255309999997</v>
      </c>
      <c r="D2089" s="112" t="s">
        <v>1596</v>
      </c>
      <c r="E2089" s="112" t="s">
        <v>1597</v>
      </c>
      <c r="F2089" s="112" t="s">
        <v>1596</v>
      </c>
      <c r="G2089" s="112" t="s">
        <v>1468</v>
      </c>
      <c r="H2089" s="112" t="s">
        <v>1597</v>
      </c>
      <c r="I2089" s="112">
        <v>9498.6255309999997</v>
      </c>
    </row>
    <row r="2090" spans="1:9">
      <c r="A2090" s="112" t="s">
        <v>1469</v>
      </c>
      <c r="B2090" s="112" t="s">
        <v>1595</v>
      </c>
      <c r="C2090" s="112">
        <v>8249.3654330000008</v>
      </c>
      <c r="D2090" s="112" t="s">
        <v>1596</v>
      </c>
      <c r="E2090" s="112" t="s">
        <v>1597</v>
      </c>
      <c r="F2090" s="112" t="s">
        <v>1596</v>
      </c>
      <c r="G2090" s="112" t="s">
        <v>1469</v>
      </c>
      <c r="H2090" s="112" t="s">
        <v>1597</v>
      </c>
      <c r="I2090" s="112">
        <v>8249.3654330000008</v>
      </c>
    </row>
    <row r="2091" spans="1:9">
      <c r="A2091" s="112" t="s">
        <v>1470</v>
      </c>
      <c r="B2091" s="112" t="s">
        <v>1595</v>
      </c>
      <c r="C2091" s="112">
        <v>2704.530088</v>
      </c>
      <c r="D2091" s="112" t="s">
        <v>1596</v>
      </c>
      <c r="E2091" s="112" t="s">
        <v>1597</v>
      </c>
      <c r="F2091" s="112" t="s">
        <v>1596</v>
      </c>
      <c r="G2091" s="112" t="s">
        <v>1470</v>
      </c>
      <c r="H2091" s="112" t="s">
        <v>1597</v>
      </c>
      <c r="I2091" s="112">
        <v>2704.530088</v>
      </c>
    </row>
    <row r="2092" spans="1:9">
      <c r="A2092" s="112" t="s">
        <v>1471</v>
      </c>
      <c r="B2092" s="112" t="s">
        <v>1595</v>
      </c>
      <c r="C2092" s="112">
        <v>4136.5816640000003</v>
      </c>
      <c r="D2092" s="112" t="s">
        <v>1596</v>
      </c>
      <c r="E2092" s="112" t="s">
        <v>1597</v>
      </c>
      <c r="F2092" s="112" t="s">
        <v>1596</v>
      </c>
      <c r="G2092" s="112" t="s">
        <v>1471</v>
      </c>
      <c r="H2092" s="112" t="s">
        <v>1597</v>
      </c>
      <c r="I2092" s="112">
        <v>4136.5816640000003</v>
      </c>
    </row>
    <row r="2093" spans="1:9">
      <c r="A2093" s="112" t="s">
        <v>1472</v>
      </c>
      <c r="B2093" s="112" t="s">
        <v>1595</v>
      </c>
      <c r="C2093" s="112">
        <v>28233.609410000001</v>
      </c>
      <c r="D2093" s="112" t="s">
        <v>1596</v>
      </c>
      <c r="E2093" s="112" t="s">
        <v>1597</v>
      </c>
      <c r="F2093" s="112" t="s">
        <v>1596</v>
      </c>
      <c r="G2093" s="112" t="s">
        <v>1472</v>
      </c>
      <c r="H2093" s="112" t="s">
        <v>1597</v>
      </c>
      <c r="I2093" s="112">
        <v>28233.609410000001</v>
      </c>
    </row>
    <row r="2094" spans="1:9">
      <c r="A2094" s="112" t="s">
        <v>1473</v>
      </c>
      <c r="B2094" s="112" t="s">
        <v>1595</v>
      </c>
      <c r="C2094" s="112">
        <v>1022.948932</v>
      </c>
      <c r="D2094" s="112" t="s">
        <v>1596</v>
      </c>
      <c r="E2094" s="112" t="s">
        <v>1597</v>
      </c>
      <c r="F2094" s="112" t="s">
        <v>1596</v>
      </c>
      <c r="G2094" s="112" t="s">
        <v>1473</v>
      </c>
      <c r="H2094" s="112" t="s">
        <v>1597</v>
      </c>
      <c r="I2094" s="112">
        <v>1022.948932</v>
      </c>
    </row>
    <row r="2095" spans="1:9">
      <c r="A2095" s="112" t="s">
        <v>1474</v>
      </c>
      <c r="B2095" s="112" t="s">
        <v>1595</v>
      </c>
      <c r="C2095" s="112">
        <v>10098.998949999999</v>
      </c>
      <c r="D2095" s="112" t="s">
        <v>1596</v>
      </c>
      <c r="E2095" s="112" t="s">
        <v>1597</v>
      </c>
      <c r="F2095" s="112" t="s">
        <v>1596</v>
      </c>
      <c r="G2095" s="112" t="s">
        <v>1474</v>
      </c>
      <c r="H2095" s="112" t="s">
        <v>1597</v>
      </c>
      <c r="I2095" s="112">
        <v>10098.998949999999</v>
      </c>
    </row>
    <row r="2096" spans="1:9">
      <c r="A2096" s="112" t="s">
        <v>1475</v>
      </c>
      <c r="B2096" s="112" t="s">
        <v>1595</v>
      </c>
      <c r="C2096" s="112">
        <v>11357.38177</v>
      </c>
      <c r="D2096" s="112" t="s">
        <v>1596</v>
      </c>
      <c r="E2096" s="112" t="s">
        <v>1597</v>
      </c>
      <c r="F2096" s="112" t="s">
        <v>1596</v>
      </c>
      <c r="G2096" s="112" t="s">
        <v>1475</v>
      </c>
      <c r="H2096" s="112" t="s">
        <v>1597</v>
      </c>
      <c r="I2096" s="112">
        <v>11357.38177</v>
      </c>
    </row>
    <row r="2097" spans="1:9">
      <c r="A2097" s="112" t="s">
        <v>1476</v>
      </c>
      <c r="B2097" s="112" t="s">
        <v>1595</v>
      </c>
      <c r="C2097" s="112">
        <v>23941.557110000002</v>
      </c>
      <c r="D2097" s="112" t="s">
        <v>1596</v>
      </c>
      <c r="E2097" s="112" t="s">
        <v>1597</v>
      </c>
      <c r="F2097" s="112" t="s">
        <v>1596</v>
      </c>
      <c r="G2097" s="112" t="s">
        <v>1476</v>
      </c>
      <c r="H2097" s="112" t="s">
        <v>1597</v>
      </c>
      <c r="I2097" s="112">
        <v>23941.557110000002</v>
      </c>
    </row>
    <row r="2098" spans="1:9">
      <c r="A2098" s="112" t="s">
        <v>1477</v>
      </c>
      <c r="B2098" s="112" t="s">
        <v>1595</v>
      </c>
      <c r="C2098" s="112">
        <v>6252.8137660000002</v>
      </c>
      <c r="D2098" s="112" t="s">
        <v>1596</v>
      </c>
      <c r="E2098" s="112" t="s">
        <v>1597</v>
      </c>
      <c r="F2098" s="112" t="s">
        <v>1596</v>
      </c>
      <c r="G2098" s="112" t="s">
        <v>1477</v>
      </c>
      <c r="H2098" s="112" t="s">
        <v>1597</v>
      </c>
      <c r="I2098" s="112">
        <v>6252.8137660000002</v>
      </c>
    </row>
    <row r="2099" spans="1:9">
      <c r="A2099" s="112" t="s">
        <v>1478</v>
      </c>
      <c r="B2099" s="112" t="s">
        <v>1595</v>
      </c>
      <c r="C2099" s="112">
        <v>2846.566233</v>
      </c>
      <c r="D2099" s="112" t="s">
        <v>1596</v>
      </c>
      <c r="E2099" s="112" t="s">
        <v>1597</v>
      </c>
      <c r="F2099" s="112" t="s">
        <v>1596</v>
      </c>
      <c r="G2099" s="112" t="s">
        <v>1478</v>
      </c>
      <c r="H2099" s="112" t="s">
        <v>1597</v>
      </c>
      <c r="I2099" s="112">
        <v>2846.566233</v>
      </c>
    </row>
    <row r="2100" spans="1:9">
      <c r="A2100" s="112" t="s">
        <v>1479</v>
      </c>
      <c r="B2100" s="112" t="s">
        <v>1595</v>
      </c>
      <c r="C2100" s="112">
        <v>167.4480911</v>
      </c>
      <c r="D2100" s="112" t="s">
        <v>1596</v>
      </c>
      <c r="E2100" s="112" t="s">
        <v>1597</v>
      </c>
      <c r="F2100" s="112" t="s">
        <v>1596</v>
      </c>
      <c r="G2100" s="112" t="s">
        <v>1479</v>
      </c>
      <c r="H2100" s="112" t="s">
        <v>1597</v>
      </c>
      <c r="I2100" s="112">
        <v>167.4480911</v>
      </c>
    </row>
    <row r="2101" spans="1:9">
      <c r="A2101" s="112" t="s">
        <v>1480</v>
      </c>
      <c r="B2101" s="112" t="s">
        <v>1595</v>
      </c>
      <c r="C2101" s="112">
        <v>4184.100418</v>
      </c>
      <c r="D2101" s="112" t="s">
        <v>1596</v>
      </c>
      <c r="E2101" s="112" t="s">
        <v>1597</v>
      </c>
      <c r="F2101" s="112" t="s">
        <v>1596</v>
      </c>
      <c r="G2101" s="112" t="s">
        <v>1480</v>
      </c>
      <c r="H2101" s="112" t="s">
        <v>1597</v>
      </c>
      <c r="I2101" s="112">
        <v>4184.100418</v>
      </c>
    </row>
    <row r="2102" spans="1:9">
      <c r="A2102" s="112" t="s">
        <v>1481</v>
      </c>
      <c r="B2102" s="112" t="s">
        <v>1595</v>
      </c>
      <c r="C2102" s="112">
        <v>3984.241102</v>
      </c>
      <c r="D2102" s="112" t="s">
        <v>1596</v>
      </c>
      <c r="E2102" s="112" t="s">
        <v>1597</v>
      </c>
      <c r="F2102" s="112" t="s">
        <v>1596</v>
      </c>
      <c r="G2102" s="112" t="s">
        <v>1481</v>
      </c>
      <c r="H2102" s="112" t="s">
        <v>1597</v>
      </c>
      <c r="I2102" s="112">
        <v>3984.241102</v>
      </c>
    </row>
    <row r="2103" spans="1:9">
      <c r="A2103" s="112" t="s">
        <v>1482</v>
      </c>
      <c r="B2103" s="112" t="s">
        <v>1595</v>
      </c>
      <c r="C2103" s="112">
        <v>677.50677510000003</v>
      </c>
      <c r="D2103" s="112" t="s">
        <v>1596</v>
      </c>
      <c r="E2103" s="112" t="s">
        <v>1597</v>
      </c>
      <c r="F2103" s="112" t="s">
        <v>1596</v>
      </c>
      <c r="G2103" s="112" t="s">
        <v>1482</v>
      </c>
      <c r="H2103" s="112" t="s">
        <v>1597</v>
      </c>
      <c r="I2103" s="112">
        <v>677.50677510000003</v>
      </c>
    </row>
    <row r="2104" spans="1:9">
      <c r="A2104" s="112" t="s">
        <v>1483</v>
      </c>
      <c r="B2104" s="112" t="s">
        <v>1595</v>
      </c>
      <c r="C2104" s="112">
        <v>9160.3880969999991</v>
      </c>
      <c r="D2104" s="112" t="s">
        <v>1596</v>
      </c>
      <c r="E2104" s="112" t="s">
        <v>1597</v>
      </c>
      <c r="F2104" s="112" t="s">
        <v>1596</v>
      </c>
      <c r="G2104" s="112" t="s">
        <v>1483</v>
      </c>
      <c r="H2104" s="112" t="s">
        <v>1597</v>
      </c>
      <c r="I2104" s="112">
        <v>9160.3880969999991</v>
      </c>
    </row>
    <row r="2105" spans="1:9">
      <c r="A2105" s="112" t="s">
        <v>1484</v>
      </c>
      <c r="B2105" s="112" t="s">
        <v>1595</v>
      </c>
      <c r="C2105" s="112">
        <v>7447.4474469999996</v>
      </c>
      <c r="D2105" s="112" t="s">
        <v>1596</v>
      </c>
      <c r="E2105" s="112" t="s">
        <v>1597</v>
      </c>
      <c r="F2105" s="112" t="s">
        <v>1596</v>
      </c>
      <c r="G2105" s="112" t="s">
        <v>1484</v>
      </c>
      <c r="H2105" s="112" t="s">
        <v>1597</v>
      </c>
      <c r="I2105" s="112">
        <v>7447.4474469999996</v>
      </c>
    </row>
    <row r="2106" spans="1:9">
      <c r="A2106" s="112" t="s">
        <v>1485</v>
      </c>
      <c r="B2106" s="112" t="s">
        <v>1595</v>
      </c>
      <c r="C2106" s="112">
        <v>9844.2057499999992</v>
      </c>
      <c r="D2106" s="112" t="s">
        <v>1596</v>
      </c>
      <c r="E2106" s="112" t="s">
        <v>1597</v>
      </c>
      <c r="F2106" s="112" t="s">
        <v>1596</v>
      </c>
      <c r="G2106" s="112" t="s">
        <v>1485</v>
      </c>
      <c r="H2106" s="112" t="s">
        <v>1597</v>
      </c>
      <c r="I2106" s="112">
        <v>9844.2057499999992</v>
      </c>
    </row>
    <row r="2107" spans="1:9">
      <c r="A2107" s="112" t="s">
        <v>1486</v>
      </c>
      <c r="B2107" s="112" t="s">
        <v>1595</v>
      </c>
      <c r="C2107" s="112">
        <v>8533.4318430000003</v>
      </c>
      <c r="D2107" s="112" t="s">
        <v>1596</v>
      </c>
      <c r="E2107" s="112" t="s">
        <v>1597</v>
      </c>
      <c r="F2107" s="112" t="s">
        <v>1596</v>
      </c>
      <c r="G2107" s="112" t="s">
        <v>1486</v>
      </c>
      <c r="H2107" s="112" t="s">
        <v>1597</v>
      </c>
      <c r="I2107" s="112">
        <v>8533.4318430000003</v>
      </c>
    </row>
    <row r="2108" spans="1:9">
      <c r="A2108" s="112" t="s">
        <v>1487</v>
      </c>
      <c r="B2108" s="112" t="s">
        <v>1595</v>
      </c>
      <c r="C2108" s="112">
        <v>6665.7472529999995</v>
      </c>
      <c r="D2108" s="112" t="s">
        <v>1596</v>
      </c>
      <c r="E2108" s="112" t="s">
        <v>1597</v>
      </c>
      <c r="F2108" s="112" t="s">
        <v>1596</v>
      </c>
      <c r="G2108" s="112" t="s">
        <v>1487</v>
      </c>
      <c r="H2108" s="112" t="s">
        <v>1597</v>
      </c>
      <c r="I2108" s="112">
        <v>6665.7472529999995</v>
      </c>
    </row>
    <row r="2109" spans="1:9">
      <c r="A2109" s="112" t="s">
        <v>1488</v>
      </c>
      <c r="B2109" s="112" t="s">
        <v>1595</v>
      </c>
      <c r="C2109" s="112">
        <v>4778.9725209999997</v>
      </c>
      <c r="D2109" s="112" t="s">
        <v>1596</v>
      </c>
      <c r="E2109" s="112" t="s">
        <v>1597</v>
      </c>
      <c r="F2109" s="112" t="s">
        <v>1596</v>
      </c>
      <c r="G2109" s="112" t="s">
        <v>1488</v>
      </c>
      <c r="H2109" s="112" t="s">
        <v>1597</v>
      </c>
      <c r="I2109" s="112">
        <v>4778.9725209999997</v>
      </c>
    </row>
    <row r="2110" spans="1:9">
      <c r="A2110" s="112" t="s">
        <v>1489</v>
      </c>
      <c r="B2110" s="112" t="s">
        <v>1595</v>
      </c>
      <c r="C2110" s="112">
        <v>5277.3522370000001</v>
      </c>
      <c r="D2110" s="112" t="s">
        <v>1596</v>
      </c>
      <c r="E2110" s="112" t="s">
        <v>1597</v>
      </c>
      <c r="F2110" s="112" t="s">
        <v>1596</v>
      </c>
      <c r="G2110" s="112" t="s">
        <v>1489</v>
      </c>
      <c r="H2110" s="112" t="s">
        <v>1597</v>
      </c>
      <c r="I2110" s="112">
        <v>5277.3522370000001</v>
      </c>
    </row>
    <row r="2111" spans="1:9">
      <c r="A2111" s="112" t="s">
        <v>1490</v>
      </c>
      <c r="B2111" s="112" t="s">
        <v>1595</v>
      </c>
      <c r="C2111" s="112">
        <v>1681.378731</v>
      </c>
      <c r="D2111" s="112" t="s">
        <v>1596</v>
      </c>
      <c r="E2111" s="112" t="s">
        <v>1597</v>
      </c>
      <c r="F2111" s="112" t="s">
        <v>1596</v>
      </c>
      <c r="G2111" s="112" t="s">
        <v>1490</v>
      </c>
      <c r="H2111" s="112" t="s">
        <v>1597</v>
      </c>
      <c r="I2111" s="112">
        <v>1681.378731</v>
      </c>
    </row>
    <row r="2112" spans="1:9">
      <c r="A2112" s="112" t="s">
        <v>1461</v>
      </c>
      <c r="B2112" s="112" t="s">
        <v>1598</v>
      </c>
      <c r="C2112" s="112">
        <v>1954.1530780000001</v>
      </c>
      <c r="D2112" s="112" t="s">
        <v>1599</v>
      </c>
      <c r="E2112" s="112" t="s">
        <v>1597</v>
      </c>
      <c r="F2112" s="112" t="s">
        <v>1599</v>
      </c>
      <c r="G2112" s="112" t="s">
        <v>1461</v>
      </c>
      <c r="H2112" s="112" t="s">
        <v>1597</v>
      </c>
      <c r="I2112" s="112">
        <v>1954.1530780000001</v>
      </c>
    </row>
    <row r="2113" spans="1:9">
      <c r="A2113" s="112" t="s">
        <v>1465</v>
      </c>
      <c r="B2113" s="112" t="s">
        <v>1598</v>
      </c>
      <c r="C2113" s="112">
        <v>11627.850189999999</v>
      </c>
      <c r="D2113" s="112" t="s">
        <v>1599</v>
      </c>
      <c r="E2113" s="112" t="s">
        <v>1597</v>
      </c>
      <c r="F2113" s="112" t="s">
        <v>1599</v>
      </c>
      <c r="G2113" s="112" t="s">
        <v>1465</v>
      </c>
      <c r="H2113" s="112" t="s">
        <v>1597</v>
      </c>
      <c r="I2113" s="112">
        <v>11627.850189999999</v>
      </c>
    </row>
    <row r="2114" spans="1:9">
      <c r="A2114" s="112" t="s">
        <v>1466</v>
      </c>
      <c r="B2114" s="112" t="s">
        <v>1598</v>
      </c>
      <c r="C2114" s="112">
        <v>2660.7796429999999</v>
      </c>
      <c r="D2114" s="112" t="s">
        <v>1599</v>
      </c>
      <c r="E2114" s="112" t="s">
        <v>1597</v>
      </c>
      <c r="F2114" s="112" t="s">
        <v>1599</v>
      </c>
      <c r="G2114" s="112" t="s">
        <v>1466</v>
      </c>
      <c r="H2114" s="112" t="s">
        <v>1597</v>
      </c>
      <c r="I2114" s="112">
        <v>2660.7796429999999</v>
      </c>
    </row>
    <row r="2115" spans="1:9">
      <c r="A2115" s="112" t="s">
        <v>1467</v>
      </c>
      <c r="B2115" s="112" t="s">
        <v>1598</v>
      </c>
      <c r="C2115" s="112">
        <v>1063.404227</v>
      </c>
      <c r="D2115" s="112" t="s">
        <v>1599</v>
      </c>
      <c r="E2115" s="112" t="s">
        <v>1597</v>
      </c>
      <c r="F2115" s="112" t="s">
        <v>1599</v>
      </c>
      <c r="G2115" s="112" t="s">
        <v>1467</v>
      </c>
      <c r="H2115" s="112" t="s">
        <v>1597</v>
      </c>
      <c r="I2115" s="112">
        <v>1063.404227</v>
      </c>
    </row>
    <row r="2116" spans="1:9">
      <c r="A2116" s="112" t="s">
        <v>1468</v>
      </c>
      <c r="B2116" s="112" t="s">
        <v>1598</v>
      </c>
      <c r="C2116" s="112">
        <v>14029.68275</v>
      </c>
      <c r="D2116" s="112" t="s">
        <v>1599</v>
      </c>
      <c r="E2116" s="112" t="s">
        <v>1597</v>
      </c>
      <c r="F2116" s="112" t="s">
        <v>1599</v>
      </c>
      <c r="G2116" s="112" t="s">
        <v>1468</v>
      </c>
      <c r="H2116" s="112" t="s">
        <v>1597</v>
      </c>
      <c r="I2116" s="112">
        <v>14029.68275</v>
      </c>
    </row>
    <row r="2117" spans="1:9">
      <c r="A2117" s="112" t="s">
        <v>1469</v>
      </c>
      <c r="B2117" s="112" t="s">
        <v>1598</v>
      </c>
      <c r="C2117" s="112">
        <v>4441.9660029999995</v>
      </c>
      <c r="D2117" s="112" t="s">
        <v>1599</v>
      </c>
      <c r="E2117" s="112" t="s">
        <v>1597</v>
      </c>
      <c r="F2117" s="112" t="s">
        <v>1599</v>
      </c>
      <c r="G2117" s="112" t="s">
        <v>1469</v>
      </c>
      <c r="H2117" s="112" t="s">
        <v>1597</v>
      </c>
      <c r="I2117" s="112">
        <v>4441.9660029999995</v>
      </c>
    </row>
    <row r="2118" spans="1:9">
      <c r="A2118" s="112" t="s">
        <v>1470</v>
      </c>
      <c r="B2118" s="112" t="s">
        <v>1598</v>
      </c>
      <c r="C2118" s="112">
        <v>2103.5234019999998</v>
      </c>
      <c r="D2118" s="112" t="s">
        <v>1599</v>
      </c>
      <c r="E2118" s="112" t="s">
        <v>1597</v>
      </c>
      <c r="F2118" s="112" t="s">
        <v>1599</v>
      </c>
      <c r="G2118" s="112" t="s">
        <v>1470</v>
      </c>
      <c r="H2118" s="112" t="s">
        <v>1597</v>
      </c>
      <c r="I2118" s="112">
        <v>2103.5234019999998</v>
      </c>
    </row>
    <row r="2119" spans="1:9">
      <c r="A2119" s="112" t="s">
        <v>1471</v>
      </c>
      <c r="B2119" s="112" t="s">
        <v>1598</v>
      </c>
      <c r="C2119" s="112">
        <v>2192.2352639999999</v>
      </c>
      <c r="D2119" s="112" t="s">
        <v>1599</v>
      </c>
      <c r="E2119" s="112" t="s">
        <v>1597</v>
      </c>
      <c r="F2119" s="112" t="s">
        <v>1599</v>
      </c>
      <c r="G2119" s="112" t="s">
        <v>1471</v>
      </c>
      <c r="H2119" s="112" t="s">
        <v>1597</v>
      </c>
      <c r="I2119" s="112">
        <v>2192.2352639999999</v>
      </c>
    </row>
    <row r="2120" spans="1:9">
      <c r="A2120" s="112" t="s">
        <v>1472</v>
      </c>
      <c r="B2120" s="112" t="s">
        <v>1598</v>
      </c>
      <c r="C2120" s="112">
        <v>9482.1580620000004</v>
      </c>
      <c r="D2120" s="112" t="s">
        <v>1599</v>
      </c>
      <c r="E2120" s="112" t="s">
        <v>1597</v>
      </c>
      <c r="F2120" s="112" t="s">
        <v>1599</v>
      </c>
      <c r="G2120" s="112" t="s">
        <v>1472</v>
      </c>
      <c r="H2120" s="112" t="s">
        <v>1597</v>
      </c>
      <c r="I2120" s="112">
        <v>9482.1580620000004</v>
      </c>
    </row>
    <row r="2121" spans="1:9">
      <c r="A2121" s="112" t="s">
        <v>1473</v>
      </c>
      <c r="B2121" s="112" t="s">
        <v>1598</v>
      </c>
      <c r="C2121" s="112">
        <v>805.23011789999998</v>
      </c>
      <c r="D2121" s="112" t="s">
        <v>1599</v>
      </c>
      <c r="E2121" s="112" t="s">
        <v>1597</v>
      </c>
      <c r="F2121" s="112" t="s">
        <v>1599</v>
      </c>
      <c r="G2121" s="112" t="s">
        <v>1473</v>
      </c>
      <c r="H2121" s="112" t="s">
        <v>1597</v>
      </c>
      <c r="I2121" s="112">
        <v>805.23011789999998</v>
      </c>
    </row>
    <row r="2122" spans="1:9">
      <c r="A2122" s="112" t="s">
        <v>1474</v>
      </c>
      <c r="B2122" s="112" t="s">
        <v>1598</v>
      </c>
      <c r="C2122" s="112">
        <v>6360.2676840000004</v>
      </c>
      <c r="D2122" s="112" t="s">
        <v>1599</v>
      </c>
      <c r="E2122" s="112" t="s">
        <v>1597</v>
      </c>
      <c r="F2122" s="112" t="s">
        <v>1599</v>
      </c>
      <c r="G2122" s="112" t="s">
        <v>1474</v>
      </c>
      <c r="H2122" s="112" t="s">
        <v>1597</v>
      </c>
      <c r="I2122" s="112">
        <v>6360.2676840000004</v>
      </c>
    </row>
    <row r="2123" spans="1:9">
      <c r="A2123" s="112" t="s">
        <v>1475</v>
      </c>
      <c r="B2123" s="112" t="s">
        <v>1598</v>
      </c>
      <c r="C2123" s="112">
        <v>3895.1691430000001</v>
      </c>
      <c r="D2123" s="112" t="s">
        <v>1599</v>
      </c>
      <c r="E2123" s="112" t="s">
        <v>1597</v>
      </c>
      <c r="F2123" s="112" t="s">
        <v>1599</v>
      </c>
      <c r="G2123" s="112" t="s">
        <v>1475</v>
      </c>
      <c r="H2123" s="112" t="s">
        <v>1597</v>
      </c>
      <c r="I2123" s="112">
        <v>3895.1691430000001</v>
      </c>
    </row>
    <row r="2124" spans="1:9">
      <c r="A2124" s="112" t="s">
        <v>1476</v>
      </c>
      <c r="B2124" s="112" t="s">
        <v>1598</v>
      </c>
      <c r="C2124" s="112">
        <v>7214.3285210000004</v>
      </c>
      <c r="D2124" s="112" t="s">
        <v>1599</v>
      </c>
      <c r="E2124" s="112" t="s">
        <v>1597</v>
      </c>
      <c r="F2124" s="112" t="s">
        <v>1599</v>
      </c>
      <c r="G2124" s="112" t="s">
        <v>1476</v>
      </c>
      <c r="H2124" s="112" t="s">
        <v>1597</v>
      </c>
      <c r="I2124" s="112">
        <v>7214.3285210000004</v>
      </c>
    </row>
    <row r="2125" spans="1:9">
      <c r="A2125" s="112" t="s">
        <v>1477</v>
      </c>
      <c r="B2125" s="112" t="s">
        <v>1598</v>
      </c>
      <c r="C2125" s="112">
        <v>3614.1263570000001</v>
      </c>
      <c r="D2125" s="112" t="s">
        <v>1599</v>
      </c>
      <c r="E2125" s="112" t="s">
        <v>1597</v>
      </c>
      <c r="F2125" s="112" t="s">
        <v>1599</v>
      </c>
      <c r="G2125" s="112" t="s">
        <v>1477</v>
      </c>
      <c r="H2125" s="112" t="s">
        <v>1597</v>
      </c>
      <c r="I2125" s="112">
        <v>3614.1263570000001</v>
      </c>
    </row>
    <row r="2126" spans="1:9">
      <c r="A2126" s="112" t="s">
        <v>1478</v>
      </c>
      <c r="B2126" s="112" t="s">
        <v>1598</v>
      </c>
      <c r="C2126" s="112">
        <v>2430.480313</v>
      </c>
      <c r="D2126" s="112" t="s">
        <v>1599</v>
      </c>
      <c r="E2126" s="112" t="s">
        <v>1597</v>
      </c>
      <c r="F2126" s="112" t="s">
        <v>1599</v>
      </c>
      <c r="G2126" s="112" t="s">
        <v>1478</v>
      </c>
      <c r="H2126" s="112" t="s">
        <v>1597</v>
      </c>
      <c r="I2126" s="112">
        <v>2430.480313</v>
      </c>
    </row>
    <row r="2127" spans="1:9">
      <c r="A2127" s="112" t="s">
        <v>1479</v>
      </c>
      <c r="B2127" s="112" t="s">
        <v>1598</v>
      </c>
      <c r="C2127" s="112">
        <v>167.4480911</v>
      </c>
      <c r="D2127" s="112" t="s">
        <v>1599</v>
      </c>
      <c r="E2127" s="112" t="s">
        <v>1597</v>
      </c>
      <c r="F2127" s="112" t="s">
        <v>1599</v>
      </c>
      <c r="G2127" s="112" t="s">
        <v>1479</v>
      </c>
      <c r="H2127" s="112" t="s">
        <v>1597</v>
      </c>
      <c r="I2127" s="112">
        <v>167.4480911</v>
      </c>
    </row>
    <row r="2128" spans="1:9">
      <c r="A2128" s="112" t="s">
        <v>1480</v>
      </c>
      <c r="B2128" s="112" t="s">
        <v>1598</v>
      </c>
      <c r="C2128" s="112">
        <v>4853.5564850000001</v>
      </c>
      <c r="D2128" s="112" t="s">
        <v>1599</v>
      </c>
      <c r="E2128" s="112" t="s">
        <v>1597</v>
      </c>
      <c r="F2128" s="112" t="s">
        <v>1599</v>
      </c>
      <c r="G2128" s="112" t="s">
        <v>1480</v>
      </c>
      <c r="H2128" s="112" t="s">
        <v>1597</v>
      </c>
      <c r="I2128" s="112">
        <v>4853.5564850000001</v>
      </c>
    </row>
    <row r="2129" spans="1:9">
      <c r="A2129" s="112" t="s">
        <v>1481</v>
      </c>
      <c r="B2129" s="112" t="s">
        <v>1598</v>
      </c>
      <c r="C2129" s="112">
        <v>5230.7075919999997</v>
      </c>
      <c r="D2129" s="112" t="s">
        <v>1599</v>
      </c>
      <c r="E2129" s="112" t="s">
        <v>1597</v>
      </c>
      <c r="F2129" s="112" t="s">
        <v>1599</v>
      </c>
      <c r="G2129" s="112" t="s">
        <v>1481</v>
      </c>
      <c r="H2129" s="112" t="s">
        <v>1597</v>
      </c>
      <c r="I2129" s="112">
        <v>5230.7075919999997</v>
      </c>
    </row>
    <row r="2130" spans="1:9">
      <c r="A2130" s="112" t="s">
        <v>1482</v>
      </c>
      <c r="B2130" s="112" t="s">
        <v>1598</v>
      </c>
      <c r="C2130" s="112">
        <v>1355.0135499999999</v>
      </c>
      <c r="D2130" s="112" t="s">
        <v>1599</v>
      </c>
      <c r="E2130" s="112" t="s">
        <v>1597</v>
      </c>
      <c r="F2130" s="112" t="s">
        <v>1599</v>
      </c>
      <c r="G2130" s="112" t="s">
        <v>1482</v>
      </c>
      <c r="H2130" s="112" t="s">
        <v>1597</v>
      </c>
      <c r="I2130" s="112">
        <v>1355.0135499999999</v>
      </c>
    </row>
    <row r="2131" spans="1:9">
      <c r="A2131" s="112" t="s">
        <v>1483</v>
      </c>
      <c r="B2131" s="112" t="s">
        <v>1598</v>
      </c>
      <c r="C2131" s="112">
        <v>10136.050730000001</v>
      </c>
      <c r="D2131" s="112" t="s">
        <v>1599</v>
      </c>
      <c r="E2131" s="112" t="s">
        <v>1597</v>
      </c>
      <c r="F2131" s="112" t="s">
        <v>1599</v>
      </c>
      <c r="G2131" s="112" t="s">
        <v>1483</v>
      </c>
      <c r="H2131" s="112" t="s">
        <v>1597</v>
      </c>
      <c r="I2131" s="112">
        <v>10136.050730000001</v>
      </c>
    </row>
    <row r="2132" spans="1:9">
      <c r="A2132" s="112" t="s">
        <v>1484</v>
      </c>
      <c r="B2132" s="112" t="s">
        <v>1598</v>
      </c>
      <c r="C2132" s="112">
        <v>5645.6456459999999</v>
      </c>
      <c r="D2132" s="112" t="s">
        <v>1599</v>
      </c>
      <c r="E2132" s="112" t="s">
        <v>1597</v>
      </c>
      <c r="F2132" s="112" t="s">
        <v>1599</v>
      </c>
      <c r="G2132" s="112" t="s">
        <v>1484</v>
      </c>
      <c r="H2132" s="112" t="s">
        <v>1597</v>
      </c>
      <c r="I2132" s="112">
        <v>5645.6456459999999</v>
      </c>
    </row>
    <row r="2133" spans="1:9">
      <c r="A2133" s="112" t="s">
        <v>1485</v>
      </c>
      <c r="B2133" s="112" t="s">
        <v>1598</v>
      </c>
      <c r="C2133" s="112">
        <v>5764.1557480000001</v>
      </c>
      <c r="D2133" s="112" t="s">
        <v>1599</v>
      </c>
      <c r="E2133" s="112" t="s">
        <v>1597</v>
      </c>
      <c r="F2133" s="112" t="s">
        <v>1599</v>
      </c>
      <c r="G2133" s="112" t="s">
        <v>1485</v>
      </c>
      <c r="H2133" s="112" t="s">
        <v>1597</v>
      </c>
      <c r="I2133" s="112">
        <v>5764.1557480000001</v>
      </c>
    </row>
    <row r="2134" spans="1:9">
      <c r="A2134" s="112" t="s">
        <v>1486</v>
      </c>
      <c r="B2134" s="112" t="s">
        <v>1598</v>
      </c>
      <c r="C2134" s="112">
        <v>6353.8973029999997</v>
      </c>
      <c r="D2134" s="112" t="s">
        <v>1599</v>
      </c>
      <c r="E2134" s="112" t="s">
        <v>1597</v>
      </c>
      <c r="F2134" s="112" t="s">
        <v>1599</v>
      </c>
      <c r="G2134" s="112" t="s">
        <v>1486</v>
      </c>
      <c r="H2134" s="112" t="s">
        <v>1597</v>
      </c>
      <c r="I2134" s="112">
        <v>6353.8973029999997</v>
      </c>
    </row>
    <row r="2135" spans="1:9">
      <c r="A2135" s="112" t="s">
        <v>1487</v>
      </c>
      <c r="B2135" s="112" t="s">
        <v>1598</v>
      </c>
      <c r="C2135" s="112">
        <v>10964.00496</v>
      </c>
      <c r="D2135" s="112" t="s">
        <v>1599</v>
      </c>
      <c r="E2135" s="112" t="s">
        <v>1597</v>
      </c>
      <c r="F2135" s="112" t="s">
        <v>1599</v>
      </c>
      <c r="G2135" s="112" t="s">
        <v>1487</v>
      </c>
      <c r="H2135" s="112" t="s">
        <v>1597</v>
      </c>
      <c r="I2135" s="112">
        <v>10964.00496</v>
      </c>
    </row>
    <row r="2136" spans="1:9">
      <c r="A2136" s="112" t="s">
        <v>1488</v>
      </c>
      <c r="B2136" s="112" t="s">
        <v>1598</v>
      </c>
      <c r="C2136" s="112">
        <v>8203.9028280000002</v>
      </c>
      <c r="D2136" s="112" t="s">
        <v>1599</v>
      </c>
      <c r="E2136" s="112" t="s">
        <v>1597</v>
      </c>
      <c r="F2136" s="112" t="s">
        <v>1599</v>
      </c>
      <c r="G2136" s="112" t="s">
        <v>1488</v>
      </c>
      <c r="H2136" s="112" t="s">
        <v>1597</v>
      </c>
      <c r="I2136" s="112">
        <v>8203.9028280000002</v>
      </c>
    </row>
    <row r="2137" spans="1:9">
      <c r="A2137" s="112" t="s">
        <v>1489</v>
      </c>
      <c r="B2137" s="112" t="s">
        <v>1598</v>
      </c>
      <c r="C2137" s="112">
        <v>4333.7197180000003</v>
      </c>
      <c r="D2137" s="112" t="s">
        <v>1599</v>
      </c>
      <c r="E2137" s="112" t="s">
        <v>1597</v>
      </c>
      <c r="F2137" s="112" t="s">
        <v>1599</v>
      </c>
      <c r="G2137" s="112" t="s">
        <v>1489</v>
      </c>
      <c r="H2137" s="112" t="s">
        <v>1597</v>
      </c>
      <c r="I2137" s="112">
        <v>4333.7197180000003</v>
      </c>
    </row>
    <row r="2138" spans="1:9">
      <c r="A2138" s="112" t="s">
        <v>1490</v>
      </c>
      <c r="B2138" s="112" t="s">
        <v>1598</v>
      </c>
      <c r="C2138" s="112">
        <v>5044.1361919999999</v>
      </c>
      <c r="D2138" s="112" t="s">
        <v>1599</v>
      </c>
      <c r="E2138" s="112" t="s">
        <v>1597</v>
      </c>
      <c r="F2138" s="112" t="s">
        <v>1599</v>
      </c>
      <c r="G2138" s="112" t="s">
        <v>1490</v>
      </c>
      <c r="H2138" s="112" t="s">
        <v>1597</v>
      </c>
      <c r="I2138" s="112">
        <v>5044.1361919999999</v>
      </c>
    </row>
    <row r="2139" spans="1:9">
      <c r="A2139" s="112" t="s">
        <v>1461</v>
      </c>
      <c r="B2139" s="112" t="s">
        <v>1600</v>
      </c>
      <c r="C2139" s="112">
        <v>563.20861490000004</v>
      </c>
      <c r="D2139" s="112" t="s">
        <v>1601</v>
      </c>
      <c r="E2139" s="112" t="s">
        <v>1597</v>
      </c>
      <c r="F2139" s="112" t="s">
        <v>1601</v>
      </c>
      <c r="G2139" s="112" t="s">
        <v>1461</v>
      </c>
      <c r="H2139" s="112" t="s">
        <v>1597</v>
      </c>
      <c r="I2139" s="112">
        <v>563.20861490000004</v>
      </c>
    </row>
    <row r="2140" spans="1:9">
      <c r="A2140" s="112" t="s">
        <v>1465</v>
      </c>
      <c r="B2140" s="112" t="s">
        <v>1600</v>
      </c>
      <c r="C2140" s="112">
        <v>0</v>
      </c>
      <c r="D2140" s="112" t="s">
        <v>1601</v>
      </c>
      <c r="E2140" s="112" t="s">
        <v>1597</v>
      </c>
      <c r="F2140" s="112" t="s">
        <v>1601</v>
      </c>
      <c r="G2140" s="112" t="s">
        <v>1465</v>
      </c>
      <c r="H2140" s="112" t="s">
        <v>1597</v>
      </c>
      <c r="I2140" s="112">
        <v>0</v>
      </c>
    </row>
    <row r="2141" spans="1:9">
      <c r="A2141" s="112" t="s">
        <v>1466</v>
      </c>
      <c r="B2141" s="112" t="s">
        <v>1600</v>
      </c>
      <c r="C2141" s="112">
        <v>0</v>
      </c>
      <c r="D2141" s="112" t="s">
        <v>1601</v>
      </c>
      <c r="E2141" s="112" t="s">
        <v>1597</v>
      </c>
      <c r="F2141" s="112" t="s">
        <v>1601</v>
      </c>
      <c r="G2141" s="112" t="s">
        <v>1466</v>
      </c>
      <c r="H2141" s="112" t="s">
        <v>1597</v>
      </c>
      <c r="I2141" s="112">
        <v>0</v>
      </c>
    </row>
    <row r="2142" spans="1:9">
      <c r="A2142" s="112" t="s">
        <v>1467</v>
      </c>
      <c r="B2142" s="112" t="s">
        <v>1600</v>
      </c>
      <c r="C2142" s="112">
        <v>370.69137940000002</v>
      </c>
      <c r="D2142" s="112" t="s">
        <v>1601</v>
      </c>
      <c r="E2142" s="112" t="s">
        <v>1597</v>
      </c>
      <c r="F2142" s="112" t="s">
        <v>1601</v>
      </c>
      <c r="G2142" s="112" t="s">
        <v>1467</v>
      </c>
      <c r="H2142" s="112" t="s">
        <v>1597</v>
      </c>
      <c r="I2142" s="112">
        <v>370.69137940000002</v>
      </c>
    </row>
    <row r="2143" spans="1:9">
      <c r="A2143" s="112" t="s">
        <v>1468</v>
      </c>
      <c r="B2143" s="112" t="s">
        <v>1600</v>
      </c>
      <c r="C2143" s="112">
        <v>0</v>
      </c>
      <c r="D2143" s="112" t="s">
        <v>1601</v>
      </c>
      <c r="E2143" s="112" t="s">
        <v>1597</v>
      </c>
      <c r="F2143" s="112" t="s">
        <v>1601</v>
      </c>
      <c r="G2143" s="112" t="s">
        <v>1468</v>
      </c>
      <c r="H2143" s="112" t="s">
        <v>1597</v>
      </c>
      <c r="I2143" s="112">
        <v>0</v>
      </c>
    </row>
    <row r="2144" spans="1:9">
      <c r="A2144" s="112" t="s">
        <v>1469</v>
      </c>
      <c r="B2144" s="112" t="s">
        <v>1600</v>
      </c>
      <c r="C2144" s="112">
        <v>19.229290049999999</v>
      </c>
      <c r="D2144" s="112" t="s">
        <v>1601</v>
      </c>
      <c r="E2144" s="112" t="s">
        <v>1597</v>
      </c>
      <c r="F2144" s="112" t="s">
        <v>1601</v>
      </c>
      <c r="G2144" s="112" t="s">
        <v>1469</v>
      </c>
      <c r="H2144" s="112" t="s">
        <v>1597</v>
      </c>
      <c r="I2144" s="112">
        <v>19.229290049999999</v>
      </c>
    </row>
    <row r="2145" spans="1:9">
      <c r="A2145" s="112" t="s">
        <v>1470</v>
      </c>
      <c r="B2145" s="112" t="s">
        <v>1600</v>
      </c>
      <c r="C2145" s="112">
        <v>2404.0267450000001</v>
      </c>
      <c r="D2145" s="112" t="s">
        <v>1601</v>
      </c>
      <c r="E2145" s="112" t="s">
        <v>1597</v>
      </c>
      <c r="F2145" s="112" t="s">
        <v>1601</v>
      </c>
      <c r="G2145" s="112" t="s">
        <v>1470</v>
      </c>
      <c r="H2145" s="112" t="s">
        <v>1597</v>
      </c>
      <c r="I2145" s="112">
        <v>2404.0267450000001</v>
      </c>
    </row>
    <row r="2146" spans="1:9">
      <c r="A2146" s="112" t="s">
        <v>1471</v>
      </c>
      <c r="B2146" s="112" t="s">
        <v>1600</v>
      </c>
      <c r="C2146" s="112">
        <v>616.66180410000004</v>
      </c>
      <c r="D2146" s="112" t="s">
        <v>1601</v>
      </c>
      <c r="E2146" s="112" t="s">
        <v>1597</v>
      </c>
      <c r="F2146" s="112" t="s">
        <v>1601</v>
      </c>
      <c r="G2146" s="112" t="s">
        <v>1471</v>
      </c>
      <c r="H2146" s="112" t="s">
        <v>1597</v>
      </c>
      <c r="I2146" s="112">
        <v>616.66180410000004</v>
      </c>
    </row>
    <row r="2147" spans="1:9">
      <c r="A2147" s="112" t="s">
        <v>1472</v>
      </c>
      <c r="B2147" s="112" t="s">
        <v>1600</v>
      </c>
      <c r="C2147" s="112">
        <v>11528.56258</v>
      </c>
      <c r="D2147" s="112" t="s">
        <v>1601</v>
      </c>
      <c r="E2147" s="112" t="s">
        <v>1597</v>
      </c>
      <c r="F2147" s="112" t="s">
        <v>1601</v>
      </c>
      <c r="G2147" s="112" t="s">
        <v>1472</v>
      </c>
      <c r="H2147" s="112" t="s">
        <v>1597</v>
      </c>
      <c r="I2147" s="112">
        <v>11528.56258</v>
      </c>
    </row>
    <row r="2148" spans="1:9">
      <c r="A2148" s="112" t="s">
        <v>1473</v>
      </c>
      <c r="B2148" s="112" t="s">
        <v>1600</v>
      </c>
      <c r="C2148" s="112">
        <v>204.5390951</v>
      </c>
      <c r="D2148" s="112" t="s">
        <v>1601</v>
      </c>
      <c r="E2148" s="112" t="s">
        <v>1597</v>
      </c>
      <c r="F2148" s="112" t="s">
        <v>1601</v>
      </c>
      <c r="G2148" s="112" t="s">
        <v>1473</v>
      </c>
      <c r="H2148" s="112" t="s">
        <v>1597</v>
      </c>
      <c r="I2148" s="112">
        <v>204.5390951</v>
      </c>
    </row>
    <row r="2149" spans="1:9">
      <c r="A2149" s="112" t="s">
        <v>1474</v>
      </c>
      <c r="B2149" s="112" t="s">
        <v>1600</v>
      </c>
      <c r="C2149" s="112">
        <v>1183.562856</v>
      </c>
      <c r="D2149" s="112" t="s">
        <v>1601</v>
      </c>
      <c r="E2149" s="112" t="s">
        <v>1597</v>
      </c>
      <c r="F2149" s="112" t="s">
        <v>1601</v>
      </c>
      <c r="G2149" s="112" t="s">
        <v>1474</v>
      </c>
      <c r="H2149" s="112" t="s">
        <v>1597</v>
      </c>
      <c r="I2149" s="112">
        <v>1183.562856</v>
      </c>
    </row>
    <row r="2150" spans="1:9">
      <c r="A2150" s="112" t="s">
        <v>1475</v>
      </c>
      <c r="B2150" s="112" t="s">
        <v>1600</v>
      </c>
      <c r="C2150" s="112">
        <v>6107.3711839999996</v>
      </c>
      <c r="D2150" s="112" t="s">
        <v>1601</v>
      </c>
      <c r="E2150" s="112" t="s">
        <v>1597</v>
      </c>
      <c r="F2150" s="112" t="s">
        <v>1601</v>
      </c>
      <c r="G2150" s="112" t="s">
        <v>1475</v>
      </c>
      <c r="H2150" s="112" t="s">
        <v>1597</v>
      </c>
      <c r="I2150" s="112">
        <v>6107.3711839999996</v>
      </c>
    </row>
    <row r="2151" spans="1:9">
      <c r="A2151" s="112" t="s">
        <v>1476</v>
      </c>
      <c r="B2151" s="112" t="s">
        <v>1600</v>
      </c>
      <c r="C2151" s="112">
        <v>5875.3916300000001</v>
      </c>
      <c r="D2151" s="112" t="s">
        <v>1601</v>
      </c>
      <c r="E2151" s="112" t="s">
        <v>1597</v>
      </c>
      <c r="F2151" s="112" t="s">
        <v>1601</v>
      </c>
      <c r="G2151" s="112" t="s">
        <v>1476</v>
      </c>
      <c r="H2151" s="112" t="s">
        <v>1597</v>
      </c>
      <c r="I2151" s="112">
        <v>5875.3916300000001</v>
      </c>
    </row>
    <row r="2152" spans="1:9">
      <c r="A2152" s="112" t="s">
        <v>1477</v>
      </c>
      <c r="B2152" s="112" t="s">
        <v>1600</v>
      </c>
      <c r="C2152" s="112">
        <v>6903.1063979999999</v>
      </c>
      <c r="D2152" s="112" t="s">
        <v>1601</v>
      </c>
      <c r="E2152" s="112" t="s">
        <v>1597</v>
      </c>
      <c r="F2152" s="112" t="s">
        <v>1601</v>
      </c>
      <c r="G2152" s="112" t="s">
        <v>1477</v>
      </c>
      <c r="H2152" s="112" t="s">
        <v>1597</v>
      </c>
      <c r="I2152" s="112">
        <v>6903.1063979999999</v>
      </c>
    </row>
    <row r="2153" spans="1:9">
      <c r="A2153" s="112" t="s">
        <v>1478</v>
      </c>
      <c r="B2153" s="112" t="s">
        <v>1600</v>
      </c>
      <c r="C2153" s="112">
        <v>1122.59853</v>
      </c>
      <c r="D2153" s="112" t="s">
        <v>1601</v>
      </c>
      <c r="E2153" s="112" t="s">
        <v>1597</v>
      </c>
      <c r="F2153" s="112" t="s">
        <v>1601</v>
      </c>
      <c r="G2153" s="112" t="s">
        <v>1478</v>
      </c>
      <c r="H2153" s="112" t="s">
        <v>1597</v>
      </c>
      <c r="I2153" s="112">
        <v>1122.59853</v>
      </c>
    </row>
    <row r="2154" spans="1:9">
      <c r="A2154" s="112" t="s">
        <v>1479</v>
      </c>
      <c r="B2154" s="112" t="s">
        <v>1600</v>
      </c>
      <c r="C2154" s="112">
        <v>5023.4427329999999</v>
      </c>
      <c r="D2154" s="112" t="s">
        <v>1601</v>
      </c>
      <c r="E2154" s="112" t="s">
        <v>1597</v>
      </c>
      <c r="F2154" s="112" t="s">
        <v>1601</v>
      </c>
      <c r="G2154" s="112" t="s">
        <v>1479</v>
      </c>
      <c r="H2154" s="112" t="s">
        <v>1597</v>
      </c>
      <c r="I2154" s="112">
        <v>5023.4427329999999</v>
      </c>
    </row>
    <row r="2155" spans="1:9">
      <c r="A2155" s="112" t="s">
        <v>1480</v>
      </c>
      <c r="B2155" s="112" t="s">
        <v>1600</v>
      </c>
      <c r="C2155" s="112">
        <v>8184.8973900000001</v>
      </c>
      <c r="D2155" s="112" t="s">
        <v>1601</v>
      </c>
      <c r="E2155" s="112" t="s">
        <v>1597</v>
      </c>
      <c r="F2155" s="112" t="s">
        <v>1601</v>
      </c>
      <c r="G2155" s="112" t="s">
        <v>1480</v>
      </c>
      <c r="H2155" s="112" t="s">
        <v>1597</v>
      </c>
      <c r="I2155" s="112">
        <v>8184.8973900000001</v>
      </c>
    </row>
    <row r="2156" spans="1:9">
      <c r="A2156" s="112" t="s">
        <v>1481</v>
      </c>
      <c r="B2156" s="112" t="s">
        <v>1600</v>
      </c>
      <c r="C2156" s="112">
        <v>0</v>
      </c>
      <c r="D2156" s="112" t="s">
        <v>1601</v>
      </c>
      <c r="E2156" s="112" t="s">
        <v>1597</v>
      </c>
      <c r="F2156" s="112" t="s">
        <v>1601</v>
      </c>
      <c r="G2156" s="112" t="s">
        <v>1481</v>
      </c>
      <c r="H2156" s="112" t="s">
        <v>1597</v>
      </c>
      <c r="I2156" s="112">
        <v>0</v>
      </c>
    </row>
    <row r="2157" spans="1:9">
      <c r="A2157" s="112" t="s">
        <v>1482</v>
      </c>
      <c r="B2157" s="112" t="s">
        <v>1600</v>
      </c>
      <c r="C2157" s="112">
        <v>0</v>
      </c>
      <c r="D2157" s="112" t="s">
        <v>1601</v>
      </c>
      <c r="E2157" s="112" t="s">
        <v>1597</v>
      </c>
      <c r="F2157" s="112" t="s">
        <v>1601</v>
      </c>
      <c r="G2157" s="112" t="s">
        <v>1482</v>
      </c>
      <c r="H2157" s="112" t="s">
        <v>1597</v>
      </c>
      <c r="I2157" s="112">
        <v>0</v>
      </c>
    </row>
    <row r="2158" spans="1:9">
      <c r="A2158" s="112" t="s">
        <v>1483</v>
      </c>
      <c r="B2158" s="112" t="s">
        <v>1600</v>
      </c>
      <c r="C2158" s="112">
        <v>0</v>
      </c>
      <c r="D2158" s="112" t="s">
        <v>1601</v>
      </c>
      <c r="E2158" s="112" t="s">
        <v>1597</v>
      </c>
      <c r="F2158" s="112" t="s">
        <v>1601</v>
      </c>
      <c r="G2158" s="112" t="s">
        <v>1483</v>
      </c>
      <c r="H2158" s="112" t="s">
        <v>1597</v>
      </c>
      <c r="I2158" s="112">
        <v>0</v>
      </c>
    </row>
    <row r="2159" spans="1:9">
      <c r="A2159" s="112" t="s">
        <v>1484</v>
      </c>
      <c r="B2159" s="112" t="s">
        <v>1600</v>
      </c>
      <c r="C2159" s="112">
        <v>0</v>
      </c>
      <c r="D2159" s="112" t="s">
        <v>1601</v>
      </c>
      <c r="E2159" s="112" t="s">
        <v>1597</v>
      </c>
      <c r="F2159" s="112" t="s">
        <v>1601</v>
      </c>
      <c r="G2159" s="112" t="s">
        <v>1484</v>
      </c>
      <c r="H2159" s="112" t="s">
        <v>1597</v>
      </c>
      <c r="I2159" s="112">
        <v>0</v>
      </c>
    </row>
    <row r="2160" spans="1:9">
      <c r="A2160" s="112" t="s">
        <v>1485</v>
      </c>
      <c r="B2160" s="112" t="s">
        <v>1600</v>
      </c>
      <c r="C2160" s="112">
        <v>0</v>
      </c>
      <c r="D2160" s="112" t="s">
        <v>1601</v>
      </c>
      <c r="E2160" s="112" t="s">
        <v>1597</v>
      </c>
      <c r="F2160" s="112" t="s">
        <v>1601</v>
      </c>
      <c r="G2160" s="112" t="s">
        <v>1485</v>
      </c>
      <c r="H2160" s="112" t="s">
        <v>1597</v>
      </c>
      <c r="I2160" s="112">
        <v>0</v>
      </c>
    </row>
    <row r="2161" spans="1:9">
      <c r="A2161" s="112" t="s">
        <v>1486</v>
      </c>
      <c r="B2161" s="112" t="s">
        <v>1600</v>
      </c>
      <c r="C2161" s="112">
        <v>0</v>
      </c>
      <c r="D2161" s="112" t="s">
        <v>1601</v>
      </c>
      <c r="E2161" s="112" t="s">
        <v>1597</v>
      </c>
      <c r="F2161" s="112" t="s">
        <v>1601</v>
      </c>
      <c r="G2161" s="112" t="s">
        <v>1486</v>
      </c>
      <c r="H2161" s="112" t="s">
        <v>1597</v>
      </c>
      <c r="I2161" s="112">
        <v>0</v>
      </c>
    </row>
    <row r="2162" spans="1:9">
      <c r="A2162" s="112" t="s">
        <v>1487</v>
      </c>
      <c r="B2162" s="112" t="s">
        <v>1600</v>
      </c>
      <c r="C2162" s="112">
        <v>22.985335360000001</v>
      </c>
      <c r="D2162" s="112" t="s">
        <v>1601</v>
      </c>
      <c r="E2162" s="112" t="s">
        <v>1597</v>
      </c>
      <c r="F2162" s="112" t="s">
        <v>1601</v>
      </c>
      <c r="G2162" s="112" t="s">
        <v>1487</v>
      </c>
      <c r="H2162" s="112" t="s">
        <v>1597</v>
      </c>
      <c r="I2162" s="112">
        <v>22.985335360000001</v>
      </c>
    </row>
    <row r="2163" spans="1:9">
      <c r="A2163" s="112" t="s">
        <v>1488</v>
      </c>
      <c r="B2163" s="112" t="s">
        <v>1600</v>
      </c>
      <c r="C2163" s="112">
        <v>358.42293910000001</v>
      </c>
      <c r="D2163" s="112" t="s">
        <v>1601</v>
      </c>
      <c r="E2163" s="112" t="s">
        <v>1597</v>
      </c>
      <c r="F2163" s="112" t="s">
        <v>1601</v>
      </c>
      <c r="G2163" s="112" t="s">
        <v>1488</v>
      </c>
      <c r="H2163" s="112" t="s">
        <v>1597</v>
      </c>
      <c r="I2163" s="112">
        <v>358.42293910000001</v>
      </c>
    </row>
    <row r="2164" spans="1:9">
      <c r="A2164" s="112" t="s">
        <v>1489</v>
      </c>
      <c r="B2164" s="112" t="s">
        <v>1600</v>
      </c>
      <c r="C2164" s="112">
        <v>0</v>
      </c>
      <c r="D2164" s="112" t="s">
        <v>1601</v>
      </c>
      <c r="E2164" s="112" t="s">
        <v>1597</v>
      </c>
      <c r="F2164" s="112" t="s">
        <v>1601</v>
      </c>
      <c r="G2164" s="112" t="s">
        <v>1489</v>
      </c>
      <c r="H2164" s="112" t="s">
        <v>1597</v>
      </c>
      <c r="I2164" s="112">
        <v>0</v>
      </c>
    </row>
    <row r="2165" spans="1:9">
      <c r="A2165" s="112" t="s">
        <v>1490</v>
      </c>
      <c r="B2165" s="112" t="s">
        <v>1600</v>
      </c>
      <c r="C2165" s="112">
        <v>0</v>
      </c>
      <c r="D2165" s="112" t="s">
        <v>1601</v>
      </c>
      <c r="E2165" s="112" t="s">
        <v>1597</v>
      </c>
      <c r="F2165" s="112" t="s">
        <v>1601</v>
      </c>
      <c r="G2165" s="112" t="s">
        <v>1490</v>
      </c>
      <c r="H2165" s="112" t="s">
        <v>1597</v>
      </c>
      <c r="I2165" s="112">
        <v>0</v>
      </c>
    </row>
    <row r="2166" spans="1:9">
      <c r="A2166" s="112" t="s">
        <v>1461</v>
      </c>
      <c r="B2166" s="112" t="s">
        <v>1602</v>
      </c>
      <c r="C2166" s="112">
        <v>559.86016889999996</v>
      </c>
      <c r="D2166" s="112" t="s">
        <v>1603</v>
      </c>
      <c r="E2166" s="112" t="s">
        <v>1597</v>
      </c>
      <c r="F2166" s="112" t="s">
        <v>1603</v>
      </c>
      <c r="G2166" s="112" t="s">
        <v>1461</v>
      </c>
      <c r="H2166" s="112" t="s">
        <v>1597</v>
      </c>
      <c r="I2166" s="112">
        <v>559.86016889999996</v>
      </c>
    </row>
    <row r="2167" spans="1:9">
      <c r="A2167" s="112" t="s">
        <v>1465</v>
      </c>
      <c r="B2167" s="112" t="s">
        <v>1602</v>
      </c>
      <c r="C2167" s="112">
        <v>0</v>
      </c>
      <c r="D2167" s="112" t="s">
        <v>1603</v>
      </c>
      <c r="E2167" s="112" t="s">
        <v>1597</v>
      </c>
      <c r="F2167" s="112" t="s">
        <v>1603</v>
      </c>
      <c r="G2167" s="112" t="s">
        <v>1465</v>
      </c>
      <c r="H2167" s="112" t="s">
        <v>1597</v>
      </c>
      <c r="I2167" s="112">
        <v>0</v>
      </c>
    </row>
    <row r="2168" spans="1:9">
      <c r="A2168" s="112" t="s">
        <v>1466</v>
      </c>
      <c r="B2168" s="112" t="s">
        <v>1602</v>
      </c>
      <c r="C2168" s="112">
        <v>999.24475689999997</v>
      </c>
      <c r="D2168" s="112" t="s">
        <v>1603</v>
      </c>
      <c r="E2168" s="112" t="s">
        <v>1597</v>
      </c>
      <c r="F2168" s="112" t="s">
        <v>1603</v>
      </c>
      <c r="G2168" s="112" t="s">
        <v>1466</v>
      </c>
      <c r="H2168" s="112" t="s">
        <v>1597</v>
      </c>
      <c r="I2168" s="112">
        <v>999.24475689999997</v>
      </c>
    </row>
    <row r="2169" spans="1:9">
      <c r="A2169" s="112" t="s">
        <v>1467</v>
      </c>
      <c r="B2169" s="112" t="s">
        <v>1602</v>
      </c>
      <c r="C2169" s="112">
        <v>218.01453430000001</v>
      </c>
      <c r="D2169" s="112" t="s">
        <v>1603</v>
      </c>
      <c r="E2169" s="112" t="s">
        <v>1597</v>
      </c>
      <c r="F2169" s="112" t="s">
        <v>1603</v>
      </c>
      <c r="G2169" s="112" t="s">
        <v>1467</v>
      </c>
      <c r="H2169" s="112" t="s">
        <v>1597</v>
      </c>
      <c r="I2169" s="112">
        <v>218.01453430000001</v>
      </c>
    </row>
    <row r="2170" spans="1:9">
      <c r="A2170" s="112" t="s">
        <v>1468</v>
      </c>
      <c r="B2170" s="112" t="s">
        <v>1602</v>
      </c>
      <c r="C2170" s="112">
        <v>3.6075296360000002</v>
      </c>
      <c r="D2170" s="112" t="s">
        <v>1603</v>
      </c>
      <c r="E2170" s="112" t="s">
        <v>1597</v>
      </c>
      <c r="F2170" s="112" t="s">
        <v>1603</v>
      </c>
      <c r="G2170" s="112" t="s">
        <v>1468</v>
      </c>
      <c r="H2170" s="112" t="s">
        <v>1597</v>
      </c>
      <c r="I2170" s="112">
        <v>3.6075296360000002</v>
      </c>
    </row>
    <row r="2171" spans="1:9">
      <c r="A2171" s="112" t="s">
        <v>1469</v>
      </c>
      <c r="B2171" s="112" t="s">
        <v>1602</v>
      </c>
      <c r="C2171" s="112">
        <v>326.89793090000001</v>
      </c>
      <c r="D2171" s="112" t="s">
        <v>1603</v>
      </c>
      <c r="E2171" s="112" t="s">
        <v>1597</v>
      </c>
      <c r="F2171" s="112" t="s">
        <v>1603</v>
      </c>
      <c r="G2171" s="112" t="s">
        <v>1469</v>
      </c>
      <c r="H2171" s="112" t="s">
        <v>1597</v>
      </c>
      <c r="I2171" s="112">
        <v>326.89793090000001</v>
      </c>
    </row>
    <row r="2172" spans="1:9">
      <c r="A2172" s="112" t="s">
        <v>1470</v>
      </c>
      <c r="B2172" s="112" t="s">
        <v>1602</v>
      </c>
      <c r="C2172" s="112">
        <v>2103.5234019999998</v>
      </c>
      <c r="D2172" s="112" t="s">
        <v>1603</v>
      </c>
      <c r="E2172" s="112" t="s">
        <v>1597</v>
      </c>
      <c r="F2172" s="112" t="s">
        <v>1603</v>
      </c>
      <c r="G2172" s="112" t="s">
        <v>1470</v>
      </c>
      <c r="H2172" s="112" t="s">
        <v>1597</v>
      </c>
      <c r="I2172" s="112">
        <v>2103.5234019999998</v>
      </c>
    </row>
    <row r="2173" spans="1:9">
      <c r="A2173" s="112" t="s">
        <v>1471</v>
      </c>
      <c r="B2173" s="112" t="s">
        <v>1602</v>
      </c>
      <c r="C2173" s="112">
        <v>323.37765409999997</v>
      </c>
      <c r="D2173" s="112" t="s">
        <v>1603</v>
      </c>
      <c r="E2173" s="112" t="s">
        <v>1597</v>
      </c>
      <c r="F2173" s="112" t="s">
        <v>1603</v>
      </c>
      <c r="G2173" s="112" t="s">
        <v>1471</v>
      </c>
      <c r="H2173" s="112" t="s">
        <v>1597</v>
      </c>
      <c r="I2173" s="112">
        <v>323.37765409999997</v>
      </c>
    </row>
    <row r="2174" spans="1:9">
      <c r="A2174" s="112" t="s">
        <v>1472</v>
      </c>
      <c r="B2174" s="112" t="s">
        <v>1602</v>
      </c>
      <c r="C2174" s="112">
        <v>0</v>
      </c>
      <c r="D2174" s="112" t="s">
        <v>1603</v>
      </c>
      <c r="E2174" s="112" t="s">
        <v>1597</v>
      </c>
      <c r="F2174" s="112" t="s">
        <v>1603</v>
      </c>
      <c r="G2174" s="112" t="s">
        <v>1472</v>
      </c>
      <c r="H2174" s="112" t="s">
        <v>1597</v>
      </c>
      <c r="I2174" s="112">
        <v>0</v>
      </c>
    </row>
    <row r="2175" spans="1:9">
      <c r="A2175" s="112" t="s">
        <v>1473</v>
      </c>
      <c r="B2175" s="112" t="s">
        <v>1602</v>
      </c>
      <c r="C2175" s="112">
        <v>181.2211313</v>
      </c>
      <c r="D2175" s="112" t="s">
        <v>1603</v>
      </c>
      <c r="E2175" s="112" t="s">
        <v>1597</v>
      </c>
      <c r="F2175" s="112" t="s">
        <v>1603</v>
      </c>
      <c r="G2175" s="112" t="s">
        <v>1473</v>
      </c>
      <c r="H2175" s="112" t="s">
        <v>1597</v>
      </c>
      <c r="I2175" s="112">
        <v>181.2211313</v>
      </c>
    </row>
    <row r="2176" spans="1:9">
      <c r="A2176" s="112" t="s">
        <v>1474</v>
      </c>
      <c r="B2176" s="112" t="s">
        <v>1602</v>
      </c>
      <c r="C2176" s="112">
        <v>0</v>
      </c>
      <c r="D2176" s="112" t="s">
        <v>1603</v>
      </c>
      <c r="E2176" s="112" t="s">
        <v>1597</v>
      </c>
      <c r="F2176" s="112" t="s">
        <v>1603</v>
      </c>
      <c r="G2176" s="112" t="s">
        <v>1474</v>
      </c>
      <c r="H2176" s="112" t="s">
        <v>1597</v>
      </c>
      <c r="I2176" s="112">
        <v>0</v>
      </c>
    </row>
    <row r="2177" spans="1:9">
      <c r="A2177" s="112" t="s">
        <v>1475</v>
      </c>
      <c r="B2177" s="112" t="s">
        <v>1602</v>
      </c>
      <c r="C2177" s="112">
        <v>0</v>
      </c>
      <c r="D2177" s="112" t="s">
        <v>1603</v>
      </c>
      <c r="E2177" s="112" t="s">
        <v>1597</v>
      </c>
      <c r="F2177" s="112" t="s">
        <v>1603</v>
      </c>
      <c r="G2177" s="112" t="s">
        <v>1475</v>
      </c>
      <c r="H2177" s="112" t="s">
        <v>1597</v>
      </c>
      <c r="I2177" s="112">
        <v>0</v>
      </c>
    </row>
    <row r="2178" spans="1:9">
      <c r="A2178" s="112" t="s">
        <v>1476</v>
      </c>
      <c r="B2178" s="112" t="s">
        <v>1602</v>
      </c>
      <c r="C2178" s="112">
        <v>26.55115649</v>
      </c>
      <c r="D2178" s="112" t="s">
        <v>1603</v>
      </c>
      <c r="E2178" s="112" t="s">
        <v>1597</v>
      </c>
      <c r="F2178" s="112" t="s">
        <v>1603</v>
      </c>
      <c r="G2178" s="112" t="s">
        <v>1476</v>
      </c>
      <c r="H2178" s="112" t="s">
        <v>1597</v>
      </c>
      <c r="I2178" s="112">
        <v>26.55115649</v>
      </c>
    </row>
    <row r="2179" spans="1:9">
      <c r="A2179" s="112" t="s">
        <v>1477</v>
      </c>
      <c r="B2179" s="112" t="s">
        <v>1602</v>
      </c>
      <c r="C2179" s="112">
        <v>187.58441300000001</v>
      </c>
      <c r="D2179" s="112" t="s">
        <v>1603</v>
      </c>
      <c r="E2179" s="112" t="s">
        <v>1597</v>
      </c>
      <c r="F2179" s="112" t="s">
        <v>1603</v>
      </c>
      <c r="G2179" s="112" t="s">
        <v>1477</v>
      </c>
      <c r="H2179" s="112" t="s">
        <v>1597</v>
      </c>
      <c r="I2179" s="112">
        <v>187.58441300000001</v>
      </c>
    </row>
    <row r="2180" spans="1:9">
      <c r="A2180" s="112" t="s">
        <v>1478</v>
      </c>
      <c r="B2180" s="112" t="s">
        <v>1602</v>
      </c>
      <c r="C2180" s="112">
        <v>124.37699310000001</v>
      </c>
      <c r="D2180" s="112" t="s">
        <v>1603</v>
      </c>
      <c r="E2180" s="112" t="s">
        <v>1597</v>
      </c>
      <c r="F2180" s="112" t="s">
        <v>1603</v>
      </c>
      <c r="G2180" s="112" t="s">
        <v>1478</v>
      </c>
      <c r="H2180" s="112" t="s">
        <v>1597</v>
      </c>
      <c r="I2180" s="112">
        <v>124.37699310000001</v>
      </c>
    </row>
    <row r="2181" spans="1:9">
      <c r="A2181" s="112" t="s">
        <v>1479</v>
      </c>
      <c r="B2181" s="112" t="s">
        <v>1602</v>
      </c>
      <c r="C2181" s="112">
        <v>6363.0274609999997</v>
      </c>
      <c r="D2181" s="112" t="s">
        <v>1603</v>
      </c>
      <c r="E2181" s="112" t="s">
        <v>1597</v>
      </c>
      <c r="F2181" s="112" t="s">
        <v>1603</v>
      </c>
      <c r="G2181" s="112" t="s">
        <v>1479</v>
      </c>
      <c r="H2181" s="112" t="s">
        <v>1597</v>
      </c>
      <c r="I2181" s="112">
        <v>6363.0274609999997</v>
      </c>
    </row>
    <row r="2182" spans="1:9">
      <c r="A2182" s="112" t="s">
        <v>1480</v>
      </c>
      <c r="B2182" s="112" t="s">
        <v>1602</v>
      </c>
      <c r="C2182" s="112">
        <v>908.54751940000006</v>
      </c>
      <c r="D2182" s="112" t="s">
        <v>1603</v>
      </c>
      <c r="E2182" s="112" t="s">
        <v>1597</v>
      </c>
      <c r="F2182" s="112" t="s">
        <v>1603</v>
      </c>
      <c r="G2182" s="112" t="s">
        <v>1480</v>
      </c>
      <c r="H2182" s="112" t="s">
        <v>1597</v>
      </c>
      <c r="I2182" s="112">
        <v>908.54751940000006</v>
      </c>
    </row>
    <row r="2183" spans="1:9">
      <c r="A2183" s="112" t="s">
        <v>1481</v>
      </c>
      <c r="B2183" s="112" t="s">
        <v>1602</v>
      </c>
      <c r="C2183" s="112">
        <v>0</v>
      </c>
      <c r="D2183" s="112" t="s">
        <v>1603</v>
      </c>
      <c r="E2183" s="112" t="s">
        <v>1597</v>
      </c>
      <c r="F2183" s="112" t="s">
        <v>1603</v>
      </c>
      <c r="G2183" s="112" t="s">
        <v>1481</v>
      </c>
      <c r="H2183" s="112" t="s">
        <v>1597</v>
      </c>
      <c r="I2183" s="112">
        <v>0</v>
      </c>
    </row>
    <row r="2184" spans="1:9">
      <c r="A2184" s="112" t="s">
        <v>1482</v>
      </c>
      <c r="B2184" s="112" t="s">
        <v>1602</v>
      </c>
      <c r="C2184" s="112">
        <v>0</v>
      </c>
      <c r="D2184" s="112" t="s">
        <v>1603</v>
      </c>
      <c r="E2184" s="112" t="s">
        <v>1597</v>
      </c>
      <c r="F2184" s="112" t="s">
        <v>1603</v>
      </c>
      <c r="G2184" s="112" t="s">
        <v>1482</v>
      </c>
      <c r="H2184" s="112" t="s">
        <v>1597</v>
      </c>
      <c r="I2184" s="112">
        <v>0</v>
      </c>
    </row>
    <row r="2185" spans="1:9">
      <c r="A2185" s="112" t="s">
        <v>1483</v>
      </c>
      <c r="B2185" s="112" t="s">
        <v>1602</v>
      </c>
      <c r="C2185" s="112">
        <v>0</v>
      </c>
      <c r="D2185" s="112" t="s">
        <v>1603</v>
      </c>
      <c r="E2185" s="112" t="s">
        <v>1597</v>
      </c>
      <c r="F2185" s="112" t="s">
        <v>1603</v>
      </c>
      <c r="G2185" s="112" t="s">
        <v>1483</v>
      </c>
      <c r="H2185" s="112" t="s">
        <v>1597</v>
      </c>
      <c r="I2185" s="112">
        <v>0</v>
      </c>
    </row>
    <row r="2186" spans="1:9">
      <c r="A2186" s="112" t="s">
        <v>1484</v>
      </c>
      <c r="B2186" s="112" t="s">
        <v>1602</v>
      </c>
      <c r="C2186" s="112">
        <v>0</v>
      </c>
      <c r="D2186" s="112" t="s">
        <v>1603</v>
      </c>
      <c r="E2186" s="112" t="s">
        <v>1597</v>
      </c>
      <c r="F2186" s="112" t="s">
        <v>1603</v>
      </c>
      <c r="G2186" s="112" t="s">
        <v>1484</v>
      </c>
      <c r="H2186" s="112" t="s">
        <v>1597</v>
      </c>
      <c r="I2186" s="112">
        <v>0</v>
      </c>
    </row>
    <row r="2187" spans="1:9">
      <c r="A2187" s="112" t="s">
        <v>1485</v>
      </c>
      <c r="B2187" s="112" t="s">
        <v>1602</v>
      </c>
      <c r="C2187" s="112">
        <v>0</v>
      </c>
      <c r="D2187" s="112" t="s">
        <v>1603</v>
      </c>
      <c r="E2187" s="112" t="s">
        <v>1597</v>
      </c>
      <c r="F2187" s="112" t="s">
        <v>1603</v>
      </c>
      <c r="G2187" s="112" t="s">
        <v>1485</v>
      </c>
      <c r="H2187" s="112" t="s">
        <v>1597</v>
      </c>
      <c r="I2187" s="112">
        <v>0</v>
      </c>
    </row>
    <row r="2188" spans="1:9">
      <c r="A2188" s="112" t="s">
        <v>1486</v>
      </c>
      <c r="B2188" s="112" t="s">
        <v>1602</v>
      </c>
      <c r="C2188" s="112">
        <v>0</v>
      </c>
      <c r="D2188" s="112" t="s">
        <v>1603</v>
      </c>
      <c r="E2188" s="112" t="s">
        <v>1597</v>
      </c>
      <c r="F2188" s="112" t="s">
        <v>1603</v>
      </c>
      <c r="G2188" s="112" t="s">
        <v>1486</v>
      </c>
      <c r="H2188" s="112" t="s">
        <v>1597</v>
      </c>
      <c r="I2188" s="112">
        <v>0</v>
      </c>
    </row>
    <row r="2189" spans="1:9">
      <c r="A2189" s="112" t="s">
        <v>1487</v>
      </c>
      <c r="B2189" s="112" t="s">
        <v>1602</v>
      </c>
      <c r="C2189" s="112">
        <v>0</v>
      </c>
      <c r="D2189" s="112" t="s">
        <v>1603</v>
      </c>
      <c r="E2189" s="112" t="s">
        <v>1597</v>
      </c>
      <c r="F2189" s="112" t="s">
        <v>1603</v>
      </c>
      <c r="G2189" s="112" t="s">
        <v>1487</v>
      </c>
      <c r="H2189" s="112" t="s">
        <v>1597</v>
      </c>
      <c r="I2189" s="112">
        <v>0</v>
      </c>
    </row>
    <row r="2190" spans="1:9">
      <c r="A2190" s="112" t="s">
        <v>1488</v>
      </c>
      <c r="B2190" s="112" t="s">
        <v>1602</v>
      </c>
      <c r="C2190" s="112">
        <v>0</v>
      </c>
      <c r="D2190" s="112" t="s">
        <v>1603</v>
      </c>
      <c r="E2190" s="112" t="s">
        <v>1597</v>
      </c>
      <c r="F2190" s="112" t="s">
        <v>1603</v>
      </c>
      <c r="G2190" s="112" t="s">
        <v>1488</v>
      </c>
      <c r="H2190" s="112" t="s">
        <v>1597</v>
      </c>
      <c r="I2190" s="112">
        <v>0</v>
      </c>
    </row>
    <row r="2191" spans="1:9">
      <c r="A2191" s="112" t="s">
        <v>1489</v>
      </c>
      <c r="B2191" s="112" t="s">
        <v>1602</v>
      </c>
      <c r="C2191" s="112">
        <v>0</v>
      </c>
      <c r="D2191" s="112" t="s">
        <v>1603</v>
      </c>
      <c r="E2191" s="112" t="s">
        <v>1597</v>
      </c>
      <c r="F2191" s="112" t="s">
        <v>1603</v>
      </c>
      <c r="G2191" s="112" t="s">
        <v>1489</v>
      </c>
      <c r="H2191" s="112" t="s">
        <v>1597</v>
      </c>
      <c r="I2191" s="112">
        <v>0</v>
      </c>
    </row>
    <row r="2192" spans="1:9">
      <c r="A2192" s="112" t="s">
        <v>1490</v>
      </c>
      <c r="B2192" s="112" t="s">
        <v>1602</v>
      </c>
      <c r="C2192" s="112">
        <v>0</v>
      </c>
      <c r="D2192" s="112" t="s">
        <v>1603</v>
      </c>
      <c r="E2192" s="112" t="s">
        <v>1597</v>
      </c>
      <c r="F2192" s="112" t="s">
        <v>1603</v>
      </c>
      <c r="G2192" s="112" t="s">
        <v>1490</v>
      </c>
      <c r="H2192" s="112" t="s">
        <v>1597</v>
      </c>
      <c r="I2192" s="112">
        <v>0</v>
      </c>
    </row>
    <row r="2193" spans="1:9">
      <c r="A2193" s="112" t="s">
        <v>1461</v>
      </c>
      <c r="B2193" s="112" t="s">
        <v>1604</v>
      </c>
      <c r="C2193" s="112">
        <v>1680.250196</v>
      </c>
      <c r="D2193" s="112" t="s">
        <v>1605</v>
      </c>
      <c r="E2193" s="112" t="s">
        <v>1597</v>
      </c>
      <c r="F2193" s="112" t="s">
        <v>1605</v>
      </c>
      <c r="G2193" s="112" t="s">
        <v>1461</v>
      </c>
      <c r="H2193" s="112" t="s">
        <v>1597</v>
      </c>
      <c r="I2193" s="112">
        <v>2417.5780020000002</v>
      </c>
    </row>
    <row r="2194" spans="1:9">
      <c r="A2194" s="112" t="s">
        <v>1465</v>
      </c>
      <c r="B2194" s="112" t="s">
        <v>1604</v>
      </c>
      <c r="C2194" s="112">
        <v>8236.1904020000002</v>
      </c>
      <c r="D2194" s="112" t="s">
        <v>1605</v>
      </c>
      <c r="E2194" s="112" t="s">
        <v>1597</v>
      </c>
      <c r="F2194" s="112" t="s">
        <v>1605</v>
      </c>
      <c r="G2194" s="112" t="s">
        <v>1465</v>
      </c>
      <c r="H2194" s="112" t="s">
        <v>1597</v>
      </c>
      <c r="I2194" s="112">
        <v>13964.65251</v>
      </c>
    </row>
    <row r="2195" spans="1:9">
      <c r="A2195" s="112" t="s">
        <v>1466</v>
      </c>
      <c r="B2195" s="112" t="s">
        <v>1604</v>
      </c>
      <c r="C2195" s="112">
        <v>2172.77639</v>
      </c>
      <c r="D2195" s="112" t="s">
        <v>1605</v>
      </c>
      <c r="E2195" s="112" t="s">
        <v>1597</v>
      </c>
      <c r="F2195" s="112" t="s">
        <v>1605</v>
      </c>
      <c r="G2195" s="112" t="s">
        <v>1466</v>
      </c>
      <c r="H2195" s="112" t="s">
        <v>1597</v>
      </c>
      <c r="I2195" s="112">
        <v>3973.740777</v>
      </c>
    </row>
    <row r="2196" spans="1:9">
      <c r="A2196" s="112" t="s">
        <v>1467</v>
      </c>
      <c r="B2196" s="112" t="s">
        <v>1604</v>
      </c>
      <c r="C2196" s="112">
        <v>1396.093073</v>
      </c>
      <c r="D2196" s="112" t="s">
        <v>1605</v>
      </c>
      <c r="E2196" s="112" t="s">
        <v>1597</v>
      </c>
      <c r="F2196" s="112" t="s">
        <v>1605</v>
      </c>
      <c r="G2196" s="112" t="s">
        <v>1467</v>
      </c>
      <c r="H2196" s="112" t="s">
        <v>1597</v>
      </c>
      <c r="I2196" s="112">
        <v>1795.4530299999999</v>
      </c>
    </row>
    <row r="2197" spans="1:9">
      <c r="A2197" s="112" t="s">
        <v>1468</v>
      </c>
      <c r="B2197" s="112" t="s">
        <v>1604</v>
      </c>
      <c r="C2197" s="112">
        <v>5822.5528320000003</v>
      </c>
      <c r="D2197" s="112" t="s">
        <v>1605</v>
      </c>
      <c r="E2197" s="112" t="s">
        <v>1597</v>
      </c>
      <c r="F2197" s="112" t="s">
        <v>1605</v>
      </c>
      <c r="G2197" s="112" t="s">
        <v>1468</v>
      </c>
      <c r="H2197" s="112" t="s">
        <v>1597</v>
      </c>
      <c r="I2197" s="112">
        <v>11782.191790000001</v>
      </c>
    </row>
    <row r="2198" spans="1:9">
      <c r="A2198" s="112" t="s">
        <v>1469</v>
      </c>
      <c r="B2198" s="112" t="s">
        <v>1604</v>
      </c>
      <c r="C2198" s="112">
        <v>4499.6538730000002</v>
      </c>
      <c r="D2198" s="112" t="s">
        <v>1605</v>
      </c>
      <c r="E2198" s="112" t="s">
        <v>1597</v>
      </c>
      <c r="F2198" s="112" t="s">
        <v>1605</v>
      </c>
      <c r="G2198" s="112" t="s">
        <v>1469</v>
      </c>
      <c r="H2198" s="112" t="s">
        <v>1597</v>
      </c>
      <c r="I2198" s="112">
        <v>7143.6812559999998</v>
      </c>
    </row>
    <row r="2199" spans="1:9">
      <c r="A2199" s="112" t="s">
        <v>1470</v>
      </c>
      <c r="B2199" s="112" t="s">
        <v>1604</v>
      </c>
      <c r="C2199" s="112">
        <v>75.125835769999995</v>
      </c>
      <c r="D2199" s="112" t="s">
        <v>1605</v>
      </c>
      <c r="E2199" s="112" t="s">
        <v>1597</v>
      </c>
      <c r="F2199" s="112" t="s">
        <v>1605</v>
      </c>
      <c r="G2199" s="112" t="s">
        <v>1470</v>
      </c>
      <c r="H2199" s="112" t="s">
        <v>1597</v>
      </c>
      <c r="I2199" s="112">
        <v>150.25167149999999</v>
      </c>
    </row>
    <row r="2200" spans="1:9">
      <c r="A2200" s="112" t="s">
        <v>1471</v>
      </c>
      <c r="B2200" s="112" t="s">
        <v>1604</v>
      </c>
      <c r="C2200" s="112">
        <v>2642.617706</v>
      </c>
      <c r="D2200" s="112" t="s">
        <v>1605</v>
      </c>
      <c r="E2200" s="112" t="s">
        <v>1597</v>
      </c>
      <c r="F2200" s="112" t="s">
        <v>1605</v>
      </c>
      <c r="G2200" s="112" t="s">
        <v>1471</v>
      </c>
      <c r="H2200" s="112" t="s">
        <v>1597</v>
      </c>
      <c r="I2200" s="112">
        <v>4109.5485150000004</v>
      </c>
    </row>
    <row r="2201" spans="1:9">
      <c r="A2201" s="112" t="s">
        <v>1472</v>
      </c>
      <c r="B2201" s="112" t="s">
        <v>1604</v>
      </c>
      <c r="C2201" s="112">
        <v>13531.426579999999</v>
      </c>
      <c r="D2201" s="112" t="s">
        <v>1605</v>
      </c>
      <c r="E2201" s="112" t="s">
        <v>1597</v>
      </c>
      <c r="F2201" s="112" t="s">
        <v>1605</v>
      </c>
      <c r="G2201" s="112" t="s">
        <v>1472</v>
      </c>
      <c r="H2201" s="112" t="s">
        <v>1597</v>
      </c>
      <c r="I2201" s="112">
        <v>21518.6934</v>
      </c>
    </row>
    <row r="2202" spans="1:9">
      <c r="A2202" s="112" t="s">
        <v>1473</v>
      </c>
      <c r="B2202" s="112" t="s">
        <v>1604</v>
      </c>
      <c r="C2202" s="112">
        <v>337.85701829999999</v>
      </c>
      <c r="D2202" s="112" t="s">
        <v>1605</v>
      </c>
      <c r="E2202" s="112" t="s">
        <v>1597</v>
      </c>
      <c r="F2202" s="112" t="s">
        <v>1605</v>
      </c>
      <c r="G2202" s="112" t="s">
        <v>1473</v>
      </c>
      <c r="H2202" s="112" t="s">
        <v>1597</v>
      </c>
      <c r="I2202" s="112">
        <v>681.79698370000006</v>
      </c>
    </row>
    <row r="2203" spans="1:9">
      <c r="A2203" s="112" t="s">
        <v>1474</v>
      </c>
      <c r="B2203" s="112" t="s">
        <v>1604</v>
      </c>
      <c r="C2203" s="112">
        <v>4479.840717</v>
      </c>
      <c r="D2203" s="112" t="s">
        <v>1605</v>
      </c>
      <c r="E2203" s="112" t="s">
        <v>1597</v>
      </c>
      <c r="F2203" s="112" t="s">
        <v>1605</v>
      </c>
      <c r="G2203" s="112" t="s">
        <v>1474</v>
      </c>
      <c r="H2203" s="112" t="s">
        <v>1597</v>
      </c>
      <c r="I2203" s="112">
        <v>7256.2358279999999</v>
      </c>
    </row>
    <row r="2204" spans="1:9">
      <c r="A2204" s="112" t="s">
        <v>1475</v>
      </c>
      <c r="B2204" s="112" t="s">
        <v>1604</v>
      </c>
      <c r="C2204" s="112">
        <v>8224.3109359999999</v>
      </c>
      <c r="D2204" s="112" t="s">
        <v>1605</v>
      </c>
      <c r="E2204" s="112" t="s">
        <v>1597</v>
      </c>
      <c r="F2204" s="112" t="s">
        <v>1605</v>
      </c>
      <c r="G2204" s="112" t="s">
        <v>1475</v>
      </c>
      <c r="H2204" s="112" t="s">
        <v>1597</v>
      </c>
      <c r="I2204" s="112">
        <v>13336.720439999999</v>
      </c>
    </row>
    <row r="2205" spans="1:9">
      <c r="A2205" s="112" t="s">
        <v>1476</v>
      </c>
      <c r="B2205" s="112" t="s">
        <v>1604</v>
      </c>
      <c r="C2205" s="112">
        <v>13613.15724</v>
      </c>
      <c r="D2205" s="112" t="s">
        <v>1605</v>
      </c>
      <c r="E2205" s="112" t="s">
        <v>1597</v>
      </c>
      <c r="F2205" s="112" t="s">
        <v>1605</v>
      </c>
      <c r="G2205" s="112" t="s">
        <v>1476</v>
      </c>
      <c r="H2205" s="112" t="s">
        <v>1597</v>
      </c>
      <c r="I2205" s="112">
        <v>23126.05731</v>
      </c>
    </row>
    <row r="2206" spans="1:9">
      <c r="A2206" s="112" t="s">
        <v>1477</v>
      </c>
      <c r="B2206" s="112" t="s">
        <v>1604</v>
      </c>
      <c r="C2206" s="112">
        <v>7440.8483820000001</v>
      </c>
      <c r="D2206" s="112" t="s">
        <v>1605</v>
      </c>
      <c r="E2206" s="112" t="s">
        <v>1597</v>
      </c>
      <c r="F2206" s="112" t="s">
        <v>1605</v>
      </c>
      <c r="G2206" s="112" t="s">
        <v>1477</v>
      </c>
      <c r="H2206" s="112" t="s">
        <v>1597</v>
      </c>
      <c r="I2206" s="112">
        <v>11555.199839999999</v>
      </c>
    </row>
    <row r="2207" spans="1:9">
      <c r="A2207" s="112" t="s">
        <v>1478</v>
      </c>
      <c r="B2207" s="112" t="s">
        <v>1604</v>
      </c>
      <c r="C2207" s="112">
        <v>2100.945393</v>
      </c>
      <c r="D2207" s="112" t="s">
        <v>1605</v>
      </c>
      <c r="E2207" s="112" t="s">
        <v>1597</v>
      </c>
      <c r="F2207" s="112" t="s">
        <v>1605</v>
      </c>
      <c r="G2207" s="112" t="s">
        <v>1478</v>
      </c>
      <c r="H2207" s="112" t="s">
        <v>1597</v>
      </c>
      <c r="I2207" s="112">
        <v>2765.7852990000001</v>
      </c>
    </row>
    <row r="2208" spans="1:9">
      <c r="A2208" s="112" t="s">
        <v>1479</v>
      </c>
      <c r="B2208" s="112" t="s">
        <v>1604</v>
      </c>
      <c r="C2208" s="112">
        <v>0</v>
      </c>
      <c r="D2208" s="112" t="s">
        <v>1605</v>
      </c>
      <c r="E2208" s="112" t="s">
        <v>1597</v>
      </c>
      <c r="F2208" s="112" t="s">
        <v>1605</v>
      </c>
      <c r="G2208" s="112" t="s">
        <v>1479</v>
      </c>
      <c r="H2208" s="112" t="s">
        <v>1597</v>
      </c>
      <c r="I2208" s="112">
        <v>0</v>
      </c>
    </row>
    <row r="2209" spans="1:9">
      <c r="A2209" s="112" t="s">
        <v>1480</v>
      </c>
      <c r="B2209" s="112" t="s">
        <v>1604</v>
      </c>
      <c r="C2209" s="112">
        <v>2845.1882850000002</v>
      </c>
      <c r="D2209" s="112" t="s">
        <v>1605</v>
      </c>
      <c r="E2209" s="112" t="s">
        <v>1597</v>
      </c>
      <c r="F2209" s="112" t="s">
        <v>1605</v>
      </c>
      <c r="G2209" s="112" t="s">
        <v>1480</v>
      </c>
      <c r="H2209" s="112" t="s">
        <v>1597</v>
      </c>
      <c r="I2209" s="112">
        <v>3968.9181119999998</v>
      </c>
    </row>
    <row r="2210" spans="1:9">
      <c r="A2210" s="112" t="s">
        <v>1481</v>
      </c>
      <c r="B2210" s="112" t="s">
        <v>1604</v>
      </c>
      <c r="C2210" s="112">
        <v>3583.5911590000001</v>
      </c>
      <c r="D2210" s="112" t="s">
        <v>1605</v>
      </c>
      <c r="E2210" s="112" t="s">
        <v>1597</v>
      </c>
      <c r="F2210" s="112" t="s">
        <v>1605</v>
      </c>
      <c r="G2210" s="112" t="s">
        <v>1481</v>
      </c>
      <c r="H2210" s="112" t="s">
        <v>1597</v>
      </c>
      <c r="I2210" s="112">
        <v>5386.5159039999999</v>
      </c>
    </row>
    <row r="2211" spans="1:9">
      <c r="A2211" s="112" t="s">
        <v>1482</v>
      </c>
      <c r="B2211" s="112" t="s">
        <v>1604</v>
      </c>
      <c r="C2211" s="112">
        <v>677.50677510000003</v>
      </c>
      <c r="D2211" s="112" t="s">
        <v>1605</v>
      </c>
      <c r="E2211" s="112" t="s">
        <v>1597</v>
      </c>
      <c r="F2211" s="112" t="s">
        <v>1605</v>
      </c>
      <c r="G2211" s="112" t="s">
        <v>1482</v>
      </c>
      <c r="H2211" s="112" t="s">
        <v>1597</v>
      </c>
      <c r="I2211" s="112">
        <v>1693.766938</v>
      </c>
    </row>
    <row r="2212" spans="1:9">
      <c r="A2212" s="112" t="s">
        <v>1483</v>
      </c>
      <c r="B2212" s="112" t="s">
        <v>1604</v>
      </c>
      <c r="C2212" s="112">
        <v>8564.1498179999999</v>
      </c>
      <c r="D2212" s="112" t="s">
        <v>1605</v>
      </c>
      <c r="E2212" s="112" t="s">
        <v>1597</v>
      </c>
      <c r="F2212" s="112" t="s">
        <v>1605</v>
      </c>
      <c r="G2212" s="112" t="s">
        <v>1483</v>
      </c>
      <c r="H2212" s="112" t="s">
        <v>1597</v>
      </c>
      <c r="I2212" s="112">
        <v>20217.897990000001</v>
      </c>
    </row>
    <row r="2213" spans="1:9">
      <c r="A2213" s="112" t="s">
        <v>1484</v>
      </c>
      <c r="B2213" s="112" t="s">
        <v>1604</v>
      </c>
      <c r="C2213" s="112">
        <v>7027.0270270000001</v>
      </c>
      <c r="D2213" s="112" t="s">
        <v>1605</v>
      </c>
      <c r="E2213" s="112" t="s">
        <v>1597</v>
      </c>
      <c r="F2213" s="112" t="s">
        <v>1605</v>
      </c>
      <c r="G2213" s="112" t="s">
        <v>1484</v>
      </c>
      <c r="H2213" s="112" t="s">
        <v>1597</v>
      </c>
      <c r="I2213" s="112">
        <v>14054.054050000001</v>
      </c>
    </row>
    <row r="2214" spans="1:9">
      <c r="A2214" s="112" t="s">
        <v>1485</v>
      </c>
      <c r="B2214" s="112" t="s">
        <v>1604</v>
      </c>
      <c r="C2214" s="112">
        <v>8692.5320620000002</v>
      </c>
      <c r="D2214" s="112" t="s">
        <v>1605</v>
      </c>
      <c r="E2214" s="112" t="s">
        <v>1597</v>
      </c>
      <c r="F2214" s="112" t="s">
        <v>1605</v>
      </c>
      <c r="G2214" s="112" t="s">
        <v>1485</v>
      </c>
      <c r="H2214" s="112" t="s">
        <v>1597</v>
      </c>
      <c r="I2214" s="112">
        <v>14248.34483</v>
      </c>
    </row>
    <row r="2215" spans="1:9">
      <c r="A2215" s="112" t="s">
        <v>1486</v>
      </c>
      <c r="B2215" s="112" t="s">
        <v>1604</v>
      </c>
      <c r="C2215" s="112">
        <v>9826.3760619999994</v>
      </c>
      <c r="D2215" s="112" t="s">
        <v>1605</v>
      </c>
      <c r="E2215" s="112" t="s">
        <v>1597</v>
      </c>
      <c r="F2215" s="112" t="s">
        <v>1605</v>
      </c>
      <c r="G2215" s="112" t="s">
        <v>1486</v>
      </c>
      <c r="H2215" s="112" t="s">
        <v>1597</v>
      </c>
      <c r="I2215" s="112">
        <v>15515.330620000001</v>
      </c>
    </row>
    <row r="2216" spans="1:9">
      <c r="A2216" s="112" t="s">
        <v>1487</v>
      </c>
      <c r="B2216" s="112" t="s">
        <v>1604</v>
      </c>
      <c r="C2216" s="112">
        <v>4987.8177720000003</v>
      </c>
      <c r="D2216" s="112" t="s">
        <v>1605</v>
      </c>
      <c r="E2216" s="112" t="s">
        <v>1597</v>
      </c>
      <c r="F2216" s="112" t="s">
        <v>1605</v>
      </c>
      <c r="G2216" s="112" t="s">
        <v>1487</v>
      </c>
      <c r="H2216" s="112" t="s">
        <v>1597</v>
      </c>
      <c r="I2216" s="112">
        <v>9998.6208800000004</v>
      </c>
    </row>
    <row r="2217" spans="1:9">
      <c r="A2217" s="112" t="s">
        <v>1488</v>
      </c>
      <c r="B2217" s="112" t="s">
        <v>1604</v>
      </c>
      <c r="C2217" s="112">
        <v>2907.2082839999998</v>
      </c>
      <c r="D2217" s="112" t="s">
        <v>1605</v>
      </c>
      <c r="E2217" s="112" t="s">
        <v>1597</v>
      </c>
      <c r="F2217" s="112" t="s">
        <v>1605</v>
      </c>
      <c r="G2217" s="112" t="s">
        <v>1488</v>
      </c>
      <c r="H2217" s="112" t="s">
        <v>1597</v>
      </c>
      <c r="I2217" s="112">
        <v>4221.4257269999998</v>
      </c>
    </row>
    <row r="2218" spans="1:9">
      <c r="A2218" s="112" t="s">
        <v>1489</v>
      </c>
      <c r="B2218" s="112" t="s">
        <v>1604</v>
      </c>
      <c r="C2218" s="112">
        <v>2627.0263340000001</v>
      </c>
      <c r="D2218" s="112" t="s">
        <v>1605</v>
      </c>
      <c r="E2218" s="112" t="s">
        <v>1597</v>
      </c>
      <c r="F2218" s="112" t="s">
        <v>1605</v>
      </c>
      <c r="G2218" s="112" t="s">
        <v>1489</v>
      </c>
      <c r="H2218" s="112" t="s">
        <v>1597</v>
      </c>
      <c r="I2218" s="112">
        <v>5090.9556899999998</v>
      </c>
    </row>
    <row r="2219" spans="1:9">
      <c r="A2219" s="112" t="s">
        <v>1490</v>
      </c>
      <c r="B2219" s="112" t="s">
        <v>1604</v>
      </c>
      <c r="C2219" s="112">
        <v>6305.1702400000004</v>
      </c>
      <c r="D2219" s="112" t="s">
        <v>1605</v>
      </c>
      <c r="E2219" s="112" t="s">
        <v>1597</v>
      </c>
      <c r="F2219" s="112" t="s">
        <v>1605</v>
      </c>
      <c r="G2219" s="112" t="s">
        <v>1490</v>
      </c>
      <c r="H2219" s="112" t="s">
        <v>1597</v>
      </c>
      <c r="I2219" s="112">
        <v>10508.61707</v>
      </c>
    </row>
    <row r="2220" spans="1:9">
      <c r="A2220" s="112" t="s">
        <v>1461</v>
      </c>
      <c r="B2220" s="112" t="s">
        <v>1606</v>
      </c>
      <c r="C2220" s="112">
        <v>737.32780620000005</v>
      </c>
      <c r="D2220" s="112" t="s">
        <v>1605</v>
      </c>
      <c r="E2220" s="112" t="s">
        <v>1597</v>
      </c>
      <c r="F2220" s="112" t="s">
        <v>1605</v>
      </c>
      <c r="G2220" s="112" t="s">
        <v>1461</v>
      </c>
      <c r="H2220" s="112" t="s">
        <v>1597</v>
      </c>
      <c r="I2220" s="112">
        <v>2417.5780020000002</v>
      </c>
    </row>
    <row r="2221" spans="1:9">
      <c r="A2221" s="112" t="s">
        <v>1465</v>
      </c>
      <c r="B2221" s="112" t="s">
        <v>1606</v>
      </c>
      <c r="C2221" s="112">
        <v>5728.4621059999999</v>
      </c>
      <c r="D2221" s="112" t="s">
        <v>1605</v>
      </c>
      <c r="E2221" s="112" t="s">
        <v>1597</v>
      </c>
      <c r="F2221" s="112" t="s">
        <v>1605</v>
      </c>
      <c r="G2221" s="112" t="s">
        <v>1465</v>
      </c>
      <c r="H2221" s="112" t="s">
        <v>1597</v>
      </c>
      <c r="I2221" s="112">
        <v>13964.65251</v>
      </c>
    </row>
    <row r="2222" spans="1:9">
      <c r="A2222" s="112" t="s">
        <v>1466</v>
      </c>
      <c r="B2222" s="112" t="s">
        <v>1606</v>
      </c>
      <c r="C2222" s="112">
        <v>1800.964387</v>
      </c>
      <c r="D2222" s="112" t="s">
        <v>1605</v>
      </c>
      <c r="E2222" s="112" t="s">
        <v>1597</v>
      </c>
      <c r="F2222" s="112" t="s">
        <v>1605</v>
      </c>
      <c r="G2222" s="112" t="s">
        <v>1466</v>
      </c>
      <c r="H2222" s="112" t="s">
        <v>1597</v>
      </c>
      <c r="I2222" s="112">
        <v>3973.740777</v>
      </c>
    </row>
    <row r="2223" spans="1:9">
      <c r="A2223" s="112" t="s">
        <v>1467</v>
      </c>
      <c r="B2223" s="112" t="s">
        <v>1606</v>
      </c>
      <c r="C2223" s="112">
        <v>399.35995730000002</v>
      </c>
      <c r="D2223" s="112" t="s">
        <v>1605</v>
      </c>
      <c r="E2223" s="112" t="s">
        <v>1597</v>
      </c>
      <c r="F2223" s="112" t="s">
        <v>1605</v>
      </c>
      <c r="G2223" s="112" t="s">
        <v>1467</v>
      </c>
      <c r="H2223" s="112" t="s">
        <v>1597</v>
      </c>
      <c r="I2223" s="112">
        <v>1795.4530299999999</v>
      </c>
    </row>
    <row r="2224" spans="1:9">
      <c r="A2224" s="112" t="s">
        <v>1468</v>
      </c>
      <c r="B2224" s="112" t="s">
        <v>1606</v>
      </c>
      <c r="C2224" s="112">
        <v>5959.6389579999995</v>
      </c>
      <c r="D2224" s="112" t="s">
        <v>1605</v>
      </c>
      <c r="E2224" s="112" t="s">
        <v>1597</v>
      </c>
      <c r="F2224" s="112" t="s">
        <v>1605</v>
      </c>
      <c r="G2224" s="112" t="s">
        <v>1468</v>
      </c>
      <c r="H2224" s="112" t="s">
        <v>1597</v>
      </c>
      <c r="I2224" s="112">
        <v>11782.191790000001</v>
      </c>
    </row>
    <row r="2225" spans="1:9">
      <c r="A2225" s="112" t="s">
        <v>1469</v>
      </c>
      <c r="B2225" s="112" t="s">
        <v>1606</v>
      </c>
      <c r="C2225" s="112">
        <v>2644.0273830000001</v>
      </c>
      <c r="D2225" s="112" t="s">
        <v>1605</v>
      </c>
      <c r="E2225" s="112" t="s">
        <v>1597</v>
      </c>
      <c r="F2225" s="112" t="s">
        <v>1605</v>
      </c>
      <c r="G2225" s="112" t="s">
        <v>1469</v>
      </c>
      <c r="H2225" s="112" t="s">
        <v>1597</v>
      </c>
      <c r="I2225" s="112">
        <v>7143.6812559999998</v>
      </c>
    </row>
    <row r="2226" spans="1:9">
      <c r="A2226" s="112" t="s">
        <v>1470</v>
      </c>
      <c r="B2226" s="112" t="s">
        <v>1606</v>
      </c>
      <c r="C2226" s="112">
        <v>75.125835769999995</v>
      </c>
      <c r="D2226" s="112" t="s">
        <v>1605</v>
      </c>
      <c r="E2226" s="112" t="s">
        <v>1597</v>
      </c>
      <c r="F2226" s="112" t="s">
        <v>1605</v>
      </c>
      <c r="G2226" s="112" t="s">
        <v>1470</v>
      </c>
      <c r="H2226" s="112" t="s">
        <v>1597</v>
      </c>
      <c r="I2226" s="112">
        <v>150.25167149999999</v>
      </c>
    </row>
    <row r="2227" spans="1:9">
      <c r="A2227" s="112" t="s">
        <v>1471</v>
      </c>
      <c r="B2227" s="112" t="s">
        <v>1606</v>
      </c>
      <c r="C2227" s="112">
        <v>1466.930809</v>
      </c>
      <c r="D2227" s="112" t="s">
        <v>1605</v>
      </c>
      <c r="E2227" s="112" t="s">
        <v>1597</v>
      </c>
      <c r="F2227" s="112" t="s">
        <v>1605</v>
      </c>
      <c r="G2227" s="112" t="s">
        <v>1471</v>
      </c>
      <c r="H2227" s="112" t="s">
        <v>1597</v>
      </c>
      <c r="I2227" s="112">
        <v>4109.5485150000004</v>
      </c>
    </row>
    <row r="2228" spans="1:9">
      <c r="A2228" s="112" t="s">
        <v>1472</v>
      </c>
      <c r="B2228" s="112" t="s">
        <v>1606</v>
      </c>
      <c r="C2228" s="112">
        <v>7987.2668160000003</v>
      </c>
      <c r="D2228" s="112" t="s">
        <v>1605</v>
      </c>
      <c r="E2228" s="112" t="s">
        <v>1597</v>
      </c>
      <c r="F2228" s="112" t="s">
        <v>1605</v>
      </c>
      <c r="G2228" s="112" t="s">
        <v>1472</v>
      </c>
      <c r="H2228" s="112" t="s">
        <v>1597</v>
      </c>
      <c r="I2228" s="112">
        <v>21518.6934</v>
      </c>
    </row>
    <row r="2229" spans="1:9">
      <c r="A2229" s="112" t="s">
        <v>1473</v>
      </c>
      <c r="B2229" s="112" t="s">
        <v>1606</v>
      </c>
      <c r="C2229" s="112">
        <v>343.93996540000001</v>
      </c>
      <c r="D2229" s="112" t="s">
        <v>1605</v>
      </c>
      <c r="E2229" s="112" t="s">
        <v>1597</v>
      </c>
      <c r="F2229" s="112" t="s">
        <v>1605</v>
      </c>
      <c r="G2229" s="112" t="s">
        <v>1473</v>
      </c>
      <c r="H2229" s="112" t="s">
        <v>1597</v>
      </c>
      <c r="I2229" s="112">
        <v>681.79698370000006</v>
      </c>
    </row>
    <row r="2230" spans="1:9">
      <c r="A2230" s="112" t="s">
        <v>1474</v>
      </c>
      <c r="B2230" s="112" t="s">
        <v>1606</v>
      </c>
      <c r="C2230" s="112">
        <v>2776.3951109999998</v>
      </c>
      <c r="D2230" s="112" t="s">
        <v>1605</v>
      </c>
      <c r="E2230" s="112" t="s">
        <v>1597</v>
      </c>
      <c r="F2230" s="112" t="s">
        <v>1605</v>
      </c>
      <c r="G2230" s="112" t="s">
        <v>1474</v>
      </c>
      <c r="H2230" s="112" t="s">
        <v>1597</v>
      </c>
      <c r="I2230" s="112">
        <v>7256.2358279999999</v>
      </c>
    </row>
    <row r="2231" spans="1:9">
      <c r="A2231" s="112" t="s">
        <v>1475</v>
      </c>
      <c r="B2231" s="112" t="s">
        <v>1606</v>
      </c>
      <c r="C2231" s="112">
        <v>5112.4095010000001</v>
      </c>
      <c r="D2231" s="112" t="s">
        <v>1605</v>
      </c>
      <c r="E2231" s="112" t="s">
        <v>1597</v>
      </c>
      <c r="F2231" s="112" t="s">
        <v>1605</v>
      </c>
      <c r="G2231" s="112" t="s">
        <v>1475</v>
      </c>
      <c r="H2231" s="112" t="s">
        <v>1597</v>
      </c>
      <c r="I2231" s="112">
        <v>13336.720439999999</v>
      </c>
    </row>
    <row r="2232" spans="1:9">
      <c r="A2232" s="112" t="s">
        <v>1476</v>
      </c>
      <c r="B2232" s="112" t="s">
        <v>1606</v>
      </c>
      <c r="C2232" s="112">
        <v>9512.9000689999993</v>
      </c>
      <c r="D2232" s="112" t="s">
        <v>1605</v>
      </c>
      <c r="E2232" s="112" t="s">
        <v>1597</v>
      </c>
      <c r="F2232" s="112" t="s">
        <v>1605</v>
      </c>
      <c r="G2232" s="112" t="s">
        <v>1476</v>
      </c>
      <c r="H2232" s="112" t="s">
        <v>1597</v>
      </c>
      <c r="I2232" s="112">
        <v>23126.05731</v>
      </c>
    </row>
    <row r="2233" spans="1:9">
      <c r="A2233" s="112" t="s">
        <v>1477</v>
      </c>
      <c r="B2233" s="112" t="s">
        <v>1606</v>
      </c>
      <c r="C2233" s="112">
        <v>4114.3514580000001</v>
      </c>
      <c r="D2233" s="112" t="s">
        <v>1605</v>
      </c>
      <c r="E2233" s="112" t="s">
        <v>1597</v>
      </c>
      <c r="F2233" s="112" t="s">
        <v>1605</v>
      </c>
      <c r="G2233" s="112" t="s">
        <v>1477</v>
      </c>
      <c r="H2233" s="112" t="s">
        <v>1597</v>
      </c>
      <c r="I2233" s="112">
        <v>11555.199839999999</v>
      </c>
    </row>
    <row r="2234" spans="1:9">
      <c r="A2234" s="112" t="s">
        <v>1478</v>
      </c>
      <c r="B2234" s="112" t="s">
        <v>1606</v>
      </c>
      <c r="C2234" s="112">
        <v>664.83990630000005</v>
      </c>
      <c r="D2234" s="112" t="s">
        <v>1605</v>
      </c>
      <c r="E2234" s="112" t="s">
        <v>1597</v>
      </c>
      <c r="F2234" s="112" t="s">
        <v>1605</v>
      </c>
      <c r="G2234" s="112" t="s">
        <v>1478</v>
      </c>
      <c r="H2234" s="112" t="s">
        <v>1597</v>
      </c>
      <c r="I2234" s="112">
        <v>2765.7852990000001</v>
      </c>
    </row>
    <row r="2235" spans="1:9">
      <c r="A2235" s="112" t="s">
        <v>1479</v>
      </c>
      <c r="B2235" s="112" t="s">
        <v>1606</v>
      </c>
      <c r="C2235" s="112">
        <v>0</v>
      </c>
      <c r="D2235" s="112" t="s">
        <v>1605</v>
      </c>
      <c r="E2235" s="112" t="s">
        <v>1597</v>
      </c>
      <c r="F2235" s="112" t="s">
        <v>1605</v>
      </c>
      <c r="G2235" s="112" t="s">
        <v>1479</v>
      </c>
      <c r="H2235" s="112" t="s">
        <v>1597</v>
      </c>
      <c r="I2235" s="112">
        <v>0</v>
      </c>
    </row>
    <row r="2236" spans="1:9">
      <c r="A2236" s="112" t="s">
        <v>1480</v>
      </c>
      <c r="B2236" s="112" t="s">
        <v>1606</v>
      </c>
      <c r="C2236" s="112">
        <v>1123.7298269999999</v>
      </c>
      <c r="D2236" s="112" t="s">
        <v>1605</v>
      </c>
      <c r="E2236" s="112" t="s">
        <v>1597</v>
      </c>
      <c r="F2236" s="112" t="s">
        <v>1605</v>
      </c>
      <c r="G2236" s="112" t="s">
        <v>1480</v>
      </c>
      <c r="H2236" s="112" t="s">
        <v>1597</v>
      </c>
      <c r="I2236" s="112">
        <v>3968.9181119999998</v>
      </c>
    </row>
    <row r="2237" spans="1:9">
      <c r="A2237" s="112" t="s">
        <v>1481</v>
      </c>
      <c r="B2237" s="112" t="s">
        <v>1606</v>
      </c>
      <c r="C2237" s="112">
        <v>1802.924745</v>
      </c>
      <c r="D2237" s="112" t="s">
        <v>1605</v>
      </c>
      <c r="E2237" s="112" t="s">
        <v>1597</v>
      </c>
      <c r="F2237" s="112" t="s">
        <v>1605</v>
      </c>
      <c r="G2237" s="112" t="s">
        <v>1481</v>
      </c>
      <c r="H2237" s="112" t="s">
        <v>1597</v>
      </c>
      <c r="I2237" s="112">
        <v>5386.5159039999999</v>
      </c>
    </row>
    <row r="2238" spans="1:9">
      <c r="A2238" s="112" t="s">
        <v>1482</v>
      </c>
      <c r="B2238" s="112" t="s">
        <v>1606</v>
      </c>
      <c r="C2238" s="112">
        <v>1016.260163</v>
      </c>
      <c r="D2238" s="112" t="s">
        <v>1605</v>
      </c>
      <c r="E2238" s="112" t="s">
        <v>1597</v>
      </c>
      <c r="F2238" s="112" t="s">
        <v>1605</v>
      </c>
      <c r="G2238" s="112" t="s">
        <v>1482</v>
      </c>
      <c r="H2238" s="112" t="s">
        <v>1597</v>
      </c>
      <c r="I2238" s="112">
        <v>1693.766938</v>
      </c>
    </row>
    <row r="2239" spans="1:9">
      <c r="A2239" s="112" t="s">
        <v>1483</v>
      </c>
      <c r="B2239" s="112" t="s">
        <v>1606</v>
      </c>
      <c r="C2239" s="112">
        <v>11653.748170000001</v>
      </c>
      <c r="D2239" s="112" t="s">
        <v>1605</v>
      </c>
      <c r="E2239" s="112" t="s">
        <v>1597</v>
      </c>
      <c r="F2239" s="112" t="s">
        <v>1605</v>
      </c>
      <c r="G2239" s="112" t="s">
        <v>1483</v>
      </c>
      <c r="H2239" s="112" t="s">
        <v>1597</v>
      </c>
      <c r="I2239" s="112">
        <v>20217.897990000001</v>
      </c>
    </row>
    <row r="2240" spans="1:9">
      <c r="A2240" s="112" t="s">
        <v>1484</v>
      </c>
      <c r="B2240" s="112" t="s">
        <v>1606</v>
      </c>
      <c r="C2240" s="112">
        <v>7027.0270270000001</v>
      </c>
      <c r="D2240" s="112" t="s">
        <v>1605</v>
      </c>
      <c r="E2240" s="112" t="s">
        <v>1597</v>
      </c>
      <c r="F2240" s="112" t="s">
        <v>1605</v>
      </c>
      <c r="G2240" s="112" t="s">
        <v>1484</v>
      </c>
      <c r="H2240" s="112" t="s">
        <v>1597</v>
      </c>
      <c r="I2240" s="112">
        <v>14054.054050000001</v>
      </c>
    </row>
    <row r="2241" spans="1:9">
      <c r="A2241" s="112" t="s">
        <v>1485</v>
      </c>
      <c r="B2241" s="112" t="s">
        <v>1606</v>
      </c>
      <c r="C2241" s="112">
        <v>5555.8127690000001</v>
      </c>
      <c r="D2241" s="112" t="s">
        <v>1605</v>
      </c>
      <c r="E2241" s="112" t="s">
        <v>1597</v>
      </c>
      <c r="F2241" s="112" t="s">
        <v>1605</v>
      </c>
      <c r="G2241" s="112" t="s">
        <v>1485</v>
      </c>
      <c r="H2241" s="112" t="s">
        <v>1597</v>
      </c>
      <c r="I2241" s="112">
        <v>14248.34483</v>
      </c>
    </row>
    <row r="2242" spans="1:9">
      <c r="A2242" s="112" t="s">
        <v>1486</v>
      </c>
      <c r="B2242" s="112" t="s">
        <v>1606</v>
      </c>
      <c r="C2242" s="112">
        <v>5688.9545619999999</v>
      </c>
      <c r="D2242" s="112" t="s">
        <v>1605</v>
      </c>
      <c r="E2242" s="112" t="s">
        <v>1597</v>
      </c>
      <c r="F2242" s="112" t="s">
        <v>1605</v>
      </c>
      <c r="G2242" s="112" t="s">
        <v>1486</v>
      </c>
      <c r="H2242" s="112" t="s">
        <v>1597</v>
      </c>
      <c r="I2242" s="112">
        <v>15515.330620000001</v>
      </c>
    </row>
    <row r="2243" spans="1:9">
      <c r="A2243" s="112" t="s">
        <v>1487</v>
      </c>
      <c r="B2243" s="112" t="s">
        <v>1606</v>
      </c>
      <c r="C2243" s="112">
        <v>5010.8031080000001</v>
      </c>
      <c r="D2243" s="112" t="s">
        <v>1605</v>
      </c>
      <c r="E2243" s="112" t="s">
        <v>1597</v>
      </c>
      <c r="F2243" s="112" t="s">
        <v>1605</v>
      </c>
      <c r="G2243" s="112" t="s">
        <v>1487</v>
      </c>
      <c r="H2243" s="112" t="s">
        <v>1597</v>
      </c>
      <c r="I2243" s="112">
        <v>9998.6208800000004</v>
      </c>
    </row>
    <row r="2244" spans="1:9">
      <c r="A2244" s="112" t="s">
        <v>1488</v>
      </c>
      <c r="B2244" s="112" t="s">
        <v>1606</v>
      </c>
      <c r="C2244" s="112">
        <v>1314.217443</v>
      </c>
      <c r="D2244" s="112" t="s">
        <v>1605</v>
      </c>
      <c r="E2244" s="112" t="s">
        <v>1597</v>
      </c>
      <c r="F2244" s="112" t="s">
        <v>1605</v>
      </c>
      <c r="G2244" s="112" t="s">
        <v>1488</v>
      </c>
      <c r="H2244" s="112" t="s">
        <v>1597</v>
      </c>
      <c r="I2244" s="112">
        <v>4221.4257269999998</v>
      </c>
    </row>
    <row r="2245" spans="1:9">
      <c r="A2245" s="112" t="s">
        <v>1489</v>
      </c>
      <c r="B2245" s="112" t="s">
        <v>1606</v>
      </c>
      <c r="C2245" s="112">
        <v>2463.9293560000001</v>
      </c>
      <c r="D2245" s="112" t="s">
        <v>1605</v>
      </c>
      <c r="E2245" s="112" t="s">
        <v>1597</v>
      </c>
      <c r="F2245" s="112" t="s">
        <v>1605</v>
      </c>
      <c r="G2245" s="112" t="s">
        <v>1489</v>
      </c>
      <c r="H2245" s="112" t="s">
        <v>1597</v>
      </c>
      <c r="I2245" s="112">
        <v>5090.9556899999998</v>
      </c>
    </row>
    <row r="2246" spans="1:9">
      <c r="A2246" s="112" t="s">
        <v>1490</v>
      </c>
      <c r="B2246" s="112" t="s">
        <v>1606</v>
      </c>
      <c r="C2246" s="112">
        <v>4203.4468260000003</v>
      </c>
      <c r="D2246" s="112" t="s">
        <v>1605</v>
      </c>
      <c r="E2246" s="112" t="s">
        <v>1597</v>
      </c>
      <c r="F2246" s="112" t="s">
        <v>1605</v>
      </c>
      <c r="G2246" s="112" t="s">
        <v>1490</v>
      </c>
      <c r="H2246" s="112" t="s">
        <v>1597</v>
      </c>
      <c r="I2246" s="112">
        <v>10508.61707</v>
      </c>
    </row>
  </sheetData>
  <mergeCells count="1">
    <mergeCell ref="A1: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D031A-FA6D-42A2-A3B8-6E1CD2E3374A}">
  <dimension ref="A1:G896"/>
  <sheetViews>
    <sheetView workbookViewId="0">
      <selection sqref="A1:E3"/>
    </sheetView>
  </sheetViews>
  <sheetFormatPr defaultColWidth="11" defaultRowHeight="15"/>
  <cols>
    <col min="1" max="1" width="15.375" style="222" customWidth="1"/>
    <col min="2" max="2" width="24.375" style="222" customWidth="1"/>
    <col min="3" max="3" width="16.375" style="222" customWidth="1"/>
    <col min="4" max="4" width="57.625" style="222" customWidth="1"/>
    <col min="5" max="5" width="9" style="222" customWidth="1"/>
    <col min="6" max="6" width="94.375" style="222" customWidth="1"/>
    <col min="7" max="7" width="11.375" style="222" bestFit="1" customWidth="1"/>
    <col min="8" max="16384" width="11" style="222"/>
  </cols>
  <sheetData>
    <row r="1" spans="1:7">
      <c r="A1" s="287" t="s">
        <v>1607</v>
      </c>
      <c r="B1" s="288"/>
      <c r="C1" s="288"/>
      <c r="D1" s="288"/>
      <c r="E1" s="289"/>
    </row>
    <row r="2" spans="1:7">
      <c r="A2" s="290"/>
      <c r="B2" s="291"/>
      <c r="C2" s="291"/>
      <c r="D2" s="291"/>
      <c r="E2" s="292"/>
    </row>
    <row r="3" spans="1:7">
      <c r="A3" s="293"/>
      <c r="B3" s="294"/>
      <c r="C3" s="294"/>
      <c r="D3" s="294"/>
      <c r="E3" s="295"/>
    </row>
    <row r="5" spans="1:7">
      <c r="A5" s="223" t="s">
        <v>1608</v>
      </c>
      <c r="B5" s="223" t="s">
        <v>584</v>
      </c>
      <c r="C5" s="223" t="s">
        <v>1609</v>
      </c>
      <c r="D5" s="223" t="s">
        <v>1455</v>
      </c>
      <c r="E5" s="223" t="s">
        <v>1456</v>
      </c>
      <c r="F5" s="223" t="s">
        <v>1610</v>
      </c>
      <c r="G5" s="223" t="s">
        <v>1454</v>
      </c>
    </row>
    <row r="6" spans="1:7">
      <c r="A6" s="223" t="s">
        <v>1598</v>
      </c>
      <c r="B6" s="223" t="s">
        <v>917</v>
      </c>
      <c r="C6" s="223" t="s">
        <v>1598</v>
      </c>
      <c r="D6" s="223" t="s">
        <v>1599</v>
      </c>
      <c r="E6" s="223" t="s">
        <v>1597</v>
      </c>
      <c r="F6" s="223" t="s">
        <v>1611</v>
      </c>
      <c r="G6" s="223">
        <v>1394.0520365970201</v>
      </c>
    </row>
    <row r="7" spans="1:7">
      <c r="A7" s="223" t="s">
        <v>1598</v>
      </c>
      <c r="B7" s="223" t="s">
        <v>908</v>
      </c>
      <c r="C7" s="223" t="s">
        <v>1598</v>
      </c>
      <c r="D7" s="223" t="s">
        <v>1599</v>
      </c>
      <c r="E7" s="223" t="s">
        <v>1597</v>
      </c>
      <c r="F7" s="223" t="s">
        <v>1611</v>
      </c>
      <c r="G7" s="223">
        <v>139.29517415005</v>
      </c>
    </row>
    <row r="8" spans="1:7">
      <c r="A8" s="223" t="s">
        <v>1598</v>
      </c>
      <c r="B8" s="223" t="s">
        <v>874</v>
      </c>
      <c r="C8" s="223" t="s">
        <v>1598</v>
      </c>
      <c r="D8" s="223" t="s">
        <v>1599</v>
      </c>
      <c r="E8" s="223" t="s">
        <v>1597</v>
      </c>
      <c r="F8" s="223" t="s">
        <v>1612</v>
      </c>
      <c r="G8" s="223">
        <v>5053.6831996542896</v>
      </c>
    </row>
    <row r="9" spans="1:7">
      <c r="A9" s="223" t="s">
        <v>1598</v>
      </c>
      <c r="B9" s="223" t="s">
        <v>853</v>
      </c>
      <c r="C9" s="223" t="s">
        <v>1598</v>
      </c>
      <c r="D9" s="223" t="s">
        <v>1599</v>
      </c>
      <c r="E9" s="223" t="s">
        <v>1597</v>
      </c>
      <c r="F9" s="223" t="s">
        <v>1613</v>
      </c>
      <c r="G9" s="223">
        <v>3330.37399501048</v>
      </c>
    </row>
    <row r="10" spans="1:7">
      <c r="A10" s="223" t="s">
        <v>1598</v>
      </c>
      <c r="B10" s="223" t="s">
        <v>874</v>
      </c>
      <c r="C10" s="223" t="s">
        <v>1598</v>
      </c>
      <c r="D10" s="223" t="s">
        <v>1599</v>
      </c>
      <c r="E10" s="223" t="s">
        <v>1597</v>
      </c>
      <c r="F10" s="223" t="s">
        <v>1613</v>
      </c>
      <c r="G10" s="223">
        <v>183.946323359064</v>
      </c>
    </row>
    <row r="11" spans="1:7">
      <c r="A11" s="223" t="s">
        <v>1598</v>
      </c>
      <c r="B11" s="223" t="s">
        <v>918</v>
      </c>
      <c r="C11" s="223" t="s">
        <v>1598</v>
      </c>
      <c r="D11" s="223" t="s">
        <v>1599</v>
      </c>
      <c r="E11" s="223" t="s">
        <v>1597</v>
      </c>
      <c r="F11" s="223" t="s">
        <v>1613</v>
      </c>
      <c r="G11" s="223">
        <v>3034.3257019184198</v>
      </c>
    </row>
    <row r="12" spans="1:7">
      <c r="A12" s="223" t="s">
        <v>1598</v>
      </c>
      <c r="B12" s="223" t="s">
        <v>917</v>
      </c>
      <c r="C12" s="223" t="s">
        <v>1598</v>
      </c>
      <c r="D12" s="223" t="s">
        <v>1599</v>
      </c>
      <c r="E12" s="223" t="s">
        <v>1597</v>
      </c>
      <c r="F12" s="223" t="s">
        <v>1614</v>
      </c>
      <c r="G12" s="223">
        <v>116.171003049752</v>
      </c>
    </row>
    <row r="13" spans="1:7">
      <c r="A13" s="223" t="s">
        <v>1598</v>
      </c>
      <c r="B13" s="223" t="s">
        <v>853</v>
      </c>
      <c r="C13" s="223" t="s">
        <v>1598</v>
      </c>
      <c r="D13" s="223" t="s">
        <v>1599</v>
      </c>
      <c r="E13" s="223" t="s">
        <v>1597</v>
      </c>
      <c r="F13" s="223" t="s">
        <v>1614</v>
      </c>
      <c r="G13" s="223">
        <v>591.35759256771598</v>
      </c>
    </row>
    <row r="14" spans="1:7">
      <c r="A14" s="223" t="s">
        <v>1598</v>
      </c>
      <c r="B14" s="223" t="s">
        <v>918</v>
      </c>
      <c r="C14" s="223" t="s">
        <v>1598</v>
      </c>
      <c r="D14" s="223" t="s">
        <v>1599</v>
      </c>
      <c r="E14" s="223" t="s">
        <v>1597</v>
      </c>
      <c r="F14" s="223" t="s">
        <v>1614</v>
      </c>
      <c r="G14" s="223">
        <v>1577.0509247761399</v>
      </c>
    </row>
    <row r="15" spans="1:7">
      <c r="A15" s="223" t="s">
        <v>1598</v>
      </c>
      <c r="B15" s="223" t="s">
        <v>875</v>
      </c>
      <c r="C15" s="223" t="s">
        <v>1598</v>
      </c>
      <c r="D15" s="223" t="s">
        <v>1599</v>
      </c>
      <c r="E15" s="223" t="s">
        <v>1597</v>
      </c>
      <c r="F15" s="223" t="s">
        <v>1614</v>
      </c>
      <c r="G15" s="223">
        <v>1021.64294669146</v>
      </c>
    </row>
    <row r="16" spans="1:7">
      <c r="A16" s="223" t="s">
        <v>1598</v>
      </c>
      <c r="B16" s="223" t="s">
        <v>917</v>
      </c>
      <c r="C16" s="223" t="s">
        <v>1598</v>
      </c>
      <c r="D16" s="223" t="s">
        <v>1599</v>
      </c>
      <c r="E16" s="223" t="s">
        <v>1597</v>
      </c>
      <c r="F16" s="223" t="s">
        <v>1615</v>
      </c>
      <c r="G16" s="223">
        <v>116.171003049752</v>
      </c>
    </row>
    <row r="17" spans="1:7">
      <c r="A17" s="223" t="s">
        <v>1598</v>
      </c>
      <c r="B17" s="223" t="s">
        <v>853</v>
      </c>
      <c r="C17" s="223" t="s">
        <v>1598</v>
      </c>
      <c r="D17" s="223" t="s">
        <v>1599</v>
      </c>
      <c r="E17" s="223" t="s">
        <v>1597</v>
      </c>
      <c r="F17" s="223" t="s">
        <v>1615</v>
      </c>
      <c r="G17" s="223">
        <v>4127.0559472371397</v>
      </c>
    </row>
    <row r="18" spans="1:7">
      <c r="A18" s="223" t="s">
        <v>1598</v>
      </c>
      <c r="B18" s="223" t="s">
        <v>874</v>
      </c>
      <c r="C18" s="223" t="s">
        <v>1598</v>
      </c>
      <c r="D18" s="223" t="s">
        <v>1599</v>
      </c>
      <c r="E18" s="223" t="s">
        <v>1597</v>
      </c>
      <c r="F18" s="223" t="s">
        <v>1615</v>
      </c>
      <c r="G18" s="223">
        <v>314.64502679839899</v>
      </c>
    </row>
    <row r="19" spans="1:7">
      <c r="A19" s="223" t="s">
        <v>1598</v>
      </c>
      <c r="B19" s="223" t="s">
        <v>918</v>
      </c>
      <c r="C19" s="223" t="s">
        <v>1598</v>
      </c>
      <c r="D19" s="223" t="s">
        <v>1599</v>
      </c>
      <c r="E19" s="223" t="s">
        <v>1597</v>
      </c>
      <c r="F19" s="223" t="s">
        <v>1615</v>
      </c>
      <c r="G19" s="223">
        <v>1716.7895418748899</v>
      </c>
    </row>
    <row r="20" spans="1:7">
      <c r="A20" s="223" t="s">
        <v>1598</v>
      </c>
      <c r="B20" s="223" t="s">
        <v>875</v>
      </c>
      <c r="C20" s="223" t="s">
        <v>1598</v>
      </c>
      <c r="D20" s="223" t="s">
        <v>1599</v>
      </c>
      <c r="E20" s="223" t="s">
        <v>1597</v>
      </c>
      <c r="F20" s="223" t="s">
        <v>1615</v>
      </c>
      <c r="G20" s="223">
        <v>1815.15203150036</v>
      </c>
    </row>
    <row r="21" spans="1:7">
      <c r="A21" s="223" t="s">
        <v>1598</v>
      </c>
      <c r="B21" s="223" t="s">
        <v>849</v>
      </c>
      <c r="C21" s="223" t="s">
        <v>1598</v>
      </c>
      <c r="D21" s="223" t="s">
        <v>1599</v>
      </c>
      <c r="E21" s="223" t="s">
        <v>1597</v>
      </c>
      <c r="F21" s="223" t="s">
        <v>1616</v>
      </c>
      <c r="G21" s="223">
        <v>225.09156177682999</v>
      </c>
    </row>
    <row r="22" spans="1:7">
      <c r="A22" s="223" t="s">
        <v>1598</v>
      </c>
      <c r="B22" s="223" t="s">
        <v>851</v>
      </c>
      <c r="C22" s="223" t="s">
        <v>1598</v>
      </c>
      <c r="D22" s="223" t="s">
        <v>1599</v>
      </c>
      <c r="E22" s="223" t="s">
        <v>1597</v>
      </c>
      <c r="F22" s="223" t="s">
        <v>1616</v>
      </c>
      <c r="G22" s="223">
        <v>128.36730144666799</v>
      </c>
    </row>
    <row r="23" spans="1:7">
      <c r="A23" s="223" t="s">
        <v>1598</v>
      </c>
      <c r="B23" s="223" t="s">
        <v>854</v>
      </c>
      <c r="C23" s="223" t="s">
        <v>1598</v>
      </c>
      <c r="D23" s="223" t="s">
        <v>1599</v>
      </c>
      <c r="E23" s="223" t="s">
        <v>1597</v>
      </c>
      <c r="F23" s="223" t="s">
        <v>1616</v>
      </c>
      <c r="G23" s="223">
        <v>490.74329571545502</v>
      </c>
    </row>
    <row r="24" spans="1:7">
      <c r="A24" s="223" t="s">
        <v>1598</v>
      </c>
      <c r="B24" s="223" t="s">
        <v>859</v>
      </c>
      <c r="C24" s="223" t="s">
        <v>1598</v>
      </c>
      <c r="D24" s="223" t="s">
        <v>1599</v>
      </c>
      <c r="E24" s="223" t="s">
        <v>1597</v>
      </c>
      <c r="F24" s="223" t="s">
        <v>1616</v>
      </c>
      <c r="G24" s="223">
        <v>596.93007592805702</v>
      </c>
    </row>
    <row r="25" spans="1:7">
      <c r="A25" s="223" t="s">
        <v>1598</v>
      </c>
      <c r="B25" s="223" t="s">
        <v>860</v>
      </c>
      <c r="C25" s="223" t="s">
        <v>1598</v>
      </c>
      <c r="D25" s="223" t="s">
        <v>1599</v>
      </c>
      <c r="E25" s="223" t="s">
        <v>1597</v>
      </c>
      <c r="F25" s="223" t="s">
        <v>1616</v>
      </c>
      <c r="G25" s="223">
        <v>372.66849938043703</v>
      </c>
    </row>
    <row r="26" spans="1:7">
      <c r="A26" s="223" t="s">
        <v>1598</v>
      </c>
      <c r="B26" s="223" t="s">
        <v>861</v>
      </c>
      <c r="C26" s="223" t="s">
        <v>1598</v>
      </c>
      <c r="D26" s="223" t="s">
        <v>1599</v>
      </c>
      <c r="E26" s="223" t="s">
        <v>1597</v>
      </c>
      <c r="F26" s="223" t="s">
        <v>1616</v>
      </c>
      <c r="G26" s="223">
        <v>845.57658971605804</v>
      </c>
    </row>
    <row r="27" spans="1:7">
      <c r="A27" s="223" t="s">
        <v>1598</v>
      </c>
      <c r="B27" s="223" t="s">
        <v>862</v>
      </c>
      <c r="C27" s="223" t="s">
        <v>1598</v>
      </c>
      <c r="D27" s="223" t="s">
        <v>1599</v>
      </c>
      <c r="E27" s="223" t="s">
        <v>1597</v>
      </c>
      <c r="F27" s="223" t="s">
        <v>1616</v>
      </c>
      <c r="G27" s="223">
        <v>319.38364579435603</v>
      </c>
    </row>
    <row r="28" spans="1:7">
      <c r="A28" s="223" t="s">
        <v>1598</v>
      </c>
      <c r="B28" s="223" t="s">
        <v>839</v>
      </c>
      <c r="C28" s="223" t="s">
        <v>1598</v>
      </c>
      <c r="D28" s="223" t="s">
        <v>1599</v>
      </c>
      <c r="E28" s="223" t="s">
        <v>1597</v>
      </c>
      <c r="F28" s="223" t="s">
        <v>1617</v>
      </c>
      <c r="G28" s="223">
        <v>10829.8900804277</v>
      </c>
    </row>
    <row r="29" spans="1:7">
      <c r="A29" s="223" t="s">
        <v>1598</v>
      </c>
      <c r="B29" s="223" t="s">
        <v>849</v>
      </c>
      <c r="C29" s="223" t="s">
        <v>1598</v>
      </c>
      <c r="D29" s="223" t="s">
        <v>1599</v>
      </c>
      <c r="E29" s="223" t="s">
        <v>1597</v>
      </c>
      <c r="F29" s="223" t="s">
        <v>1617</v>
      </c>
      <c r="G29" s="223">
        <v>112.545780888415</v>
      </c>
    </row>
    <row r="30" spans="1:7">
      <c r="A30" s="223" t="s">
        <v>1598</v>
      </c>
      <c r="B30" s="223" t="s">
        <v>851</v>
      </c>
      <c r="C30" s="223" t="s">
        <v>1598</v>
      </c>
      <c r="D30" s="223" t="s">
        <v>1599</v>
      </c>
      <c r="E30" s="223" t="s">
        <v>1597</v>
      </c>
      <c r="F30" s="223" t="s">
        <v>1617</v>
      </c>
      <c r="G30" s="223">
        <v>452.28380014523498</v>
      </c>
    </row>
    <row r="31" spans="1:7">
      <c r="A31" s="223" t="s">
        <v>1598</v>
      </c>
      <c r="B31" s="223" t="s">
        <v>854</v>
      </c>
      <c r="C31" s="223" t="s">
        <v>1598</v>
      </c>
      <c r="D31" s="223" t="s">
        <v>1599</v>
      </c>
      <c r="E31" s="223" t="s">
        <v>1597</v>
      </c>
      <c r="F31" s="223" t="s">
        <v>1617</v>
      </c>
      <c r="G31" s="223">
        <v>165.62586230396599</v>
      </c>
    </row>
    <row r="32" spans="1:7">
      <c r="A32" s="223" t="s">
        <v>1598</v>
      </c>
      <c r="B32" s="223" t="s">
        <v>856</v>
      </c>
      <c r="C32" s="223" t="s">
        <v>1598</v>
      </c>
      <c r="D32" s="223" t="s">
        <v>1599</v>
      </c>
      <c r="E32" s="223" t="s">
        <v>1597</v>
      </c>
      <c r="F32" s="223" t="s">
        <v>1617</v>
      </c>
      <c r="G32" s="223">
        <v>1374.1094460269401</v>
      </c>
    </row>
    <row r="33" spans="1:7">
      <c r="A33" s="223" t="s">
        <v>1598</v>
      </c>
      <c r="B33" s="223" t="s">
        <v>857</v>
      </c>
      <c r="C33" s="223" t="s">
        <v>1598</v>
      </c>
      <c r="D33" s="223" t="s">
        <v>1599</v>
      </c>
      <c r="E33" s="223" t="s">
        <v>1597</v>
      </c>
      <c r="F33" s="223" t="s">
        <v>1617</v>
      </c>
      <c r="G33" s="223">
        <v>104.818138579757</v>
      </c>
    </row>
    <row r="34" spans="1:7">
      <c r="A34" s="223" t="s">
        <v>1598</v>
      </c>
      <c r="B34" s="223" t="s">
        <v>859</v>
      </c>
      <c r="C34" s="223" t="s">
        <v>1598</v>
      </c>
      <c r="D34" s="223" t="s">
        <v>1599</v>
      </c>
      <c r="E34" s="223" t="s">
        <v>1597</v>
      </c>
      <c r="F34" s="223" t="s">
        <v>1617</v>
      </c>
      <c r="G34" s="223">
        <v>625.35531763891697</v>
      </c>
    </row>
    <row r="35" spans="1:7">
      <c r="A35" s="223" t="s">
        <v>1598</v>
      </c>
      <c r="B35" s="223" t="s">
        <v>860</v>
      </c>
      <c r="C35" s="223" t="s">
        <v>1598</v>
      </c>
      <c r="D35" s="223" t="s">
        <v>1599</v>
      </c>
      <c r="E35" s="223" t="s">
        <v>1597</v>
      </c>
      <c r="F35" s="223" t="s">
        <v>1617</v>
      </c>
      <c r="G35" s="223">
        <v>6894.3672385380796</v>
      </c>
    </row>
    <row r="36" spans="1:7">
      <c r="A36" s="223" t="s">
        <v>1598</v>
      </c>
      <c r="B36" s="223" t="s">
        <v>861</v>
      </c>
      <c r="C36" s="223" t="s">
        <v>1598</v>
      </c>
      <c r="D36" s="223" t="s">
        <v>1599</v>
      </c>
      <c r="E36" s="223" t="s">
        <v>1597</v>
      </c>
      <c r="F36" s="223" t="s">
        <v>1617</v>
      </c>
      <c r="G36" s="223">
        <v>4597.8227065810597</v>
      </c>
    </row>
    <row r="37" spans="1:7">
      <c r="A37" s="223" t="s">
        <v>1598</v>
      </c>
      <c r="B37" s="223" t="s">
        <v>862</v>
      </c>
      <c r="C37" s="223" t="s">
        <v>1598</v>
      </c>
      <c r="D37" s="223" t="s">
        <v>1599</v>
      </c>
      <c r="E37" s="223" t="s">
        <v>1597</v>
      </c>
      <c r="F37" s="223" t="s">
        <v>1617</v>
      </c>
      <c r="G37" s="223">
        <v>157.235025621837</v>
      </c>
    </row>
    <row r="38" spans="1:7">
      <c r="A38" s="223" t="s">
        <v>1598</v>
      </c>
      <c r="B38" s="223" t="s">
        <v>849</v>
      </c>
      <c r="C38" s="223" t="s">
        <v>1598</v>
      </c>
      <c r="D38" s="223" t="s">
        <v>1599</v>
      </c>
      <c r="E38" s="223" t="s">
        <v>1597</v>
      </c>
      <c r="F38" s="223" t="s">
        <v>1618</v>
      </c>
      <c r="G38" s="223">
        <v>164.83352754571001</v>
      </c>
    </row>
    <row r="39" spans="1:7">
      <c r="A39" s="223" t="s">
        <v>1598</v>
      </c>
      <c r="B39" s="223" t="s">
        <v>852</v>
      </c>
      <c r="C39" s="223" t="s">
        <v>1598</v>
      </c>
      <c r="D39" s="223" t="s">
        <v>1599</v>
      </c>
      <c r="E39" s="223" t="s">
        <v>1597</v>
      </c>
      <c r="F39" s="223" t="s">
        <v>1618</v>
      </c>
      <c r="G39" s="223">
        <v>181.03866361956901</v>
      </c>
    </row>
    <row r="40" spans="1:7">
      <c r="A40" s="223" t="s">
        <v>1598</v>
      </c>
      <c r="B40" s="223" t="s">
        <v>855</v>
      </c>
      <c r="C40" s="223" t="s">
        <v>1598</v>
      </c>
      <c r="D40" s="223" t="s">
        <v>1599</v>
      </c>
      <c r="E40" s="223" t="s">
        <v>1597</v>
      </c>
      <c r="F40" s="223" t="s">
        <v>1618</v>
      </c>
      <c r="G40" s="223">
        <v>114.108183178421</v>
      </c>
    </row>
    <row r="41" spans="1:7">
      <c r="A41" s="223" t="s">
        <v>1598</v>
      </c>
      <c r="B41" s="223" t="s">
        <v>856</v>
      </c>
      <c r="C41" s="223" t="s">
        <v>1598</v>
      </c>
      <c r="D41" s="223" t="s">
        <v>1599</v>
      </c>
      <c r="E41" s="223" t="s">
        <v>1597</v>
      </c>
      <c r="F41" s="223" t="s">
        <v>1618</v>
      </c>
      <c r="G41" s="223">
        <v>127.824134514134</v>
      </c>
    </row>
    <row r="42" spans="1:7">
      <c r="A42" s="223" t="s">
        <v>1598</v>
      </c>
      <c r="B42" s="223" t="s">
        <v>858</v>
      </c>
      <c r="C42" s="223" t="s">
        <v>1598</v>
      </c>
      <c r="D42" s="223" t="s">
        <v>1599</v>
      </c>
      <c r="E42" s="223" t="s">
        <v>1597</v>
      </c>
      <c r="F42" s="223" t="s">
        <v>1618</v>
      </c>
      <c r="G42" s="223">
        <v>128.66649449252901</v>
      </c>
    </row>
    <row r="43" spans="1:7">
      <c r="A43" s="223" t="s">
        <v>1598</v>
      </c>
      <c r="B43" s="223" t="s">
        <v>862</v>
      </c>
      <c r="C43" s="223" t="s">
        <v>1598</v>
      </c>
      <c r="D43" s="223" t="s">
        <v>1599</v>
      </c>
      <c r="E43" s="223" t="s">
        <v>1597</v>
      </c>
      <c r="F43" s="223" t="s">
        <v>1618</v>
      </c>
      <c r="G43" s="223">
        <v>213.20332435138499</v>
      </c>
    </row>
    <row r="44" spans="1:7">
      <c r="A44" s="223" t="s">
        <v>1598</v>
      </c>
      <c r="B44" s="223" t="s">
        <v>849</v>
      </c>
      <c r="C44" s="223" t="s">
        <v>1598</v>
      </c>
      <c r="D44" s="223" t="s">
        <v>1599</v>
      </c>
      <c r="E44" s="223" t="s">
        <v>1597</v>
      </c>
      <c r="F44" s="223" t="s">
        <v>1619</v>
      </c>
      <c r="G44" s="223">
        <v>399.02595042256303</v>
      </c>
    </row>
    <row r="45" spans="1:7">
      <c r="A45" s="223" t="s">
        <v>1598</v>
      </c>
      <c r="B45" s="223" t="s">
        <v>852</v>
      </c>
      <c r="C45" s="223" t="s">
        <v>1598</v>
      </c>
      <c r="D45" s="223" t="s">
        <v>1599</v>
      </c>
      <c r="E45" s="223" t="s">
        <v>1597</v>
      </c>
      <c r="F45" s="223" t="s">
        <v>1619</v>
      </c>
      <c r="G45" s="223">
        <v>3234.0088546586699</v>
      </c>
    </row>
    <row r="46" spans="1:7">
      <c r="A46" s="223" t="s">
        <v>1598</v>
      </c>
      <c r="B46" s="223" t="s">
        <v>854</v>
      </c>
      <c r="C46" s="223" t="s">
        <v>1598</v>
      </c>
      <c r="D46" s="223" t="s">
        <v>1599</v>
      </c>
      <c r="E46" s="223" t="s">
        <v>1597</v>
      </c>
      <c r="F46" s="223" t="s">
        <v>1619</v>
      </c>
      <c r="G46" s="223">
        <v>729.98065237673904</v>
      </c>
    </row>
    <row r="47" spans="1:7">
      <c r="A47" s="223" t="s">
        <v>1598</v>
      </c>
      <c r="B47" s="223" t="s">
        <v>856</v>
      </c>
      <c r="C47" s="223" t="s">
        <v>1598</v>
      </c>
      <c r="D47" s="223" t="s">
        <v>1599</v>
      </c>
      <c r="E47" s="223" t="s">
        <v>1597</v>
      </c>
      <c r="F47" s="223" t="s">
        <v>1619</v>
      </c>
      <c r="G47" s="223">
        <v>447.38447079947002</v>
      </c>
    </row>
    <row r="48" spans="1:7">
      <c r="A48" s="223" t="s">
        <v>1598</v>
      </c>
      <c r="B48" s="223" t="s">
        <v>857</v>
      </c>
      <c r="C48" s="223" t="s">
        <v>1598</v>
      </c>
      <c r="D48" s="223" t="s">
        <v>1599</v>
      </c>
      <c r="E48" s="223" t="s">
        <v>1597</v>
      </c>
      <c r="F48" s="223" t="s">
        <v>1619</v>
      </c>
      <c r="G48" s="223">
        <v>1572.27207869636</v>
      </c>
    </row>
    <row r="49" spans="1:7">
      <c r="A49" s="223" t="s">
        <v>1598</v>
      </c>
      <c r="B49" s="223" t="s">
        <v>858</v>
      </c>
      <c r="C49" s="223" t="s">
        <v>1598</v>
      </c>
      <c r="D49" s="223" t="s">
        <v>1599</v>
      </c>
      <c r="E49" s="223" t="s">
        <v>1597</v>
      </c>
      <c r="F49" s="223" t="s">
        <v>1619</v>
      </c>
      <c r="G49" s="223">
        <v>3783.5991036709302</v>
      </c>
    </row>
    <row r="50" spans="1:7">
      <c r="A50" s="223" t="s">
        <v>1598</v>
      </c>
      <c r="B50" s="223" t="s">
        <v>859</v>
      </c>
      <c r="C50" s="223" t="s">
        <v>1598</v>
      </c>
      <c r="D50" s="223" t="s">
        <v>1599</v>
      </c>
      <c r="E50" s="223" t="s">
        <v>1597</v>
      </c>
      <c r="F50" s="223" t="s">
        <v>1619</v>
      </c>
      <c r="G50" s="223">
        <v>3581.5804555683399</v>
      </c>
    </row>
    <row r="51" spans="1:7">
      <c r="A51" s="223" t="s">
        <v>1598</v>
      </c>
      <c r="B51" s="223" t="s">
        <v>862</v>
      </c>
      <c r="C51" s="223" t="s">
        <v>1598</v>
      </c>
      <c r="D51" s="223" t="s">
        <v>1599</v>
      </c>
      <c r="E51" s="223" t="s">
        <v>1597</v>
      </c>
      <c r="F51" s="223" t="s">
        <v>1619</v>
      </c>
      <c r="G51" s="223">
        <v>1154.69471941036</v>
      </c>
    </row>
    <row r="52" spans="1:7">
      <c r="A52" s="223" t="s">
        <v>1598</v>
      </c>
      <c r="B52" s="223" t="s">
        <v>863</v>
      </c>
      <c r="C52" s="223" t="s">
        <v>1598</v>
      </c>
      <c r="D52" s="223" t="s">
        <v>1599</v>
      </c>
      <c r="E52" s="223" t="s">
        <v>1597</v>
      </c>
      <c r="F52" s="223" t="s">
        <v>1619</v>
      </c>
      <c r="G52" s="223">
        <v>1038.4215895033201</v>
      </c>
    </row>
    <row r="53" spans="1:7">
      <c r="A53" s="223" t="s">
        <v>1598</v>
      </c>
      <c r="B53" s="223" t="s">
        <v>849</v>
      </c>
      <c r="C53" s="223" t="s">
        <v>1598</v>
      </c>
      <c r="D53" s="223" t="s">
        <v>1599</v>
      </c>
      <c r="E53" s="223" t="s">
        <v>1597</v>
      </c>
      <c r="F53" s="223" t="s">
        <v>1620</v>
      </c>
      <c r="G53" s="223">
        <v>1328.9559278823399</v>
      </c>
    </row>
    <row r="54" spans="1:7">
      <c r="A54" s="223" t="s">
        <v>1598</v>
      </c>
      <c r="B54" s="223" t="s">
        <v>852</v>
      </c>
      <c r="C54" s="223" t="s">
        <v>1598</v>
      </c>
      <c r="D54" s="223" t="s">
        <v>1599</v>
      </c>
      <c r="E54" s="223" t="s">
        <v>1597</v>
      </c>
      <c r="F54" s="223" t="s">
        <v>1620</v>
      </c>
      <c r="G54" s="223">
        <v>172.80963345504301</v>
      </c>
    </row>
    <row r="55" spans="1:7">
      <c r="A55" s="223" t="s">
        <v>1598</v>
      </c>
      <c r="B55" s="223" t="s">
        <v>855</v>
      </c>
      <c r="C55" s="223" t="s">
        <v>1598</v>
      </c>
      <c r="D55" s="223" t="s">
        <v>1599</v>
      </c>
      <c r="E55" s="223" t="s">
        <v>1597</v>
      </c>
      <c r="F55" s="223" t="s">
        <v>1620</v>
      </c>
      <c r="G55" s="223">
        <v>352.20097755969903</v>
      </c>
    </row>
    <row r="56" spans="1:7">
      <c r="A56" s="223" t="s">
        <v>1598</v>
      </c>
      <c r="B56" s="223" t="s">
        <v>856</v>
      </c>
      <c r="C56" s="223" t="s">
        <v>1598</v>
      </c>
      <c r="D56" s="223" t="s">
        <v>1599</v>
      </c>
      <c r="E56" s="223" t="s">
        <v>1597</v>
      </c>
      <c r="F56" s="223" t="s">
        <v>1620</v>
      </c>
      <c r="G56" s="223">
        <v>3515.1636991386899</v>
      </c>
    </row>
    <row r="57" spans="1:7">
      <c r="A57" s="223" t="s">
        <v>1598</v>
      </c>
      <c r="B57" s="223" t="s">
        <v>857</v>
      </c>
      <c r="C57" s="223" t="s">
        <v>1598</v>
      </c>
      <c r="D57" s="223" t="s">
        <v>1599</v>
      </c>
      <c r="E57" s="223" t="s">
        <v>1597</v>
      </c>
      <c r="F57" s="223" t="s">
        <v>1620</v>
      </c>
      <c r="G57" s="223">
        <v>1537.33269916978</v>
      </c>
    </row>
    <row r="58" spans="1:7">
      <c r="A58" s="223" t="s">
        <v>1598</v>
      </c>
      <c r="B58" s="223" t="s">
        <v>860</v>
      </c>
      <c r="C58" s="223" t="s">
        <v>1598</v>
      </c>
      <c r="D58" s="223" t="s">
        <v>1599</v>
      </c>
      <c r="E58" s="223" t="s">
        <v>1597</v>
      </c>
      <c r="F58" s="223" t="s">
        <v>1620</v>
      </c>
      <c r="G58" s="223">
        <v>537.715924386045</v>
      </c>
    </row>
    <row r="59" spans="1:7">
      <c r="A59" s="223" t="s">
        <v>1598</v>
      </c>
      <c r="B59" s="223" t="s">
        <v>862</v>
      </c>
      <c r="C59" s="223" t="s">
        <v>1598</v>
      </c>
      <c r="D59" s="223" t="s">
        <v>1599</v>
      </c>
      <c r="E59" s="223" t="s">
        <v>1597</v>
      </c>
      <c r="F59" s="223" t="s">
        <v>1620</v>
      </c>
      <c r="G59" s="223">
        <v>1786.6296577763501</v>
      </c>
    </row>
    <row r="60" spans="1:7">
      <c r="A60" s="223" t="s">
        <v>1598</v>
      </c>
      <c r="B60" s="223" t="s">
        <v>863</v>
      </c>
      <c r="C60" s="223" t="s">
        <v>1598</v>
      </c>
      <c r="D60" s="223" t="s">
        <v>1599</v>
      </c>
      <c r="E60" s="223" t="s">
        <v>1597</v>
      </c>
      <c r="F60" s="223" t="s">
        <v>1620</v>
      </c>
      <c r="G60" s="223">
        <v>741.72996787694501</v>
      </c>
    </row>
    <row r="61" spans="1:7">
      <c r="A61" s="223" t="s">
        <v>1544</v>
      </c>
      <c r="B61" s="223" t="s">
        <v>908</v>
      </c>
      <c r="C61" s="223" t="s">
        <v>1544</v>
      </c>
      <c r="D61" s="223" t="s">
        <v>1542</v>
      </c>
      <c r="E61" s="223" t="s">
        <v>1543</v>
      </c>
      <c r="F61" s="223" t="s">
        <v>1621</v>
      </c>
      <c r="G61" s="223">
        <v>139.29517415005</v>
      </c>
    </row>
    <row r="62" spans="1:7">
      <c r="A62" s="223" t="s">
        <v>1545</v>
      </c>
      <c r="B62" s="223" t="s">
        <v>908</v>
      </c>
      <c r="C62" s="223" t="s">
        <v>1545</v>
      </c>
      <c r="D62" s="223" t="s">
        <v>1542</v>
      </c>
      <c r="E62" s="223" t="s">
        <v>1543</v>
      </c>
      <c r="F62" s="223" t="s">
        <v>1621</v>
      </c>
      <c r="G62" s="223">
        <v>1392.9517415005</v>
      </c>
    </row>
    <row r="63" spans="1:7">
      <c r="A63" s="223" t="s">
        <v>1545</v>
      </c>
      <c r="B63" s="223" t="s">
        <v>852</v>
      </c>
      <c r="C63" s="223" t="s">
        <v>1545</v>
      </c>
      <c r="D63" s="223" t="s">
        <v>1542</v>
      </c>
      <c r="E63" s="223" t="s">
        <v>1543</v>
      </c>
      <c r="F63" s="223" t="s">
        <v>1622</v>
      </c>
      <c r="G63" s="223">
        <v>139.89351279694</v>
      </c>
    </row>
    <row r="64" spans="1:7">
      <c r="A64" s="223" t="s">
        <v>1541</v>
      </c>
      <c r="B64" s="223" t="s">
        <v>875</v>
      </c>
      <c r="C64" s="223" t="s">
        <v>1541</v>
      </c>
      <c r="D64" s="223" t="s">
        <v>1542</v>
      </c>
      <c r="E64" s="223" t="s">
        <v>1543</v>
      </c>
      <c r="F64" s="223" t="s">
        <v>1622</v>
      </c>
      <c r="G64" s="223">
        <v>664.56385852745598</v>
      </c>
    </row>
    <row r="65" spans="1:7">
      <c r="A65" s="223" t="s">
        <v>1544</v>
      </c>
      <c r="B65" s="223" t="s">
        <v>875</v>
      </c>
      <c r="C65" s="223" t="s">
        <v>1544</v>
      </c>
      <c r="D65" s="223" t="s">
        <v>1542</v>
      </c>
      <c r="E65" s="223" t="s">
        <v>1543</v>
      </c>
      <c r="F65" s="223" t="s">
        <v>1622</v>
      </c>
      <c r="G65" s="223">
        <v>456.267723765119</v>
      </c>
    </row>
    <row r="66" spans="1:7">
      <c r="A66" s="223" t="s">
        <v>1545</v>
      </c>
      <c r="B66" s="223" t="s">
        <v>875</v>
      </c>
      <c r="C66" s="223" t="s">
        <v>1545</v>
      </c>
      <c r="D66" s="223" t="s">
        <v>1542</v>
      </c>
      <c r="E66" s="223" t="s">
        <v>1543</v>
      </c>
      <c r="F66" s="223" t="s">
        <v>1622</v>
      </c>
      <c r="G66" s="223">
        <v>119.026362721335</v>
      </c>
    </row>
    <row r="67" spans="1:7">
      <c r="A67" s="223" t="s">
        <v>1541</v>
      </c>
      <c r="B67" s="223" t="s">
        <v>849</v>
      </c>
      <c r="C67" s="223" t="s">
        <v>1541</v>
      </c>
      <c r="D67" s="223" t="s">
        <v>1542</v>
      </c>
      <c r="E67" s="223" t="s">
        <v>1543</v>
      </c>
      <c r="F67" s="223" t="s">
        <v>1623</v>
      </c>
      <c r="G67" s="223">
        <v>1933.7411443555</v>
      </c>
    </row>
    <row r="68" spans="1:7">
      <c r="A68" s="223" t="s">
        <v>1544</v>
      </c>
      <c r="B68" s="223" t="s">
        <v>849</v>
      </c>
      <c r="C68" s="223" t="s">
        <v>1544</v>
      </c>
      <c r="D68" s="223" t="s">
        <v>1542</v>
      </c>
      <c r="E68" s="223" t="s">
        <v>1543</v>
      </c>
      <c r="F68" s="223" t="s">
        <v>1623</v>
      </c>
      <c r="G68" s="223">
        <v>982.21772411708002</v>
      </c>
    </row>
    <row r="69" spans="1:7">
      <c r="A69" s="223" t="s">
        <v>1545</v>
      </c>
      <c r="B69" s="223" t="s">
        <v>849</v>
      </c>
      <c r="C69" s="223" t="s">
        <v>1545</v>
      </c>
      <c r="D69" s="223" t="s">
        <v>1542</v>
      </c>
      <c r="E69" s="223" t="s">
        <v>1543</v>
      </c>
      <c r="F69" s="223" t="s">
        <v>1623</v>
      </c>
      <c r="G69" s="223">
        <v>552.49746981585702</v>
      </c>
    </row>
    <row r="70" spans="1:7">
      <c r="A70" s="223" t="s">
        <v>1546</v>
      </c>
      <c r="B70" s="223" t="s">
        <v>849</v>
      </c>
      <c r="C70" s="223" t="s">
        <v>1546</v>
      </c>
      <c r="D70" s="223" t="s">
        <v>1542</v>
      </c>
      <c r="E70" s="223" t="s">
        <v>1543</v>
      </c>
      <c r="F70" s="223" t="s">
        <v>1623</v>
      </c>
      <c r="G70" s="223">
        <v>286.48016953414799</v>
      </c>
    </row>
    <row r="71" spans="1:7">
      <c r="A71" s="223" t="s">
        <v>1547</v>
      </c>
      <c r="B71" s="223" t="s">
        <v>849</v>
      </c>
      <c r="C71" s="223" t="s">
        <v>1547</v>
      </c>
      <c r="D71" s="223" t="s">
        <v>1542</v>
      </c>
      <c r="E71" s="223" t="s">
        <v>1543</v>
      </c>
      <c r="F71" s="223" t="s">
        <v>1623</v>
      </c>
      <c r="G71" s="223">
        <v>890.13481248110304</v>
      </c>
    </row>
    <row r="72" spans="1:7">
      <c r="A72" s="223" t="s">
        <v>1541</v>
      </c>
      <c r="B72" s="223" t="s">
        <v>852</v>
      </c>
      <c r="C72" s="223" t="s">
        <v>1541</v>
      </c>
      <c r="D72" s="223" t="s">
        <v>1542</v>
      </c>
      <c r="E72" s="223" t="s">
        <v>1543</v>
      </c>
      <c r="F72" s="223" t="s">
        <v>1623</v>
      </c>
      <c r="G72" s="223">
        <v>576.03211151681205</v>
      </c>
    </row>
    <row r="73" spans="1:7">
      <c r="A73" s="223" t="s">
        <v>1544</v>
      </c>
      <c r="B73" s="223" t="s">
        <v>852</v>
      </c>
      <c r="C73" s="223" t="s">
        <v>1544</v>
      </c>
      <c r="D73" s="223" t="s">
        <v>1542</v>
      </c>
      <c r="E73" s="223" t="s">
        <v>1543</v>
      </c>
      <c r="F73" s="223" t="s">
        <v>1623</v>
      </c>
      <c r="G73" s="223">
        <v>7554.24969103476</v>
      </c>
    </row>
    <row r="74" spans="1:7">
      <c r="A74" s="223" t="s">
        <v>1545</v>
      </c>
      <c r="B74" s="223" t="s">
        <v>852</v>
      </c>
      <c r="C74" s="223" t="s">
        <v>1545</v>
      </c>
      <c r="D74" s="223" t="s">
        <v>1542</v>
      </c>
      <c r="E74" s="223" t="s">
        <v>1543</v>
      </c>
      <c r="F74" s="223" t="s">
        <v>1623</v>
      </c>
      <c r="G74" s="223">
        <v>477.28374954250103</v>
      </c>
    </row>
    <row r="75" spans="1:7">
      <c r="A75" s="223" t="s">
        <v>1546</v>
      </c>
      <c r="B75" s="223" t="s">
        <v>852</v>
      </c>
      <c r="C75" s="223" t="s">
        <v>1546</v>
      </c>
      <c r="D75" s="223" t="s">
        <v>1542</v>
      </c>
      <c r="E75" s="223" t="s">
        <v>1543</v>
      </c>
      <c r="F75" s="223" t="s">
        <v>1623</v>
      </c>
      <c r="G75" s="223">
        <v>172.80963345504301</v>
      </c>
    </row>
    <row r="76" spans="1:7">
      <c r="A76" s="223" t="s">
        <v>1547</v>
      </c>
      <c r="B76" s="223" t="s">
        <v>852</v>
      </c>
      <c r="C76" s="223" t="s">
        <v>1547</v>
      </c>
      <c r="D76" s="223" t="s">
        <v>1542</v>
      </c>
      <c r="E76" s="223" t="s">
        <v>1543</v>
      </c>
      <c r="F76" s="223" t="s">
        <v>1623</v>
      </c>
      <c r="G76" s="223">
        <v>724.15465447827796</v>
      </c>
    </row>
    <row r="77" spans="1:7">
      <c r="A77" s="223" t="s">
        <v>1462</v>
      </c>
      <c r="B77" s="223" t="s">
        <v>917</v>
      </c>
      <c r="C77" s="223" t="s">
        <v>1462</v>
      </c>
      <c r="D77" s="223" t="s">
        <v>1463</v>
      </c>
      <c r="E77" s="223" t="s">
        <v>1464</v>
      </c>
      <c r="F77" s="223" t="s">
        <v>1624</v>
      </c>
      <c r="G77" s="223">
        <v>1510.2230396467701</v>
      </c>
    </row>
    <row r="78" spans="1:7">
      <c r="A78" s="223" t="s">
        <v>1491</v>
      </c>
      <c r="B78" s="223" t="s">
        <v>917</v>
      </c>
      <c r="C78" s="223" t="s">
        <v>1491</v>
      </c>
      <c r="D78" s="223" t="s">
        <v>1463</v>
      </c>
      <c r="E78" s="223" t="s">
        <v>1464</v>
      </c>
      <c r="F78" s="223" t="s">
        <v>1624</v>
      </c>
      <c r="G78" s="223">
        <v>290.42750762437998</v>
      </c>
    </row>
    <row r="79" spans="1:7">
      <c r="A79" s="223" t="s">
        <v>1600</v>
      </c>
      <c r="B79" s="223" t="s">
        <v>875</v>
      </c>
      <c r="C79" s="223" t="s">
        <v>1600</v>
      </c>
      <c r="D79" s="153" t="s">
        <v>1625</v>
      </c>
      <c r="E79" s="223" t="s">
        <v>1597</v>
      </c>
      <c r="F79" s="223" t="s">
        <v>1621</v>
      </c>
      <c r="G79" s="223">
        <v>614.96954072689903</v>
      </c>
    </row>
    <row r="80" spans="1:7">
      <c r="A80" s="223" t="s">
        <v>1600</v>
      </c>
      <c r="B80" s="223" t="s">
        <v>908</v>
      </c>
      <c r="C80" s="223" t="s">
        <v>1600</v>
      </c>
      <c r="D80" s="153" t="s">
        <v>1625</v>
      </c>
      <c r="E80" s="223" t="s">
        <v>1597</v>
      </c>
      <c r="F80" s="223" t="s">
        <v>1621</v>
      </c>
      <c r="G80" s="223">
        <v>3203.7890054511699</v>
      </c>
    </row>
    <row r="81" spans="1:7">
      <c r="A81" s="223" t="s">
        <v>1600</v>
      </c>
      <c r="B81" s="223" t="s">
        <v>861</v>
      </c>
      <c r="C81" s="223" t="s">
        <v>1600</v>
      </c>
      <c r="D81" s="153" t="s">
        <v>1625</v>
      </c>
      <c r="E81" s="223" t="s">
        <v>1597</v>
      </c>
      <c r="F81" s="223" t="s">
        <v>1621</v>
      </c>
      <c r="G81" s="223">
        <v>105.697073714507</v>
      </c>
    </row>
    <row r="82" spans="1:7">
      <c r="A82" s="223" t="s">
        <v>1600</v>
      </c>
      <c r="B82" s="223" t="s">
        <v>918</v>
      </c>
      <c r="C82" s="223" t="s">
        <v>1600</v>
      </c>
      <c r="D82" s="153" t="s">
        <v>1625</v>
      </c>
      <c r="E82" s="223" t="s">
        <v>1597</v>
      </c>
      <c r="F82" s="223" t="s">
        <v>1622</v>
      </c>
      <c r="G82" s="223">
        <v>269.49603273617498</v>
      </c>
    </row>
    <row r="83" spans="1:7">
      <c r="A83" s="223" t="s">
        <v>1600</v>
      </c>
      <c r="B83" s="223" t="s">
        <v>875</v>
      </c>
      <c r="C83" s="223" t="s">
        <v>1600</v>
      </c>
      <c r="D83" s="153" t="s">
        <v>1625</v>
      </c>
      <c r="E83" s="223" t="s">
        <v>1597</v>
      </c>
      <c r="F83" s="223" t="s">
        <v>1622</v>
      </c>
      <c r="G83" s="223">
        <v>1458.0729433363499</v>
      </c>
    </row>
    <row r="84" spans="1:7">
      <c r="A84" s="223" t="s">
        <v>1600</v>
      </c>
      <c r="B84" s="223" t="s">
        <v>908</v>
      </c>
      <c r="C84" s="223" t="s">
        <v>1600</v>
      </c>
      <c r="D84" s="153" t="s">
        <v>1625</v>
      </c>
      <c r="E84" s="223" t="s">
        <v>1597</v>
      </c>
      <c r="F84" s="223" t="s">
        <v>1622</v>
      </c>
      <c r="G84" s="223">
        <v>417.885522450152</v>
      </c>
    </row>
    <row r="85" spans="1:7">
      <c r="A85" s="223" t="s">
        <v>1600</v>
      </c>
      <c r="B85" s="223" t="s">
        <v>917</v>
      </c>
      <c r="C85" s="223" t="s">
        <v>1600</v>
      </c>
      <c r="D85" s="153" t="s">
        <v>1625</v>
      </c>
      <c r="E85" s="223" t="s">
        <v>1597</v>
      </c>
      <c r="F85" s="223" t="s">
        <v>1611</v>
      </c>
      <c r="G85" s="223">
        <v>1394.0520365970201</v>
      </c>
    </row>
    <row r="86" spans="1:7">
      <c r="A86" s="223" t="s">
        <v>1600</v>
      </c>
      <c r="B86" s="223" t="s">
        <v>917</v>
      </c>
      <c r="C86" s="223" t="s">
        <v>1600</v>
      </c>
      <c r="D86" s="153" t="s">
        <v>1625</v>
      </c>
      <c r="E86" s="223" t="s">
        <v>1597</v>
      </c>
      <c r="F86" s="223" t="s">
        <v>1613</v>
      </c>
      <c r="G86" s="223">
        <v>232.342006099504</v>
      </c>
    </row>
    <row r="87" spans="1:7">
      <c r="A87" s="223" t="s">
        <v>1600</v>
      </c>
      <c r="B87" s="223" t="s">
        <v>853</v>
      </c>
      <c r="C87" s="223" t="s">
        <v>1600</v>
      </c>
      <c r="D87" s="153" t="s">
        <v>1625</v>
      </c>
      <c r="E87" s="223" t="s">
        <v>1597</v>
      </c>
      <c r="F87" s="223" t="s">
        <v>1613</v>
      </c>
      <c r="G87" s="223">
        <v>2841.7141447642798</v>
      </c>
    </row>
    <row r="88" spans="1:7">
      <c r="A88" s="223" t="s">
        <v>1600</v>
      </c>
      <c r="B88" s="223" t="s">
        <v>874</v>
      </c>
      <c r="C88" s="223" t="s">
        <v>1600</v>
      </c>
      <c r="D88" s="153" t="s">
        <v>1625</v>
      </c>
      <c r="E88" s="223" t="s">
        <v>1597</v>
      </c>
      <c r="F88" s="223" t="s">
        <v>1613</v>
      </c>
      <c r="G88" s="223">
        <v>745.46667887620799</v>
      </c>
    </row>
    <row r="89" spans="1:7">
      <c r="A89" s="223" t="s">
        <v>1600</v>
      </c>
      <c r="B89" s="223" t="s">
        <v>918</v>
      </c>
      <c r="C89" s="223" t="s">
        <v>1600</v>
      </c>
      <c r="D89" s="153" t="s">
        <v>1625</v>
      </c>
      <c r="E89" s="223" t="s">
        <v>1597</v>
      </c>
      <c r="F89" s="223" t="s">
        <v>1613</v>
      </c>
      <c r="G89" s="223">
        <v>1643.5930885391399</v>
      </c>
    </row>
    <row r="90" spans="1:7">
      <c r="A90" s="223" t="s">
        <v>1600</v>
      </c>
      <c r="B90" s="223" t="s">
        <v>853</v>
      </c>
      <c r="C90" s="223" t="s">
        <v>1600</v>
      </c>
      <c r="D90" s="153" t="s">
        <v>1625</v>
      </c>
      <c r="E90" s="223" t="s">
        <v>1597</v>
      </c>
      <c r="F90" s="223" t="s">
        <v>1614</v>
      </c>
      <c r="G90" s="223">
        <v>3420.7339343766498</v>
      </c>
    </row>
    <row r="91" spans="1:7">
      <c r="A91" s="223" t="s">
        <v>1600</v>
      </c>
      <c r="B91" s="223" t="s">
        <v>918</v>
      </c>
      <c r="C91" s="223" t="s">
        <v>1600</v>
      </c>
      <c r="D91" s="153" t="s">
        <v>1625</v>
      </c>
      <c r="E91" s="223" t="s">
        <v>1597</v>
      </c>
      <c r="F91" s="223" t="s">
        <v>1614</v>
      </c>
      <c r="G91" s="223">
        <v>2448.7540752324098</v>
      </c>
    </row>
    <row r="92" spans="1:7">
      <c r="A92" s="223" t="s">
        <v>1600</v>
      </c>
      <c r="B92" s="223" t="s">
        <v>875</v>
      </c>
      <c r="C92" s="223" t="s">
        <v>1600</v>
      </c>
      <c r="D92" s="153" t="s">
        <v>1625</v>
      </c>
      <c r="E92" s="223" t="s">
        <v>1597</v>
      </c>
      <c r="F92" s="223" t="s">
        <v>1614</v>
      </c>
      <c r="G92" s="223">
        <v>2449.9592993474798</v>
      </c>
    </row>
    <row r="93" spans="1:7">
      <c r="A93" s="223" t="s">
        <v>1600</v>
      </c>
      <c r="B93" s="223" t="s">
        <v>861</v>
      </c>
      <c r="C93" s="223" t="s">
        <v>1600</v>
      </c>
      <c r="D93" s="153" t="s">
        <v>1625</v>
      </c>
      <c r="E93" s="223" t="s">
        <v>1597</v>
      </c>
      <c r="F93" s="223" t="s">
        <v>1614</v>
      </c>
      <c r="G93" s="223">
        <v>132.121342143134</v>
      </c>
    </row>
    <row r="94" spans="1:7">
      <c r="A94" s="223" t="s">
        <v>1600</v>
      </c>
      <c r="B94" s="223" t="s">
        <v>917</v>
      </c>
      <c r="C94" s="223" t="s">
        <v>1600</v>
      </c>
      <c r="D94" s="153" t="s">
        <v>1625</v>
      </c>
      <c r="E94" s="223" t="s">
        <v>1597</v>
      </c>
      <c r="F94" s="223" t="s">
        <v>1615</v>
      </c>
      <c r="G94" s="223">
        <v>232.342006099504</v>
      </c>
    </row>
    <row r="95" spans="1:7">
      <c r="A95" s="223" t="s">
        <v>1600</v>
      </c>
      <c r="B95" s="223" t="s">
        <v>853</v>
      </c>
      <c r="C95" s="223" t="s">
        <v>1600</v>
      </c>
      <c r="D95" s="153" t="s">
        <v>1625</v>
      </c>
      <c r="E95" s="223" t="s">
        <v>1597</v>
      </c>
      <c r="F95" s="223" t="s">
        <v>1615</v>
      </c>
      <c r="G95" s="223">
        <v>3519.2904943106801</v>
      </c>
    </row>
    <row r="96" spans="1:7">
      <c r="A96" s="223" t="s">
        <v>1600</v>
      </c>
      <c r="B96" s="223" t="s">
        <v>874</v>
      </c>
      <c r="C96" s="223" t="s">
        <v>1600</v>
      </c>
      <c r="D96" s="153" t="s">
        <v>1625</v>
      </c>
      <c r="E96" s="223" t="s">
        <v>1597</v>
      </c>
      <c r="F96" s="223" t="s">
        <v>1615</v>
      </c>
      <c r="G96" s="223">
        <v>285.60087047854699</v>
      </c>
    </row>
    <row r="97" spans="1:7">
      <c r="A97" s="223" t="s">
        <v>1600</v>
      </c>
      <c r="B97" s="223" t="s">
        <v>918</v>
      </c>
      <c r="C97" s="223" t="s">
        <v>1600</v>
      </c>
      <c r="D97" s="153" t="s">
        <v>1625</v>
      </c>
      <c r="E97" s="223" t="s">
        <v>1597</v>
      </c>
      <c r="F97" s="223" t="s">
        <v>1615</v>
      </c>
      <c r="G97" s="223">
        <v>781.871206086435</v>
      </c>
    </row>
    <row r="98" spans="1:7">
      <c r="A98" s="223" t="s">
        <v>1600</v>
      </c>
      <c r="B98" s="223" t="s">
        <v>875</v>
      </c>
      <c r="C98" s="223" t="s">
        <v>1600</v>
      </c>
      <c r="D98" s="153" t="s">
        <v>1625</v>
      </c>
      <c r="E98" s="223" t="s">
        <v>1597</v>
      </c>
      <c r="F98" s="223" t="s">
        <v>1615</v>
      </c>
      <c r="G98" s="223">
        <v>952.21090177068299</v>
      </c>
    </row>
    <row r="99" spans="1:7">
      <c r="A99" s="223" t="s">
        <v>1600</v>
      </c>
      <c r="B99" s="223" t="s">
        <v>908</v>
      </c>
      <c r="C99" s="223" t="s">
        <v>1600</v>
      </c>
      <c r="D99" s="153" t="s">
        <v>1625</v>
      </c>
      <c r="E99" s="223" t="s">
        <v>1597</v>
      </c>
      <c r="F99" s="223" t="s">
        <v>1615</v>
      </c>
      <c r="G99" s="223">
        <v>557.18069660020296</v>
      </c>
    </row>
    <row r="100" spans="1:7">
      <c r="A100" s="223" t="s">
        <v>1604</v>
      </c>
      <c r="B100" s="223" t="s">
        <v>853</v>
      </c>
      <c r="C100" s="223" t="s">
        <v>1604</v>
      </c>
      <c r="D100" s="223" t="s">
        <v>1605</v>
      </c>
      <c r="E100" s="223" t="s">
        <v>1597</v>
      </c>
      <c r="F100" s="223" t="s">
        <v>1613</v>
      </c>
      <c r="G100" s="223">
        <v>6040.6958192893899</v>
      </c>
    </row>
    <row r="101" spans="1:7">
      <c r="A101" s="223" t="s">
        <v>1606</v>
      </c>
      <c r="B101" s="223" t="s">
        <v>853</v>
      </c>
      <c r="C101" s="223" t="s">
        <v>1606</v>
      </c>
      <c r="D101" s="223" t="s">
        <v>1605</v>
      </c>
      <c r="E101" s="223" t="s">
        <v>1597</v>
      </c>
      <c r="F101" s="223" t="s">
        <v>1613</v>
      </c>
      <c r="G101" s="223">
        <v>3601.4216179660898</v>
      </c>
    </row>
    <row r="102" spans="1:7">
      <c r="A102" s="223" t="s">
        <v>1604</v>
      </c>
      <c r="B102" s="223" t="s">
        <v>874</v>
      </c>
      <c r="C102" s="223" t="s">
        <v>1604</v>
      </c>
      <c r="D102" s="223" t="s">
        <v>1605</v>
      </c>
      <c r="E102" s="223" t="s">
        <v>1597</v>
      </c>
      <c r="F102" s="223" t="s">
        <v>1613</v>
      </c>
      <c r="G102" s="223">
        <v>972.979236715051</v>
      </c>
    </row>
    <row r="103" spans="1:7">
      <c r="A103" s="223" t="s">
        <v>1606</v>
      </c>
      <c r="B103" s="223" t="s">
        <v>874</v>
      </c>
      <c r="C103" s="223" t="s">
        <v>1606</v>
      </c>
      <c r="D103" s="223" t="s">
        <v>1605</v>
      </c>
      <c r="E103" s="223" t="s">
        <v>1597</v>
      </c>
      <c r="F103" s="223" t="s">
        <v>1613</v>
      </c>
      <c r="G103" s="223">
        <v>1529.6588995122199</v>
      </c>
    </row>
    <row r="104" spans="1:7">
      <c r="A104" s="223" t="s">
        <v>1604</v>
      </c>
      <c r="B104" s="223" t="s">
        <v>918</v>
      </c>
      <c r="C104" s="223" t="s">
        <v>1604</v>
      </c>
      <c r="D104" s="223" t="s">
        <v>1605</v>
      </c>
      <c r="E104" s="223" t="s">
        <v>1597</v>
      </c>
      <c r="F104" s="223" t="s">
        <v>1613</v>
      </c>
      <c r="G104" s="223">
        <v>6873.8054035959203</v>
      </c>
    </row>
    <row r="105" spans="1:7">
      <c r="A105" s="223" t="s">
        <v>1606</v>
      </c>
      <c r="B105" s="223" t="s">
        <v>918</v>
      </c>
      <c r="C105" s="223" t="s">
        <v>1606</v>
      </c>
      <c r="D105" s="223" t="s">
        <v>1605</v>
      </c>
      <c r="E105" s="223" t="s">
        <v>1597</v>
      </c>
      <c r="F105" s="223" t="s">
        <v>1613</v>
      </c>
      <c r="G105" s="223">
        <v>4687.9128678404504</v>
      </c>
    </row>
    <row r="106" spans="1:7">
      <c r="A106" s="223" t="s">
        <v>1604</v>
      </c>
      <c r="B106" s="223" t="s">
        <v>875</v>
      </c>
      <c r="C106" s="223" t="s">
        <v>1604</v>
      </c>
      <c r="D106" s="223" t="s">
        <v>1605</v>
      </c>
      <c r="E106" s="223" t="s">
        <v>1597</v>
      </c>
      <c r="F106" s="223" t="s">
        <v>1613</v>
      </c>
      <c r="G106" s="223">
        <v>505.86204156567499</v>
      </c>
    </row>
    <row r="107" spans="1:7">
      <c r="A107" s="223" t="s">
        <v>1606</v>
      </c>
      <c r="B107" s="223" t="s">
        <v>875</v>
      </c>
      <c r="C107" s="223" t="s">
        <v>1606</v>
      </c>
      <c r="D107" s="223" t="s">
        <v>1605</v>
      </c>
      <c r="E107" s="223" t="s">
        <v>1597</v>
      </c>
      <c r="F107" s="223" t="s">
        <v>1613</v>
      </c>
      <c r="G107" s="223">
        <v>128.945226281446</v>
      </c>
    </row>
    <row r="108" spans="1:7">
      <c r="A108" s="223" t="s">
        <v>1604</v>
      </c>
      <c r="B108" s="223" t="s">
        <v>853</v>
      </c>
      <c r="C108" s="223" t="s">
        <v>1604</v>
      </c>
      <c r="D108" s="223" t="s">
        <v>1605</v>
      </c>
      <c r="E108" s="223" t="s">
        <v>1597</v>
      </c>
      <c r="F108" s="223" t="s">
        <v>1614</v>
      </c>
      <c r="G108" s="223">
        <v>1330.5156123709501</v>
      </c>
    </row>
    <row r="109" spans="1:7">
      <c r="A109" s="223" t="s">
        <v>1606</v>
      </c>
      <c r="B109" s="223" t="s">
        <v>853</v>
      </c>
      <c r="C109" s="223" t="s">
        <v>1606</v>
      </c>
      <c r="D109" s="223" t="s">
        <v>1605</v>
      </c>
      <c r="E109" s="223" t="s">
        <v>1597</v>
      </c>
      <c r="F109" s="223" t="s">
        <v>1614</v>
      </c>
      <c r="G109" s="223">
        <v>1215.5309058529299</v>
      </c>
    </row>
    <row r="110" spans="1:7">
      <c r="A110" s="223" t="s">
        <v>1604</v>
      </c>
      <c r="B110" s="223" t="s">
        <v>918</v>
      </c>
      <c r="C110" s="223" t="s">
        <v>1604</v>
      </c>
      <c r="D110" s="223" t="s">
        <v>1605</v>
      </c>
      <c r="E110" s="223" t="s">
        <v>1597</v>
      </c>
      <c r="F110" s="223" t="s">
        <v>1614</v>
      </c>
      <c r="G110" s="223">
        <v>2718.2484444128199</v>
      </c>
    </row>
    <row r="111" spans="1:7">
      <c r="A111" s="223" t="s">
        <v>1606</v>
      </c>
      <c r="B111" s="223" t="s">
        <v>918</v>
      </c>
      <c r="C111" s="223" t="s">
        <v>1606</v>
      </c>
      <c r="D111" s="223" t="s">
        <v>1605</v>
      </c>
      <c r="E111" s="223" t="s">
        <v>1597</v>
      </c>
      <c r="F111" s="223" t="s">
        <v>1614</v>
      </c>
      <c r="G111" s="223">
        <v>2478.6980788697601</v>
      </c>
    </row>
    <row r="112" spans="1:7">
      <c r="A112" s="223" t="s">
        <v>1604</v>
      </c>
      <c r="B112" s="223" t="s">
        <v>875</v>
      </c>
      <c r="C112" s="223" t="s">
        <v>1604</v>
      </c>
      <c r="D112" s="223" t="s">
        <v>1605</v>
      </c>
      <c r="E112" s="223" t="s">
        <v>1597</v>
      </c>
      <c r="F112" s="223" t="s">
        <v>1614</v>
      </c>
      <c r="G112" s="223">
        <v>2400.3649815469298</v>
      </c>
    </row>
    <row r="113" spans="1:7">
      <c r="A113" s="223" t="s">
        <v>1606</v>
      </c>
      <c r="B113" s="223" t="s">
        <v>875</v>
      </c>
      <c r="C113" s="223" t="s">
        <v>1606</v>
      </c>
      <c r="D113" s="223" t="s">
        <v>1605</v>
      </c>
      <c r="E113" s="223" t="s">
        <v>1597</v>
      </c>
      <c r="F113" s="223" t="s">
        <v>1614</v>
      </c>
      <c r="G113" s="223">
        <v>1210.10135433357</v>
      </c>
    </row>
    <row r="114" spans="1:7">
      <c r="A114" s="223" t="s">
        <v>1604</v>
      </c>
      <c r="B114" s="223" t="s">
        <v>853</v>
      </c>
      <c r="C114" s="223" t="s">
        <v>1604</v>
      </c>
      <c r="D114" s="223" t="s">
        <v>1605</v>
      </c>
      <c r="E114" s="223" t="s">
        <v>1597</v>
      </c>
      <c r="F114" s="223" t="s">
        <v>1615</v>
      </c>
      <c r="G114" s="223">
        <v>4106.5233305842203</v>
      </c>
    </row>
    <row r="115" spans="1:7">
      <c r="A115" s="223" t="s">
        <v>1606</v>
      </c>
      <c r="B115" s="223" t="s">
        <v>853</v>
      </c>
      <c r="C115" s="223" t="s">
        <v>1606</v>
      </c>
      <c r="D115" s="223" t="s">
        <v>1605</v>
      </c>
      <c r="E115" s="223" t="s">
        <v>1597</v>
      </c>
      <c r="F115" s="223" t="s">
        <v>1615</v>
      </c>
      <c r="G115" s="223">
        <v>1917.7463953828301</v>
      </c>
    </row>
    <row r="116" spans="1:7">
      <c r="A116" s="223" t="s">
        <v>1604</v>
      </c>
      <c r="B116" s="223" t="s">
        <v>874</v>
      </c>
      <c r="C116" s="223" t="s">
        <v>1604</v>
      </c>
      <c r="D116" s="223" t="s">
        <v>1605</v>
      </c>
      <c r="E116" s="223" t="s">
        <v>1597</v>
      </c>
      <c r="F116" s="223" t="s">
        <v>1615</v>
      </c>
      <c r="G116" s="223">
        <v>2914.0970174251702</v>
      </c>
    </row>
    <row r="117" spans="1:7">
      <c r="A117" s="223" t="s">
        <v>1606</v>
      </c>
      <c r="B117" s="223" t="s">
        <v>874</v>
      </c>
      <c r="C117" s="223" t="s">
        <v>1606</v>
      </c>
      <c r="D117" s="223" t="s">
        <v>1605</v>
      </c>
      <c r="E117" s="223" t="s">
        <v>1597</v>
      </c>
      <c r="F117" s="223" t="s">
        <v>1615</v>
      </c>
      <c r="G117" s="223">
        <v>900.36884591542002</v>
      </c>
    </row>
    <row r="118" spans="1:7">
      <c r="A118" s="223" t="s">
        <v>1604</v>
      </c>
      <c r="B118" s="223" t="s">
        <v>918</v>
      </c>
      <c r="C118" s="223" t="s">
        <v>1604</v>
      </c>
      <c r="D118" s="223" t="s">
        <v>1605</v>
      </c>
      <c r="E118" s="223" t="s">
        <v>1597</v>
      </c>
      <c r="F118" s="223" t="s">
        <v>1615</v>
      </c>
      <c r="G118" s="223">
        <v>2348.9407297745602</v>
      </c>
    </row>
    <row r="119" spans="1:7">
      <c r="A119" s="223" t="s">
        <v>1606</v>
      </c>
      <c r="B119" s="223" t="s">
        <v>918</v>
      </c>
      <c r="C119" s="223" t="s">
        <v>1606</v>
      </c>
      <c r="D119" s="223" t="s">
        <v>1605</v>
      </c>
      <c r="E119" s="223" t="s">
        <v>1597</v>
      </c>
      <c r="F119" s="223" t="s">
        <v>1615</v>
      </c>
      <c r="G119" s="223">
        <v>1174.4703648872801</v>
      </c>
    </row>
    <row r="120" spans="1:7">
      <c r="A120" s="223" t="s">
        <v>1604</v>
      </c>
      <c r="B120" s="223" t="s">
        <v>875</v>
      </c>
      <c r="C120" s="223" t="s">
        <v>1604</v>
      </c>
      <c r="D120" s="223" t="s">
        <v>1605</v>
      </c>
      <c r="E120" s="223" t="s">
        <v>1597</v>
      </c>
      <c r="F120" s="223" t="s">
        <v>1615</v>
      </c>
      <c r="G120" s="223">
        <v>2995.4967951536</v>
      </c>
    </row>
    <row r="121" spans="1:7">
      <c r="A121" s="223" t="s">
        <v>1606</v>
      </c>
      <c r="B121" s="223" t="s">
        <v>875</v>
      </c>
      <c r="C121" s="223" t="s">
        <v>1606</v>
      </c>
      <c r="D121" s="223" t="s">
        <v>1605</v>
      </c>
      <c r="E121" s="223" t="s">
        <v>1597</v>
      </c>
      <c r="F121" s="223" t="s">
        <v>1615</v>
      </c>
      <c r="G121" s="223">
        <v>1924.2595306615799</v>
      </c>
    </row>
    <row r="122" spans="1:7">
      <c r="A122" s="223" t="s">
        <v>1604</v>
      </c>
      <c r="B122" s="223" t="s">
        <v>849</v>
      </c>
      <c r="C122" s="223" t="s">
        <v>1604</v>
      </c>
      <c r="D122" s="223" t="s">
        <v>1605</v>
      </c>
      <c r="E122" s="223" t="s">
        <v>1597</v>
      </c>
      <c r="F122" s="223" t="s">
        <v>1616</v>
      </c>
      <c r="G122" s="223">
        <v>204.628692524391</v>
      </c>
    </row>
    <row r="123" spans="1:7">
      <c r="A123" s="223" t="s">
        <v>1604</v>
      </c>
      <c r="B123" s="223" t="s">
        <v>854</v>
      </c>
      <c r="C123" s="223" t="s">
        <v>1604</v>
      </c>
      <c r="D123" s="223" t="s">
        <v>1605</v>
      </c>
      <c r="E123" s="223" t="s">
        <v>1597</v>
      </c>
      <c r="F123" s="223" t="s">
        <v>1616</v>
      </c>
      <c r="G123" s="223">
        <v>104.282950339534</v>
      </c>
    </row>
    <row r="124" spans="1:7">
      <c r="A124" s="223" t="s">
        <v>1606</v>
      </c>
      <c r="B124" s="223" t="s">
        <v>854</v>
      </c>
      <c r="C124" s="223" t="s">
        <v>1606</v>
      </c>
      <c r="D124" s="223" t="s">
        <v>1605</v>
      </c>
      <c r="E124" s="223" t="s">
        <v>1597</v>
      </c>
      <c r="F124" s="223" t="s">
        <v>1616</v>
      </c>
      <c r="G124" s="223">
        <v>122.685823928863</v>
      </c>
    </row>
    <row r="125" spans="1:7">
      <c r="A125" s="223" t="s">
        <v>1604</v>
      </c>
      <c r="B125" s="223" t="s">
        <v>856</v>
      </c>
      <c r="C125" s="223" t="s">
        <v>1604</v>
      </c>
      <c r="D125" s="223" t="s">
        <v>1605</v>
      </c>
      <c r="E125" s="223" t="s">
        <v>1597</v>
      </c>
      <c r="F125" s="223" t="s">
        <v>1616</v>
      </c>
      <c r="G125" s="223">
        <v>1501.9335805410799</v>
      </c>
    </row>
    <row r="126" spans="1:7">
      <c r="A126" s="223" t="s">
        <v>1606</v>
      </c>
      <c r="B126" s="223" t="s">
        <v>856</v>
      </c>
      <c r="C126" s="223" t="s">
        <v>1606</v>
      </c>
      <c r="D126" s="223" t="s">
        <v>1605</v>
      </c>
      <c r="E126" s="223" t="s">
        <v>1597</v>
      </c>
      <c r="F126" s="223" t="s">
        <v>1616</v>
      </c>
      <c r="G126" s="223">
        <v>894.76983093535705</v>
      </c>
    </row>
    <row r="127" spans="1:7">
      <c r="A127" s="223" t="s">
        <v>1604</v>
      </c>
      <c r="B127" s="223" t="s">
        <v>857</v>
      </c>
      <c r="C127" s="223" t="s">
        <v>1604</v>
      </c>
      <c r="D127" s="223" t="s">
        <v>1605</v>
      </c>
      <c r="E127" s="223" t="s">
        <v>1597</v>
      </c>
      <c r="F127" s="223" t="s">
        <v>1616</v>
      </c>
      <c r="G127" s="223">
        <v>733.72697005830503</v>
      </c>
    </row>
    <row r="128" spans="1:7">
      <c r="A128" s="223" t="s">
        <v>1604</v>
      </c>
      <c r="B128" s="223" t="s">
        <v>859</v>
      </c>
      <c r="C128" s="223" t="s">
        <v>1604</v>
      </c>
      <c r="D128" s="223" t="s">
        <v>1605</v>
      </c>
      <c r="E128" s="223" t="s">
        <v>1597</v>
      </c>
      <c r="F128" s="223" t="s">
        <v>1616</v>
      </c>
      <c r="G128" s="223">
        <v>1421.26208554299</v>
      </c>
    </row>
    <row r="129" spans="1:7">
      <c r="A129" s="223" t="s">
        <v>1606</v>
      </c>
      <c r="B129" s="223" t="s">
        <v>859</v>
      </c>
      <c r="C129" s="223" t="s">
        <v>1606</v>
      </c>
      <c r="D129" s="223" t="s">
        <v>1605</v>
      </c>
      <c r="E129" s="223" t="s">
        <v>1597</v>
      </c>
      <c r="F129" s="223" t="s">
        <v>1616</v>
      </c>
      <c r="G129" s="223">
        <v>568.50483421719696</v>
      </c>
    </row>
    <row r="130" spans="1:7">
      <c r="A130" s="223" t="s">
        <v>1604</v>
      </c>
      <c r="B130" s="223" t="s">
        <v>860</v>
      </c>
      <c r="C130" s="223" t="s">
        <v>1604</v>
      </c>
      <c r="D130" s="223" t="s">
        <v>1605</v>
      </c>
      <c r="E130" s="223" t="s">
        <v>1597</v>
      </c>
      <c r="F130" s="223" t="s">
        <v>1616</v>
      </c>
      <c r="G130" s="223">
        <v>1732.9085221190301</v>
      </c>
    </row>
    <row r="131" spans="1:7">
      <c r="A131" s="223" t="s">
        <v>1606</v>
      </c>
      <c r="B131" s="223" t="s">
        <v>860</v>
      </c>
      <c r="C131" s="223" t="s">
        <v>1606</v>
      </c>
      <c r="D131" s="223" t="s">
        <v>1605</v>
      </c>
      <c r="E131" s="223" t="s">
        <v>1597</v>
      </c>
      <c r="F131" s="223" t="s">
        <v>1616</v>
      </c>
      <c r="G131" s="223">
        <v>2198.7441463445698</v>
      </c>
    </row>
    <row r="132" spans="1:7">
      <c r="A132" s="223" t="s">
        <v>1604</v>
      </c>
      <c r="B132" s="223" t="s">
        <v>861</v>
      </c>
      <c r="C132" s="223" t="s">
        <v>1604</v>
      </c>
      <c r="D132" s="223" t="s">
        <v>1605</v>
      </c>
      <c r="E132" s="223" t="s">
        <v>1597</v>
      </c>
      <c r="F132" s="223" t="s">
        <v>1616</v>
      </c>
      <c r="G132" s="223">
        <v>1189.0920792882</v>
      </c>
    </row>
    <row r="133" spans="1:7">
      <c r="A133" s="223" t="s">
        <v>1606</v>
      </c>
      <c r="B133" s="223" t="s">
        <v>861</v>
      </c>
      <c r="C133" s="223" t="s">
        <v>1606</v>
      </c>
      <c r="D133" s="223" t="s">
        <v>1605</v>
      </c>
      <c r="E133" s="223" t="s">
        <v>1597</v>
      </c>
      <c r="F133" s="223" t="s">
        <v>1616</v>
      </c>
      <c r="G133" s="223">
        <v>184.96987900038701</v>
      </c>
    </row>
    <row r="134" spans="1:7">
      <c r="A134" s="223" t="s">
        <v>1604</v>
      </c>
      <c r="B134" s="223" t="s">
        <v>862</v>
      </c>
      <c r="C134" s="223" t="s">
        <v>1604</v>
      </c>
      <c r="D134" s="223" t="s">
        <v>1605</v>
      </c>
      <c r="E134" s="223" t="s">
        <v>1597</v>
      </c>
      <c r="F134" s="223" t="s">
        <v>1616</v>
      </c>
      <c r="G134" s="223">
        <v>481.53226596687603</v>
      </c>
    </row>
    <row r="135" spans="1:7">
      <c r="A135" s="223" t="s">
        <v>1606</v>
      </c>
      <c r="B135" s="223" t="s">
        <v>862</v>
      </c>
      <c r="C135" s="223" t="s">
        <v>1606</v>
      </c>
      <c r="D135" s="223" t="s">
        <v>1605</v>
      </c>
      <c r="E135" s="223" t="s">
        <v>1597</v>
      </c>
      <c r="F135" s="223" t="s">
        <v>1616</v>
      </c>
      <c r="G135" s="223">
        <v>643.68088613939597</v>
      </c>
    </row>
    <row r="136" spans="1:7">
      <c r="A136" s="223" t="s">
        <v>1604</v>
      </c>
      <c r="B136" s="223" t="s">
        <v>856</v>
      </c>
      <c r="C136" s="223" t="s">
        <v>1604</v>
      </c>
      <c r="D136" s="223" t="s">
        <v>1605</v>
      </c>
      <c r="E136" s="223" t="s">
        <v>1597</v>
      </c>
      <c r="F136" s="223" t="s">
        <v>1626</v>
      </c>
      <c r="G136" s="223">
        <v>191.736201771201</v>
      </c>
    </row>
    <row r="137" spans="1:7">
      <c r="A137" s="223" t="s">
        <v>1604</v>
      </c>
      <c r="B137" s="223" t="s">
        <v>857</v>
      </c>
      <c r="C137" s="223" t="s">
        <v>1604</v>
      </c>
      <c r="D137" s="223" t="s">
        <v>1605</v>
      </c>
      <c r="E137" s="223" t="s">
        <v>1597</v>
      </c>
      <c r="F137" s="223" t="s">
        <v>1626</v>
      </c>
      <c r="G137" s="223">
        <v>244.57565668610101</v>
      </c>
    </row>
    <row r="138" spans="1:7">
      <c r="A138" s="223" t="s">
        <v>1604</v>
      </c>
      <c r="B138" s="223" t="s">
        <v>839</v>
      </c>
      <c r="C138" s="223" t="s">
        <v>1604</v>
      </c>
      <c r="D138" s="223" t="s">
        <v>1605</v>
      </c>
      <c r="E138" s="223" t="s">
        <v>1597</v>
      </c>
      <c r="F138" s="223" t="s">
        <v>1627</v>
      </c>
      <c r="G138" s="223">
        <v>1101.31037352877</v>
      </c>
    </row>
    <row r="139" spans="1:7">
      <c r="A139" s="223" t="s">
        <v>1606</v>
      </c>
      <c r="B139" s="223" t="s">
        <v>839</v>
      </c>
      <c r="C139" s="223" t="s">
        <v>1606</v>
      </c>
      <c r="D139" s="223" t="s">
        <v>1605</v>
      </c>
      <c r="E139" s="223" t="s">
        <v>1597</v>
      </c>
      <c r="F139" s="223" t="s">
        <v>1627</v>
      </c>
      <c r="G139" s="223">
        <v>116.034526012635</v>
      </c>
    </row>
    <row r="140" spans="1:7">
      <c r="A140" s="223" t="s">
        <v>1604</v>
      </c>
      <c r="B140" s="223" t="s">
        <v>849</v>
      </c>
      <c r="C140" s="223" t="s">
        <v>1604</v>
      </c>
      <c r="D140" s="223" t="s">
        <v>1605</v>
      </c>
      <c r="E140" s="223" t="s">
        <v>1597</v>
      </c>
      <c r="F140" s="223" t="s">
        <v>1627</v>
      </c>
      <c r="G140" s="223">
        <v>317.174473412807</v>
      </c>
    </row>
    <row r="141" spans="1:7">
      <c r="A141" s="223" t="s">
        <v>1606</v>
      </c>
      <c r="B141" s="223" t="s">
        <v>849</v>
      </c>
      <c r="C141" s="223" t="s">
        <v>1606</v>
      </c>
      <c r="D141" s="223" t="s">
        <v>1605</v>
      </c>
      <c r="E141" s="223" t="s">
        <v>1597</v>
      </c>
      <c r="F141" s="223" t="s">
        <v>1627</v>
      </c>
      <c r="G141" s="223">
        <v>245.554328714923</v>
      </c>
    </row>
    <row r="142" spans="1:7">
      <c r="A142" s="223" t="s">
        <v>1606</v>
      </c>
      <c r="B142" s="223" t="s">
        <v>855</v>
      </c>
      <c r="C142" s="223" t="s">
        <v>1606</v>
      </c>
      <c r="D142" s="223" t="s">
        <v>1605</v>
      </c>
      <c r="E142" s="223" t="s">
        <v>1597</v>
      </c>
      <c r="F142" s="223" t="s">
        <v>1627</v>
      </c>
      <c r="G142" s="223">
        <v>174.865935276795</v>
      </c>
    </row>
    <row r="143" spans="1:7">
      <c r="A143" s="223" t="s">
        <v>1604</v>
      </c>
      <c r="B143" s="223" t="s">
        <v>856</v>
      </c>
      <c r="C143" s="223" t="s">
        <v>1604</v>
      </c>
      <c r="D143" s="223" t="s">
        <v>1605</v>
      </c>
      <c r="E143" s="223" t="s">
        <v>1597</v>
      </c>
      <c r="F143" s="223" t="s">
        <v>1627</v>
      </c>
      <c r="G143" s="223">
        <v>319.56033628533601</v>
      </c>
    </row>
    <row r="144" spans="1:7">
      <c r="A144" s="223" t="s">
        <v>1606</v>
      </c>
      <c r="B144" s="223" t="s">
        <v>856</v>
      </c>
      <c r="C144" s="223" t="s">
        <v>1606</v>
      </c>
      <c r="D144" s="223" t="s">
        <v>1605</v>
      </c>
      <c r="E144" s="223" t="s">
        <v>1597</v>
      </c>
      <c r="F144" s="223" t="s">
        <v>1627</v>
      </c>
      <c r="G144" s="223">
        <v>4665.5799510849001</v>
      </c>
    </row>
    <row r="145" spans="1:7">
      <c r="A145" s="223" t="s">
        <v>1604</v>
      </c>
      <c r="B145" s="223" t="s">
        <v>857</v>
      </c>
      <c r="C145" s="223" t="s">
        <v>1604</v>
      </c>
      <c r="D145" s="223" t="s">
        <v>1605</v>
      </c>
      <c r="E145" s="223" t="s">
        <v>1597</v>
      </c>
      <c r="F145" s="223" t="s">
        <v>1627</v>
      </c>
      <c r="G145" s="223">
        <v>104.818138579757</v>
      </c>
    </row>
    <row r="146" spans="1:7">
      <c r="A146" s="223" t="s">
        <v>1606</v>
      </c>
      <c r="B146" s="223" t="s">
        <v>857</v>
      </c>
      <c r="C146" s="223" t="s">
        <v>1606</v>
      </c>
      <c r="D146" s="223" t="s">
        <v>1605</v>
      </c>
      <c r="E146" s="223" t="s">
        <v>1597</v>
      </c>
      <c r="F146" s="223" t="s">
        <v>1627</v>
      </c>
      <c r="G146" s="223">
        <v>3039.7256694191801</v>
      </c>
    </row>
    <row r="147" spans="1:7">
      <c r="A147" s="223" t="s">
        <v>1604</v>
      </c>
      <c r="B147" s="223" t="s">
        <v>858</v>
      </c>
      <c r="C147" s="223" t="s">
        <v>1604</v>
      </c>
      <c r="D147" s="223" t="s">
        <v>1605</v>
      </c>
      <c r="E147" s="223" t="s">
        <v>1597</v>
      </c>
      <c r="F147" s="223" t="s">
        <v>1627</v>
      </c>
      <c r="G147" s="223">
        <v>156.81229016276899</v>
      </c>
    </row>
    <row r="148" spans="1:7">
      <c r="A148" s="223" t="s">
        <v>1604</v>
      </c>
      <c r="B148" s="223" t="s">
        <v>860</v>
      </c>
      <c r="C148" s="223" t="s">
        <v>1604</v>
      </c>
      <c r="D148" s="223" t="s">
        <v>1605</v>
      </c>
      <c r="E148" s="223" t="s">
        <v>1597</v>
      </c>
      <c r="F148" s="223" t="s">
        <v>1627</v>
      </c>
      <c r="G148" s="223">
        <v>335.40164944239302</v>
      </c>
    </row>
    <row r="149" spans="1:7">
      <c r="A149" s="223" t="s">
        <v>1604</v>
      </c>
      <c r="B149" s="223" t="s">
        <v>861</v>
      </c>
      <c r="C149" s="223" t="s">
        <v>1604</v>
      </c>
      <c r="D149" s="223" t="s">
        <v>1605</v>
      </c>
      <c r="E149" s="223" t="s">
        <v>1597</v>
      </c>
      <c r="F149" s="223" t="s">
        <v>1627</v>
      </c>
      <c r="G149" s="223">
        <v>158.54561057175999</v>
      </c>
    </row>
    <row r="150" spans="1:7">
      <c r="A150" s="223" t="s">
        <v>1604</v>
      </c>
      <c r="B150" s="223" t="s">
        <v>862</v>
      </c>
      <c r="C150" s="223" t="s">
        <v>1604</v>
      </c>
      <c r="D150" s="223" t="s">
        <v>1605</v>
      </c>
      <c r="E150" s="223" t="s">
        <v>1597</v>
      </c>
      <c r="F150" s="223" t="s">
        <v>1627</v>
      </c>
      <c r="G150" s="223">
        <v>196.543782027296</v>
      </c>
    </row>
    <row r="151" spans="1:7">
      <c r="A151" s="223" t="s">
        <v>1604</v>
      </c>
      <c r="B151" s="223" t="s">
        <v>839</v>
      </c>
      <c r="C151" s="223" t="s">
        <v>1604</v>
      </c>
      <c r="D151" s="223" t="s">
        <v>1605</v>
      </c>
      <c r="E151" s="223" t="s">
        <v>1597</v>
      </c>
      <c r="F151" s="223" t="s">
        <v>1617</v>
      </c>
      <c r="G151" s="223">
        <v>6520.5709914203499</v>
      </c>
    </row>
    <row r="152" spans="1:7">
      <c r="A152" s="223" t="s">
        <v>1606</v>
      </c>
      <c r="B152" s="223" t="s">
        <v>839</v>
      </c>
      <c r="C152" s="223" t="s">
        <v>1606</v>
      </c>
      <c r="D152" s="223" t="s">
        <v>1605</v>
      </c>
      <c r="E152" s="223" t="s">
        <v>1597</v>
      </c>
      <c r="F152" s="223" t="s">
        <v>1617</v>
      </c>
      <c r="G152" s="223">
        <v>5221.55776590803</v>
      </c>
    </row>
    <row r="153" spans="1:7">
      <c r="A153" s="223" t="s">
        <v>1604</v>
      </c>
      <c r="B153" s="223" t="s">
        <v>851</v>
      </c>
      <c r="C153" s="223" t="s">
        <v>1604</v>
      </c>
      <c r="D153" s="223" t="s">
        <v>1605</v>
      </c>
      <c r="E153" s="223" t="s">
        <v>1597</v>
      </c>
      <c r="F153" s="223" t="s">
        <v>1617</v>
      </c>
      <c r="G153" s="223">
        <v>170.95142420202899</v>
      </c>
    </row>
    <row r="154" spans="1:7">
      <c r="A154" s="223" t="s">
        <v>1606</v>
      </c>
      <c r="B154" s="223" t="s">
        <v>851</v>
      </c>
      <c r="C154" s="223" t="s">
        <v>1606</v>
      </c>
      <c r="D154" s="223" t="s">
        <v>1605</v>
      </c>
      <c r="E154" s="223" t="s">
        <v>1597</v>
      </c>
      <c r="F154" s="223" t="s">
        <v>1617</v>
      </c>
      <c r="G154" s="223">
        <v>157.26916093406101</v>
      </c>
    </row>
    <row r="155" spans="1:7">
      <c r="A155" s="223" t="s">
        <v>1604</v>
      </c>
      <c r="B155" s="223" t="s">
        <v>856</v>
      </c>
      <c r="C155" s="223" t="s">
        <v>1604</v>
      </c>
      <c r="D155" s="223" t="s">
        <v>1605</v>
      </c>
      <c r="E155" s="223" t="s">
        <v>1597</v>
      </c>
      <c r="F155" s="223" t="s">
        <v>1617</v>
      </c>
      <c r="G155" s="223">
        <v>1278.2413451413399</v>
      </c>
    </row>
    <row r="156" spans="1:7">
      <c r="A156" s="223" t="s">
        <v>1606</v>
      </c>
      <c r="B156" s="223" t="s">
        <v>856</v>
      </c>
      <c r="C156" s="223" t="s">
        <v>1606</v>
      </c>
      <c r="D156" s="223" t="s">
        <v>1605</v>
      </c>
      <c r="E156" s="223" t="s">
        <v>1597</v>
      </c>
      <c r="F156" s="223" t="s">
        <v>1617</v>
      </c>
      <c r="G156" s="223">
        <v>639.12067257067201</v>
      </c>
    </row>
    <row r="157" spans="1:7">
      <c r="A157" s="223" t="s">
        <v>1604</v>
      </c>
      <c r="B157" s="223" t="s">
        <v>857</v>
      </c>
      <c r="C157" s="223" t="s">
        <v>1604</v>
      </c>
      <c r="D157" s="223" t="s">
        <v>1605</v>
      </c>
      <c r="E157" s="223" t="s">
        <v>1597</v>
      </c>
      <c r="F157" s="223" t="s">
        <v>1617</v>
      </c>
      <c r="G157" s="223">
        <v>174.69689763292899</v>
      </c>
    </row>
    <row r="158" spans="1:7">
      <c r="A158" s="223" t="s">
        <v>1606</v>
      </c>
      <c r="B158" s="223" t="s">
        <v>857</v>
      </c>
      <c r="C158" s="223" t="s">
        <v>1606</v>
      </c>
      <c r="D158" s="223" t="s">
        <v>1605</v>
      </c>
      <c r="E158" s="223" t="s">
        <v>1597</v>
      </c>
      <c r="F158" s="223" t="s">
        <v>1617</v>
      </c>
      <c r="G158" s="223">
        <v>139.75751810634301</v>
      </c>
    </row>
    <row r="159" spans="1:7">
      <c r="A159" s="223" t="s">
        <v>1604</v>
      </c>
      <c r="B159" s="223" t="s">
        <v>860</v>
      </c>
      <c r="C159" s="223" t="s">
        <v>1604</v>
      </c>
      <c r="D159" s="223" t="s">
        <v>1605</v>
      </c>
      <c r="E159" s="223" t="s">
        <v>1597</v>
      </c>
      <c r="F159" s="223" t="s">
        <v>1617</v>
      </c>
      <c r="G159" s="223">
        <v>1900.60934684022</v>
      </c>
    </row>
    <row r="160" spans="1:7">
      <c r="A160" s="223" t="s">
        <v>1606</v>
      </c>
      <c r="B160" s="223" t="s">
        <v>860</v>
      </c>
      <c r="C160" s="223" t="s">
        <v>1606</v>
      </c>
      <c r="D160" s="223" t="s">
        <v>1605</v>
      </c>
      <c r="E160" s="223" t="s">
        <v>1597</v>
      </c>
      <c r="F160" s="223" t="s">
        <v>1617</v>
      </c>
      <c r="G160" s="223">
        <v>1788.8087970260899</v>
      </c>
    </row>
    <row r="161" spans="1:7">
      <c r="A161" s="223" t="s">
        <v>1604</v>
      </c>
      <c r="B161" s="223" t="s">
        <v>861</v>
      </c>
      <c r="C161" s="223" t="s">
        <v>1604</v>
      </c>
      <c r="D161" s="223" t="s">
        <v>1605</v>
      </c>
      <c r="E161" s="223" t="s">
        <v>1597</v>
      </c>
      <c r="F161" s="223" t="s">
        <v>1617</v>
      </c>
      <c r="G161" s="223">
        <v>554.90963700116299</v>
      </c>
    </row>
    <row r="162" spans="1:7">
      <c r="A162" s="223" t="s">
        <v>1606</v>
      </c>
      <c r="B162" s="223" t="s">
        <v>861</v>
      </c>
      <c r="C162" s="223" t="s">
        <v>1606</v>
      </c>
      <c r="D162" s="223" t="s">
        <v>1605</v>
      </c>
      <c r="E162" s="223" t="s">
        <v>1597</v>
      </c>
      <c r="F162" s="223" t="s">
        <v>1617</v>
      </c>
      <c r="G162" s="223">
        <v>634.18244228704305</v>
      </c>
    </row>
    <row r="163" spans="1:7">
      <c r="A163" s="223" t="s">
        <v>1604</v>
      </c>
      <c r="B163" s="223" t="s">
        <v>849</v>
      </c>
      <c r="C163" s="223" t="s">
        <v>1604</v>
      </c>
      <c r="D163" s="223" t="s">
        <v>1605</v>
      </c>
      <c r="E163" s="223" t="s">
        <v>1597</v>
      </c>
      <c r="F163" s="223" t="s">
        <v>1618</v>
      </c>
      <c r="G163" s="223">
        <v>214.86012715061099</v>
      </c>
    </row>
    <row r="164" spans="1:7">
      <c r="A164" s="223" t="s">
        <v>1604</v>
      </c>
      <c r="B164" s="223" t="s">
        <v>852</v>
      </c>
      <c r="C164" s="223" t="s">
        <v>1604</v>
      </c>
      <c r="D164" s="223" t="s">
        <v>1605</v>
      </c>
      <c r="E164" s="223" t="s">
        <v>1597</v>
      </c>
      <c r="F164" s="223" t="s">
        <v>1618</v>
      </c>
      <c r="G164" s="223">
        <v>633.63532266849302</v>
      </c>
    </row>
    <row r="165" spans="1:7">
      <c r="A165" s="223" t="s">
        <v>1604</v>
      </c>
      <c r="B165" s="223" t="s">
        <v>854</v>
      </c>
      <c r="C165" s="223" t="s">
        <v>1604</v>
      </c>
      <c r="D165" s="223" t="s">
        <v>1605</v>
      </c>
      <c r="E165" s="223" t="s">
        <v>1597</v>
      </c>
      <c r="F165" s="223" t="s">
        <v>1618</v>
      </c>
      <c r="G165" s="223">
        <v>239.237356661284</v>
      </c>
    </row>
    <row r="166" spans="1:7">
      <c r="A166" s="223" t="s">
        <v>1604</v>
      </c>
      <c r="B166" s="223" t="s">
        <v>856</v>
      </c>
      <c r="C166" s="223" t="s">
        <v>1604</v>
      </c>
      <c r="D166" s="223" t="s">
        <v>1605</v>
      </c>
      <c r="E166" s="223" t="s">
        <v>1597</v>
      </c>
      <c r="F166" s="223" t="s">
        <v>1618</v>
      </c>
      <c r="G166" s="223">
        <v>1342.15341239841</v>
      </c>
    </row>
    <row r="167" spans="1:7">
      <c r="A167" s="223" t="s">
        <v>1604</v>
      </c>
      <c r="B167" s="223" t="s">
        <v>857</v>
      </c>
      <c r="C167" s="223" t="s">
        <v>1604</v>
      </c>
      <c r="D167" s="223" t="s">
        <v>1605</v>
      </c>
      <c r="E167" s="223" t="s">
        <v>1597</v>
      </c>
      <c r="F167" s="223" t="s">
        <v>1618</v>
      </c>
      <c r="G167" s="223">
        <v>1327.69642201026</v>
      </c>
    </row>
    <row r="168" spans="1:7">
      <c r="A168" s="223" t="s">
        <v>1604</v>
      </c>
      <c r="B168" s="223" t="s">
        <v>858</v>
      </c>
      <c r="C168" s="223" t="s">
        <v>1604</v>
      </c>
      <c r="D168" s="223" t="s">
        <v>1605</v>
      </c>
      <c r="E168" s="223" t="s">
        <v>1597</v>
      </c>
      <c r="F168" s="223" t="s">
        <v>1618</v>
      </c>
      <c r="G168" s="223">
        <v>1326.8732244542</v>
      </c>
    </row>
    <row r="169" spans="1:7">
      <c r="A169" s="223" t="s">
        <v>1604</v>
      </c>
      <c r="B169" s="223" t="s">
        <v>859</v>
      </c>
      <c r="C169" s="223" t="s">
        <v>1604</v>
      </c>
      <c r="D169" s="223" t="s">
        <v>1605</v>
      </c>
      <c r="E169" s="223" t="s">
        <v>1597</v>
      </c>
      <c r="F169" s="223" t="s">
        <v>1618</v>
      </c>
      <c r="G169" s="223">
        <v>1819.21546949503</v>
      </c>
    </row>
    <row r="170" spans="1:7">
      <c r="A170" s="223" t="s">
        <v>1604</v>
      </c>
      <c r="B170" s="223" t="s">
        <v>862</v>
      </c>
      <c r="C170" s="223" t="s">
        <v>1604</v>
      </c>
      <c r="D170" s="223" t="s">
        <v>1605</v>
      </c>
      <c r="E170" s="223" t="s">
        <v>1597</v>
      </c>
      <c r="F170" s="223" t="s">
        <v>1618</v>
      </c>
      <c r="G170" s="223">
        <v>304.64286214230901</v>
      </c>
    </row>
    <row r="171" spans="1:7">
      <c r="A171" s="223" t="s">
        <v>1604</v>
      </c>
      <c r="B171" s="223" t="s">
        <v>863</v>
      </c>
      <c r="C171" s="223" t="s">
        <v>1604</v>
      </c>
      <c r="D171" s="223" t="s">
        <v>1605</v>
      </c>
      <c r="E171" s="223" t="s">
        <v>1597</v>
      </c>
      <c r="F171" s="223" t="s">
        <v>1618</v>
      </c>
      <c r="G171" s="223">
        <v>593.38376543047002</v>
      </c>
    </row>
    <row r="172" spans="1:7">
      <c r="A172" s="223" t="s">
        <v>1604</v>
      </c>
      <c r="B172" s="223" t="s">
        <v>849</v>
      </c>
      <c r="C172" s="223" t="s">
        <v>1604</v>
      </c>
      <c r="D172" s="223" t="s">
        <v>1605</v>
      </c>
      <c r="E172" s="223" t="s">
        <v>1597</v>
      </c>
      <c r="F172" s="223" t="s">
        <v>1619</v>
      </c>
      <c r="G172" s="223">
        <v>286.48016953414799</v>
      </c>
    </row>
    <row r="173" spans="1:7">
      <c r="A173" s="223" t="s">
        <v>1606</v>
      </c>
      <c r="B173" s="223" t="s">
        <v>849</v>
      </c>
      <c r="C173" s="223" t="s">
        <v>1606</v>
      </c>
      <c r="D173" s="223" t="s">
        <v>1605</v>
      </c>
      <c r="E173" s="223" t="s">
        <v>1597</v>
      </c>
      <c r="F173" s="223" t="s">
        <v>1619</v>
      </c>
      <c r="G173" s="223">
        <v>133.008650140854</v>
      </c>
    </row>
    <row r="174" spans="1:7">
      <c r="A174" s="223" t="s">
        <v>1604</v>
      </c>
      <c r="B174" s="223" t="s">
        <v>852</v>
      </c>
      <c r="C174" s="223" t="s">
        <v>1604</v>
      </c>
      <c r="D174" s="223" t="s">
        <v>1605</v>
      </c>
      <c r="E174" s="223" t="s">
        <v>1597</v>
      </c>
      <c r="F174" s="223" t="s">
        <v>1619</v>
      </c>
      <c r="G174" s="223">
        <v>2295.8994159027202</v>
      </c>
    </row>
    <row r="175" spans="1:7">
      <c r="A175" s="223" t="s">
        <v>1604</v>
      </c>
      <c r="B175" s="223" t="s">
        <v>854</v>
      </c>
      <c r="C175" s="223" t="s">
        <v>1604</v>
      </c>
      <c r="D175" s="223" t="s">
        <v>1605</v>
      </c>
      <c r="E175" s="223" t="s">
        <v>1597</v>
      </c>
      <c r="F175" s="223" t="s">
        <v>1619</v>
      </c>
      <c r="G175" s="223">
        <v>423.26609255457998</v>
      </c>
    </row>
    <row r="176" spans="1:7">
      <c r="A176" s="223" t="s">
        <v>1604</v>
      </c>
      <c r="B176" s="223" t="s">
        <v>856</v>
      </c>
      <c r="C176" s="223" t="s">
        <v>1604</v>
      </c>
      <c r="D176" s="223" t="s">
        <v>1605</v>
      </c>
      <c r="E176" s="223" t="s">
        <v>1597</v>
      </c>
      <c r="F176" s="223" t="s">
        <v>1619</v>
      </c>
      <c r="G176" s="223">
        <v>255.648269028269</v>
      </c>
    </row>
    <row r="177" spans="1:7">
      <c r="A177" s="223" t="s">
        <v>1604</v>
      </c>
      <c r="B177" s="223" t="s">
        <v>857</v>
      </c>
      <c r="C177" s="223" t="s">
        <v>1604</v>
      </c>
      <c r="D177" s="223" t="s">
        <v>1605</v>
      </c>
      <c r="E177" s="223" t="s">
        <v>1597</v>
      </c>
      <c r="F177" s="223" t="s">
        <v>1619</v>
      </c>
      <c r="G177" s="223">
        <v>978.30262674440598</v>
      </c>
    </row>
    <row r="178" spans="1:7">
      <c r="A178" s="223" t="s">
        <v>1604</v>
      </c>
      <c r="B178" s="223" t="s">
        <v>858</v>
      </c>
      <c r="C178" s="223" t="s">
        <v>1604</v>
      </c>
      <c r="D178" s="223" t="s">
        <v>1605</v>
      </c>
      <c r="E178" s="223" t="s">
        <v>1597</v>
      </c>
      <c r="F178" s="223" t="s">
        <v>1619</v>
      </c>
      <c r="G178" s="223">
        <v>3232.7456741247902</v>
      </c>
    </row>
    <row r="179" spans="1:7">
      <c r="A179" s="223" t="s">
        <v>1604</v>
      </c>
      <c r="B179" s="223" t="s">
        <v>859</v>
      </c>
      <c r="C179" s="223" t="s">
        <v>1604</v>
      </c>
      <c r="D179" s="223" t="s">
        <v>1605</v>
      </c>
      <c r="E179" s="223" t="s">
        <v>1597</v>
      </c>
      <c r="F179" s="223" t="s">
        <v>1619</v>
      </c>
      <c r="G179" s="223">
        <v>3212.0523133271599</v>
      </c>
    </row>
    <row r="180" spans="1:7">
      <c r="A180" s="223" t="s">
        <v>1604</v>
      </c>
      <c r="B180" s="223" t="s">
        <v>862</v>
      </c>
      <c r="C180" s="223" t="s">
        <v>1604</v>
      </c>
      <c r="D180" s="223" t="s">
        <v>1605</v>
      </c>
      <c r="E180" s="223" t="s">
        <v>1597</v>
      </c>
      <c r="F180" s="223" t="s">
        <v>1619</v>
      </c>
      <c r="G180" s="223">
        <v>713.86868527510899</v>
      </c>
    </row>
    <row r="181" spans="1:7">
      <c r="A181" s="223" t="s">
        <v>1606</v>
      </c>
      <c r="B181" s="223" t="s">
        <v>862</v>
      </c>
      <c r="C181" s="223" t="s">
        <v>1606</v>
      </c>
      <c r="D181" s="223" t="s">
        <v>1605</v>
      </c>
      <c r="E181" s="223" t="s">
        <v>1597</v>
      </c>
      <c r="F181" s="223" t="s">
        <v>1619</v>
      </c>
      <c r="G181" s="223">
        <v>192.8649737872</v>
      </c>
    </row>
    <row r="182" spans="1:7">
      <c r="A182" s="223" t="s">
        <v>1604</v>
      </c>
      <c r="B182" s="223" t="s">
        <v>863</v>
      </c>
      <c r="C182" s="223" t="s">
        <v>1604</v>
      </c>
      <c r="D182" s="223" t="s">
        <v>1605</v>
      </c>
      <c r="E182" s="223" t="s">
        <v>1597</v>
      </c>
      <c r="F182" s="223" t="s">
        <v>1619</v>
      </c>
      <c r="G182" s="223">
        <v>1631.8053549337901</v>
      </c>
    </row>
    <row r="183" spans="1:7">
      <c r="A183" s="223" t="s">
        <v>1606</v>
      </c>
      <c r="B183" s="223" t="s">
        <v>849</v>
      </c>
      <c r="C183" s="223" t="s">
        <v>1606</v>
      </c>
      <c r="D183" s="223" t="s">
        <v>1605</v>
      </c>
      <c r="E183" s="223" t="s">
        <v>1597</v>
      </c>
      <c r="F183" s="223" t="s">
        <v>1628</v>
      </c>
      <c r="G183" s="223">
        <v>880.30342694876902</v>
      </c>
    </row>
    <row r="184" spans="1:7">
      <c r="A184" s="223" t="s">
        <v>1606</v>
      </c>
      <c r="B184" s="223" t="s">
        <v>852</v>
      </c>
      <c r="C184" s="223" t="s">
        <v>1606</v>
      </c>
      <c r="D184" s="223" t="s">
        <v>1605</v>
      </c>
      <c r="E184" s="223" t="s">
        <v>1597</v>
      </c>
      <c r="F184" s="223" t="s">
        <v>1628</v>
      </c>
      <c r="G184" s="223">
        <v>2230.0671745865102</v>
      </c>
    </row>
    <row r="185" spans="1:7">
      <c r="A185" s="223" t="s">
        <v>1606</v>
      </c>
      <c r="B185" s="223" t="s">
        <v>854</v>
      </c>
      <c r="C185" s="223" t="s">
        <v>1606</v>
      </c>
      <c r="D185" s="223" t="s">
        <v>1605</v>
      </c>
      <c r="E185" s="223" t="s">
        <v>1597</v>
      </c>
      <c r="F185" s="223" t="s">
        <v>1628</v>
      </c>
      <c r="G185" s="223">
        <v>374.19176298303398</v>
      </c>
    </row>
    <row r="186" spans="1:7">
      <c r="A186" s="223" t="s">
        <v>1606</v>
      </c>
      <c r="B186" s="223" t="s">
        <v>855</v>
      </c>
      <c r="C186" s="223" t="s">
        <v>1606</v>
      </c>
      <c r="D186" s="223" t="s">
        <v>1605</v>
      </c>
      <c r="E186" s="223" t="s">
        <v>1597</v>
      </c>
      <c r="F186" s="223" t="s">
        <v>1628</v>
      </c>
      <c r="G186" s="223">
        <v>116.57729018453</v>
      </c>
    </row>
    <row r="187" spans="1:7">
      <c r="A187" s="223" t="s">
        <v>1606</v>
      </c>
      <c r="B187" s="223" t="s">
        <v>856</v>
      </c>
      <c r="C187" s="223" t="s">
        <v>1606</v>
      </c>
      <c r="D187" s="223" t="s">
        <v>1605</v>
      </c>
      <c r="E187" s="223" t="s">
        <v>1597</v>
      </c>
      <c r="F187" s="223" t="s">
        <v>1628</v>
      </c>
      <c r="G187" s="223">
        <v>575.20860531360495</v>
      </c>
    </row>
    <row r="188" spans="1:7">
      <c r="A188" s="223" t="s">
        <v>1606</v>
      </c>
      <c r="B188" s="223" t="s">
        <v>857</v>
      </c>
      <c r="C188" s="223" t="s">
        <v>1606</v>
      </c>
      <c r="D188" s="223" t="s">
        <v>1605</v>
      </c>
      <c r="E188" s="223" t="s">
        <v>1597</v>
      </c>
      <c r="F188" s="223" t="s">
        <v>1628</v>
      </c>
      <c r="G188" s="223">
        <v>908.42386769123402</v>
      </c>
    </row>
    <row r="189" spans="1:7">
      <c r="A189" s="223" t="s">
        <v>1606</v>
      </c>
      <c r="B189" s="223" t="s">
        <v>858</v>
      </c>
      <c r="C189" s="223" t="s">
        <v>1606</v>
      </c>
      <c r="D189" s="223" t="s">
        <v>1605</v>
      </c>
      <c r="E189" s="223" t="s">
        <v>1597</v>
      </c>
      <c r="F189" s="223" t="s">
        <v>1628</v>
      </c>
      <c r="G189" s="223">
        <v>3827.8282111527301</v>
      </c>
    </row>
    <row r="190" spans="1:7">
      <c r="A190" s="223" t="s">
        <v>1606</v>
      </c>
      <c r="B190" s="223" t="s">
        <v>859</v>
      </c>
      <c r="C190" s="223" t="s">
        <v>1606</v>
      </c>
      <c r="D190" s="223" t="s">
        <v>1605</v>
      </c>
      <c r="E190" s="223" t="s">
        <v>1597</v>
      </c>
      <c r="F190" s="223" t="s">
        <v>1628</v>
      </c>
      <c r="G190" s="223">
        <v>3780.5571475443599</v>
      </c>
    </row>
    <row r="191" spans="1:7">
      <c r="A191" s="223" t="s">
        <v>1606</v>
      </c>
      <c r="B191" s="223" t="s">
        <v>862</v>
      </c>
      <c r="C191" s="223" t="s">
        <v>1606</v>
      </c>
      <c r="D191" s="223" t="s">
        <v>1605</v>
      </c>
      <c r="E191" s="223" t="s">
        <v>1597</v>
      </c>
      <c r="F191" s="223" t="s">
        <v>1628</v>
      </c>
      <c r="G191" s="223">
        <v>1104.6239134043301</v>
      </c>
    </row>
    <row r="192" spans="1:7">
      <c r="A192" s="223" t="s">
        <v>1606</v>
      </c>
      <c r="B192" s="223" t="s">
        <v>863</v>
      </c>
      <c r="C192" s="223" t="s">
        <v>1606</v>
      </c>
      <c r="D192" s="223" t="s">
        <v>1605</v>
      </c>
      <c r="E192" s="223" t="s">
        <v>1597</v>
      </c>
      <c r="F192" s="223" t="s">
        <v>1628</v>
      </c>
      <c r="G192" s="223">
        <v>1483.4594135761699</v>
      </c>
    </row>
    <row r="193" spans="1:7">
      <c r="A193" s="223" t="s">
        <v>1604</v>
      </c>
      <c r="B193" s="223" t="s">
        <v>849</v>
      </c>
      <c r="C193" s="223" t="s">
        <v>1604</v>
      </c>
      <c r="D193" s="223" t="s">
        <v>1605</v>
      </c>
      <c r="E193" s="223" t="s">
        <v>1597</v>
      </c>
      <c r="F193" s="223" t="s">
        <v>1620</v>
      </c>
      <c r="G193" s="223">
        <v>859.44050860244499</v>
      </c>
    </row>
    <row r="194" spans="1:7">
      <c r="A194" s="223" t="s">
        <v>1606</v>
      </c>
      <c r="B194" s="223" t="s">
        <v>849</v>
      </c>
      <c r="C194" s="223" t="s">
        <v>1606</v>
      </c>
      <c r="D194" s="223" t="s">
        <v>1605</v>
      </c>
      <c r="E194" s="223" t="s">
        <v>1597</v>
      </c>
      <c r="F194" s="223" t="s">
        <v>1620</v>
      </c>
      <c r="G194" s="223">
        <v>245.153870363653</v>
      </c>
    </row>
    <row r="195" spans="1:7">
      <c r="A195" s="223" t="s">
        <v>1604</v>
      </c>
      <c r="B195" s="223" t="s">
        <v>852</v>
      </c>
      <c r="C195" s="223" t="s">
        <v>1604</v>
      </c>
      <c r="D195" s="223" t="s">
        <v>1605</v>
      </c>
      <c r="E195" s="223" t="s">
        <v>1597</v>
      </c>
      <c r="F195" s="223" t="s">
        <v>1620</v>
      </c>
      <c r="G195" s="223">
        <v>872.27719743974399</v>
      </c>
    </row>
    <row r="196" spans="1:7">
      <c r="A196" s="223" t="s">
        <v>1604</v>
      </c>
      <c r="B196" s="223" t="s">
        <v>854</v>
      </c>
      <c r="C196" s="223" t="s">
        <v>1604</v>
      </c>
      <c r="D196" s="223" t="s">
        <v>1605</v>
      </c>
      <c r="E196" s="223" t="s">
        <v>1597</v>
      </c>
      <c r="F196" s="223" t="s">
        <v>1620</v>
      </c>
      <c r="G196" s="223">
        <v>184.02873589329499</v>
      </c>
    </row>
    <row r="197" spans="1:7">
      <c r="A197" s="223" t="s">
        <v>1604</v>
      </c>
      <c r="B197" s="223" t="s">
        <v>855</v>
      </c>
      <c r="C197" s="223" t="s">
        <v>1604</v>
      </c>
      <c r="D197" s="223" t="s">
        <v>1605</v>
      </c>
      <c r="E197" s="223" t="s">
        <v>1597</v>
      </c>
      <c r="F197" s="223" t="s">
        <v>1620</v>
      </c>
      <c r="G197" s="223">
        <v>116.57729018453</v>
      </c>
    </row>
    <row r="198" spans="1:7">
      <c r="A198" s="223" t="s">
        <v>1604</v>
      </c>
      <c r="B198" s="223" t="s">
        <v>856</v>
      </c>
      <c r="C198" s="223" t="s">
        <v>1604</v>
      </c>
      <c r="D198" s="223" t="s">
        <v>1605</v>
      </c>
      <c r="E198" s="223" t="s">
        <v>1597</v>
      </c>
      <c r="F198" s="223" t="s">
        <v>1620</v>
      </c>
      <c r="G198" s="223">
        <v>159.780168142668</v>
      </c>
    </row>
    <row r="199" spans="1:7">
      <c r="A199" s="223" t="s">
        <v>1604</v>
      </c>
      <c r="B199" s="223" t="s">
        <v>857</v>
      </c>
      <c r="C199" s="223" t="s">
        <v>1604</v>
      </c>
      <c r="D199" s="223" t="s">
        <v>1605</v>
      </c>
      <c r="E199" s="223" t="s">
        <v>1597</v>
      </c>
      <c r="F199" s="223" t="s">
        <v>1620</v>
      </c>
      <c r="G199" s="223">
        <v>489.15131337220299</v>
      </c>
    </row>
    <row r="200" spans="1:7">
      <c r="A200" s="223" t="s">
        <v>1604</v>
      </c>
      <c r="B200" s="223" t="s">
        <v>858</v>
      </c>
      <c r="C200" s="223" t="s">
        <v>1604</v>
      </c>
      <c r="D200" s="223" t="s">
        <v>1605</v>
      </c>
      <c r="E200" s="223" t="s">
        <v>1597</v>
      </c>
      <c r="F200" s="223" t="s">
        <v>1620</v>
      </c>
      <c r="G200" s="223">
        <v>1274.60246106661</v>
      </c>
    </row>
    <row r="201" spans="1:7">
      <c r="A201" s="223" t="s">
        <v>1604</v>
      </c>
      <c r="B201" s="223" t="s">
        <v>859</v>
      </c>
      <c r="C201" s="223" t="s">
        <v>1604</v>
      </c>
      <c r="D201" s="223" t="s">
        <v>1605</v>
      </c>
      <c r="E201" s="223" t="s">
        <v>1597</v>
      </c>
      <c r="F201" s="223" t="s">
        <v>1620</v>
      </c>
      <c r="G201" s="223">
        <v>1051.7339433018101</v>
      </c>
    </row>
    <row r="202" spans="1:7">
      <c r="A202" s="223" t="s">
        <v>1604</v>
      </c>
      <c r="B202" s="223" t="s">
        <v>862</v>
      </c>
      <c r="C202" s="223" t="s">
        <v>1604</v>
      </c>
      <c r="D202" s="223" t="s">
        <v>1605</v>
      </c>
      <c r="E202" s="223" t="s">
        <v>1597</v>
      </c>
      <c r="F202" s="223" t="s">
        <v>1620</v>
      </c>
      <c r="G202" s="223">
        <v>421.17170506847299</v>
      </c>
    </row>
    <row r="203" spans="1:7">
      <c r="A203" s="223" t="s">
        <v>1568</v>
      </c>
      <c r="B203" s="223" t="s">
        <v>875</v>
      </c>
      <c r="C203" s="223" t="s">
        <v>1568</v>
      </c>
      <c r="D203" s="223" t="s">
        <v>1569</v>
      </c>
      <c r="E203" s="223" t="s">
        <v>1543</v>
      </c>
      <c r="F203" s="223" t="s">
        <v>1621</v>
      </c>
      <c r="G203" s="223">
        <v>456.26792214238998</v>
      </c>
    </row>
    <row r="204" spans="1:7">
      <c r="A204" s="223" t="s">
        <v>1570</v>
      </c>
      <c r="B204" s="223" t="s">
        <v>875</v>
      </c>
      <c r="C204" s="223" t="s">
        <v>1570</v>
      </c>
      <c r="D204" s="223" t="s">
        <v>1569</v>
      </c>
      <c r="E204" s="223" t="s">
        <v>1543</v>
      </c>
      <c r="F204" s="223" t="s">
        <v>1621</v>
      </c>
      <c r="G204" s="223">
        <v>109.107499161224</v>
      </c>
    </row>
    <row r="205" spans="1:7">
      <c r="A205" s="223" t="s">
        <v>1568</v>
      </c>
      <c r="B205" s="223" t="s">
        <v>908</v>
      </c>
      <c r="C205" s="223" t="s">
        <v>1568</v>
      </c>
      <c r="D205" s="223" t="s">
        <v>1569</v>
      </c>
      <c r="E205" s="223" t="s">
        <v>1543</v>
      </c>
      <c r="F205" s="223" t="s">
        <v>1621</v>
      </c>
      <c r="G205" s="223">
        <v>9611.3670163535098</v>
      </c>
    </row>
    <row r="206" spans="1:7">
      <c r="A206" s="223" t="s">
        <v>1568</v>
      </c>
      <c r="B206" s="223" t="s">
        <v>918</v>
      </c>
      <c r="C206" s="223" t="s">
        <v>1568</v>
      </c>
      <c r="D206" s="223" t="s">
        <v>1569</v>
      </c>
      <c r="E206" s="223" t="s">
        <v>1543</v>
      </c>
      <c r="F206" s="223" t="s">
        <v>1622</v>
      </c>
      <c r="G206" s="223">
        <v>123.103126064672</v>
      </c>
    </row>
    <row r="207" spans="1:7">
      <c r="A207" s="223" t="s">
        <v>1568</v>
      </c>
      <c r="B207" s="223" t="s">
        <v>875</v>
      </c>
      <c r="C207" s="223" t="s">
        <v>1568</v>
      </c>
      <c r="D207" s="223" t="s">
        <v>1569</v>
      </c>
      <c r="E207" s="223" t="s">
        <v>1543</v>
      </c>
      <c r="F207" s="223" t="s">
        <v>1622</v>
      </c>
      <c r="G207" s="223">
        <v>4889.9997351348602</v>
      </c>
    </row>
    <row r="208" spans="1:7">
      <c r="A208" s="223" t="s">
        <v>1570</v>
      </c>
      <c r="B208" s="223" t="s">
        <v>875</v>
      </c>
      <c r="C208" s="223" t="s">
        <v>1570</v>
      </c>
      <c r="D208" s="223" t="s">
        <v>1569</v>
      </c>
      <c r="E208" s="223" t="s">
        <v>1543</v>
      </c>
      <c r="F208" s="223" t="s">
        <v>1622</v>
      </c>
      <c r="G208" s="223">
        <v>654.64499496734402</v>
      </c>
    </row>
    <row r="209" spans="1:7">
      <c r="A209" s="223" t="s">
        <v>1571</v>
      </c>
      <c r="B209" s="223" t="s">
        <v>875</v>
      </c>
      <c r="C209" s="223" t="s">
        <v>1571</v>
      </c>
      <c r="D209" s="223" t="s">
        <v>1569</v>
      </c>
      <c r="E209" s="223" t="s">
        <v>1543</v>
      </c>
      <c r="F209" s="223" t="s">
        <v>1622</v>
      </c>
      <c r="G209" s="223">
        <v>575.29408648645403</v>
      </c>
    </row>
    <row r="210" spans="1:7">
      <c r="A210" s="223" t="s">
        <v>1570</v>
      </c>
      <c r="B210" s="223" t="s">
        <v>908</v>
      </c>
      <c r="C210" s="223" t="s">
        <v>1570</v>
      </c>
      <c r="D210" s="223" t="s">
        <v>1569</v>
      </c>
      <c r="E210" s="223" t="s">
        <v>1543</v>
      </c>
      <c r="F210" s="223" t="s">
        <v>1622</v>
      </c>
      <c r="G210" s="223">
        <v>1810.8372639506599</v>
      </c>
    </row>
    <row r="211" spans="1:7">
      <c r="A211" s="223" t="s">
        <v>1570</v>
      </c>
      <c r="B211" s="223" t="s">
        <v>849</v>
      </c>
      <c r="C211" s="223" t="s">
        <v>1570</v>
      </c>
      <c r="D211" s="223" t="s">
        <v>1569</v>
      </c>
      <c r="E211" s="223" t="s">
        <v>1543</v>
      </c>
      <c r="F211" s="223" t="s">
        <v>1629</v>
      </c>
      <c r="G211" s="223">
        <v>1575.6409324378101</v>
      </c>
    </row>
    <row r="212" spans="1:7">
      <c r="A212" s="223" t="s">
        <v>1570</v>
      </c>
      <c r="B212" s="223" t="s">
        <v>852</v>
      </c>
      <c r="C212" s="223" t="s">
        <v>1570</v>
      </c>
      <c r="D212" s="223" t="s">
        <v>1569</v>
      </c>
      <c r="E212" s="223" t="s">
        <v>1543</v>
      </c>
      <c r="F212" s="223" t="s">
        <v>1629</v>
      </c>
      <c r="G212" s="223">
        <v>1670.49312339875</v>
      </c>
    </row>
    <row r="213" spans="1:7">
      <c r="A213" s="223" t="s">
        <v>1568</v>
      </c>
      <c r="B213" s="223" t="s">
        <v>849</v>
      </c>
      <c r="C213" s="223" t="s">
        <v>1568</v>
      </c>
      <c r="D213" s="223" t="s">
        <v>1569</v>
      </c>
      <c r="E213" s="223" t="s">
        <v>1543</v>
      </c>
      <c r="F213" s="223" t="s">
        <v>1623</v>
      </c>
      <c r="G213" s="223">
        <v>8297.6934818640802</v>
      </c>
    </row>
    <row r="214" spans="1:7">
      <c r="A214" s="223" t="s">
        <v>1571</v>
      </c>
      <c r="B214" s="223" t="s">
        <v>849</v>
      </c>
      <c r="C214" s="223" t="s">
        <v>1571</v>
      </c>
      <c r="D214" s="223" t="s">
        <v>1569</v>
      </c>
      <c r="E214" s="223" t="s">
        <v>1543</v>
      </c>
      <c r="F214" s="223" t="s">
        <v>1623</v>
      </c>
      <c r="G214" s="223">
        <v>1145.9206781365899</v>
      </c>
    </row>
    <row r="215" spans="1:7">
      <c r="A215" s="223" t="s">
        <v>1568</v>
      </c>
      <c r="B215" s="223" t="s">
        <v>852</v>
      </c>
      <c r="C215" s="223" t="s">
        <v>1568</v>
      </c>
      <c r="D215" s="223" t="s">
        <v>1569</v>
      </c>
      <c r="E215" s="223" t="s">
        <v>1543</v>
      </c>
      <c r="F215" s="223" t="s">
        <v>1623</v>
      </c>
      <c r="G215" s="223">
        <v>10607.219882073799</v>
      </c>
    </row>
    <row r="216" spans="1:7">
      <c r="A216" s="223" t="s">
        <v>1571</v>
      </c>
      <c r="B216" s="223" t="s">
        <v>852</v>
      </c>
      <c r="C216" s="223" t="s">
        <v>1571</v>
      </c>
      <c r="D216" s="223" t="s">
        <v>1569</v>
      </c>
      <c r="E216" s="223" t="s">
        <v>1543</v>
      </c>
      <c r="F216" s="223" t="s">
        <v>1623</v>
      </c>
      <c r="G216" s="223">
        <v>831.13204661711404</v>
      </c>
    </row>
    <row r="217" spans="1:7">
      <c r="A217" s="223" t="s">
        <v>1568</v>
      </c>
      <c r="B217" s="223" t="s">
        <v>917</v>
      </c>
      <c r="C217" s="223" t="s">
        <v>1568</v>
      </c>
      <c r="D217" s="223" t="s">
        <v>1569</v>
      </c>
      <c r="E217" s="223" t="s">
        <v>1543</v>
      </c>
      <c r="F217" s="223" t="s">
        <v>1630</v>
      </c>
      <c r="G217" s="223">
        <v>871.28252287314001</v>
      </c>
    </row>
    <row r="218" spans="1:7">
      <c r="A218" s="223" t="s">
        <v>1568</v>
      </c>
      <c r="B218" s="223" t="s">
        <v>917</v>
      </c>
      <c r="C218" s="223" t="s">
        <v>1568</v>
      </c>
      <c r="D218" s="223" t="s">
        <v>1569</v>
      </c>
      <c r="E218" s="223" t="s">
        <v>1543</v>
      </c>
      <c r="F218" s="223" t="s">
        <v>1631</v>
      </c>
      <c r="G218" s="223">
        <v>871.28252287314001</v>
      </c>
    </row>
    <row r="219" spans="1:7">
      <c r="A219" s="223" t="s">
        <v>1568</v>
      </c>
      <c r="B219" s="223" t="s">
        <v>917</v>
      </c>
      <c r="C219" s="223" t="s">
        <v>1568</v>
      </c>
      <c r="D219" s="223" t="s">
        <v>1569</v>
      </c>
      <c r="E219" s="223" t="s">
        <v>1543</v>
      </c>
      <c r="F219" s="223" t="s">
        <v>1632</v>
      </c>
      <c r="G219" s="223">
        <v>697.02601829851199</v>
      </c>
    </row>
    <row r="220" spans="1:7">
      <c r="A220" s="223" t="s">
        <v>1568</v>
      </c>
      <c r="B220" s="223" t="s">
        <v>917</v>
      </c>
      <c r="C220" s="223" t="s">
        <v>1568</v>
      </c>
      <c r="D220" s="223" t="s">
        <v>1569</v>
      </c>
      <c r="E220" s="223" t="s">
        <v>1543</v>
      </c>
      <c r="F220" s="223" t="s">
        <v>1633</v>
      </c>
      <c r="G220" s="223">
        <v>697.02601829851199</v>
      </c>
    </row>
    <row r="221" spans="1:7">
      <c r="A221" s="223" t="s">
        <v>1568</v>
      </c>
      <c r="B221" s="223" t="s">
        <v>917</v>
      </c>
      <c r="C221" s="223" t="s">
        <v>1568</v>
      </c>
      <c r="D221" s="223" t="s">
        <v>1569</v>
      </c>
      <c r="E221" s="223" t="s">
        <v>1543</v>
      </c>
      <c r="F221" s="223" t="s">
        <v>1634</v>
      </c>
      <c r="G221" s="223">
        <v>697.02601829851199</v>
      </c>
    </row>
    <row r="222" spans="1:7">
      <c r="A222" s="223" t="s">
        <v>1568</v>
      </c>
      <c r="B222" s="223" t="s">
        <v>917</v>
      </c>
      <c r="C222" s="223" t="s">
        <v>1568</v>
      </c>
      <c r="D222" s="223" t="s">
        <v>1569</v>
      </c>
      <c r="E222" s="223" t="s">
        <v>1543</v>
      </c>
      <c r="F222" s="223" t="s">
        <v>1635</v>
      </c>
      <c r="G222" s="223">
        <v>697.02601829851199</v>
      </c>
    </row>
    <row r="223" spans="1:7">
      <c r="A223" s="223" t="s">
        <v>1568</v>
      </c>
      <c r="B223" s="223" t="s">
        <v>917</v>
      </c>
      <c r="C223" s="223" t="s">
        <v>1568</v>
      </c>
      <c r="D223" s="223" t="s">
        <v>1569</v>
      </c>
      <c r="E223" s="223" t="s">
        <v>1543</v>
      </c>
      <c r="F223" s="223" t="s">
        <v>1636</v>
      </c>
      <c r="G223" s="223">
        <v>697.02601829851199</v>
      </c>
    </row>
    <row r="224" spans="1:7">
      <c r="A224" s="223" t="s">
        <v>1568</v>
      </c>
      <c r="B224" s="223" t="s">
        <v>917</v>
      </c>
      <c r="C224" s="223" t="s">
        <v>1568</v>
      </c>
      <c r="D224" s="223" t="s">
        <v>1569</v>
      </c>
      <c r="E224" s="223" t="s">
        <v>1543</v>
      </c>
      <c r="F224" s="223" t="s">
        <v>1637</v>
      </c>
      <c r="G224" s="223">
        <v>697.02601829851199</v>
      </c>
    </row>
    <row r="225" spans="1:7">
      <c r="A225" s="223" t="s">
        <v>1568</v>
      </c>
      <c r="B225" s="223" t="s">
        <v>917</v>
      </c>
      <c r="C225" s="223" t="s">
        <v>1568</v>
      </c>
      <c r="D225" s="223" t="s">
        <v>1569</v>
      </c>
      <c r="E225" s="223" t="s">
        <v>1543</v>
      </c>
      <c r="F225" s="223" t="s">
        <v>1638</v>
      </c>
      <c r="G225" s="223">
        <v>697.02601829851199</v>
      </c>
    </row>
    <row r="226" spans="1:7">
      <c r="A226" s="223" t="s">
        <v>1554</v>
      </c>
      <c r="B226" s="223" t="s">
        <v>875</v>
      </c>
      <c r="C226" s="223" t="s">
        <v>1554</v>
      </c>
      <c r="D226" s="223" t="s">
        <v>1555</v>
      </c>
      <c r="E226" s="223" t="s">
        <v>1543</v>
      </c>
      <c r="F226" s="223" t="s">
        <v>1621</v>
      </c>
      <c r="G226" s="223">
        <v>327.32249748367201</v>
      </c>
    </row>
    <row r="227" spans="1:7">
      <c r="A227" s="223" t="s">
        <v>1556</v>
      </c>
      <c r="B227" s="223" t="s">
        <v>875</v>
      </c>
      <c r="C227" s="223" t="s">
        <v>1556</v>
      </c>
      <c r="D227" s="223" t="s">
        <v>1555</v>
      </c>
      <c r="E227" s="223" t="s">
        <v>1543</v>
      </c>
      <c r="F227" s="223" t="s">
        <v>1621</v>
      </c>
      <c r="G227" s="223">
        <v>208.29613476233601</v>
      </c>
    </row>
    <row r="228" spans="1:7">
      <c r="A228" s="223" t="s">
        <v>1554</v>
      </c>
      <c r="B228" s="223" t="s">
        <v>908</v>
      </c>
      <c r="C228" s="223" t="s">
        <v>1554</v>
      </c>
      <c r="D228" s="223" t="s">
        <v>1555</v>
      </c>
      <c r="E228" s="223" t="s">
        <v>1543</v>
      </c>
      <c r="F228" s="223" t="s">
        <v>1621</v>
      </c>
      <c r="G228" s="223">
        <v>9472.0718422034606</v>
      </c>
    </row>
    <row r="229" spans="1:7">
      <c r="A229" s="223" t="s">
        <v>1556</v>
      </c>
      <c r="B229" s="223" t="s">
        <v>908</v>
      </c>
      <c r="C229" s="223" t="s">
        <v>1556</v>
      </c>
      <c r="D229" s="223" t="s">
        <v>1555</v>
      </c>
      <c r="E229" s="223" t="s">
        <v>1543</v>
      </c>
      <c r="F229" s="223" t="s">
        <v>1621</v>
      </c>
      <c r="G229" s="223">
        <v>6964.7587075025403</v>
      </c>
    </row>
    <row r="230" spans="1:7">
      <c r="A230" s="223" t="s">
        <v>1557</v>
      </c>
      <c r="B230" s="223" t="s">
        <v>908</v>
      </c>
      <c r="C230" s="223" t="s">
        <v>1557</v>
      </c>
      <c r="D230" s="223" t="s">
        <v>1555</v>
      </c>
      <c r="E230" s="223" t="s">
        <v>1543</v>
      </c>
      <c r="F230" s="223" t="s">
        <v>1621</v>
      </c>
      <c r="G230" s="223">
        <v>1114.3613932004</v>
      </c>
    </row>
    <row r="231" spans="1:7">
      <c r="A231" s="223" t="s">
        <v>1558</v>
      </c>
      <c r="B231" s="223" t="s">
        <v>908</v>
      </c>
      <c r="C231" s="223" t="s">
        <v>1558</v>
      </c>
      <c r="D231" s="223" t="s">
        <v>1555</v>
      </c>
      <c r="E231" s="223" t="s">
        <v>1543</v>
      </c>
      <c r="F231" s="223" t="s">
        <v>1621</v>
      </c>
      <c r="G231" s="223">
        <v>4039.5600503514702</v>
      </c>
    </row>
    <row r="232" spans="1:7">
      <c r="A232" s="223" t="s">
        <v>1554</v>
      </c>
      <c r="B232" s="223" t="s">
        <v>875</v>
      </c>
      <c r="C232" s="223" t="s">
        <v>1554</v>
      </c>
      <c r="D232" s="223" t="s">
        <v>1555</v>
      </c>
      <c r="E232" s="223" t="s">
        <v>1543</v>
      </c>
      <c r="F232" s="223" t="s">
        <v>1622</v>
      </c>
      <c r="G232" s="223">
        <v>803.42794836901396</v>
      </c>
    </row>
    <row r="233" spans="1:7">
      <c r="A233" s="223" t="s">
        <v>1556</v>
      </c>
      <c r="B233" s="223" t="s">
        <v>875</v>
      </c>
      <c r="C233" s="223" t="s">
        <v>1556</v>
      </c>
      <c r="D233" s="223" t="s">
        <v>1555</v>
      </c>
      <c r="E233" s="223" t="s">
        <v>1543</v>
      </c>
      <c r="F233" s="223" t="s">
        <v>1622</v>
      </c>
      <c r="G233" s="223">
        <v>714.15817632801202</v>
      </c>
    </row>
    <row r="234" spans="1:7">
      <c r="A234" s="223" t="s">
        <v>1558</v>
      </c>
      <c r="B234" s="223" t="s">
        <v>875</v>
      </c>
      <c r="C234" s="223" t="s">
        <v>1558</v>
      </c>
      <c r="D234" s="223" t="s">
        <v>1555</v>
      </c>
      <c r="E234" s="223" t="s">
        <v>1543</v>
      </c>
      <c r="F234" s="223" t="s">
        <v>1622</v>
      </c>
      <c r="G234" s="223">
        <v>228.13386188255899</v>
      </c>
    </row>
    <row r="235" spans="1:7">
      <c r="A235" s="223" t="s">
        <v>1554</v>
      </c>
      <c r="B235" s="223" t="s">
        <v>908</v>
      </c>
      <c r="C235" s="223" t="s">
        <v>1554</v>
      </c>
      <c r="D235" s="223" t="s">
        <v>1555</v>
      </c>
      <c r="E235" s="223" t="s">
        <v>1543</v>
      </c>
      <c r="F235" s="223" t="s">
        <v>1622</v>
      </c>
      <c r="G235" s="223">
        <v>2089.4276122507599</v>
      </c>
    </row>
    <row r="236" spans="1:7">
      <c r="A236" s="223" t="s">
        <v>1556</v>
      </c>
      <c r="B236" s="223" t="s">
        <v>908</v>
      </c>
      <c r="C236" s="223" t="s">
        <v>1556</v>
      </c>
      <c r="D236" s="223" t="s">
        <v>1555</v>
      </c>
      <c r="E236" s="223" t="s">
        <v>1543</v>
      </c>
      <c r="F236" s="223" t="s">
        <v>1622</v>
      </c>
      <c r="G236" s="223">
        <v>139.29517415005</v>
      </c>
    </row>
    <row r="237" spans="1:7">
      <c r="A237" s="223" t="s">
        <v>1554</v>
      </c>
      <c r="B237" s="223" t="s">
        <v>849</v>
      </c>
      <c r="C237" s="223" t="s">
        <v>1554</v>
      </c>
      <c r="D237" s="223" t="s">
        <v>1555</v>
      </c>
      <c r="E237" s="223" t="s">
        <v>1543</v>
      </c>
      <c r="F237" s="223" t="s">
        <v>1623</v>
      </c>
      <c r="G237" s="223">
        <v>4634.8398856774702</v>
      </c>
    </row>
    <row r="238" spans="1:7">
      <c r="A238" s="223" t="s">
        <v>1556</v>
      </c>
      <c r="B238" s="223" t="s">
        <v>849</v>
      </c>
      <c r="C238" s="223" t="s">
        <v>1556</v>
      </c>
      <c r="D238" s="223" t="s">
        <v>1555</v>
      </c>
      <c r="E238" s="223" t="s">
        <v>1543</v>
      </c>
      <c r="F238" s="223" t="s">
        <v>1623</v>
      </c>
      <c r="G238" s="223">
        <v>2885.2645645939201</v>
      </c>
    </row>
    <row r="239" spans="1:7">
      <c r="A239" s="223" t="s">
        <v>1557</v>
      </c>
      <c r="B239" s="223" t="s">
        <v>849</v>
      </c>
      <c r="C239" s="223" t="s">
        <v>1557</v>
      </c>
      <c r="D239" s="223" t="s">
        <v>1555</v>
      </c>
      <c r="E239" s="223" t="s">
        <v>1543</v>
      </c>
      <c r="F239" s="223" t="s">
        <v>1623</v>
      </c>
      <c r="G239" s="223">
        <v>2967.1160416036701</v>
      </c>
    </row>
    <row r="240" spans="1:7">
      <c r="A240" s="223" t="s">
        <v>1558</v>
      </c>
      <c r="B240" s="223" t="s">
        <v>849</v>
      </c>
      <c r="C240" s="223" t="s">
        <v>1558</v>
      </c>
      <c r="D240" s="223" t="s">
        <v>1555</v>
      </c>
      <c r="E240" s="223" t="s">
        <v>1543</v>
      </c>
      <c r="F240" s="223" t="s">
        <v>1623</v>
      </c>
      <c r="G240" s="223">
        <v>2547.6272219286702</v>
      </c>
    </row>
    <row r="241" spans="1:7">
      <c r="A241" s="223" t="s">
        <v>1554</v>
      </c>
      <c r="B241" s="223" t="s">
        <v>852</v>
      </c>
      <c r="C241" s="223" t="s">
        <v>1554</v>
      </c>
      <c r="D241" s="223" t="s">
        <v>1555</v>
      </c>
      <c r="E241" s="223" t="s">
        <v>1543</v>
      </c>
      <c r="F241" s="223" t="s">
        <v>1623</v>
      </c>
      <c r="G241" s="223">
        <v>5159.6019131577305</v>
      </c>
    </row>
    <row r="242" spans="1:7">
      <c r="A242" s="223" t="s">
        <v>1556</v>
      </c>
      <c r="B242" s="223" t="s">
        <v>852</v>
      </c>
      <c r="C242" s="223" t="s">
        <v>1556</v>
      </c>
      <c r="D242" s="223" t="s">
        <v>1555</v>
      </c>
      <c r="E242" s="223" t="s">
        <v>1543</v>
      </c>
      <c r="F242" s="223" t="s">
        <v>1623</v>
      </c>
      <c r="G242" s="223">
        <v>2806.0992861033201</v>
      </c>
    </row>
    <row r="243" spans="1:7">
      <c r="A243" s="223" t="s">
        <v>1557</v>
      </c>
      <c r="B243" s="223" t="s">
        <v>852</v>
      </c>
      <c r="C243" s="223" t="s">
        <v>1557</v>
      </c>
      <c r="D243" s="223" t="s">
        <v>1555</v>
      </c>
      <c r="E243" s="223" t="s">
        <v>1543</v>
      </c>
      <c r="F243" s="223" t="s">
        <v>1623</v>
      </c>
      <c r="G243" s="223">
        <v>2781.4121956097401</v>
      </c>
    </row>
    <row r="244" spans="1:7">
      <c r="A244" s="223" t="s">
        <v>1558</v>
      </c>
      <c r="B244" s="223" t="s">
        <v>852</v>
      </c>
      <c r="C244" s="223" t="s">
        <v>1558</v>
      </c>
      <c r="D244" s="223" t="s">
        <v>1555</v>
      </c>
      <c r="E244" s="223" t="s">
        <v>1543</v>
      </c>
      <c r="F244" s="223" t="s">
        <v>1623</v>
      </c>
      <c r="G244" s="223">
        <v>3727.7506645302201</v>
      </c>
    </row>
    <row r="245" spans="1:7">
      <c r="A245" s="223" t="s">
        <v>1554</v>
      </c>
      <c r="B245" s="223" t="s">
        <v>908</v>
      </c>
      <c r="C245" s="223" t="s">
        <v>1554</v>
      </c>
      <c r="D245" s="223" t="s">
        <v>1555</v>
      </c>
      <c r="E245" s="223" t="s">
        <v>1543</v>
      </c>
      <c r="F245" s="223" t="s">
        <v>1623</v>
      </c>
      <c r="G245" s="223">
        <v>975.06621905035604</v>
      </c>
    </row>
    <row r="246" spans="1:7">
      <c r="A246" s="223" t="s">
        <v>1556</v>
      </c>
      <c r="B246" s="223" t="s">
        <v>917</v>
      </c>
      <c r="C246" s="223" t="s">
        <v>1556</v>
      </c>
      <c r="D246" s="223" t="s">
        <v>1555</v>
      </c>
      <c r="E246" s="223" t="s">
        <v>1543</v>
      </c>
      <c r="F246" s="223" t="s">
        <v>1611</v>
      </c>
      <c r="G246" s="223">
        <v>174.256504574628</v>
      </c>
    </row>
    <row r="247" spans="1:7">
      <c r="A247" s="223" t="s">
        <v>1554</v>
      </c>
      <c r="B247" s="223" t="s">
        <v>917</v>
      </c>
      <c r="C247" s="223" t="s">
        <v>1554</v>
      </c>
      <c r="D247" s="223" t="s">
        <v>1555</v>
      </c>
      <c r="E247" s="223" t="s">
        <v>1543</v>
      </c>
      <c r="F247" s="223" t="s">
        <v>1613</v>
      </c>
      <c r="G247" s="223">
        <v>174.256504574628</v>
      </c>
    </row>
    <row r="248" spans="1:7">
      <c r="A248" s="223" t="s">
        <v>1556</v>
      </c>
      <c r="B248" s="223" t="s">
        <v>853</v>
      </c>
      <c r="C248" s="223" t="s">
        <v>1556</v>
      </c>
      <c r="D248" s="223" t="s">
        <v>1555</v>
      </c>
      <c r="E248" s="223" t="s">
        <v>1543</v>
      </c>
      <c r="F248" s="223" t="s">
        <v>1614</v>
      </c>
      <c r="G248" s="223">
        <v>135.515269909279</v>
      </c>
    </row>
    <row r="249" spans="1:7">
      <c r="A249" s="223" t="s">
        <v>1558</v>
      </c>
      <c r="B249" s="223" t="s">
        <v>853</v>
      </c>
      <c r="C249" s="223" t="s">
        <v>1558</v>
      </c>
      <c r="D249" s="223" t="s">
        <v>1555</v>
      </c>
      <c r="E249" s="223" t="s">
        <v>1543</v>
      </c>
      <c r="F249" s="223" t="s">
        <v>1614</v>
      </c>
      <c r="G249" s="223">
        <v>127.30222324811</v>
      </c>
    </row>
    <row r="250" spans="1:7">
      <c r="A250" s="223" t="s">
        <v>1556</v>
      </c>
      <c r="B250" s="223" t="s">
        <v>918</v>
      </c>
      <c r="C250" s="223" t="s">
        <v>1556</v>
      </c>
      <c r="D250" s="223" t="s">
        <v>1555</v>
      </c>
      <c r="E250" s="223" t="s">
        <v>1543</v>
      </c>
      <c r="F250" s="223" t="s">
        <v>1614</v>
      </c>
      <c r="G250" s="223">
        <v>101.13228565894499</v>
      </c>
    </row>
    <row r="251" spans="1:7">
      <c r="A251" s="223" t="s">
        <v>1558</v>
      </c>
      <c r="B251" s="223" t="s">
        <v>918</v>
      </c>
      <c r="C251" s="223" t="s">
        <v>1558</v>
      </c>
      <c r="D251" s="223" t="s">
        <v>1555</v>
      </c>
      <c r="E251" s="223" t="s">
        <v>1543</v>
      </c>
      <c r="F251" s="223" t="s">
        <v>1614</v>
      </c>
      <c r="G251" s="223">
        <v>209.608025461469</v>
      </c>
    </row>
    <row r="252" spans="1:7">
      <c r="A252" s="223" t="s">
        <v>1558</v>
      </c>
      <c r="B252" s="223" t="s">
        <v>875</v>
      </c>
      <c r="C252" s="223" t="s">
        <v>1558</v>
      </c>
      <c r="D252" s="223" t="s">
        <v>1555</v>
      </c>
      <c r="E252" s="223" t="s">
        <v>1543</v>
      </c>
      <c r="F252" s="223" t="s">
        <v>1614</v>
      </c>
      <c r="G252" s="223">
        <v>297.56590680333801</v>
      </c>
    </row>
    <row r="253" spans="1:7">
      <c r="A253" s="223" t="s">
        <v>1556</v>
      </c>
      <c r="B253" s="223" t="s">
        <v>917</v>
      </c>
      <c r="C253" s="223" t="s">
        <v>1556</v>
      </c>
      <c r="D253" s="223" t="s">
        <v>1555</v>
      </c>
      <c r="E253" s="223" t="s">
        <v>1543</v>
      </c>
      <c r="F253" s="223" t="s">
        <v>1615</v>
      </c>
      <c r="G253" s="223">
        <v>406.598510674132</v>
      </c>
    </row>
    <row r="254" spans="1:7">
      <c r="A254" s="223" t="s">
        <v>1554</v>
      </c>
      <c r="B254" s="223" t="s">
        <v>853</v>
      </c>
      <c r="C254" s="223" t="s">
        <v>1554</v>
      </c>
      <c r="D254" s="223" t="s">
        <v>1555</v>
      </c>
      <c r="E254" s="223" t="s">
        <v>1543</v>
      </c>
      <c r="F254" s="223" t="s">
        <v>1615</v>
      </c>
      <c r="G254" s="223">
        <v>188.900073206874</v>
      </c>
    </row>
    <row r="255" spans="1:7">
      <c r="A255" s="223" t="s">
        <v>1558</v>
      </c>
      <c r="B255" s="223" t="s">
        <v>853</v>
      </c>
      <c r="C255" s="223" t="s">
        <v>1558</v>
      </c>
      <c r="D255" s="223" t="s">
        <v>1555</v>
      </c>
      <c r="E255" s="223" t="s">
        <v>1543</v>
      </c>
      <c r="F255" s="223" t="s">
        <v>1615</v>
      </c>
      <c r="G255" s="223">
        <v>295.66967980206402</v>
      </c>
    </row>
    <row r="256" spans="1:7">
      <c r="A256" s="223" t="s">
        <v>1558</v>
      </c>
      <c r="B256" s="223" t="s">
        <v>874</v>
      </c>
      <c r="C256" s="223" t="s">
        <v>1558</v>
      </c>
      <c r="D256" s="223" t="s">
        <v>1555</v>
      </c>
      <c r="E256" s="223" t="s">
        <v>1543</v>
      </c>
      <c r="F256" s="223" t="s">
        <v>1615</v>
      </c>
      <c r="G256" s="223">
        <v>106.49523983945799</v>
      </c>
    </row>
    <row r="257" spans="1:7">
      <c r="A257" s="223" t="s">
        <v>1554</v>
      </c>
      <c r="B257" s="223" t="s">
        <v>918</v>
      </c>
      <c r="C257" s="223" t="s">
        <v>1554</v>
      </c>
      <c r="D257" s="223" t="s">
        <v>1555</v>
      </c>
      <c r="E257" s="223" t="s">
        <v>1543</v>
      </c>
      <c r="F257" s="223" t="s">
        <v>1615</v>
      </c>
      <c r="G257" s="223">
        <v>113.121791518888</v>
      </c>
    </row>
    <row r="258" spans="1:7">
      <c r="A258" s="223" t="s">
        <v>1558</v>
      </c>
      <c r="B258" s="223" t="s">
        <v>918</v>
      </c>
      <c r="C258" s="223" t="s">
        <v>1558</v>
      </c>
      <c r="D258" s="223" t="s">
        <v>1555</v>
      </c>
      <c r="E258" s="223" t="s">
        <v>1543</v>
      </c>
      <c r="F258" s="223" t="s">
        <v>1615</v>
      </c>
      <c r="G258" s="223">
        <v>129.757349095195</v>
      </c>
    </row>
    <row r="259" spans="1:7">
      <c r="A259" s="223" t="s">
        <v>1554</v>
      </c>
      <c r="B259" s="223" t="s">
        <v>875</v>
      </c>
      <c r="C259" s="223" t="s">
        <v>1554</v>
      </c>
      <c r="D259" s="223" t="s">
        <v>1555</v>
      </c>
      <c r="E259" s="223" t="s">
        <v>1543</v>
      </c>
      <c r="F259" s="223" t="s">
        <v>1615</v>
      </c>
      <c r="G259" s="223">
        <v>148.782953401669</v>
      </c>
    </row>
    <row r="260" spans="1:7">
      <c r="A260" s="223" t="s">
        <v>1558</v>
      </c>
      <c r="B260" s="223" t="s">
        <v>875</v>
      </c>
      <c r="C260" s="223" t="s">
        <v>1558</v>
      </c>
      <c r="D260" s="223" t="s">
        <v>1555</v>
      </c>
      <c r="E260" s="223" t="s">
        <v>1543</v>
      </c>
      <c r="F260" s="223" t="s">
        <v>1615</v>
      </c>
      <c r="G260" s="223">
        <v>168.62068052189099</v>
      </c>
    </row>
    <row r="261" spans="1:7">
      <c r="A261" s="223" t="s">
        <v>1521</v>
      </c>
      <c r="B261" s="223" t="s">
        <v>917</v>
      </c>
      <c r="C261" s="223" t="s">
        <v>1521</v>
      </c>
      <c r="D261" s="223" t="s">
        <v>1511</v>
      </c>
      <c r="E261" s="223" t="s">
        <v>1512</v>
      </c>
      <c r="F261" s="223" t="s">
        <v>1639</v>
      </c>
      <c r="G261" s="223">
        <v>580.85501524875997</v>
      </c>
    </row>
    <row r="262" spans="1:7">
      <c r="A262" s="223" t="s">
        <v>1521</v>
      </c>
      <c r="B262" s="223" t="s">
        <v>908</v>
      </c>
      <c r="C262" s="223" t="s">
        <v>1521</v>
      </c>
      <c r="D262" s="223" t="s">
        <v>1511</v>
      </c>
      <c r="E262" s="223" t="s">
        <v>1512</v>
      </c>
      <c r="F262" s="223" t="s">
        <v>1639</v>
      </c>
      <c r="G262" s="223">
        <v>139.29517415005</v>
      </c>
    </row>
    <row r="263" spans="1:7">
      <c r="A263" s="223" t="s">
        <v>1513</v>
      </c>
      <c r="B263" s="223" t="s">
        <v>861</v>
      </c>
      <c r="C263" s="223" t="s">
        <v>1513</v>
      </c>
      <c r="D263" s="223" t="s">
        <v>1511</v>
      </c>
      <c r="E263" s="223" t="s">
        <v>1512</v>
      </c>
      <c r="F263" s="223" t="s">
        <v>1640</v>
      </c>
      <c r="G263" s="223">
        <v>237.81841585764101</v>
      </c>
    </row>
    <row r="264" spans="1:7">
      <c r="A264" s="223" t="s">
        <v>1510</v>
      </c>
      <c r="B264" s="223" t="s">
        <v>859</v>
      </c>
      <c r="C264" s="223" t="s">
        <v>1510</v>
      </c>
      <c r="D264" s="223" t="s">
        <v>1511</v>
      </c>
      <c r="E264" s="223" t="s">
        <v>1512</v>
      </c>
      <c r="F264" s="223" t="s">
        <v>1641</v>
      </c>
      <c r="G264" s="223">
        <v>113.70096684343901</v>
      </c>
    </row>
    <row r="265" spans="1:7">
      <c r="A265" s="223" t="s">
        <v>1510</v>
      </c>
      <c r="B265" s="223" t="s">
        <v>861</v>
      </c>
      <c r="C265" s="223" t="s">
        <v>1510</v>
      </c>
      <c r="D265" s="223" t="s">
        <v>1511</v>
      </c>
      <c r="E265" s="223" t="s">
        <v>1512</v>
      </c>
      <c r="F265" s="223" t="s">
        <v>1641</v>
      </c>
      <c r="G265" s="223">
        <v>105.697073714507</v>
      </c>
    </row>
    <row r="266" spans="1:7">
      <c r="A266" s="223" t="s">
        <v>1510</v>
      </c>
      <c r="B266" s="223" t="s">
        <v>854</v>
      </c>
      <c r="C266" s="223" t="s">
        <v>1510</v>
      </c>
      <c r="D266" s="223" t="s">
        <v>1511</v>
      </c>
      <c r="E266" s="223" t="s">
        <v>1512</v>
      </c>
      <c r="F266" s="223" t="s">
        <v>1616</v>
      </c>
      <c r="G266" s="223">
        <v>153.35727991107899</v>
      </c>
    </row>
    <row r="267" spans="1:7">
      <c r="A267" s="223" t="s">
        <v>1513</v>
      </c>
      <c r="B267" s="223" t="s">
        <v>854</v>
      </c>
      <c r="C267" s="223" t="s">
        <v>1513</v>
      </c>
      <c r="D267" s="223" t="s">
        <v>1511</v>
      </c>
      <c r="E267" s="223" t="s">
        <v>1512</v>
      </c>
      <c r="F267" s="223" t="s">
        <v>1616</v>
      </c>
      <c r="G267" s="223">
        <v>190.16302708973799</v>
      </c>
    </row>
    <row r="268" spans="1:7">
      <c r="A268" s="223" t="s">
        <v>1510</v>
      </c>
      <c r="B268" s="223" t="s">
        <v>856</v>
      </c>
      <c r="C268" s="223" t="s">
        <v>1510</v>
      </c>
      <c r="D268" s="223" t="s">
        <v>1511</v>
      </c>
      <c r="E268" s="223" t="s">
        <v>1512</v>
      </c>
      <c r="F268" s="223" t="s">
        <v>1616</v>
      </c>
      <c r="G268" s="223">
        <v>223.69223539973501</v>
      </c>
    </row>
    <row r="269" spans="1:7">
      <c r="A269" s="223" t="s">
        <v>1510</v>
      </c>
      <c r="B269" s="223" t="s">
        <v>859</v>
      </c>
      <c r="C269" s="223" t="s">
        <v>1510</v>
      </c>
      <c r="D269" s="223" t="s">
        <v>1511</v>
      </c>
      <c r="E269" s="223" t="s">
        <v>1512</v>
      </c>
      <c r="F269" s="223" t="s">
        <v>1616</v>
      </c>
      <c r="G269" s="223">
        <v>426.378625662898</v>
      </c>
    </row>
    <row r="270" spans="1:7">
      <c r="A270" s="223" t="s">
        <v>1513</v>
      </c>
      <c r="B270" s="223" t="s">
        <v>859</v>
      </c>
      <c r="C270" s="223" t="s">
        <v>1513</v>
      </c>
      <c r="D270" s="223" t="s">
        <v>1511</v>
      </c>
      <c r="E270" s="223" t="s">
        <v>1512</v>
      </c>
      <c r="F270" s="223" t="s">
        <v>1616</v>
      </c>
      <c r="G270" s="223">
        <v>341.10290053031798</v>
      </c>
    </row>
    <row r="271" spans="1:7">
      <c r="A271" s="223" t="s">
        <v>1514</v>
      </c>
      <c r="B271" s="223" t="s">
        <v>859</v>
      </c>
      <c r="C271" s="223" t="s">
        <v>1514</v>
      </c>
      <c r="D271" s="223" t="s">
        <v>1511</v>
      </c>
      <c r="E271" s="223" t="s">
        <v>1512</v>
      </c>
      <c r="F271" s="223" t="s">
        <v>1616</v>
      </c>
      <c r="G271" s="223">
        <v>483.22910908461802</v>
      </c>
    </row>
    <row r="272" spans="1:7">
      <c r="A272" s="223" t="s">
        <v>1515</v>
      </c>
      <c r="B272" s="223" t="s">
        <v>859</v>
      </c>
      <c r="C272" s="223" t="s">
        <v>1515</v>
      </c>
      <c r="D272" s="223" t="s">
        <v>1511</v>
      </c>
      <c r="E272" s="223" t="s">
        <v>1512</v>
      </c>
      <c r="F272" s="223" t="s">
        <v>1616</v>
      </c>
      <c r="G272" s="223">
        <v>369.52814224117799</v>
      </c>
    </row>
    <row r="273" spans="1:7">
      <c r="A273" s="223" t="s">
        <v>1510</v>
      </c>
      <c r="B273" s="223" t="s">
        <v>860</v>
      </c>
      <c r="C273" s="223" t="s">
        <v>1510</v>
      </c>
      <c r="D273" s="223" t="s">
        <v>1511</v>
      </c>
      <c r="E273" s="223" t="s">
        <v>1512</v>
      </c>
      <c r="F273" s="223" t="s">
        <v>1616</v>
      </c>
      <c r="G273" s="223">
        <v>354.035074411415</v>
      </c>
    </row>
    <row r="274" spans="1:7">
      <c r="A274" s="223" t="s">
        <v>1514</v>
      </c>
      <c r="B274" s="223" t="s">
        <v>860</v>
      </c>
      <c r="C274" s="223" t="s">
        <v>1514</v>
      </c>
      <c r="D274" s="223" t="s">
        <v>1511</v>
      </c>
      <c r="E274" s="223" t="s">
        <v>1512</v>
      </c>
      <c r="F274" s="223" t="s">
        <v>1616</v>
      </c>
      <c r="G274" s="223">
        <v>167.700824721196</v>
      </c>
    </row>
    <row r="275" spans="1:7">
      <c r="A275" s="223" t="s">
        <v>1510</v>
      </c>
      <c r="B275" s="223" t="s">
        <v>861</v>
      </c>
      <c r="C275" s="223" t="s">
        <v>1510</v>
      </c>
      <c r="D275" s="223" t="s">
        <v>1511</v>
      </c>
      <c r="E275" s="223" t="s">
        <v>1512</v>
      </c>
      <c r="F275" s="223" t="s">
        <v>1616</v>
      </c>
      <c r="G275" s="223">
        <v>158.54561057175999</v>
      </c>
    </row>
    <row r="276" spans="1:7">
      <c r="A276" s="223" t="s">
        <v>1510</v>
      </c>
      <c r="B276" s="223" t="s">
        <v>862</v>
      </c>
      <c r="C276" s="223" t="s">
        <v>1510</v>
      </c>
      <c r="D276" s="223" t="s">
        <v>1511</v>
      </c>
      <c r="E276" s="223" t="s">
        <v>1512</v>
      </c>
      <c r="F276" s="223" t="s">
        <v>1616</v>
      </c>
      <c r="G276" s="223">
        <v>452.050698662782</v>
      </c>
    </row>
    <row r="277" spans="1:7">
      <c r="A277" s="223" t="s">
        <v>1513</v>
      </c>
      <c r="B277" s="223" t="s">
        <v>862</v>
      </c>
      <c r="C277" s="223" t="s">
        <v>1513</v>
      </c>
      <c r="D277" s="223" t="s">
        <v>1511</v>
      </c>
      <c r="E277" s="223" t="s">
        <v>1512</v>
      </c>
      <c r="F277" s="223" t="s">
        <v>1616</v>
      </c>
      <c r="G277" s="223">
        <v>171.97580927388401</v>
      </c>
    </row>
    <row r="278" spans="1:7">
      <c r="A278" s="223" t="s">
        <v>1514</v>
      </c>
      <c r="B278" s="223" t="s">
        <v>862</v>
      </c>
      <c r="C278" s="223" t="s">
        <v>1514</v>
      </c>
      <c r="D278" s="223" t="s">
        <v>1511</v>
      </c>
      <c r="E278" s="223" t="s">
        <v>1512</v>
      </c>
      <c r="F278" s="223" t="s">
        <v>1616</v>
      </c>
      <c r="G278" s="223">
        <v>294.81567304094398</v>
      </c>
    </row>
    <row r="279" spans="1:7">
      <c r="A279" s="223" t="s">
        <v>1514</v>
      </c>
      <c r="B279" s="223" t="s">
        <v>839</v>
      </c>
      <c r="C279" s="223" t="s">
        <v>1514</v>
      </c>
      <c r="D279" s="223" t="s">
        <v>1511</v>
      </c>
      <c r="E279" s="223" t="s">
        <v>1512</v>
      </c>
      <c r="F279" s="223" t="s">
        <v>1627</v>
      </c>
      <c r="G279" s="223">
        <v>304.875268249096</v>
      </c>
    </row>
    <row r="280" spans="1:7">
      <c r="A280" s="223" t="s">
        <v>1510</v>
      </c>
      <c r="B280" s="223" t="s">
        <v>859</v>
      </c>
      <c r="C280" s="223" t="s">
        <v>1510</v>
      </c>
      <c r="D280" s="223" t="s">
        <v>1511</v>
      </c>
      <c r="E280" s="223" t="s">
        <v>1512</v>
      </c>
      <c r="F280" s="223" t="s">
        <v>1627</v>
      </c>
      <c r="G280" s="223">
        <v>142.12620855429901</v>
      </c>
    </row>
    <row r="281" spans="1:7">
      <c r="A281" s="223" t="s">
        <v>1515</v>
      </c>
      <c r="B281" s="223" t="s">
        <v>839</v>
      </c>
      <c r="C281" s="223" t="s">
        <v>1515</v>
      </c>
      <c r="D281" s="223" t="s">
        <v>1511</v>
      </c>
      <c r="E281" s="223" t="s">
        <v>1512</v>
      </c>
      <c r="F281" s="223" t="s">
        <v>1642</v>
      </c>
      <c r="G281" s="223">
        <v>407.25875385513598</v>
      </c>
    </row>
    <row r="282" spans="1:7">
      <c r="A282" s="223" t="s">
        <v>1513</v>
      </c>
      <c r="B282" s="223" t="s">
        <v>861</v>
      </c>
      <c r="C282" s="223" t="s">
        <v>1513</v>
      </c>
      <c r="D282" s="223" t="s">
        <v>1511</v>
      </c>
      <c r="E282" s="223" t="s">
        <v>1512</v>
      </c>
      <c r="F282" s="223" t="s">
        <v>1642</v>
      </c>
      <c r="G282" s="223">
        <v>105.697073714507</v>
      </c>
    </row>
    <row r="283" spans="1:7">
      <c r="A283" s="223" t="s">
        <v>1510</v>
      </c>
      <c r="B283" s="223" t="s">
        <v>839</v>
      </c>
      <c r="C283" s="223" t="s">
        <v>1510</v>
      </c>
      <c r="D283" s="223" t="s">
        <v>1511</v>
      </c>
      <c r="E283" s="223" t="s">
        <v>1512</v>
      </c>
      <c r="F283" s="223" t="s">
        <v>1617</v>
      </c>
      <c r="G283" s="223">
        <v>1922.5343408245201</v>
      </c>
    </row>
    <row r="284" spans="1:7">
      <c r="A284" s="223" t="s">
        <v>1513</v>
      </c>
      <c r="B284" s="223" t="s">
        <v>839</v>
      </c>
      <c r="C284" s="223" t="s">
        <v>1513</v>
      </c>
      <c r="D284" s="223" t="s">
        <v>1511</v>
      </c>
      <c r="E284" s="223" t="s">
        <v>1512</v>
      </c>
      <c r="F284" s="223" t="s">
        <v>1617</v>
      </c>
      <c r="G284" s="223">
        <v>1365.1132324214</v>
      </c>
    </row>
    <row r="285" spans="1:7">
      <c r="A285" s="223" t="s">
        <v>1514</v>
      </c>
      <c r="B285" s="223" t="s">
        <v>839</v>
      </c>
      <c r="C285" s="223" t="s">
        <v>1514</v>
      </c>
      <c r="D285" s="223" t="s">
        <v>1511</v>
      </c>
      <c r="E285" s="223" t="s">
        <v>1512</v>
      </c>
      <c r="F285" s="223" t="s">
        <v>1617</v>
      </c>
      <c r="G285" s="223">
        <v>2077.24716351809</v>
      </c>
    </row>
    <row r="286" spans="1:7">
      <c r="A286" s="223" t="s">
        <v>1515</v>
      </c>
      <c r="B286" s="223" t="s">
        <v>839</v>
      </c>
      <c r="C286" s="223" t="s">
        <v>1515</v>
      </c>
      <c r="D286" s="223" t="s">
        <v>1511</v>
      </c>
      <c r="E286" s="223" t="s">
        <v>1512</v>
      </c>
      <c r="F286" s="223" t="s">
        <v>1617</v>
      </c>
      <c r="G286" s="223">
        <v>263.92187400668001</v>
      </c>
    </row>
    <row r="287" spans="1:7">
      <c r="A287" s="223" t="s">
        <v>1510</v>
      </c>
      <c r="B287" s="223" t="s">
        <v>856</v>
      </c>
      <c r="C287" s="223" t="s">
        <v>1510</v>
      </c>
      <c r="D287" s="223" t="s">
        <v>1511</v>
      </c>
      <c r="E287" s="223" t="s">
        <v>1512</v>
      </c>
      <c r="F287" s="223" t="s">
        <v>1617</v>
      </c>
      <c r="G287" s="223">
        <v>1118.47516492154</v>
      </c>
    </row>
    <row r="288" spans="1:7">
      <c r="A288" s="223" t="s">
        <v>1514</v>
      </c>
      <c r="B288" s="223" t="s">
        <v>856</v>
      </c>
      <c r="C288" s="223" t="s">
        <v>1514</v>
      </c>
      <c r="D288" s="223" t="s">
        <v>1511</v>
      </c>
      <c r="E288" s="223" t="s">
        <v>1512</v>
      </c>
      <c r="F288" s="223" t="s">
        <v>1617</v>
      </c>
      <c r="G288" s="223">
        <v>575.20860531360495</v>
      </c>
    </row>
    <row r="289" spans="1:7">
      <c r="A289" s="223" t="s">
        <v>1510</v>
      </c>
      <c r="B289" s="223" t="s">
        <v>860</v>
      </c>
      <c r="C289" s="223" t="s">
        <v>1510</v>
      </c>
      <c r="D289" s="223" t="s">
        <v>1511</v>
      </c>
      <c r="E289" s="223" t="s">
        <v>1512</v>
      </c>
      <c r="F289" s="223" t="s">
        <v>1617</v>
      </c>
      <c r="G289" s="223">
        <v>3596.2510190212101</v>
      </c>
    </row>
    <row r="290" spans="1:7">
      <c r="A290" s="223" t="s">
        <v>1513</v>
      </c>
      <c r="B290" s="223" t="s">
        <v>860</v>
      </c>
      <c r="C290" s="223" t="s">
        <v>1513</v>
      </c>
      <c r="D290" s="223" t="s">
        <v>1511</v>
      </c>
      <c r="E290" s="223" t="s">
        <v>1512</v>
      </c>
      <c r="F290" s="223" t="s">
        <v>1617</v>
      </c>
      <c r="G290" s="223">
        <v>894.40439255035301</v>
      </c>
    </row>
    <row r="291" spans="1:7">
      <c r="A291" s="223" t="s">
        <v>1514</v>
      </c>
      <c r="B291" s="223" t="s">
        <v>860</v>
      </c>
      <c r="C291" s="223" t="s">
        <v>1514</v>
      </c>
      <c r="D291" s="223" t="s">
        <v>1511</v>
      </c>
      <c r="E291" s="223" t="s">
        <v>1512</v>
      </c>
      <c r="F291" s="223" t="s">
        <v>1617</v>
      </c>
      <c r="G291" s="223">
        <v>2124.2104464684899</v>
      </c>
    </row>
    <row r="292" spans="1:7">
      <c r="A292" s="223" t="s">
        <v>1515</v>
      </c>
      <c r="B292" s="223" t="s">
        <v>860</v>
      </c>
      <c r="C292" s="223" t="s">
        <v>1515</v>
      </c>
      <c r="D292" s="223" t="s">
        <v>1511</v>
      </c>
      <c r="E292" s="223" t="s">
        <v>1512</v>
      </c>
      <c r="F292" s="223" t="s">
        <v>1617</v>
      </c>
      <c r="G292" s="223">
        <v>354.035074411415</v>
      </c>
    </row>
    <row r="293" spans="1:7">
      <c r="A293" s="223" t="s">
        <v>1510</v>
      </c>
      <c r="B293" s="223" t="s">
        <v>861</v>
      </c>
      <c r="C293" s="223" t="s">
        <v>1510</v>
      </c>
      <c r="D293" s="223" t="s">
        <v>1511</v>
      </c>
      <c r="E293" s="223" t="s">
        <v>1512</v>
      </c>
      <c r="F293" s="223" t="s">
        <v>1617</v>
      </c>
      <c r="G293" s="223">
        <v>2061.0929374328898</v>
      </c>
    </row>
    <row r="294" spans="1:7">
      <c r="A294" s="223" t="s">
        <v>1513</v>
      </c>
      <c r="B294" s="223" t="s">
        <v>861</v>
      </c>
      <c r="C294" s="223" t="s">
        <v>1513</v>
      </c>
      <c r="D294" s="223" t="s">
        <v>1511</v>
      </c>
      <c r="E294" s="223" t="s">
        <v>1512</v>
      </c>
      <c r="F294" s="223" t="s">
        <v>1617</v>
      </c>
      <c r="G294" s="223">
        <v>687.03097914429702</v>
      </c>
    </row>
    <row r="295" spans="1:7">
      <c r="A295" s="223" t="s">
        <v>1514</v>
      </c>
      <c r="B295" s="223" t="s">
        <v>861</v>
      </c>
      <c r="C295" s="223" t="s">
        <v>1514</v>
      </c>
      <c r="D295" s="223" t="s">
        <v>1511</v>
      </c>
      <c r="E295" s="223" t="s">
        <v>1512</v>
      </c>
      <c r="F295" s="223" t="s">
        <v>1617</v>
      </c>
      <c r="G295" s="223">
        <v>2880.2452587203202</v>
      </c>
    </row>
    <row r="296" spans="1:7">
      <c r="A296" s="223" t="s">
        <v>1510</v>
      </c>
      <c r="B296" s="223" t="s">
        <v>908</v>
      </c>
      <c r="C296" s="223" t="s">
        <v>1510</v>
      </c>
      <c r="D296" s="223" t="s">
        <v>1511</v>
      </c>
      <c r="E296" s="223" t="s">
        <v>1512</v>
      </c>
      <c r="F296" s="223" t="s">
        <v>1643</v>
      </c>
      <c r="G296" s="223">
        <v>557.18069660020296</v>
      </c>
    </row>
    <row r="297" spans="1:7">
      <c r="A297" s="223" t="s">
        <v>1510</v>
      </c>
      <c r="B297" s="223" t="s">
        <v>908</v>
      </c>
      <c r="C297" s="223" t="s">
        <v>1510</v>
      </c>
      <c r="D297" s="223" t="s">
        <v>1511</v>
      </c>
      <c r="E297" s="223" t="s">
        <v>1512</v>
      </c>
      <c r="F297" s="223" t="s">
        <v>1644</v>
      </c>
      <c r="G297" s="223">
        <v>557.18069660020296</v>
      </c>
    </row>
    <row r="298" spans="1:7">
      <c r="A298" s="223" t="s">
        <v>1510</v>
      </c>
      <c r="B298" s="223" t="s">
        <v>908</v>
      </c>
      <c r="C298" s="223" t="s">
        <v>1510</v>
      </c>
      <c r="D298" s="223" t="s">
        <v>1511</v>
      </c>
      <c r="E298" s="223" t="s">
        <v>1512</v>
      </c>
      <c r="F298" s="223" t="s">
        <v>1645</v>
      </c>
      <c r="G298" s="223">
        <v>557.18069660020296</v>
      </c>
    </row>
    <row r="299" spans="1:7">
      <c r="A299" s="223" t="s">
        <v>1510</v>
      </c>
      <c r="B299" s="223" t="s">
        <v>908</v>
      </c>
      <c r="C299" s="223" t="s">
        <v>1510</v>
      </c>
      <c r="D299" s="223" t="s">
        <v>1511</v>
      </c>
      <c r="E299" s="223" t="s">
        <v>1512</v>
      </c>
      <c r="F299" s="223" t="s">
        <v>1646</v>
      </c>
      <c r="G299" s="223">
        <v>557.18069660020296</v>
      </c>
    </row>
    <row r="300" spans="1:7">
      <c r="A300" s="223" t="s">
        <v>1510</v>
      </c>
      <c r="B300" s="223" t="s">
        <v>908</v>
      </c>
      <c r="C300" s="223" t="s">
        <v>1510</v>
      </c>
      <c r="D300" s="223" t="s">
        <v>1511</v>
      </c>
      <c r="E300" s="223" t="s">
        <v>1512</v>
      </c>
      <c r="F300" s="223" t="s">
        <v>1647</v>
      </c>
      <c r="G300" s="223">
        <v>557.18069660020296</v>
      </c>
    </row>
    <row r="301" spans="1:7">
      <c r="A301" s="223" t="s">
        <v>1510</v>
      </c>
      <c r="B301" s="223" t="s">
        <v>908</v>
      </c>
      <c r="C301" s="223" t="s">
        <v>1510</v>
      </c>
      <c r="D301" s="223" t="s">
        <v>1511</v>
      </c>
      <c r="E301" s="223" t="s">
        <v>1512</v>
      </c>
      <c r="F301" s="223" t="s">
        <v>1648</v>
      </c>
      <c r="G301" s="223">
        <v>557.18069660020296</v>
      </c>
    </row>
    <row r="302" spans="1:7">
      <c r="A302" s="223" t="s">
        <v>1516</v>
      </c>
      <c r="B302" s="223" t="s">
        <v>908</v>
      </c>
      <c r="C302" s="223" t="s">
        <v>1516</v>
      </c>
      <c r="D302" s="223" t="s">
        <v>1517</v>
      </c>
      <c r="E302" s="223" t="s">
        <v>1512</v>
      </c>
      <c r="F302" s="223" t="s">
        <v>1649</v>
      </c>
      <c r="G302" s="223">
        <v>139.29517415005</v>
      </c>
    </row>
    <row r="303" spans="1:7">
      <c r="A303" s="223" t="s">
        <v>1519</v>
      </c>
      <c r="B303" s="223" t="s">
        <v>908</v>
      </c>
      <c r="C303" s="223" t="s">
        <v>1519</v>
      </c>
      <c r="D303" s="223" t="s">
        <v>1517</v>
      </c>
      <c r="E303" s="223" t="s">
        <v>1512</v>
      </c>
      <c r="F303" s="223" t="s">
        <v>1650</v>
      </c>
      <c r="G303" s="223">
        <v>557.18069660020296</v>
      </c>
    </row>
    <row r="304" spans="1:7">
      <c r="A304" s="223" t="s">
        <v>1519</v>
      </c>
      <c r="B304" s="223" t="s">
        <v>863</v>
      </c>
      <c r="C304" s="223" t="s">
        <v>1519</v>
      </c>
      <c r="D304" s="223" t="s">
        <v>1517</v>
      </c>
      <c r="E304" s="223" t="s">
        <v>1512</v>
      </c>
      <c r="F304" s="223" t="s">
        <v>1650</v>
      </c>
      <c r="G304" s="223">
        <v>148.34594135761699</v>
      </c>
    </row>
    <row r="305" spans="1:7">
      <c r="A305" s="223" t="s">
        <v>1519</v>
      </c>
      <c r="B305" s="223" t="s">
        <v>908</v>
      </c>
      <c r="C305" s="223" t="s">
        <v>1519</v>
      </c>
      <c r="D305" s="223" t="s">
        <v>1517</v>
      </c>
      <c r="E305" s="223" t="s">
        <v>1512</v>
      </c>
      <c r="F305" s="223" t="s">
        <v>1651</v>
      </c>
      <c r="G305" s="223">
        <v>557.18069660020296</v>
      </c>
    </row>
    <row r="306" spans="1:7">
      <c r="A306" s="223" t="s">
        <v>1519</v>
      </c>
      <c r="B306" s="223" t="s">
        <v>863</v>
      </c>
      <c r="C306" s="223" t="s">
        <v>1519</v>
      </c>
      <c r="D306" s="223" t="s">
        <v>1517</v>
      </c>
      <c r="E306" s="223" t="s">
        <v>1512</v>
      </c>
      <c r="F306" s="223" t="s">
        <v>1651</v>
      </c>
      <c r="G306" s="223">
        <v>148.34594135761699</v>
      </c>
    </row>
    <row r="307" spans="1:7">
      <c r="A307" s="223" t="s">
        <v>1518</v>
      </c>
      <c r="B307" s="223" t="s">
        <v>861</v>
      </c>
      <c r="C307" s="223" t="s">
        <v>1518</v>
      </c>
      <c r="D307" s="223" t="s">
        <v>1517</v>
      </c>
      <c r="E307" s="223" t="s">
        <v>1512</v>
      </c>
      <c r="F307" s="223" t="s">
        <v>1627</v>
      </c>
      <c r="G307" s="223">
        <v>132.121342143134</v>
      </c>
    </row>
    <row r="308" spans="1:7">
      <c r="A308" s="223" t="s">
        <v>1522</v>
      </c>
      <c r="B308" s="223" t="s">
        <v>874</v>
      </c>
      <c r="C308" s="223" t="s">
        <v>1522</v>
      </c>
      <c r="D308" s="223" t="s">
        <v>1523</v>
      </c>
      <c r="E308" s="223" t="s">
        <v>1524</v>
      </c>
      <c r="F308" s="223" t="s">
        <v>1652</v>
      </c>
      <c r="G308" s="223">
        <v>174.26493791911301</v>
      </c>
    </row>
    <row r="309" spans="1:7">
      <c r="A309" s="223" t="s">
        <v>1522</v>
      </c>
      <c r="B309" s="223" t="s">
        <v>917</v>
      </c>
      <c r="C309" s="223" t="s">
        <v>1522</v>
      </c>
      <c r="D309" s="223" t="s">
        <v>1523</v>
      </c>
      <c r="E309" s="223" t="s">
        <v>1524</v>
      </c>
      <c r="F309" s="223" t="s">
        <v>1650</v>
      </c>
      <c r="G309" s="223">
        <v>116.171003049752</v>
      </c>
    </row>
    <row r="310" spans="1:7">
      <c r="A310" s="223" t="s">
        <v>1522</v>
      </c>
      <c r="B310" s="223" t="s">
        <v>917</v>
      </c>
      <c r="C310" s="223" t="s">
        <v>1522</v>
      </c>
      <c r="D310" s="223" t="s">
        <v>1523</v>
      </c>
      <c r="E310" s="223" t="s">
        <v>1524</v>
      </c>
      <c r="F310" s="223" t="s">
        <v>1653</v>
      </c>
      <c r="G310" s="223">
        <v>116.171003049752</v>
      </c>
    </row>
    <row r="311" spans="1:7">
      <c r="A311" s="223" t="s">
        <v>1538</v>
      </c>
      <c r="B311" s="223" t="s">
        <v>839</v>
      </c>
      <c r="C311" s="223" t="s">
        <v>1538</v>
      </c>
      <c r="D311" s="223" t="s">
        <v>1523</v>
      </c>
      <c r="E311" s="223" t="s">
        <v>1524</v>
      </c>
      <c r="F311" s="223" t="s">
        <v>1641</v>
      </c>
      <c r="G311" s="223">
        <v>7576.3779348469498</v>
      </c>
    </row>
    <row r="312" spans="1:7">
      <c r="A312" s="223" t="s">
        <v>1538</v>
      </c>
      <c r="B312" s="223" t="s">
        <v>851</v>
      </c>
      <c r="C312" s="223" t="s">
        <v>1538</v>
      </c>
      <c r="D312" s="223" t="s">
        <v>1523</v>
      </c>
      <c r="E312" s="223" t="s">
        <v>1524</v>
      </c>
      <c r="F312" s="223" t="s">
        <v>1641</v>
      </c>
      <c r="G312" s="223">
        <v>145.73916379813301</v>
      </c>
    </row>
    <row r="313" spans="1:7">
      <c r="A313" s="223" t="s">
        <v>1538</v>
      </c>
      <c r="B313" s="223" t="s">
        <v>856</v>
      </c>
      <c r="C313" s="223" t="s">
        <v>1538</v>
      </c>
      <c r="D313" s="223" t="s">
        <v>1523</v>
      </c>
      <c r="E313" s="223" t="s">
        <v>1524</v>
      </c>
      <c r="F313" s="223" t="s">
        <v>1641</v>
      </c>
      <c r="G313" s="223">
        <v>958.68100885600802</v>
      </c>
    </row>
    <row r="314" spans="1:7">
      <c r="A314" s="223" t="s">
        <v>1538</v>
      </c>
      <c r="B314" s="223" t="s">
        <v>860</v>
      </c>
      <c r="C314" s="223" t="s">
        <v>1538</v>
      </c>
      <c r="D314" s="223" t="s">
        <v>1523</v>
      </c>
      <c r="E314" s="223" t="s">
        <v>1524</v>
      </c>
      <c r="F314" s="223" t="s">
        <v>1641</v>
      </c>
      <c r="G314" s="223">
        <v>5422.3266659853598</v>
      </c>
    </row>
    <row r="315" spans="1:7">
      <c r="A315" s="223" t="s">
        <v>1538</v>
      </c>
      <c r="B315" s="223" t="s">
        <v>861</v>
      </c>
      <c r="C315" s="223" t="s">
        <v>1538</v>
      </c>
      <c r="D315" s="223" t="s">
        <v>1523</v>
      </c>
      <c r="E315" s="223" t="s">
        <v>1524</v>
      </c>
      <c r="F315" s="223" t="s">
        <v>1641</v>
      </c>
      <c r="G315" s="223">
        <v>422.78829485802902</v>
      </c>
    </row>
    <row r="316" spans="1:7">
      <c r="A316" s="223" t="s">
        <v>1522</v>
      </c>
      <c r="B316" s="223" t="s">
        <v>908</v>
      </c>
      <c r="C316" s="223" t="s">
        <v>1522</v>
      </c>
      <c r="D316" s="223" t="s">
        <v>1523</v>
      </c>
      <c r="E316" s="223" t="s">
        <v>1524</v>
      </c>
      <c r="F316" s="223" t="s">
        <v>1643</v>
      </c>
      <c r="G316" s="223">
        <v>278.59034830010103</v>
      </c>
    </row>
    <row r="317" spans="1:7">
      <c r="A317" s="223" t="s">
        <v>1522</v>
      </c>
      <c r="B317" s="223" t="s">
        <v>908</v>
      </c>
      <c r="C317" s="223" t="s">
        <v>1522</v>
      </c>
      <c r="D317" s="223" t="s">
        <v>1523</v>
      </c>
      <c r="E317" s="223" t="s">
        <v>1524</v>
      </c>
      <c r="F317" s="223" t="s">
        <v>1654</v>
      </c>
      <c r="G317" s="223">
        <v>278.59034830010103</v>
      </c>
    </row>
    <row r="318" spans="1:7">
      <c r="A318" s="223" t="s">
        <v>1522</v>
      </c>
      <c r="B318" s="223" t="s">
        <v>908</v>
      </c>
      <c r="C318" s="223" t="s">
        <v>1522</v>
      </c>
      <c r="D318" s="223" t="s">
        <v>1523</v>
      </c>
      <c r="E318" s="223" t="s">
        <v>1524</v>
      </c>
      <c r="F318" s="223" t="s">
        <v>1655</v>
      </c>
      <c r="G318" s="223">
        <v>278.59034830010103</v>
      </c>
    </row>
    <row r="319" spans="1:7">
      <c r="A319" s="223" t="s">
        <v>1522</v>
      </c>
      <c r="B319" s="223" t="s">
        <v>908</v>
      </c>
      <c r="C319" s="223" t="s">
        <v>1522</v>
      </c>
      <c r="D319" s="223" t="s">
        <v>1523</v>
      </c>
      <c r="E319" s="223" t="s">
        <v>1524</v>
      </c>
      <c r="F319" s="223" t="s">
        <v>1656</v>
      </c>
      <c r="G319" s="223">
        <v>278.59034830010103</v>
      </c>
    </row>
    <row r="320" spans="1:7">
      <c r="A320" s="223" t="s">
        <v>1522</v>
      </c>
      <c r="B320" s="223" t="s">
        <v>908</v>
      </c>
      <c r="C320" s="223" t="s">
        <v>1522</v>
      </c>
      <c r="D320" s="223" t="s">
        <v>1523</v>
      </c>
      <c r="E320" s="223" t="s">
        <v>1524</v>
      </c>
      <c r="F320" s="223" t="s">
        <v>1657</v>
      </c>
      <c r="G320" s="223">
        <v>278.59034830010103</v>
      </c>
    </row>
    <row r="321" spans="1:7">
      <c r="A321" s="223" t="s">
        <v>1522</v>
      </c>
      <c r="B321" s="223" t="s">
        <v>908</v>
      </c>
      <c r="C321" s="223" t="s">
        <v>1522</v>
      </c>
      <c r="D321" s="223" t="s">
        <v>1523</v>
      </c>
      <c r="E321" s="223" t="s">
        <v>1524</v>
      </c>
      <c r="F321" s="223" t="s">
        <v>1658</v>
      </c>
      <c r="G321" s="223">
        <v>278.59034830010103</v>
      </c>
    </row>
    <row r="322" spans="1:7">
      <c r="A322" s="223" t="s">
        <v>1583</v>
      </c>
      <c r="B322" s="223" t="s">
        <v>874</v>
      </c>
      <c r="C322" s="223" t="s">
        <v>1583</v>
      </c>
      <c r="D322" s="223" t="s">
        <v>1584</v>
      </c>
      <c r="E322" s="223" t="s">
        <v>1576</v>
      </c>
      <c r="F322" s="223" t="s">
        <v>1659</v>
      </c>
      <c r="G322" s="223">
        <v>334.00779767830102</v>
      </c>
    </row>
    <row r="323" spans="1:7">
      <c r="A323" s="223" t="s">
        <v>1583</v>
      </c>
      <c r="B323" s="223" t="s">
        <v>917</v>
      </c>
      <c r="C323" s="223" t="s">
        <v>1583</v>
      </c>
      <c r="D323" s="223" t="s">
        <v>1584</v>
      </c>
      <c r="E323" s="223" t="s">
        <v>1576</v>
      </c>
      <c r="F323" s="223" t="s">
        <v>1613</v>
      </c>
      <c r="G323" s="223">
        <v>174.256504574628</v>
      </c>
    </row>
    <row r="324" spans="1:7">
      <c r="A324" s="223" t="s">
        <v>1585</v>
      </c>
      <c r="B324" s="223" t="s">
        <v>917</v>
      </c>
      <c r="C324" s="223" t="s">
        <v>1585</v>
      </c>
      <c r="D324" s="223" t="s">
        <v>1584</v>
      </c>
      <c r="E324" s="223" t="s">
        <v>1576</v>
      </c>
      <c r="F324" s="223" t="s">
        <v>1613</v>
      </c>
      <c r="G324" s="223">
        <v>464.68401219900801</v>
      </c>
    </row>
    <row r="325" spans="1:7">
      <c r="A325" s="223" t="s">
        <v>1583</v>
      </c>
      <c r="B325" s="223" t="s">
        <v>853</v>
      </c>
      <c r="C325" s="223" t="s">
        <v>1583</v>
      </c>
      <c r="D325" s="223" t="s">
        <v>1584</v>
      </c>
      <c r="E325" s="223" t="s">
        <v>1576</v>
      </c>
      <c r="F325" s="223" t="s">
        <v>1613</v>
      </c>
      <c r="G325" s="223">
        <v>874.68946929945696</v>
      </c>
    </row>
    <row r="326" spans="1:7">
      <c r="A326" s="223" t="s">
        <v>1585</v>
      </c>
      <c r="B326" s="223" t="s">
        <v>853</v>
      </c>
      <c r="C326" s="223" t="s">
        <v>1585</v>
      </c>
      <c r="D326" s="223" t="s">
        <v>1584</v>
      </c>
      <c r="E326" s="223" t="s">
        <v>1576</v>
      </c>
      <c r="F326" s="223" t="s">
        <v>1613</v>
      </c>
      <c r="G326" s="223">
        <v>316.202296454985</v>
      </c>
    </row>
    <row r="327" spans="1:7">
      <c r="A327" s="223" t="s">
        <v>1586</v>
      </c>
      <c r="B327" s="223" t="s">
        <v>853</v>
      </c>
      <c r="C327" s="223" t="s">
        <v>1586</v>
      </c>
      <c r="D327" s="223" t="s">
        <v>1584</v>
      </c>
      <c r="E327" s="223" t="s">
        <v>1576</v>
      </c>
      <c r="F327" s="223" t="s">
        <v>1613</v>
      </c>
      <c r="G327" s="223">
        <v>197.11311986804199</v>
      </c>
    </row>
    <row r="328" spans="1:7">
      <c r="A328" s="223" t="s">
        <v>1587</v>
      </c>
      <c r="B328" s="223" t="s">
        <v>853</v>
      </c>
      <c r="C328" s="223" t="s">
        <v>1587</v>
      </c>
      <c r="D328" s="223" t="s">
        <v>1584</v>
      </c>
      <c r="E328" s="223" t="s">
        <v>1576</v>
      </c>
      <c r="F328" s="223" t="s">
        <v>1613</v>
      </c>
      <c r="G328" s="223">
        <v>246.39139983505299</v>
      </c>
    </row>
    <row r="329" spans="1:7">
      <c r="A329" s="223" t="s">
        <v>1588</v>
      </c>
      <c r="B329" s="223" t="s">
        <v>853</v>
      </c>
      <c r="C329" s="223" t="s">
        <v>1588</v>
      </c>
      <c r="D329" s="223" t="s">
        <v>1584</v>
      </c>
      <c r="E329" s="223" t="s">
        <v>1576</v>
      </c>
      <c r="F329" s="223" t="s">
        <v>1613</v>
      </c>
      <c r="G329" s="223">
        <v>730.96115284399195</v>
      </c>
    </row>
    <row r="330" spans="1:7">
      <c r="A330" s="223" t="s">
        <v>1589</v>
      </c>
      <c r="B330" s="223" t="s">
        <v>853</v>
      </c>
      <c r="C330" s="223" t="s">
        <v>1589</v>
      </c>
      <c r="D330" s="223" t="s">
        <v>1584</v>
      </c>
      <c r="E330" s="223" t="s">
        <v>1576</v>
      </c>
      <c r="F330" s="223" t="s">
        <v>1613</v>
      </c>
      <c r="G330" s="223">
        <v>139.621793239863</v>
      </c>
    </row>
    <row r="331" spans="1:7">
      <c r="A331" s="223" t="s">
        <v>1585</v>
      </c>
      <c r="B331" s="223" t="s">
        <v>874</v>
      </c>
      <c r="C331" s="223" t="s">
        <v>1585</v>
      </c>
      <c r="D331" s="223" t="s">
        <v>1584</v>
      </c>
      <c r="E331" s="223" t="s">
        <v>1576</v>
      </c>
      <c r="F331" s="223" t="s">
        <v>1613</v>
      </c>
      <c r="G331" s="223">
        <v>188.78701607903901</v>
      </c>
    </row>
    <row r="332" spans="1:7">
      <c r="A332" s="223" t="s">
        <v>1588</v>
      </c>
      <c r="B332" s="223" t="s">
        <v>874</v>
      </c>
      <c r="C332" s="223" t="s">
        <v>1588</v>
      </c>
      <c r="D332" s="223" t="s">
        <v>1584</v>
      </c>
      <c r="E332" s="223" t="s">
        <v>1576</v>
      </c>
      <c r="F332" s="223" t="s">
        <v>1613</v>
      </c>
      <c r="G332" s="223">
        <v>106.49523983945799</v>
      </c>
    </row>
    <row r="333" spans="1:7">
      <c r="A333" s="223" t="s">
        <v>1589</v>
      </c>
      <c r="B333" s="223" t="s">
        <v>874</v>
      </c>
      <c r="C333" s="223" t="s">
        <v>1589</v>
      </c>
      <c r="D333" s="223" t="s">
        <v>1584</v>
      </c>
      <c r="E333" s="223" t="s">
        <v>1576</v>
      </c>
      <c r="F333" s="223" t="s">
        <v>1613</v>
      </c>
      <c r="G333" s="223">
        <v>140.38008887928601</v>
      </c>
    </row>
    <row r="334" spans="1:7">
      <c r="A334" s="223" t="s">
        <v>1583</v>
      </c>
      <c r="B334" s="223" t="s">
        <v>918</v>
      </c>
      <c r="C334" s="223" t="s">
        <v>1583</v>
      </c>
      <c r="D334" s="223" t="s">
        <v>1584</v>
      </c>
      <c r="E334" s="223" t="s">
        <v>1576</v>
      </c>
      <c r="F334" s="223" t="s">
        <v>1613</v>
      </c>
      <c r="G334" s="223">
        <v>968.18958402553596</v>
      </c>
    </row>
    <row r="335" spans="1:7">
      <c r="A335" s="223" t="s">
        <v>1585</v>
      </c>
      <c r="B335" s="223" t="s">
        <v>918</v>
      </c>
      <c r="C335" s="223" t="s">
        <v>1585</v>
      </c>
      <c r="D335" s="223" t="s">
        <v>1584</v>
      </c>
      <c r="E335" s="223" t="s">
        <v>1576</v>
      </c>
      <c r="F335" s="223" t="s">
        <v>1613</v>
      </c>
      <c r="G335" s="223">
        <v>379.29071174166899</v>
      </c>
    </row>
    <row r="336" spans="1:7">
      <c r="A336" s="223" t="s">
        <v>1586</v>
      </c>
      <c r="B336" s="223" t="s">
        <v>918</v>
      </c>
      <c r="C336" s="223" t="s">
        <v>1586</v>
      </c>
      <c r="D336" s="223" t="s">
        <v>1584</v>
      </c>
      <c r="E336" s="223" t="s">
        <v>1576</v>
      </c>
      <c r="F336" s="223" t="s">
        <v>1613</v>
      </c>
      <c r="G336" s="223">
        <v>269.49606600728998</v>
      </c>
    </row>
    <row r="337" spans="1:7">
      <c r="A337" s="223" t="s">
        <v>1587</v>
      </c>
      <c r="B337" s="223" t="s">
        <v>918</v>
      </c>
      <c r="C337" s="223" t="s">
        <v>1587</v>
      </c>
      <c r="D337" s="223" t="s">
        <v>1584</v>
      </c>
      <c r="E337" s="223" t="s">
        <v>1576</v>
      </c>
      <c r="F337" s="223" t="s">
        <v>1613</v>
      </c>
      <c r="G337" s="223">
        <v>246.20625212934499</v>
      </c>
    </row>
    <row r="338" spans="1:7">
      <c r="A338" s="223" t="s">
        <v>1588</v>
      </c>
      <c r="B338" s="223" t="s">
        <v>918</v>
      </c>
      <c r="C338" s="223" t="s">
        <v>1588</v>
      </c>
      <c r="D338" s="223" t="s">
        <v>1584</v>
      </c>
      <c r="E338" s="223" t="s">
        <v>1576</v>
      </c>
      <c r="F338" s="223" t="s">
        <v>1613</v>
      </c>
      <c r="G338" s="223">
        <v>768.56289310985005</v>
      </c>
    </row>
    <row r="339" spans="1:7">
      <c r="A339" s="223" t="s">
        <v>1589</v>
      </c>
      <c r="B339" s="223" t="s">
        <v>918</v>
      </c>
      <c r="C339" s="223" t="s">
        <v>1589</v>
      </c>
      <c r="D339" s="223" t="s">
        <v>1584</v>
      </c>
      <c r="E339" s="223" t="s">
        <v>1576</v>
      </c>
      <c r="F339" s="223" t="s">
        <v>1613</v>
      </c>
      <c r="G339" s="223">
        <v>302.767147888789</v>
      </c>
    </row>
    <row r="340" spans="1:7">
      <c r="A340" s="223" t="s">
        <v>1583</v>
      </c>
      <c r="B340" s="223" t="s">
        <v>853</v>
      </c>
      <c r="C340" s="223" t="s">
        <v>1583</v>
      </c>
      <c r="D340" s="223" t="s">
        <v>1584</v>
      </c>
      <c r="E340" s="223" t="s">
        <v>1576</v>
      </c>
      <c r="F340" s="223" t="s">
        <v>1614</v>
      </c>
      <c r="G340" s="223">
        <v>414.75885638900598</v>
      </c>
    </row>
    <row r="341" spans="1:7">
      <c r="A341" s="223" t="s">
        <v>1585</v>
      </c>
      <c r="B341" s="223" t="s">
        <v>853</v>
      </c>
      <c r="C341" s="223" t="s">
        <v>1585</v>
      </c>
      <c r="D341" s="223" t="s">
        <v>1584</v>
      </c>
      <c r="E341" s="223" t="s">
        <v>1576</v>
      </c>
      <c r="F341" s="223" t="s">
        <v>1614</v>
      </c>
      <c r="G341" s="223">
        <v>188.900073206874</v>
      </c>
    </row>
    <row r="342" spans="1:7">
      <c r="A342" s="223" t="s">
        <v>1588</v>
      </c>
      <c r="B342" s="223" t="s">
        <v>853</v>
      </c>
      <c r="C342" s="223" t="s">
        <v>1588</v>
      </c>
      <c r="D342" s="223" t="s">
        <v>1584</v>
      </c>
      <c r="E342" s="223" t="s">
        <v>1576</v>
      </c>
      <c r="F342" s="223" t="s">
        <v>1614</v>
      </c>
      <c r="G342" s="223">
        <v>225.85878318213199</v>
      </c>
    </row>
    <row r="343" spans="1:7">
      <c r="A343" s="223" t="s">
        <v>1588</v>
      </c>
      <c r="B343" s="223" t="s">
        <v>874</v>
      </c>
      <c r="C343" s="223" t="s">
        <v>1588</v>
      </c>
      <c r="D343" s="223" t="s">
        <v>1584</v>
      </c>
      <c r="E343" s="223" t="s">
        <v>1576</v>
      </c>
      <c r="F343" s="223" t="s">
        <v>1614</v>
      </c>
      <c r="G343" s="223">
        <v>314.64502679839899</v>
      </c>
    </row>
    <row r="344" spans="1:7">
      <c r="A344" s="223" t="s">
        <v>1583</v>
      </c>
      <c r="B344" s="223" t="s">
        <v>918</v>
      </c>
      <c r="C344" s="223" t="s">
        <v>1583</v>
      </c>
      <c r="D344" s="223" t="s">
        <v>1584</v>
      </c>
      <c r="E344" s="223" t="s">
        <v>1576</v>
      </c>
      <c r="F344" s="223" t="s">
        <v>1614</v>
      </c>
      <c r="G344" s="223">
        <v>242.87914061408401</v>
      </c>
    </row>
    <row r="345" spans="1:7">
      <c r="A345" s="223" t="s">
        <v>1585</v>
      </c>
      <c r="B345" s="223" t="s">
        <v>918</v>
      </c>
      <c r="C345" s="223" t="s">
        <v>1585</v>
      </c>
      <c r="D345" s="223" t="s">
        <v>1584</v>
      </c>
      <c r="E345" s="223" t="s">
        <v>1576</v>
      </c>
      <c r="F345" s="223" t="s">
        <v>1614</v>
      </c>
      <c r="G345" s="223">
        <v>106.467568488365</v>
      </c>
    </row>
    <row r="346" spans="1:7">
      <c r="A346" s="223" t="s">
        <v>1588</v>
      </c>
      <c r="B346" s="223" t="s">
        <v>918</v>
      </c>
      <c r="C346" s="223" t="s">
        <v>1588</v>
      </c>
      <c r="D346" s="223" t="s">
        <v>1584</v>
      </c>
      <c r="E346" s="223" t="s">
        <v>1576</v>
      </c>
      <c r="F346" s="223" t="s">
        <v>1614</v>
      </c>
      <c r="G346" s="223">
        <v>129.757349095195</v>
      </c>
    </row>
    <row r="347" spans="1:7">
      <c r="A347" s="223" t="s">
        <v>1583</v>
      </c>
      <c r="B347" s="223" t="s">
        <v>875</v>
      </c>
      <c r="C347" s="223" t="s">
        <v>1583</v>
      </c>
      <c r="D347" s="223" t="s">
        <v>1584</v>
      </c>
      <c r="E347" s="223" t="s">
        <v>1576</v>
      </c>
      <c r="F347" s="223" t="s">
        <v>1614</v>
      </c>
      <c r="G347" s="223">
        <v>119.026362721335</v>
      </c>
    </row>
    <row r="348" spans="1:7">
      <c r="A348" s="223" t="s">
        <v>1585</v>
      </c>
      <c r="B348" s="223" t="s">
        <v>917</v>
      </c>
      <c r="C348" s="223" t="s">
        <v>1585</v>
      </c>
      <c r="D348" s="223" t="s">
        <v>1584</v>
      </c>
      <c r="E348" s="223" t="s">
        <v>1576</v>
      </c>
      <c r="F348" s="223" t="s">
        <v>1615</v>
      </c>
      <c r="G348" s="223">
        <v>232.342006099504</v>
      </c>
    </row>
    <row r="349" spans="1:7">
      <c r="A349" s="223" t="s">
        <v>1583</v>
      </c>
      <c r="B349" s="223" t="s">
        <v>853</v>
      </c>
      <c r="C349" s="223" t="s">
        <v>1583</v>
      </c>
      <c r="D349" s="223" t="s">
        <v>1584</v>
      </c>
      <c r="E349" s="223" t="s">
        <v>1576</v>
      </c>
      <c r="F349" s="223" t="s">
        <v>1615</v>
      </c>
      <c r="G349" s="223">
        <v>895.22208196083704</v>
      </c>
    </row>
    <row r="350" spans="1:7">
      <c r="A350" s="223" t="s">
        <v>1585</v>
      </c>
      <c r="B350" s="223" t="s">
        <v>853</v>
      </c>
      <c r="C350" s="223" t="s">
        <v>1585</v>
      </c>
      <c r="D350" s="223" t="s">
        <v>1584</v>
      </c>
      <c r="E350" s="223" t="s">
        <v>1576</v>
      </c>
      <c r="F350" s="223" t="s">
        <v>1615</v>
      </c>
      <c r="G350" s="223">
        <v>517.42193965361196</v>
      </c>
    </row>
    <row r="351" spans="1:7">
      <c r="A351" s="223" t="s">
        <v>1586</v>
      </c>
      <c r="B351" s="223" t="s">
        <v>853</v>
      </c>
      <c r="C351" s="223" t="s">
        <v>1586</v>
      </c>
      <c r="D351" s="223" t="s">
        <v>1584</v>
      </c>
      <c r="E351" s="223" t="s">
        <v>1576</v>
      </c>
      <c r="F351" s="223" t="s">
        <v>1615</v>
      </c>
      <c r="G351" s="223">
        <v>151.94136323161601</v>
      </c>
    </row>
    <row r="352" spans="1:7">
      <c r="A352" s="223" t="s">
        <v>1588</v>
      </c>
      <c r="B352" s="223" t="s">
        <v>853</v>
      </c>
      <c r="C352" s="223" t="s">
        <v>1588</v>
      </c>
      <c r="D352" s="223" t="s">
        <v>1584</v>
      </c>
      <c r="E352" s="223" t="s">
        <v>1576</v>
      </c>
      <c r="F352" s="223" t="s">
        <v>1615</v>
      </c>
      <c r="G352" s="223">
        <v>698.10896619931805</v>
      </c>
    </row>
    <row r="353" spans="1:7">
      <c r="A353" s="223" t="s">
        <v>1583</v>
      </c>
      <c r="B353" s="223" t="s">
        <v>874</v>
      </c>
      <c r="C353" s="223" t="s">
        <v>1583</v>
      </c>
      <c r="D353" s="223" t="s">
        <v>1584</v>
      </c>
      <c r="E353" s="223" t="s">
        <v>1576</v>
      </c>
      <c r="F353" s="223" t="s">
        <v>1615</v>
      </c>
      <c r="G353" s="223">
        <v>150.061474319236</v>
      </c>
    </row>
    <row r="354" spans="1:7">
      <c r="A354" s="223" t="s">
        <v>1588</v>
      </c>
      <c r="B354" s="223" t="s">
        <v>874</v>
      </c>
      <c r="C354" s="223" t="s">
        <v>1588</v>
      </c>
      <c r="D354" s="223" t="s">
        <v>1584</v>
      </c>
      <c r="E354" s="223" t="s">
        <v>1576</v>
      </c>
      <c r="F354" s="223" t="s">
        <v>1615</v>
      </c>
      <c r="G354" s="223">
        <v>106.49523983945799</v>
      </c>
    </row>
    <row r="355" spans="1:7">
      <c r="A355" s="223" t="s">
        <v>1583</v>
      </c>
      <c r="B355" s="223" t="s">
        <v>918</v>
      </c>
      <c r="C355" s="223" t="s">
        <v>1583</v>
      </c>
      <c r="D355" s="223" t="s">
        <v>1584</v>
      </c>
      <c r="E355" s="223" t="s">
        <v>1576</v>
      </c>
      <c r="F355" s="223" t="s">
        <v>1615</v>
      </c>
      <c r="G355" s="223">
        <v>638.80541093019394</v>
      </c>
    </row>
    <row r="356" spans="1:7">
      <c r="A356" s="223" t="s">
        <v>1585</v>
      </c>
      <c r="B356" s="223" t="s">
        <v>918</v>
      </c>
      <c r="C356" s="223" t="s">
        <v>1585</v>
      </c>
      <c r="D356" s="223" t="s">
        <v>1584</v>
      </c>
      <c r="E356" s="223" t="s">
        <v>1576</v>
      </c>
      <c r="F356" s="223" t="s">
        <v>1615</v>
      </c>
      <c r="G356" s="223">
        <v>309.42137091931198</v>
      </c>
    </row>
    <row r="357" spans="1:7">
      <c r="A357" s="223" t="s">
        <v>1588</v>
      </c>
      <c r="B357" s="223" t="s">
        <v>918</v>
      </c>
      <c r="C357" s="223" t="s">
        <v>1588</v>
      </c>
      <c r="D357" s="223" t="s">
        <v>1584</v>
      </c>
      <c r="E357" s="223" t="s">
        <v>1576</v>
      </c>
      <c r="F357" s="223" t="s">
        <v>1615</v>
      </c>
      <c r="G357" s="223">
        <v>359.32804364823397</v>
      </c>
    </row>
    <row r="358" spans="1:7">
      <c r="A358" s="223" t="s">
        <v>1583</v>
      </c>
      <c r="B358" s="223" t="s">
        <v>875</v>
      </c>
      <c r="C358" s="223" t="s">
        <v>1583</v>
      </c>
      <c r="D358" s="223" t="s">
        <v>1584</v>
      </c>
      <c r="E358" s="223" t="s">
        <v>1576</v>
      </c>
      <c r="F358" s="223" t="s">
        <v>1615</v>
      </c>
      <c r="G358" s="223">
        <v>1021.64294669146</v>
      </c>
    </row>
    <row r="359" spans="1:7">
      <c r="A359" s="223" t="s">
        <v>1585</v>
      </c>
      <c r="B359" s="223" t="s">
        <v>875</v>
      </c>
      <c r="C359" s="223" t="s">
        <v>1585</v>
      </c>
      <c r="D359" s="223" t="s">
        <v>1584</v>
      </c>
      <c r="E359" s="223" t="s">
        <v>1576</v>
      </c>
      <c r="F359" s="223" t="s">
        <v>1615</v>
      </c>
      <c r="G359" s="223">
        <v>565.37522292634299</v>
      </c>
    </row>
    <row r="360" spans="1:7">
      <c r="A360" s="223" t="s">
        <v>1586</v>
      </c>
      <c r="B360" s="223" t="s">
        <v>875</v>
      </c>
      <c r="C360" s="223" t="s">
        <v>1586</v>
      </c>
      <c r="D360" s="223" t="s">
        <v>1584</v>
      </c>
      <c r="E360" s="223" t="s">
        <v>1576</v>
      </c>
      <c r="F360" s="223" t="s">
        <v>1615</v>
      </c>
      <c r="G360" s="223">
        <v>148.782953401669</v>
      </c>
    </row>
    <row r="361" spans="1:7">
      <c r="A361" s="223" t="s">
        <v>1588</v>
      </c>
      <c r="B361" s="223" t="s">
        <v>875</v>
      </c>
      <c r="C361" s="223" t="s">
        <v>1588</v>
      </c>
      <c r="D361" s="223" t="s">
        <v>1584</v>
      </c>
      <c r="E361" s="223" t="s">
        <v>1576</v>
      </c>
      <c r="F361" s="223" t="s">
        <v>1615</v>
      </c>
      <c r="G361" s="223">
        <v>198.37727120222499</v>
      </c>
    </row>
    <row r="362" spans="1:7">
      <c r="A362" s="223" t="s">
        <v>1588</v>
      </c>
      <c r="B362" s="223" t="s">
        <v>839</v>
      </c>
      <c r="C362" s="223" t="s">
        <v>1588</v>
      </c>
      <c r="D362" s="223" t="s">
        <v>1584</v>
      </c>
      <c r="E362" s="223" t="s">
        <v>1576</v>
      </c>
      <c r="F362" s="223" t="s">
        <v>1616</v>
      </c>
      <c r="G362" s="223">
        <v>1251.3534854438501</v>
      </c>
    </row>
    <row r="363" spans="1:7">
      <c r="A363" s="223" t="s">
        <v>1583</v>
      </c>
      <c r="B363" s="223" t="s">
        <v>849</v>
      </c>
      <c r="C363" s="223" t="s">
        <v>1583</v>
      </c>
      <c r="D363" s="223" t="s">
        <v>1584</v>
      </c>
      <c r="E363" s="223" t="s">
        <v>1576</v>
      </c>
      <c r="F363" s="223" t="s">
        <v>1616</v>
      </c>
      <c r="G363" s="223">
        <v>153.47151939329299</v>
      </c>
    </row>
    <row r="364" spans="1:7">
      <c r="A364" s="223" t="s">
        <v>1588</v>
      </c>
      <c r="B364" s="223" t="s">
        <v>849</v>
      </c>
      <c r="C364" s="223" t="s">
        <v>1588</v>
      </c>
      <c r="D364" s="223" t="s">
        <v>1584</v>
      </c>
      <c r="E364" s="223" t="s">
        <v>1576</v>
      </c>
      <c r="F364" s="223" t="s">
        <v>1616</v>
      </c>
      <c r="G364" s="223">
        <v>163.70295401951299</v>
      </c>
    </row>
    <row r="365" spans="1:7">
      <c r="A365" s="223" t="s">
        <v>1589</v>
      </c>
      <c r="B365" s="223" t="s">
        <v>849</v>
      </c>
      <c r="C365" s="223" t="s">
        <v>1589</v>
      </c>
      <c r="D365" s="223" t="s">
        <v>1584</v>
      </c>
      <c r="E365" s="223" t="s">
        <v>1576</v>
      </c>
      <c r="F365" s="223" t="s">
        <v>1616</v>
      </c>
      <c r="G365" s="223">
        <v>153.47151939329299</v>
      </c>
    </row>
    <row r="366" spans="1:7">
      <c r="A366" s="223" t="s">
        <v>1585</v>
      </c>
      <c r="B366" s="223" t="s">
        <v>859</v>
      </c>
      <c r="C366" s="223" t="s">
        <v>1585</v>
      </c>
      <c r="D366" s="223" t="s">
        <v>1584</v>
      </c>
      <c r="E366" s="223" t="s">
        <v>1576</v>
      </c>
      <c r="F366" s="223" t="s">
        <v>1616</v>
      </c>
      <c r="G366" s="223">
        <v>113.70096684343901</v>
      </c>
    </row>
    <row r="367" spans="1:7">
      <c r="A367" s="223" t="s">
        <v>1588</v>
      </c>
      <c r="B367" s="223" t="s">
        <v>859</v>
      </c>
      <c r="C367" s="223" t="s">
        <v>1588</v>
      </c>
      <c r="D367" s="223" t="s">
        <v>1584</v>
      </c>
      <c r="E367" s="223" t="s">
        <v>1576</v>
      </c>
      <c r="F367" s="223" t="s">
        <v>1616</v>
      </c>
      <c r="G367" s="223">
        <v>142.12620855429901</v>
      </c>
    </row>
    <row r="368" spans="1:7">
      <c r="A368" s="223" t="s">
        <v>1588</v>
      </c>
      <c r="B368" s="223" t="s">
        <v>861</v>
      </c>
      <c r="C368" s="223" t="s">
        <v>1588</v>
      </c>
      <c r="D368" s="223" t="s">
        <v>1584</v>
      </c>
      <c r="E368" s="223" t="s">
        <v>1576</v>
      </c>
      <c r="F368" s="223" t="s">
        <v>1616</v>
      </c>
      <c r="G368" s="223">
        <v>211.394147429014</v>
      </c>
    </row>
    <row r="369" spans="1:7">
      <c r="A369" s="223" t="s">
        <v>1583</v>
      </c>
      <c r="B369" s="223" t="s">
        <v>862</v>
      </c>
      <c r="C369" s="223" t="s">
        <v>1583</v>
      </c>
      <c r="D369" s="223" t="s">
        <v>1584</v>
      </c>
      <c r="E369" s="223" t="s">
        <v>1576</v>
      </c>
      <c r="F369" s="223" t="s">
        <v>1616</v>
      </c>
      <c r="G369" s="223">
        <v>147.40783652047199</v>
      </c>
    </row>
    <row r="370" spans="1:7">
      <c r="A370" s="223" t="s">
        <v>1588</v>
      </c>
      <c r="B370" s="223" t="s">
        <v>862</v>
      </c>
      <c r="C370" s="223" t="s">
        <v>1588</v>
      </c>
      <c r="D370" s="223" t="s">
        <v>1584</v>
      </c>
      <c r="E370" s="223" t="s">
        <v>1576</v>
      </c>
      <c r="F370" s="223" t="s">
        <v>1616</v>
      </c>
      <c r="G370" s="223">
        <v>142.49424196979001</v>
      </c>
    </row>
    <row r="371" spans="1:7">
      <c r="A371" s="223" t="s">
        <v>1583</v>
      </c>
      <c r="B371" s="223" t="s">
        <v>849</v>
      </c>
      <c r="C371" s="223" t="s">
        <v>1583</v>
      </c>
      <c r="D371" s="223" t="s">
        <v>1584</v>
      </c>
      <c r="E371" s="223" t="s">
        <v>1576</v>
      </c>
      <c r="F371" s="223" t="s">
        <v>1619</v>
      </c>
      <c r="G371" s="223">
        <v>214.86012715061099</v>
      </c>
    </row>
    <row r="372" spans="1:7">
      <c r="A372" s="223" t="s">
        <v>1583</v>
      </c>
      <c r="B372" s="223" t="s">
        <v>855</v>
      </c>
      <c r="C372" s="223" t="s">
        <v>1583</v>
      </c>
      <c r="D372" s="223" t="s">
        <v>1584</v>
      </c>
      <c r="E372" s="223" t="s">
        <v>1576</v>
      </c>
      <c r="F372" s="223" t="s">
        <v>1619</v>
      </c>
      <c r="G372" s="223">
        <v>291.44322546132503</v>
      </c>
    </row>
    <row r="373" spans="1:7">
      <c r="A373" s="223" t="s">
        <v>1583</v>
      </c>
      <c r="B373" s="223" t="s">
        <v>859</v>
      </c>
      <c r="C373" s="223" t="s">
        <v>1583</v>
      </c>
      <c r="D373" s="223" t="s">
        <v>1584</v>
      </c>
      <c r="E373" s="223" t="s">
        <v>1576</v>
      </c>
      <c r="F373" s="223" t="s">
        <v>1619</v>
      </c>
      <c r="G373" s="223">
        <v>852.75725132579601</v>
      </c>
    </row>
    <row r="374" spans="1:7">
      <c r="A374" s="223" t="s">
        <v>1585</v>
      </c>
      <c r="B374" s="223" t="s">
        <v>859</v>
      </c>
      <c r="C374" s="223" t="s">
        <v>1585</v>
      </c>
      <c r="D374" s="223" t="s">
        <v>1584</v>
      </c>
      <c r="E374" s="223" t="s">
        <v>1576</v>
      </c>
      <c r="F374" s="223" t="s">
        <v>1619</v>
      </c>
      <c r="G374" s="223">
        <v>568.50483421719696</v>
      </c>
    </row>
    <row r="375" spans="1:7">
      <c r="A375" s="223" t="s">
        <v>1586</v>
      </c>
      <c r="B375" s="223" t="s">
        <v>859</v>
      </c>
      <c r="C375" s="223" t="s">
        <v>1586</v>
      </c>
      <c r="D375" s="223" t="s">
        <v>1584</v>
      </c>
      <c r="E375" s="223" t="s">
        <v>1576</v>
      </c>
      <c r="F375" s="223" t="s">
        <v>1619</v>
      </c>
      <c r="G375" s="223">
        <v>113.70096684343901</v>
      </c>
    </row>
    <row r="376" spans="1:7">
      <c r="A376" s="223" t="s">
        <v>1588</v>
      </c>
      <c r="B376" s="223" t="s">
        <v>859</v>
      </c>
      <c r="C376" s="223" t="s">
        <v>1588</v>
      </c>
      <c r="D376" s="223" t="s">
        <v>1584</v>
      </c>
      <c r="E376" s="223" t="s">
        <v>1576</v>
      </c>
      <c r="F376" s="223" t="s">
        <v>1619</v>
      </c>
      <c r="G376" s="223">
        <v>1051.7339433018101</v>
      </c>
    </row>
    <row r="377" spans="1:7">
      <c r="A377" s="223" t="s">
        <v>1589</v>
      </c>
      <c r="B377" s="223" t="s">
        <v>859</v>
      </c>
      <c r="C377" s="223" t="s">
        <v>1589</v>
      </c>
      <c r="D377" s="223" t="s">
        <v>1584</v>
      </c>
      <c r="E377" s="223" t="s">
        <v>1576</v>
      </c>
      <c r="F377" s="223" t="s">
        <v>1619</v>
      </c>
      <c r="G377" s="223">
        <v>540.07959250633701</v>
      </c>
    </row>
    <row r="378" spans="1:7">
      <c r="A378" s="223" t="s">
        <v>1583</v>
      </c>
      <c r="B378" s="223" t="s">
        <v>862</v>
      </c>
      <c r="C378" s="223" t="s">
        <v>1583</v>
      </c>
      <c r="D378" s="223" t="s">
        <v>1584</v>
      </c>
      <c r="E378" s="223" t="s">
        <v>1576</v>
      </c>
      <c r="F378" s="223" t="s">
        <v>1619</v>
      </c>
      <c r="G378" s="223">
        <v>117.92626921637699</v>
      </c>
    </row>
    <row r="379" spans="1:7">
      <c r="A379" s="223" t="s">
        <v>1588</v>
      </c>
      <c r="B379" s="223" t="s">
        <v>863</v>
      </c>
      <c r="C379" s="223" t="s">
        <v>1588</v>
      </c>
      <c r="D379" s="223" t="s">
        <v>1584</v>
      </c>
      <c r="E379" s="223" t="s">
        <v>1576</v>
      </c>
      <c r="F379" s="223" t="s">
        <v>1619</v>
      </c>
      <c r="G379" s="223">
        <v>148.34594135761699</v>
      </c>
    </row>
    <row r="380" spans="1:7">
      <c r="A380" s="223" t="s">
        <v>1583</v>
      </c>
      <c r="B380" s="223" t="s">
        <v>849</v>
      </c>
      <c r="C380" s="223" t="s">
        <v>1583</v>
      </c>
      <c r="D380" s="223" t="s">
        <v>1584</v>
      </c>
      <c r="E380" s="223" t="s">
        <v>1576</v>
      </c>
      <c r="F380" s="223" t="s">
        <v>1620</v>
      </c>
      <c r="G380" s="223">
        <v>450.18312355366101</v>
      </c>
    </row>
    <row r="381" spans="1:7">
      <c r="A381" s="223" t="s">
        <v>1588</v>
      </c>
      <c r="B381" s="223" t="s">
        <v>849</v>
      </c>
      <c r="C381" s="223" t="s">
        <v>1588</v>
      </c>
      <c r="D381" s="223" t="s">
        <v>1584</v>
      </c>
      <c r="E381" s="223" t="s">
        <v>1576</v>
      </c>
      <c r="F381" s="223" t="s">
        <v>1620</v>
      </c>
      <c r="G381" s="223">
        <v>153.47151939329299</v>
      </c>
    </row>
    <row r="382" spans="1:7">
      <c r="A382" s="223" t="s">
        <v>1583</v>
      </c>
      <c r="B382" s="223" t="s">
        <v>855</v>
      </c>
      <c r="C382" s="223" t="s">
        <v>1583</v>
      </c>
      <c r="D382" s="223" t="s">
        <v>1584</v>
      </c>
      <c r="E382" s="223" t="s">
        <v>1576</v>
      </c>
      <c r="F382" s="223" t="s">
        <v>1620</v>
      </c>
      <c r="G382" s="223">
        <v>1865.23664295248</v>
      </c>
    </row>
    <row r="383" spans="1:7">
      <c r="A383" s="223" t="s">
        <v>1583</v>
      </c>
      <c r="B383" s="223" t="s">
        <v>856</v>
      </c>
      <c r="C383" s="223" t="s">
        <v>1583</v>
      </c>
      <c r="D383" s="223" t="s">
        <v>1584</v>
      </c>
      <c r="E383" s="223" t="s">
        <v>1576</v>
      </c>
      <c r="F383" s="223" t="s">
        <v>1620</v>
      </c>
      <c r="G383" s="223">
        <v>479.34050442800401</v>
      </c>
    </row>
    <row r="384" spans="1:7">
      <c r="A384" s="223" t="s">
        <v>1585</v>
      </c>
      <c r="B384" s="223" t="s">
        <v>856</v>
      </c>
      <c r="C384" s="223" t="s">
        <v>1585</v>
      </c>
      <c r="D384" s="223" t="s">
        <v>1584</v>
      </c>
      <c r="E384" s="223" t="s">
        <v>1576</v>
      </c>
      <c r="F384" s="223" t="s">
        <v>1620</v>
      </c>
      <c r="G384" s="223">
        <v>287.60430265680202</v>
      </c>
    </row>
    <row r="385" spans="1:7">
      <c r="A385" s="223" t="s">
        <v>1588</v>
      </c>
      <c r="B385" s="223" t="s">
        <v>856</v>
      </c>
      <c r="C385" s="223" t="s">
        <v>1588</v>
      </c>
      <c r="D385" s="223" t="s">
        <v>1584</v>
      </c>
      <c r="E385" s="223" t="s">
        <v>1576</v>
      </c>
      <c r="F385" s="223" t="s">
        <v>1620</v>
      </c>
      <c r="G385" s="223">
        <v>159.780168142668</v>
      </c>
    </row>
    <row r="386" spans="1:7">
      <c r="A386" s="223" t="s">
        <v>1583</v>
      </c>
      <c r="B386" s="223" t="s">
        <v>857</v>
      </c>
      <c r="C386" s="223" t="s">
        <v>1583</v>
      </c>
      <c r="D386" s="223" t="s">
        <v>1584</v>
      </c>
      <c r="E386" s="223" t="s">
        <v>1576</v>
      </c>
      <c r="F386" s="223" t="s">
        <v>1620</v>
      </c>
      <c r="G386" s="223">
        <v>908.42386769123402</v>
      </c>
    </row>
    <row r="387" spans="1:7">
      <c r="A387" s="223" t="s">
        <v>1588</v>
      </c>
      <c r="B387" s="223" t="s">
        <v>857</v>
      </c>
      <c r="C387" s="223" t="s">
        <v>1588</v>
      </c>
      <c r="D387" s="223" t="s">
        <v>1584</v>
      </c>
      <c r="E387" s="223" t="s">
        <v>1576</v>
      </c>
      <c r="F387" s="223" t="s">
        <v>1620</v>
      </c>
      <c r="G387" s="223">
        <v>349.39379526585901</v>
      </c>
    </row>
    <row r="388" spans="1:7">
      <c r="A388" s="223" t="s">
        <v>1589</v>
      </c>
      <c r="B388" s="223" t="s">
        <v>857</v>
      </c>
      <c r="C388" s="223" t="s">
        <v>1589</v>
      </c>
      <c r="D388" s="223" t="s">
        <v>1584</v>
      </c>
      <c r="E388" s="223" t="s">
        <v>1576</v>
      </c>
      <c r="F388" s="223" t="s">
        <v>1620</v>
      </c>
      <c r="G388" s="223">
        <v>139.75751810634301</v>
      </c>
    </row>
    <row r="389" spans="1:7">
      <c r="A389" s="223" t="s">
        <v>1583</v>
      </c>
      <c r="B389" s="223" t="s">
        <v>862</v>
      </c>
      <c r="C389" s="223" t="s">
        <v>1583</v>
      </c>
      <c r="D389" s="223" t="s">
        <v>1584</v>
      </c>
      <c r="E389" s="223" t="s">
        <v>1576</v>
      </c>
      <c r="F389" s="223" t="s">
        <v>1620</v>
      </c>
      <c r="G389" s="223">
        <v>260.420511186167</v>
      </c>
    </row>
    <row r="390" spans="1:7">
      <c r="A390" s="223" t="s">
        <v>1583</v>
      </c>
      <c r="B390" s="223" t="s">
        <v>863</v>
      </c>
      <c r="C390" s="223" t="s">
        <v>1583</v>
      </c>
      <c r="D390" s="223" t="s">
        <v>1584</v>
      </c>
      <c r="E390" s="223" t="s">
        <v>1576</v>
      </c>
      <c r="F390" s="223" t="s">
        <v>1620</v>
      </c>
      <c r="G390" s="223">
        <v>741.72970678808804</v>
      </c>
    </row>
    <row r="391" spans="1:7">
      <c r="A391" s="223" t="s">
        <v>1525</v>
      </c>
      <c r="B391" s="223" t="s">
        <v>854</v>
      </c>
      <c r="C391" s="223" t="s">
        <v>1525</v>
      </c>
      <c r="D391" s="223" t="s">
        <v>1526</v>
      </c>
      <c r="E391" s="223" t="s">
        <v>1524</v>
      </c>
      <c r="F391" s="223" t="s">
        <v>1616</v>
      </c>
      <c r="G391" s="223">
        <v>141.08869751819299</v>
      </c>
    </row>
    <row r="392" spans="1:7">
      <c r="A392" s="223" t="s">
        <v>1525</v>
      </c>
      <c r="B392" s="223" t="s">
        <v>861</v>
      </c>
      <c r="C392" s="223" t="s">
        <v>1525</v>
      </c>
      <c r="D392" s="223" t="s">
        <v>1526</v>
      </c>
      <c r="E392" s="223" t="s">
        <v>1524</v>
      </c>
      <c r="F392" s="223" t="s">
        <v>1616</v>
      </c>
      <c r="G392" s="223">
        <v>396.36402642940197</v>
      </c>
    </row>
    <row r="393" spans="1:7">
      <c r="A393" s="223" t="s">
        <v>1525</v>
      </c>
      <c r="B393" s="223" t="s">
        <v>839</v>
      </c>
      <c r="C393" s="223" t="s">
        <v>1525</v>
      </c>
      <c r="D393" s="223" t="s">
        <v>1526</v>
      </c>
      <c r="E393" s="223" t="s">
        <v>1524</v>
      </c>
      <c r="F393" s="223" t="s">
        <v>1617</v>
      </c>
      <c r="G393" s="223">
        <v>10600.0991974684</v>
      </c>
    </row>
    <row r="394" spans="1:7">
      <c r="A394" s="223" t="s">
        <v>1525</v>
      </c>
      <c r="B394" s="223" t="s">
        <v>860</v>
      </c>
      <c r="C394" s="223" t="s">
        <v>1525</v>
      </c>
      <c r="D394" s="223" t="s">
        <v>1526</v>
      </c>
      <c r="E394" s="223" t="s">
        <v>1524</v>
      </c>
      <c r="F394" s="223" t="s">
        <v>1617</v>
      </c>
      <c r="G394" s="223">
        <v>260.86794956630598</v>
      </c>
    </row>
    <row r="395" spans="1:7">
      <c r="A395" s="223" t="s">
        <v>1525</v>
      </c>
      <c r="B395" s="223" t="s">
        <v>861</v>
      </c>
      <c r="C395" s="223" t="s">
        <v>1525</v>
      </c>
      <c r="D395" s="223" t="s">
        <v>1526</v>
      </c>
      <c r="E395" s="223" t="s">
        <v>1524</v>
      </c>
      <c r="F395" s="223" t="s">
        <v>1617</v>
      </c>
      <c r="G395" s="223">
        <v>211.394147429014</v>
      </c>
    </row>
    <row r="396" spans="1:7">
      <c r="A396" s="223" t="s">
        <v>1548</v>
      </c>
      <c r="B396" s="223" t="s">
        <v>917</v>
      </c>
      <c r="C396" s="223" t="s">
        <v>1548</v>
      </c>
      <c r="D396" s="223" t="s">
        <v>1549</v>
      </c>
      <c r="E396" s="223" t="s">
        <v>1543</v>
      </c>
      <c r="F396" s="223" t="s">
        <v>1624</v>
      </c>
      <c r="G396" s="223">
        <v>290.42750762437998</v>
      </c>
    </row>
    <row r="397" spans="1:7">
      <c r="A397" s="223" t="s">
        <v>1548</v>
      </c>
      <c r="B397" s="223" t="s">
        <v>875</v>
      </c>
      <c r="C397" s="223" t="s">
        <v>1548</v>
      </c>
      <c r="D397" s="223" t="s">
        <v>1549</v>
      </c>
      <c r="E397" s="223" t="s">
        <v>1543</v>
      </c>
      <c r="F397" s="223" t="s">
        <v>1621</v>
      </c>
      <c r="G397" s="223">
        <v>684.40158564767796</v>
      </c>
    </row>
    <row r="398" spans="1:7">
      <c r="A398" s="223" t="s">
        <v>1548</v>
      </c>
      <c r="B398" s="223" t="s">
        <v>908</v>
      </c>
      <c r="C398" s="223" t="s">
        <v>1548</v>
      </c>
      <c r="D398" s="223" t="s">
        <v>1549</v>
      </c>
      <c r="E398" s="223" t="s">
        <v>1543</v>
      </c>
      <c r="F398" s="223" t="s">
        <v>1621</v>
      </c>
      <c r="G398" s="223">
        <v>26326.789307311301</v>
      </c>
    </row>
    <row r="399" spans="1:7">
      <c r="A399" s="223" t="s">
        <v>1548</v>
      </c>
      <c r="B399" s="223" t="s">
        <v>875</v>
      </c>
      <c r="C399" s="223" t="s">
        <v>1548</v>
      </c>
      <c r="D399" s="223" t="s">
        <v>1549</v>
      </c>
      <c r="E399" s="223" t="s">
        <v>1543</v>
      </c>
      <c r="F399" s="223" t="s">
        <v>1622</v>
      </c>
      <c r="G399" s="223">
        <v>218.214998322448</v>
      </c>
    </row>
    <row r="400" spans="1:7">
      <c r="A400" s="223" t="s">
        <v>1548</v>
      </c>
      <c r="B400" s="223" t="s">
        <v>849</v>
      </c>
      <c r="C400" s="223" t="s">
        <v>1548</v>
      </c>
      <c r="D400" s="223" t="s">
        <v>1549</v>
      </c>
      <c r="E400" s="223" t="s">
        <v>1543</v>
      </c>
      <c r="F400" s="223" t="s">
        <v>1623</v>
      </c>
      <c r="G400" s="223">
        <v>3611.69642305551</v>
      </c>
    </row>
    <row r="401" spans="1:7">
      <c r="A401" s="223" t="s">
        <v>1548</v>
      </c>
      <c r="B401" s="223" t="s">
        <v>852</v>
      </c>
      <c r="C401" s="223" t="s">
        <v>1548</v>
      </c>
      <c r="D401" s="223" t="s">
        <v>1549</v>
      </c>
      <c r="E401" s="223" t="s">
        <v>1543</v>
      </c>
      <c r="F401" s="223" t="s">
        <v>1623</v>
      </c>
      <c r="G401" s="223">
        <v>4690.5471937797502</v>
      </c>
    </row>
    <row r="402" spans="1:7">
      <c r="A402" s="223" t="s">
        <v>1581</v>
      </c>
      <c r="B402" s="223" t="s">
        <v>917</v>
      </c>
      <c r="C402" s="223" t="s">
        <v>1581</v>
      </c>
      <c r="D402" s="223" t="s">
        <v>1575</v>
      </c>
      <c r="E402" s="223" t="s">
        <v>1576</v>
      </c>
      <c r="F402" s="223" t="s">
        <v>1624</v>
      </c>
      <c r="G402" s="223">
        <v>1045.53902744776</v>
      </c>
    </row>
    <row r="403" spans="1:7">
      <c r="A403" s="223" t="s">
        <v>1577</v>
      </c>
      <c r="B403" s="223" t="s">
        <v>874</v>
      </c>
      <c r="C403" s="223" t="s">
        <v>1577</v>
      </c>
      <c r="D403" s="223" t="s">
        <v>1575</v>
      </c>
      <c r="E403" s="223" t="s">
        <v>1576</v>
      </c>
      <c r="F403" s="223" t="s">
        <v>1660</v>
      </c>
      <c r="G403" s="223">
        <v>576.04243367706999</v>
      </c>
    </row>
    <row r="404" spans="1:7">
      <c r="A404" s="223" t="s">
        <v>1582</v>
      </c>
      <c r="B404" s="223" t="s">
        <v>874</v>
      </c>
      <c r="C404" s="223" t="s">
        <v>1582</v>
      </c>
      <c r="D404" s="223" t="s">
        <v>1575</v>
      </c>
      <c r="E404" s="223" t="s">
        <v>1576</v>
      </c>
      <c r="F404" s="223" t="s">
        <v>1660</v>
      </c>
      <c r="G404" s="223">
        <v>1515.1368213522901</v>
      </c>
    </row>
    <row r="405" spans="1:7">
      <c r="A405" s="223" t="s">
        <v>1582</v>
      </c>
      <c r="B405" s="223" t="s">
        <v>917</v>
      </c>
      <c r="C405" s="223" t="s">
        <v>1582</v>
      </c>
      <c r="D405" s="223" t="s">
        <v>1575</v>
      </c>
      <c r="E405" s="223" t="s">
        <v>1576</v>
      </c>
      <c r="F405" s="223" t="s">
        <v>1613</v>
      </c>
      <c r="G405" s="223">
        <v>174.256504574628</v>
      </c>
    </row>
    <row r="406" spans="1:7">
      <c r="A406" s="223" t="s">
        <v>1577</v>
      </c>
      <c r="B406" s="223" t="s">
        <v>853</v>
      </c>
      <c r="C406" s="223" t="s">
        <v>1577</v>
      </c>
      <c r="D406" s="223" t="s">
        <v>1575</v>
      </c>
      <c r="E406" s="223" t="s">
        <v>1576</v>
      </c>
      <c r="F406" s="223" t="s">
        <v>1613</v>
      </c>
      <c r="G406" s="223">
        <v>320.30881978556903</v>
      </c>
    </row>
    <row r="407" spans="1:7">
      <c r="A407" s="223" t="s">
        <v>1582</v>
      </c>
      <c r="B407" s="223" t="s">
        <v>853</v>
      </c>
      <c r="C407" s="223" t="s">
        <v>1582</v>
      </c>
      <c r="D407" s="223" t="s">
        <v>1575</v>
      </c>
      <c r="E407" s="223" t="s">
        <v>1576</v>
      </c>
      <c r="F407" s="223" t="s">
        <v>1613</v>
      </c>
      <c r="G407" s="223">
        <v>2845.8206680948601</v>
      </c>
    </row>
    <row r="408" spans="1:7">
      <c r="A408" s="223" t="s">
        <v>1582</v>
      </c>
      <c r="B408" s="223" t="s">
        <v>874</v>
      </c>
      <c r="C408" s="223" t="s">
        <v>1582</v>
      </c>
      <c r="D408" s="223" t="s">
        <v>1575</v>
      </c>
      <c r="E408" s="223" t="s">
        <v>1576</v>
      </c>
      <c r="F408" s="223" t="s">
        <v>1613</v>
      </c>
      <c r="G408" s="223">
        <v>517.95412103736498</v>
      </c>
    </row>
    <row r="409" spans="1:7">
      <c r="A409" s="223" t="s">
        <v>1577</v>
      </c>
      <c r="B409" s="223" t="s">
        <v>918</v>
      </c>
      <c r="C409" s="223" t="s">
        <v>1577</v>
      </c>
      <c r="D409" s="223" t="s">
        <v>1575</v>
      </c>
      <c r="E409" s="223" t="s">
        <v>1576</v>
      </c>
      <c r="F409" s="223" t="s">
        <v>1613</v>
      </c>
      <c r="G409" s="223">
        <v>702.02052972016099</v>
      </c>
    </row>
    <row r="410" spans="1:7">
      <c r="A410" s="223" t="s">
        <v>1582</v>
      </c>
      <c r="B410" s="223" t="s">
        <v>918</v>
      </c>
      <c r="C410" s="223" t="s">
        <v>1582</v>
      </c>
      <c r="D410" s="223" t="s">
        <v>1575</v>
      </c>
      <c r="E410" s="223" t="s">
        <v>1576</v>
      </c>
      <c r="F410" s="223" t="s">
        <v>1613</v>
      </c>
      <c r="G410" s="223">
        <v>2661.6892122091399</v>
      </c>
    </row>
    <row r="411" spans="1:7">
      <c r="A411" s="223" t="s">
        <v>1581</v>
      </c>
      <c r="B411" s="223" t="s">
        <v>853</v>
      </c>
      <c r="C411" s="223" t="s">
        <v>1581</v>
      </c>
      <c r="D411" s="223" t="s">
        <v>1575</v>
      </c>
      <c r="E411" s="223" t="s">
        <v>1576</v>
      </c>
      <c r="F411" s="223" t="s">
        <v>1614</v>
      </c>
      <c r="G411" s="223">
        <v>8048.7988277545001</v>
      </c>
    </row>
    <row r="412" spans="1:7">
      <c r="A412" s="223" t="s">
        <v>1582</v>
      </c>
      <c r="B412" s="223" t="s">
        <v>853</v>
      </c>
      <c r="C412" s="223" t="s">
        <v>1582</v>
      </c>
      <c r="D412" s="223" t="s">
        <v>1575</v>
      </c>
      <c r="E412" s="223" t="s">
        <v>1576</v>
      </c>
      <c r="F412" s="223" t="s">
        <v>1614</v>
      </c>
      <c r="G412" s="223">
        <v>997.88516933196604</v>
      </c>
    </row>
    <row r="413" spans="1:7">
      <c r="A413" s="223" t="s">
        <v>1581</v>
      </c>
      <c r="B413" s="223" t="s">
        <v>874</v>
      </c>
      <c r="C413" s="223" t="s">
        <v>1581</v>
      </c>
      <c r="D413" s="223" t="s">
        <v>1575</v>
      </c>
      <c r="E413" s="223" t="s">
        <v>1576</v>
      </c>
      <c r="F413" s="223" t="s">
        <v>1614</v>
      </c>
      <c r="G413" s="223">
        <v>561.52035551714403</v>
      </c>
    </row>
    <row r="414" spans="1:7">
      <c r="A414" s="223" t="s">
        <v>1581</v>
      </c>
      <c r="B414" s="223" t="s">
        <v>918</v>
      </c>
      <c r="C414" s="223" t="s">
        <v>1581</v>
      </c>
      <c r="D414" s="223" t="s">
        <v>1575</v>
      </c>
      <c r="E414" s="223" t="s">
        <v>1576</v>
      </c>
      <c r="F414" s="223" t="s">
        <v>1614</v>
      </c>
      <c r="G414" s="223">
        <v>9709.0803376019503</v>
      </c>
    </row>
    <row r="415" spans="1:7">
      <c r="A415" s="223" t="s">
        <v>1582</v>
      </c>
      <c r="B415" s="223" t="s">
        <v>918</v>
      </c>
      <c r="C415" s="223" t="s">
        <v>1582</v>
      </c>
      <c r="D415" s="223" t="s">
        <v>1575</v>
      </c>
      <c r="E415" s="223" t="s">
        <v>1576</v>
      </c>
      <c r="F415" s="223" t="s">
        <v>1614</v>
      </c>
      <c r="G415" s="223">
        <v>1483.8917358065901</v>
      </c>
    </row>
    <row r="416" spans="1:7">
      <c r="A416" s="223" t="s">
        <v>1581</v>
      </c>
      <c r="B416" s="223" t="s">
        <v>875</v>
      </c>
      <c r="C416" s="223" t="s">
        <v>1581</v>
      </c>
      <c r="D416" s="223" t="s">
        <v>1575</v>
      </c>
      <c r="E416" s="223" t="s">
        <v>1576</v>
      </c>
      <c r="F416" s="223" t="s">
        <v>1614</v>
      </c>
      <c r="G416" s="223">
        <v>2688.01202479015</v>
      </c>
    </row>
    <row r="417" spans="1:7">
      <c r="A417" s="223" t="s">
        <v>1582</v>
      </c>
      <c r="B417" s="223" t="s">
        <v>875</v>
      </c>
      <c r="C417" s="223" t="s">
        <v>1582</v>
      </c>
      <c r="D417" s="223" t="s">
        <v>1575</v>
      </c>
      <c r="E417" s="223" t="s">
        <v>1576</v>
      </c>
      <c r="F417" s="223" t="s">
        <v>1614</v>
      </c>
      <c r="G417" s="223">
        <v>1200.1824907734599</v>
      </c>
    </row>
    <row r="418" spans="1:7">
      <c r="A418" s="223" t="s">
        <v>1582</v>
      </c>
      <c r="B418" s="223" t="s">
        <v>908</v>
      </c>
      <c r="C418" s="223" t="s">
        <v>1582</v>
      </c>
      <c r="D418" s="223" t="s">
        <v>1575</v>
      </c>
      <c r="E418" s="223" t="s">
        <v>1576</v>
      </c>
      <c r="F418" s="223" t="s">
        <v>1614</v>
      </c>
      <c r="G418" s="223">
        <v>835.77104490030501</v>
      </c>
    </row>
    <row r="419" spans="1:7">
      <c r="A419" s="223" t="s">
        <v>1581</v>
      </c>
      <c r="B419" s="223" t="s">
        <v>917</v>
      </c>
      <c r="C419" s="223" t="s">
        <v>1581</v>
      </c>
      <c r="D419" s="223" t="s">
        <v>1575</v>
      </c>
      <c r="E419" s="223" t="s">
        <v>1576</v>
      </c>
      <c r="F419" s="223" t="s">
        <v>1615</v>
      </c>
      <c r="G419" s="223">
        <v>232.342006099504</v>
      </c>
    </row>
    <row r="420" spans="1:7">
      <c r="A420" s="223" t="s">
        <v>1574</v>
      </c>
      <c r="B420" s="223" t="s">
        <v>853</v>
      </c>
      <c r="C420" s="223" t="s">
        <v>1574</v>
      </c>
      <c r="D420" s="223" t="s">
        <v>1575</v>
      </c>
      <c r="E420" s="223" t="s">
        <v>1576</v>
      </c>
      <c r="F420" s="223" t="s">
        <v>1615</v>
      </c>
      <c r="G420" s="223">
        <v>229.96530651271601</v>
      </c>
    </row>
    <row r="421" spans="1:7">
      <c r="A421" s="223" t="s">
        <v>1577</v>
      </c>
      <c r="B421" s="223" t="s">
        <v>853</v>
      </c>
      <c r="C421" s="223" t="s">
        <v>1577</v>
      </c>
      <c r="D421" s="223" t="s">
        <v>1575</v>
      </c>
      <c r="E421" s="223" t="s">
        <v>1576</v>
      </c>
      <c r="F421" s="223" t="s">
        <v>1615</v>
      </c>
      <c r="G421" s="223">
        <v>1018.41778598488</v>
      </c>
    </row>
    <row r="422" spans="1:7">
      <c r="A422" s="223" t="s">
        <v>1581</v>
      </c>
      <c r="B422" s="223" t="s">
        <v>853</v>
      </c>
      <c r="C422" s="223" t="s">
        <v>1581</v>
      </c>
      <c r="D422" s="223" t="s">
        <v>1575</v>
      </c>
      <c r="E422" s="223" t="s">
        <v>1576</v>
      </c>
      <c r="F422" s="223" t="s">
        <v>1615</v>
      </c>
      <c r="G422" s="223">
        <v>4936.0410433622301</v>
      </c>
    </row>
    <row r="423" spans="1:7">
      <c r="A423" s="223" t="s">
        <v>1582</v>
      </c>
      <c r="B423" s="223" t="s">
        <v>853</v>
      </c>
      <c r="C423" s="223" t="s">
        <v>1582</v>
      </c>
      <c r="D423" s="223" t="s">
        <v>1575</v>
      </c>
      <c r="E423" s="223" t="s">
        <v>1576</v>
      </c>
      <c r="F423" s="223" t="s">
        <v>1615</v>
      </c>
      <c r="G423" s="223">
        <v>2603.5357915903901</v>
      </c>
    </row>
    <row r="424" spans="1:7">
      <c r="A424" s="223" t="s">
        <v>1574</v>
      </c>
      <c r="B424" s="223" t="s">
        <v>874</v>
      </c>
      <c r="C424" s="223" t="s">
        <v>1574</v>
      </c>
      <c r="D424" s="223" t="s">
        <v>1575</v>
      </c>
      <c r="E424" s="223" t="s">
        <v>1576</v>
      </c>
      <c r="F424" s="223" t="s">
        <v>1615</v>
      </c>
      <c r="G424" s="223">
        <v>106.49523983945799</v>
      </c>
    </row>
    <row r="425" spans="1:7">
      <c r="A425" s="223" t="s">
        <v>1581</v>
      </c>
      <c r="B425" s="223" t="s">
        <v>874</v>
      </c>
      <c r="C425" s="223" t="s">
        <v>1581</v>
      </c>
      <c r="D425" s="223" t="s">
        <v>1575</v>
      </c>
      <c r="E425" s="223" t="s">
        <v>1576</v>
      </c>
      <c r="F425" s="223" t="s">
        <v>1615</v>
      </c>
      <c r="G425" s="223">
        <v>546.99827735721794</v>
      </c>
    </row>
    <row r="426" spans="1:7">
      <c r="A426" s="223" t="s">
        <v>1582</v>
      </c>
      <c r="B426" s="223" t="s">
        <v>874</v>
      </c>
      <c r="C426" s="223" t="s">
        <v>1582</v>
      </c>
      <c r="D426" s="223" t="s">
        <v>1575</v>
      </c>
      <c r="E426" s="223" t="s">
        <v>1576</v>
      </c>
      <c r="F426" s="223" t="s">
        <v>1615</v>
      </c>
      <c r="G426" s="223">
        <v>338.848490398276</v>
      </c>
    </row>
    <row r="427" spans="1:7">
      <c r="A427" s="223" t="s">
        <v>1574</v>
      </c>
      <c r="B427" s="223" t="s">
        <v>918</v>
      </c>
      <c r="C427" s="223" t="s">
        <v>1574</v>
      </c>
      <c r="D427" s="223" t="s">
        <v>1575</v>
      </c>
      <c r="E427" s="223" t="s">
        <v>1576</v>
      </c>
      <c r="F427" s="223" t="s">
        <v>1615</v>
      </c>
      <c r="G427" s="223">
        <v>256.18758667512901</v>
      </c>
    </row>
    <row r="428" spans="1:7">
      <c r="A428" s="223" t="s">
        <v>1577</v>
      </c>
      <c r="B428" s="223" t="s">
        <v>918</v>
      </c>
      <c r="C428" s="223" t="s">
        <v>1577</v>
      </c>
      <c r="D428" s="223" t="s">
        <v>1575</v>
      </c>
      <c r="E428" s="223" t="s">
        <v>1576</v>
      </c>
      <c r="F428" s="223" t="s">
        <v>1615</v>
      </c>
      <c r="G428" s="223">
        <v>655.44096850650101</v>
      </c>
    </row>
    <row r="429" spans="1:7">
      <c r="A429" s="223" t="s">
        <v>1581</v>
      </c>
      <c r="B429" s="223" t="s">
        <v>918</v>
      </c>
      <c r="C429" s="223" t="s">
        <v>1581</v>
      </c>
      <c r="D429" s="223" t="s">
        <v>1575</v>
      </c>
      <c r="E429" s="223" t="s">
        <v>1576</v>
      </c>
      <c r="F429" s="223" t="s">
        <v>1615</v>
      </c>
      <c r="G429" s="223">
        <v>2428.7914061408401</v>
      </c>
    </row>
    <row r="430" spans="1:7">
      <c r="A430" s="223" t="s">
        <v>1582</v>
      </c>
      <c r="B430" s="223" t="s">
        <v>918</v>
      </c>
      <c r="C430" s="223" t="s">
        <v>1582</v>
      </c>
      <c r="D430" s="223" t="s">
        <v>1575</v>
      </c>
      <c r="E430" s="223" t="s">
        <v>1576</v>
      </c>
      <c r="F430" s="223" t="s">
        <v>1615</v>
      </c>
      <c r="G430" s="223">
        <v>1294.2463794366899</v>
      </c>
    </row>
    <row r="431" spans="1:7">
      <c r="A431" s="223" t="s">
        <v>1574</v>
      </c>
      <c r="B431" s="223" t="s">
        <v>875</v>
      </c>
      <c r="C431" s="223" t="s">
        <v>1574</v>
      </c>
      <c r="D431" s="223" t="s">
        <v>1575</v>
      </c>
      <c r="E431" s="223" t="s">
        <v>1576</v>
      </c>
      <c r="F431" s="223" t="s">
        <v>1615</v>
      </c>
      <c r="G431" s="223">
        <v>267.80931612300401</v>
      </c>
    </row>
    <row r="432" spans="1:7">
      <c r="A432" s="223" t="s">
        <v>1577</v>
      </c>
      <c r="B432" s="223" t="s">
        <v>875</v>
      </c>
      <c r="C432" s="223" t="s">
        <v>1577</v>
      </c>
      <c r="D432" s="223" t="s">
        <v>1575</v>
      </c>
      <c r="E432" s="223" t="s">
        <v>1576</v>
      </c>
      <c r="F432" s="223" t="s">
        <v>1615</v>
      </c>
      <c r="G432" s="223">
        <v>843.10340260945895</v>
      </c>
    </row>
    <row r="433" spans="1:7">
      <c r="A433" s="223" t="s">
        <v>1581</v>
      </c>
      <c r="B433" s="223" t="s">
        <v>875</v>
      </c>
      <c r="C433" s="223" t="s">
        <v>1581</v>
      </c>
      <c r="D433" s="223" t="s">
        <v>1575</v>
      </c>
      <c r="E433" s="223" t="s">
        <v>1576</v>
      </c>
      <c r="F433" s="223" t="s">
        <v>1615</v>
      </c>
      <c r="G433" s="223">
        <v>2717.7686154704902</v>
      </c>
    </row>
    <row r="434" spans="1:7">
      <c r="A434" s="223" t="s">
        <v>1582</v>
      </c>
      <c r="B434" s="223" t="s">
        <v>875</v>
      </c>
      <c r="C434" s="223" t="s">
        <v>1582</v>
      </c>
      <c r="D434" s="223" t="s">
        <v>1575</v>
      </c>
      <c r="E434" s="223" t="s">
        <v>1576</v>
      </c>
      <c r="F434" s="223" t="s">
        <v>1615</v>
      </c>
      <c r="G434" s="223">
        <v>1914.34066710147</v>
      </c>
    </row>
    <row r="435" spans="1:7">
      <c r="A435" s="223" t="s">
        <v>1574</v>
      </c>
      <c r="B435" s="223" t="s">
        <v>874</v>
      </c>
      <c r="C435" s="223" t="s">
        <v>1574</v>
      </c>
      <c r="D435" s="223" t="s">
        <v>1575</v>
      </c>
      <c r="E435" s="223" t="s">
        <v>1576</v>
      </c>
      <c r="F435" s="223" t="s">
        <v>1630</v>
      </c>
      <c r="G435" s="223">
        <v>174.26493791911301</v>
      </c>
    </row>
    <row r="436" spans="1:7">
      <c r="A436" s="223" t="s">
        <v>1577</v>
      </c>
      <c r="B436" s="223" t="s">
        <v>849</v>
      </c>
      <c r="C436" s="223" t="s">
        <v>1577</v>
      </c>
      <c r="D436" s="223" t="s">
        <v>1575</v>
      </c>
      <c r="E436" s="223" t="s">
        <v>1576</v>
      </c>
      <c r="F436" s="223" t="s">
        <v>1616</v>
      </c>
      <c r="G436" s="223">
        <v>521.80316593719795</v>
      </c>
    </row>
    <row r="437" spans="1:7">
      <c r="A437" s="223" t="s">
        <v>1577</v>
      </c>
      <c r="B437" s="223" t="s">
        <v>851</v>
      </c>
      <c r="C437" s="223" t="s">
        <v>1577</v>
      </c>
      <c r="D437" s="223" t="s">
        <v>1575</v>
      </c>
      <c r="E437" s="223" t="s">
        <v>1576</v>
      </c>
      <c r="F437" s="223" t="s">
        <v>1616</v>
      </c>
      <c r="G437" s="223">
        <v>159.57516036124699</v>
      </c>
    </row>
    <row r="438" spans="1:7">
      <c r="A438" s="223" t="s">
        <v>1577</v>
      </c>
      <c r="B438" s="223" t="s">
        <v>854</v>
      </c>
      <c r="C438" s="223" t="s">
        <v>1577</v>
      </c>
      <c r="D438" s="223" t="s">
        <v>1575</v>
      </c>
      <c r="E438" s="223" t="s">
        <v>1576</v>
      </c>
      <c r="F438" s="223" t="s">
        <v>1616</v>
      </c>
      <c r="G438" s="223">
        <v>1754.4072821827499</v>
      </c>
    </row>
    <row r="439" spans="1:7">
      <c r="A439" s="223" t="s">
        <v>1577</v>
      </c>
      <c r="B439" s="223" t="s">
        <v>859</v>
      </c>
      <c r="C439" s="223" t="s">
        <v>1577</v>
      </c>
      <c r="D439" s="223" t="s">
        <v>1575</v>
      </c>
      <c r="E439" s="223" t="s">
        <v>1576</v>
      </c>
      <c r="F439" s="223" t="s">
        <v>1616</v>
      </c>
      <c r="G439" s="223">
        <v>170.55145026515899</v>
      </c>
    </row>
    <row r="440" spans="1:7">
      <c r="A440" s="223" t="s">
        <v>1577</v>
      </c>
      <c r="B440" s="223" t="s">
        <v>860</v>
      </c>
      <c r="C440" s="223" t="s">
        <v>1577</v>
      </c>
      <c r="D440" s="223" t="s">
        <v>1575</v>
      </c>
      <c r="E440" s="223" t="s">
        <v>1576</v>
      </c>
      <c r="F440" s="223" t="s">
        <v>1616</v>
      </c>
      <c r="G440" s="223">
        <v>931.67124845109197</v>
      </c>
    </row>
    <row r="441" spans="1:7">
      <c r="A441" s="223" t="s">
        <v>1574</v>
      </c>
      <c r="B441" s="223" t="s">
        <v>861</v>
      </c>
      <c r="C441" s="223" t="s">
        <v>1574</v>
      </c>
      <c r="D441" s="223" t="s">
        <v>1575</v>
      </c>
      <c r="E441" s="223" t="s">
        <v>1576</v>
      </c>
      <c r="F441" s="223" t="s">
        <v>1616</v>
      </c>
      <c r="G441" s="223">
        <v>264.242684286268</v>
      </c>
    </row>
    <row r="442" spans="1:7">
      <c r="A442" s="223" t="s">
        <v>1577</v>
      </c>
      <c r="B442" s="223" t="s">
        <v>861</v>
      </c>
      <c r="C442" s="223" t="s">
        <v>1577</v>
      </c>
      <c r="D442" s="223" t="s">
        <v>1575</v>
      </c>
      <c r="E442" s="223" t="s">
        <v>1576</v>
      </c>
      <c r="F442" s="223" t="s">
        <v>1616</v>
      </c>
      <c r="G442" s="223">
        <v>924.84939500193798</v>
      </c>
    </row>
    <row r="443" spans="1:7">
      <c r="A443" s="223" t="s">
        <v>1574</v>
      </c>
      <c r="B443" s="223" t="s">
        <v>862</v>
      </c>
      <c r="C443" s="223" t="s">
        <v>1574</v>
      </c>
      <c r="D443" s="223" t="s">
        <v>1575</v>
      </c>
      <c r="E443" s="223" t="s">
        <v>1576</v>
      </c>
      <c r="F443" s="223" t="s">
        <v>1616</v>
      </c>
      <c r="G443" s="223">
        <v>746.86637170372603</v>
      </c>
    </row>
    <row r="444" spans="1:7">
      <c r="A444" s="223" t="s">
        <v>1577</v>
      </c>
      <c r="B444" s="223" t="s">
        <v>862</v>
      </c>
      <c r="C444" s="223" t="s">
        <v>1577</v>
      </c>
      <c r="D444" s="223" t="s">
        <v>1575</v>
      </c>
      <c r="E444" s="223" t="s">
        <v>1576</v>
      </c>
      <c r="F444" s="223" t="s">
        <v>1616</v>
      </c>
      <c r="G444" s="223">
        <v>1179.26269216377</v>
      </c>
    </row>
    <row r="445" spans="1:7">
      <c r="A445" s="223" t="s">
        <v>1577</v>
      </c>
      <c r="B445" s="223" t="s">
        <v>839</v>
      </c>
      <c r="C445" s="223" t="s">
        <v>1577</v>
      </c>
      <c r="D445" s="223" t="s">
        <v>1575</v>
      </c>
      <c r="E445" s="223" t="s">
        <v>1576</v>
      </c>
      <c r="F445" s="223" t="s">
        <v>1642</v>
      </c>
      <c r="G445" s="223">
        <v>268.47225114472599</v>
      </c>
    </row>
    <row r="446" spans="1:7">
      <c r="A446" s="223" t="s">
        <v>1577</v>
      </c>
      <c r="B446" s="223" t="s">
        <v>851</v>
      </c>
      <c r="C446" s="223" t="s">
        <v>1577</v>
      </c>
      <c r="D446" s="223" t="s">
        <v>1575</v>
      </c>
      <c r="E446" s="223" t="s">
        <v>1576</v>
      </c>
      <c r="F446" s="223" t="s">
        <v>1642</v>
      </c>
      <c r="G446" s="223">
        <v>118.052719742161</v>
      </c>
    </row>
    <row r="447" spans="1:7">
      <c r="A447" s="223" t="s">
        <v>1577</v>
      </c>
      <c r="B447" s="223" t="s">
        <v>856</v>
      </c>
      <c r="C447" s="223" t="s">
        <v>1577</v>
      </c>
      <c r="D447" s="223" t="s">
        <v>1575</v>
      </c>
      <c r="E447" s="223" t="s">
        <v>1576</v>
      </c>
      <c r="F447" s="223" t="s">
        <v>1642</v>
      </c>
      <c r="G447" s="223">
        <v>447.38447079947002</v>
      </c>
    </row>
    <row r="448" spans="1:7">
      <c r="A448" s="223" t="s">
        <v>1577</v>
      </c>
      <c r="B448" s="223" t="s">
        <v>860</v>
      </c>
      <c r="C448" s="223" t="s">
        <v>1577</v>
      </c>
      <c r="D448" s="223" t="s">
        <v>1575</v>
      </c>
      <c r="E448" s="223" t="s">
        <v>1576</v>
      </c>
      <c r="F448" s="223" t="s">
        <v>1642</v>
      </c>
      <c r="G448" s="223">
        <v>4826.0570669766603</v>
      </c>
    </row>
    <row r="449" spans="1:7">
      <c r="A449" s="223" t="s">
        <v>1577</v>
      </c>
      <c r="B449" s="223" t="s">
        <v>861</v>
      </c>
      <c r="C449" s="223" t="s">
        <v>1577</v>
      </c>
      <c r="D449" s="223" t="s">
        <v>1575</v>
      </c>
      <c r="E449" s="223" t="s">
        <v>1576</v>
      </c>
      <c r="F449" s="223" t="s">
        <v>1642</v>
      </c>
      <c r="G449" s="223">
        <v>2616.0025744340501</v>
      </c>
    </row>
    <row r="450" spans="1:7">
      <c r="A450" s="223" t="s">
        <v>1577</v>
      </c>
      <c r="B450" s="223" t="s">
        <v>839</v>
      </c>
      <c r="C450" s="223" t="s">
        <v>1577</v>
      </c>
      <c r="D450" s="223" t="s">
        <v>1575</v>
      </c>
      <c r="E450" s="223" t="s">
        <v>1576</v>
      </c>
      <c r="F450" s="223" t="s">
        <v>1617</v>
      </c>
      <c r="G450" s="223">
        <v>2049.9449006898199</v>
      </c>
    </row>
    <row r="451" spans="1:7">
      <c r="A451" s="223" t="s">
        <v>1577</v>
      </c>
      <c r="B451" s="223" t="s">
        <v>856</v>
      </c>
      <c r="C451" s="223" t="s">
        <v>1577</v>
      </c>
      <c r="D451" s="223" t="s">
        <v>1575</v>
      </c>
      <c r="E451" s="223" t="s">
        <v>1576</v>
      </c>
      <c r="F451" s="223" t="s">
        <v>1617</v>
      </c>
      <c r="G451" s="223">
        <v>543.25257168507096</v>
      </c>
    </row>
    <row r="452" spans="1:7">
      <c r="A452" s="223" t="s">
        <v>1577</v>
      </c>
      <c r="B452" s="223" t="s">
        <v>860</v>
      </c>
      <c r="C452" s="223" t="s">
        <v>1577</v>
      </c>
      <c r="D452" s="223" t="s">
        <v>1575</v>
      </c>
      <c r="E452" s="223" t="s">
        <v>1576</v>
      </c>
      <c r="F452" s="223" t="s">
        <v>1617</v>
      </c>
      <c r="G452" s="223">
        <v>2161.4772964065301</v>
      </c>
    </row>
    <row r="453" spans="1:7">
      <c r="A453" s="223" t="s">
        <v>1577</v>
      </c>
      <c r="B453" s="223" t="s">
        <v>861</v>
      </c>
      <c r="C453" s="223" t="s">
        <v>1577</v>
      </c>
      <c r="D453" s="223" t="s">
        <v>1575</v>
      </c>
      <c r="E453" s="223" t="s">
        <v>1576</v>
      </c>
      <c r="F453" s="223" t="s">
        <v>1617</v>
      </c>
      <c r="G453" s="223">
        <v>422.78829485802902</v>
      </c>
    </row>
    <row r="454" spans="1:7">
      <c r="A454" s="223" t="s">
        <v>1577</v>
      </c>
      <c r="B454" s="223" t="s">
        <v>849</v>
      </c>
      <c r="C454" s="223" t="s">
        <v>1577</v>
      </c>
      <c r="D454" s="223" t="s">
        <v>1575</v>
      </c>
      <c r="E454" s="223" t="s">
        <v>1576</v>
      </c>
      <c r="F454" s="223" t="s">
        <v>1619</v>
      </c>
      <c r="G454" s="223">
        <v>122.777215514635</v>
      </c>
    </row>
    <row r="455" spans="1:7">
      <c r="A455" s="223" t="s">
        <v>1577</v>
      </c>
      <c r="B455" s="223" t="s">
        <v>852</v>
      </c>
      <c r="C455" s="223" t="s">
        <v>1577</v>
      </c>
      <c r="D455" s="223" t="s">
        <v>1575</v>
      </c>
      <c r="E455" s="223" t="s">
        <v>1576</v>
      </c>
      <c r="F455" s="223" t="s">
        <v>1619</v>
      </c>
      <c r="G455" s="223">
        <v>1061.5448912238301</v>
      </c>
    </row>
    <row r="456" spans="1:7">
      <c r="A456" s="223" t="s">
        <v>1577</v>
      </c>
      <c r="B456" s="223" t="s">
        <v>854</v>
      </c>
      <c r="C456" s="223" t="s">
        <v>1577</v>
      </c>
      <c r="D456" s="223" t="s">
        <v>1575</v>
      </c>
      <c r="E456" s="223" t="s">
        <v>1576</v>
      </c>
      <c r="F456" s="223" t="s">
        <v>1619</v>
      </c>
      <c r="G456" s="223">
        <v>1104.17241535977</v>
      </c>
    </row>
    <row r="457" spans="1:7">
      <c r="A457" s="223" t="s">
        <v>1577</v>
      </c>
      <c r="B457" s="223" t="s">
        <v>856</v>
      </c>
      <c r="C457" s="223" t="s">
        <v>1577</v>
      </c>
      <c r="D457" s="223" t="s">
        <v>1575</v>
      </c>
      <c r="E457" s="223" t="s">
        <v>1576</v>
      </c>
      <c r="F457" s="223" t="s">
        <v>1619</v>
      </c>
      <c r="G457" s="223">
        <v>2876.0430265680202</v>
      </c>
    </row>
    <row r="458" spans="1:7">
      <c r="A458" s="223" t="s">
        <v>1574</v>
      </c>
      <c r="B458" s="223" t="s">
        <v>857</v>
      </c>
      <c r="C458" s="223" t="s">
        <v>1574</v>
      </c>
      <c r="D458" s="223" t="s">
        <v>1575</v>
      </c>
      <c r="E458" s="223" t="s">
        <v>1576</v>
      </c>
      <c r="F458" s="223" t="s">
        <v>1619</v>
      </c>
      <c r="G458" s="223">
        <v>349.39379526585901</v>
      </c>
    </row>
    <row r="459" spans="1:7">
      <c r="A459" s="223" t="s">
        <v>1577</v>
      </c>
      <c r="B459" s="223" t="s">
        <v>857</v>
      </c>
      <c r="C459" s="223" t="s">
        <v>1577</v>
      </c>
      <c r="D459" s="223" t="s">
        <v>1575</v>
      </c>
      <c r="E459" s="223" t="s">
        <v>1576</v>
      </c>
      <c r="F459" s="223" t="s">
        <v>1619</v>
      </c>
      <c r="G459" s="223">
        <v>5380.6644470942301</v>
      </c>
    </row>
    <row r="460" spans="1:7">
      <c r="A460" s="223" t="s">
        <v>1574</v>
      </c>
      <c r="B460" s="223" t="s">
        <v>858</v>
      </c>
      <c r="C460" s="223" t="s">
        <v>1574</v>
      </c>
      <c r="D460" s="223" t="s">
        <v>1575</v>
      </c>
      <c r="E460" s="223" t="s">
        <v>1576</v>
      </c>
      <c r="F460" s="223" t="s">
        <v>1619</v>
      </c>
      <c r="G460" s="223">
        <v>128.66649449252901</v>
      </c>
    </row>
    <row r="461" spans="1:7">
      <c r="A461" s="223" t="s">
        <v>1577</v>
      </c>
      <c r="B461" s="223" t="s">
        <v>858</v>
      </c>
      <c r="C461" s="223" t="s">
        <v>1577</v>
      </c>
      <c r="D461" s="223" t="s">
        <v>1575</v>
      </c>
      <c r="E461" s="223" t="s">
        <v>1576</v>
      </c>
      <c r="F461" s="223" t="s">
        <v>1619</v>
      </c>
      <c r="G461" s="223">
        <v>2488.8925028398498</v>
      </c>
    </row>
    <row r="462" spans="1:7">
      <c r="A462" s="223" t="s">
        <v>1574</v>
      </c>
      <c r="B462" s="223" t="s">
        <v>859</v>
      </c>
      <c r="C462" s="223" t="s">
        <v>1574</v>
      </c>
      <c r="D462" s="223" t="s">
        <v>1575</v>
      </c>
      <c r="E462" s="223" t="s">
        <v>1576</v>
      </c>
      <c r="F462" s="223" t="s">
        <v>1619</v>
      </c>
      <c r="G462" s="223">
        <v>170.55145026515899</v>
      </c>
    </row>
    <row r="463" spans="1:7">
      <c r="A463" s="223" t="s">
        <v>1577</v>
      </c>
      <c r="B463" s="223" t="s">
        <v>859</v>
      </c>
      <c r="C463" s="223" t="s">
        <v>1577</v>
      </c>
      <c r="D463" s="223" t="s">
        <v>1575</v>
      </c>
      <c r="E463" s="223" t="s">
        <v>1576</v>
      </c>
      <c r="F463" s="223" t="s">
        <v>1619</v>
      </c>
      <c r="G463" s="223">
        <v>2188.7436117362099</v>
      </c>
    </row>
    <row r="464" spans="1:7">
      <c r="A464" s="223" t="s">
        <v>1577</v>
      </c>
      <c r="B464" s="223" t="s">
        <v>862</v>
      </c>
      <c r="C464" s="223" t="s">
        <v>1577</v>
      </c>
      <c r="D464" s="223" t="s">
        <v>1575</v>
      </c>
      <c r="E464" s="223" t="s">
        <v>1576</v>
      </c>
      <c r="F464" s="223" t="s">
        <v>1619</v>
      </c>
      <c r="G464" s="223">
        <v>358.692402199816</v>
      </c>
    </row>
    <row r="465" spans="1:7">
      <c r="A465" s="223" t="s">
        <v>1577</v>
      </c>
      <c r="B465" s="223" t="s">
        <v>863</v>
      </c>
      <c r="C465" s="223" t="s">
        <v>1577</v>
      </c>
      <c r="D465" s="223" t="s">
        <v>1575</v>
      </c>
      <c r="E465" s="223" t="s">
        <v>1576</v>
      </c>
      <c r="F465" s="223" t="s">
        <v>1619</v>
      </c>
      <c r="G465" s="223">
        <v>3855.7001569597101</v>
      </c>
    </row>
    <row r="466" spans="1:7">
      <c r="A466" s="223" t="s">
        <v>1577</v>
      </c>
      <c r="B466" s="223" t="s">
        <v>849</v>
      </c>
      <c r="C466" s="223" t="s">
        <v>1577</v>
      </c>
      <c r="D466" s="223" t="s">
        <v>1575</v>
      </c>
      <c r="E466" s="223" t="s">
        <v>1576</v>
      </c>
      <c r="F466" s="223" t="s">
        <v>1620</v>
      </c>
      <c r="G466" s="223">
        <v>480.87742743232002</v>
      </c>
    </row>
    <row r="467" spans="1:7">
      <c r="A467" s="223" t="s">
        <v>1577</v>
      </c>
      <c r="B467" s="223" t="s">
        <v>855</v>
      </c>
      <c r="C467" s="223" t="s">
        <v>1577</v>
      </c>
      <c r="D467" s="223" t="s">
        <v>1575</v>
      </c>
      <c r="E467" s="223" t="s">
        <v>1576</v>
      </c>
      <c r="F467" s="223" t="s">
        <v>1620</v>
      </c>
      <c r="G467" s="223">
        <v>174.865935276795</v>
      </c>
    </row>
    <row r="468" spans="1:7">
      <c r="A468" s="223" t="s">
        <v>1577</v>
      </c>
      <c r="B468" s="223" t="s">
        <v>863</v>
      </c>
      <c r="C468" s="223" t="s">
        <v>1577</v>
      </c>
      <c r="D468" s="223" t="s">
        <v>1575</v>
      </c>
      <c r="E468" s="223" t="s">
        <v>1576</v>
      </c>
      <c r="F468" s="223" t="s">
        <v>1620</v>
      </c>
      <c r="G468" s="223">
        <v>891.36996945096996</v>
      </c>
    </row>
    <row r="469" spans="1:7">
      <c r="A469" s="223" t="s">
        <v>1595</v>
      </c>
      <c r="B469" s="223" t="s">
        <v>917</v>
      </c>
      <c r="C469" s="223" t="s">
        <v>1595</v>
      </c>
      <c r="D469" s="223" t="s">
        <v>1596</v>
      </c>
      <c r="E469" s="223" t="s">
        <v>1597</v>
      </c>
      <c r="F469" s="223" t="s">
        <v>1624</v>
      </c>
      <c r="G469" s="223">
        <v>290.42750762437998</v>
      </c>
    </row>
    <row r="470" spans="1:7">
      <c r="A470" s="223" t="s">
        <v>1595</v>
      </c>
      <c r="B470" s="223" t="s">
        <v>917</v>
      </c>
      <c r="C470" s="223" t="s">
        <v>1595</v>
      </c>
      <c r="D470" s="223" t="s">
        <v>1596</v>
      </c>
      <c r="E470" s="223" t="s">
        <v>1597</v>
      </c>
      <c r="F470" s="223" t="s">
        <v>1613</v>
      </c>
      <c r="G470" s="223">
        <v>697.02601829851199</v>
      </c>
    </row>
    <row r="471" spans="1:7">
      <c r="A471" s="223" t="s">
        <v>1595</v>
      </c>
      <c r="B471" s="223" t="s">
        <v>853</v>
      </c>
      <c r="C471" s="223" t="s">
        <v>1595</v>
      </c>
      <c r="D471" s="223" t="s">
        <v>1596</v>
      </c>
      <c r="E471" s="223" t="s">
        <v>1597</v>
      </c>
      <c r="F471" s="223" t="s">
        <v>1613</v>
      </c>
      <c r="G471" s="223">
        <v>12282.6112407121</v>
      </c>
    </row>
    <row r="472" spans="1:7">
      <c r="A472" s="223" t="s">
        <v>1595</v>
      </c>
      <c r="B472" s="223" t="s">
        <v>874</v>
      </c>
      <c r="C472" s="223" t="s">
        <v>1595</v>
      </c>
      <c r="D472" s="223" t="s">
        <v>1596</v>
      </c>
      <c r="E472" s="223" t="s">
        <v>1597</v>
      </c>
      <c r="F472" s="223" t="s">
        <v>1613</v>
      </c>
      <c r="G472" s="223">
        <v>789.03291335598601</v>
      </c>
    </row>
    <row r="473" spans="1:7">
      <c r="A473" s="223" t="s">
        <v>1595</v>
      </c>
      <c r="B473" s="223" t="s">
        <v>918</v>
      </c>
      <c r="C473" s="223" t="s">
        <v>1595</v>
      </c>
      <c r="D473" s="223" t="s">
        <v>1596</v>
      </c>
      <c r="E473" s="223" t="s">
        <v>1597</v>
      </c>
      <c r="F473" s="223" t="s">
        <v>1613</v>
      </c>
      <c r="G473" s="223">
        <v>12849.327096671201</v>
      </c>
    </row>
    <row r="474" spans="1:7">
      <c r="A474" s="223" t="s">
        <v>1595</v>
      </c>
      <c r="B474" s="223" t="s">
        <v>875</v>
      </c>
      <c r="C474" s="223" t="s">
        <v>1595</v>
      </c>
      <c r="D474" s="223" t="s">
        <v>1596</v>
      </c>
      <c r="E474" s="223" t="s">
        <v>1597</v>
      </c>
      <c r="F474" s="223" t="s">
        <v>1613</v>
      </c>
      <c r="G474" s="223">
        <v>495.94288043965702</v>
      </c>
    </row>
    <row r="475" spans="1:7">
      <c r="A475" s="223" t="s">
        <v>1595</v>
      </c>
      <c r="B475" s="223" t="s">
        <v>853</v>
      </c>
      <c r="C475" s="223" t="s">
        <v>1595</v>
      </c>
      <c r="D475" s="223" t="s">
        <v>1596</v>
      </c>
      <c r="E475" s="223" t="s">
        <v>1597</v>
      </c>
      <c r="F475" s="223" t="s">
        <v>1614</v>
      </c>
      <c r="G475" s="223">
        <v>1605.6506222584301</v>
      </c>
    </row>
    <row r="476" spans="1:7">
      <c r="A476" s="223" t="s">
        <v>1595</v>
      </c>
      <c r="B476" s="223" t="s">
        <v>918</v>
      </c>
      <c r="C476" s="223" t="s">
        <v>1595</v>
      </c>
      <c r="D476" s="223" t="s">
        <v>1596</v>
      </c>
      <c r="E476" s="223" t="s">
        <v>1597</v>
      </c>
      <c r="F476" s="223" t="s">
        <v>1614</v>
      </c>
      <c r="G476" s="223">
        <v>4215.4499571250699</v>
      </c>
    </row>
    <row r="477" spans="1:7">
      <c r="A477" s="223" t="s">
        <v>1595</v>
      </c>
      <c r="B477" s="223" t="s">
        <v>875</v>
      </c>
      <c r="C477" s="223" t="s">
        <v>1595</v>
      </c>
      <c r="D477" s="223" t="s">
        <v>1596</v>
      </c>
      <c r="E477" s="223" t="s">
        <v>1597</v>
      </c>
      <c r="F477" s="223" t="s">
        <v>1614</v>
      </c>
      <c r="G477" s="223">
        <v>1805.23316794025</v>
      </c>
    </row>
    <row r="478" spans="1:7">
      <c r="A478" s="223" t="s">
        <v>1595</v>
      </c>
      <c r="B478" s="223" t="s">
        <v>917</v>
      </c>
      <c r="C478" s="223" t="s">
        <v>1595</v>
      </c>
      <c r="D478" s="223" t="s">
        <v>1596</v>
      </c>
      <c r="E478" s="223" t="s">
        <v>1597</v>
      </c>
      <c r="F478" s="223" t="s">
        <v>1615</v>
      </c>
      <c r="G478" s="223">
        <v>697.02601829851199</v>
      </c>
    </row>
    <row r="479" spans="1:7">
      <c r="A479" s="223" t="s">
        <v>1595</v>
      </c>
      <c r="B479" s="223" t="s">
        <v>853</v>
      </c>
      <c r="C479" s="223" t="s">
        <v>1595</v>
      </c>
      <c r="D479" s="223" t="s">
        <v>1596</v>
      </c>
      <c r="E479" s="223" t="s">
        <v>1597</v>
      </c>
      <c r="F479" s="223" t="s">
        <v>1615</v>
      </c>
      <c r="G479" s="223">
        <v>9822.8038067574598</v>
      </c>
    </row>
    <row r="480" spans="1:7">
      <c r="A480" s="223" t="s">
        <v>1595</v>
      </c>
      <c r="B480" s="223" t="s">
        <v>874</v>
      </c>
      <c r="C480" s="223" t="s">
        <v>1595</v>
      </c>
      <c r="D480" s="223" t="s">
        <v>1596</v>
      </c>
      <c r="E480" s="223" t="s">
        <v>1597</v>
      </c>
      <c r="F480" s="223" t="s">
        <v>1615</v>
      </c>
      <c r="G480" s="223">
        <v>7929.0546753196704</v>
      </c>
    </row>
    <row r="481" spans="1:7">
      <c r="A481" s="223" t="s">
        <v>1595</v>
      </c>
      <c r="B481" s="223" t="s">
        <v>918</v>
      </c>
      <c r="C481" s="223" t="s">
        <v>1595</v>
      </c>
      <c r="D481" s="223" t="s">
        <v>1596</v>
      </c>
      <c r="E481" s="223" t="s">
        <v>1597</v>
      </c>
      <c r="F481" s="223" t="s">
        <v>1615</v>
      </c>
      <c r="G481" s="223">
        <v>3856.1222461879902</v>
      </c>
    </row>
    <row r="482" spans="1:7">
      <c r="A482" s="223" t="s">
        <v>1595</v>
      </c>
      <c r="B482" s="223" t="s">
        <v>875</v>
      </c>
      <c r="C482" s="223" t="s">
        <v>1595</v>
      </c>
      <c r="D482" s="223" t="s">
        <v>1596</v>
      </c>
      <c r="E482" s="223" t="s">
        <v>1597</v>
      </c>
      <c r="F482" s="223" t="s">
        <v>1615</v>
      </c>
      <c r="G482" s="223">
        <v>2648.3365705497099</v>
      </c>
    </row>
    <row r="483" spans="1:7">
      <c r="A483" s="223" t="s">
        <v>1595</v>
      </c>
      <c r="B483" s="223" t="s">
        <v>859</v>
      </c>
      <c r="C483" s="223" t="s">
        <v>1595</v>
      </c>
      <c r="D483" s="223" t="s">
        <v>1596</v>
      </c>
      <c r="E483" s="223" t="s">
        <v>1597</v>
      </c>
      <c r="F483" s="223" t="s">
        <v>1615</v>
      </c>
      <c r="G483" s="223">
        <v>113.70096684343901</v>
      </c>
    </row>
    <row r="484" spans="1:7">
      <c r="A484" s="223" t="s">
        <v>1595</v>
      </c>
      <c r="B484" s="223" t="s">
        <v>860</v>
      </c>
      <c r="C484" s="223" t="s">
        <v>1595</v>
      </c>
      <c r="D484" s="223" t="s">
        <v>1596</v>
      </c>
      <c r="E484" s="223" t="s">
        <v>1597</v>
      </c>
      <c r="F484" s="223" t="s">
        <v>1639</v>
      </c>
      <c r="G484" s="223">
        <v>316.76822447337099</v>
      </c>
    </row>
    <row r="485" spans="1:7">
      <c r="A485" s="223" t="s">
        <v>1595</v>
      </c>
      <c r="B485" s="223" t="s">
        <v>917</v>
      </c>
      <c r="C485" s="223" t="s">
        <v>1595</v>
      </c>
      <c r="D485" s="223" t="s">
        <v>1596</v>
      </c>
      <c r="E485" s="223" t="s">
        <v>1597</v>
      </c>
      <c r="F485" s="223" t="s">
        <v>1650</v>
      </c>
      <c r="G485" s="223">
        <v>232.342006099504</v>
      </c>
    </row>
    <row r="486" spans="1:7">
      <c r="A486" s="223" t="s">
        <v>1595</v>
      </c>
      <c r="B486" s="223" t="s">
        <v>917</v>
      </c>
      <c r="C486" s="223" t="s">
        <v>1595</v>
      </c>
      <c r="D486" s="223" t="s">
        <v>1596</v>
      </c>
      <c r="E486" s="223" t="s">
        <v>1597</v>
      </c>
      <c r="F486" s="223" t="s">
        <v>1661</v>
      </c>
      <c r="G486" s="223">
        <v>232.342006099504</v>
      </c>
    </row>
    <row r="487" spans="1:7">
      <c r="A487" s="223" t="s">
        <v>1595</v>
      </c>
      <c r="B487" s="223" t="s">
        <v>839</v>
      </c>
      <c r="C487" s="223" t="s">
        <v>1595</v>
      </c>
      <c r="D487" s="223" t="s">
        <v>1596</v>
      </c>
      <c r="E487" s="223" t="s">
        <v>1597</v>
      </c>
      <c r="F487" s="223" t="s">
        <v>1616</v>
      </c>
      <c r="G487" s="223">
        <v>5558.28567412345</v>
      </c>
    </row>
    <row r="488" spans="1:7">
      <c r="A488" s="223" t="s">
        <v>1595</v>
      </c>
      <c r="B488" s="223" t="s">
        <v>849</v>
      </c>
      <c r="C488" s="223" t="s">
        <v>1595</v>
      </c>
      <c r="D488" s="223" t="s">
        <v>1596</v>
      </c>
      <c r="E488" s="223" t="s">
        <v>1597</v>
      </c>
      <c r="F488" s="223" t="s">
        <v>1616</v>
      </c>
      <c r="G488" s="223">
        <v>982.21772411708002</v>
      </c>
    </row>
    <row r="489" spans="1:7">
      <c r="A489" s="223" t="s">
        <v>1595</v>
      </c>
      <c r="B489" s="223" t="s">
        <v>851</v>
      </c>
      <c r="C489" s="223" t="s">
        <v>1595</v>
      </c>
      <c r="D489" s="223" t="s">
        <v>1596</v>
      </c>
      <c r="E489" s="223" t="s">
        <v>1597</v>
      </c>
      <c r="F489" s="223" t="s">
        <v>1616</v>
      </c>
      <c r="G489" s="223">
        <v>273.18400244327597</v>
      </c>
    </row>
    <row r="490" spans="1:7">
      <c r="A490" s="223" t="s">
        <v>1595</v>
      </c>
      <c r="B490" s="223" t="s">
        <v>852</v>
      </c>
      <c r="C490" s="223" t="s">
        <v>1595</v>
      </c>
      <c r="D490" s="223" t="s">
        <v>1596</v>
      </c>
      <c r="E490" s="223" t="s">
        <v>1597</v>
      </c>
      <c r="F490" s="223" t="s">
        <v>1616</v>
      </c>
      <c r="G490" s="223">
        <v>304.47411608745699</v>
      </c>
    </row>
    <row r="491" spans="1:7">
      <c r="A491" s="223" t="s">
        <v>1595</v>
      </c>
      <c r="B491" s="223" t="s">
        <v>853</v>
      </c>
      <c r="C491" s="223" t="s">
        <v>1595</v>
      </c>
      <c r="D491" s="223" t="s">
        <v>1596</v>
      </c>
      <c r="E491" s="223" t="s">
        <v>1597</v>
      </c>
      <c r="F491" s="223" t="s">
        <v>1616</v>
      </c>
      <c r="G491" s="223">
        <v>164.26093322336899</v>
      </c>
    </row>
    <row r="492" spans="1:7">
      <c r="A492" s="223" t="s">
        <v>1595</v>
      </c>
      <c r="B492" s="223" t="s">
        <v>854</v>
      </c>
      <c r="C492" s="223" t="s">
        <v>1595</v>
      </c>
      <c r="D492" s="223" t="s">
        <v>1596</v>
      </c>
      <c r="E492" s="223" t="s">
        <v>1597</v>
      </c>
      <c r="F492" s="223" t="s">
        <v>1616</v>
      </c>
      <c r="G492" s="223">
        <v>233.10331083648899</v>
      </c>
    </row>
    <row r="493" spans="1:7">
      <c r="A493" s="223" t="s">
        <v>1595</v>
      </c>
      <c r="B493" s="223" t="s">
        <v>856</v>
      </c>
      <c r="C493" s="223" t="s">
        <v>1595</v>
      </c>
      <c r="D493" s="223" t="s">
        <v>1596</v>
      </c>
      <c r="E493" s="223" t="s">
        <v>1597</v>
      </c>
      <c r="F493" s="223" t="s">
        <v>1616</v>
      </c>
      <c r="G493" s="223">
        <v>3834.7240354240298</v>
      </c>
    </row>
    <row r="494" spans="1:7">
      <c r="A494" s="223" t="s">
        <v>1595</v>
      </c>
      <c r="B494" s="223" t="s">
        <v>857</v>
      </c>
      <c r="C494" s="223" t="s">
        <v>1595</v>
      </c>
      <c r="D494" s="223" t="s">
        <v>1596</v>
      </c>
      <c r="E494" s="223" t="s">
        <v>1597</v>
      </c>
      <c r="F494" s="223" t="s">
        <v>1616</v>
      </c>
      <c r="G494" s="223">
        <v>1362.6358015368501</v>
      </c>
    </row>
    <row r="495" spans="1:7">
      <c r="A495" s="223" t="s">
        <v>1595</v>
      </c>
      <c r="B495" s="223" t="s">
        <v>858</v>
      </c>
      <c r="C495" s="223" t="s">
        <v>1595</v>
      </c>
      <c r="D495" s="223" t="s">
        <v>1596</v>
      </c>
      <c r="E495" s="223" t="s">
        <v>1597</v>
      </c>
      <c r="F495" s="223" t="s">
        <v>1616</v>
      </c>
      <c r="G495" s="223">
        <v>112.583182680962</v>
      </c>
    </row>
    <row r="496" spans="1:7">
      <c r="A496" s="223" t="s">
        <v>1595</v>
      </c>
      <c r="B496" s="223" t="s">
        <v>859</v>
      </c>
      <c r="C496" s="223" t="s">
        <v>1595</v>
      </c>
      <c r="D496" s="223" t="s">
        <v>1596</v>
      </c>
      <c r="E496" s="223" t="s">
        <v>1597</v>
      </c>
      <c r="F496" s="223" t="s">
        <v>1616</v>
      </c>
      <c r="G496" s="223">
        <v>1421.26208554299</v>
      </c>
    </row>
    <row r="497" spans="1:7">
      <c r="A497" s="223" t="s">
        <v>1595</v>
      </c>
      <c r="B497" s="223" t="s">
        <v>860</v>
      </c>
      <c r="C497" s="223" t="s">
        <v>1595</v>
      </c>
      <c r="D497" s="223" t="s">
        <v>1596</v>
      </c>
      <c r="E497" s="223" t="s">
        <v>1597</v>
      </c>
      <c r="F497" s="223" t="s">
        <v>1616</v>
      </c>
      <c r="G497" s="223">
        <v>2049.6767465923999</v>
      </c>
    </row>
    <row r="498" spans="1:7">
      <c r="A498" s="223" t="s">
        <v>1595</v>
      </c>
      <c r="B498" s="223" t="s">
        <v>861</v>
      </c>
      <c r="C498" s="223" t="s">
        <v>1595</v>
      </c>
      <c r="D498" s="223" t="s">
        <v>1596</v>
      </c>
      <c r="E498" s="223" t="s">
        <v>1597</v>
      </c>
      <c r="F498" s="223" t="s">
        <v>1616</v>
      </c>
      <c r="G498" s="223">
        <v>2351.75989014778</v>
      </c>
    </row>
    <row r="499" spans="1:7">
      <c r="A499" s="223" t="s">
        <v>1595</v>
      </c>
      <c r="B499" s="223" t="s">
        <v>862</v>
      </c>
      <c r="C499" s="223" t="s">
        <v>1595</v>
      </c>
      <c r="D499" s="223" t="s">
        <v>1596</v>
      </c>
      <c r="E499" s="223" t="s">
        <v>1597</v>
      </c>
      <c r="F499" s="223" t="s">
        <v>1616</v>
      </c>
      <c r="G499" s="223">
        <v>2446.9695948803801</v>
      </c>
    </row>
    <row r="500" spans="1:7">
      <c r="A500" s="223" t="s">
        <v>1595</v>
      </c>
      <c r="B500" s="223" t="s">
        <v>856</v>
      </c>
      <c r="C500" s="223" t="s">
        <v>1595</v>
      </c>
      <c r="D500" s="223" t="s">
        <v>1596</v>
      </c>
      <c r="E500" s="223" t="s">
        <v>1597</v>
      </c>
      <c r="F500" s="223" t="s">
        <v>1627</v>
      </c>
      <c r="G500" s="223">
        <v>127.824134514134</v>
      </c>
    </row>
    <row r="501" spans="1:7">
      <c r="A501" s="223" t="s">
        <v>1595</v>
      </c>
      <c r="B501" s="223" t="s">
        <v>839</v>
      </c>
      <c r="C501" s="223" t="s">
        <v>1595</v>
      </c>
      <c r="D501" s="223" t="s">
        <v>1596</v>
      </c>
      <c r="E501" s="223" t="s">
        <v>1597</v>
      </c>
      <c r="F501" s="223" t="s">
        <v>1617</v>
      </c>
      <c r="G501" s="223">
        <v>5587.8631255207501</v>
      </c>
    </row>
    <row r="502" spans="1:7">
      <c r="A502" s="223" t="s">
        <v>1595</v>
      </c>
      <c r="B502" s="223" t="s">
        <v>851</v>
      </c>
      <c r="C502" s="223" t="s">
        <v>1595</v>
      </c>
      <c r="D502" s="223" t="s">
        <v>1596</v>
      </c>
      <c r="E502" s="223" t="s">
        <v>1597</v>
      </c>
      <c r="F502" s="223" t="s">
        <v>1617</v>
      </c>
      <c r="G502" s="223">
        <v>130.21210098841601</v>
      </c>
    </row>
    <row r="503" spans="1:7">
      <c r="A503" s="223" t="s">
        <v>1595</v>
      </c>
      <c r="B503" s="223" t="s">
        <v>856</v>
      </c>
      <c r="C503" s="223" t="s">
        <v>1595</v>
      </c>
      <c r="D503" s="223" t="s">
        <v>1596</v>
      </c>
      <c r="E503" s="223" t="s">
        <v>1597</v>
      </c>
      <c r="F503" s="223" t="s">
        <v>1617</v>
      </c>
      <c r="G503" s="223">
        <v>319.56033628533601</v>
      </c>
    </row>
    <row r="504" spans="1:7">
      <c r="A504" s="223" t="s">
        <v>1595</v>
      </c>
      <c r="B504" s="223" t="s">
        <v>860</v>
      </c>
      <c r="C504" s="223" t="s">
        <v>1595</v>
      </c>
      <c r="D504" s="223" t="s">
        <v>1596</v>
      </c>
      <c r="E504" s="223" t="s">
        <v>1597</v>
      </c>
      <c r="F504" s="223" t="s">
        <v>1617</v>
      </c>
      <c r="G504" s="223">
        <v>2999.9814200125102</v>
      </c>
    </row>
    <row r="505" spans="1:7">
      <c r="A505" s="223" t="s">
        <v>1595</v>
      </c>
      <c r="B505" s="223" t="s">
        <v>861</v>
      </c>
      <c r="C505" s="223" t="s">
        <v>1595</v>
      </c>
      <c r="D505" s="223" t="s">
        <v>1596</v>
      </c>
      <c r="E505" s="223" t="s">
        <v>1597</v>
      </c>
      <c r="F505" s="223" t="s">
        <v>1617</v>
      </c>
      <c r="G505" s="223">
        <v>792.72805285880395</v>
      </c>
    </row>
    <row r="506" spans="1:7">
      <c r="A506" s="223" t="s">
        <v>1595</v>
      </c>
      <c r="B506" s="223" t="s">
        <v>849</v>
      </c>
      <c r="C506" s="223" t="s">
        <v>1595</v>
      </c>
      <c r="D506" s="223" t="s">
        <v>1596</v>
      </c>
      <c r="E506" s="223" t="s">
        <v>1597</v>
      </c>
      <c r="F506" s="223" t="s">
        <v>1619</v>
      </c>
      <c r="G506" s="223">
        <v>644.58038145183298</v>
      </c>
    </row>
    <row r="507" spans="1:7">
      <c r="A507" s="223" t="s">
        <v>1595</v>
      </c>
      <c r="B507" s="223" t="s">
        <v>852</v>
      </c>
      <c r="C507" s="223" t="s">
        <v>1595</v>
      </c>
      <c r="D507" s="223" t="s">
        <v>1596</v>
      </c>
      <c r="E507" s="223" t="s">
        <v>1597</v>
      </c>
      <c r="F507" s="223" t="s">
        <v>1619</v>
      </c>
      <c r="G507" s="223">
        <v>3554.94103107518</v>
      </c>
    </row>
    <row r="508" spans="1:7">
      <c r="A508" s="223" t="s">
        <v>1595</v>
      </c>
      <c r="B508" s="223" t="s">
        <v>854</v>
      </c>
      <c r="C508" s="223" t="s">
        <v>1595</v>
      </c>
      <c r="D508" s="223" t="s">
        <v>1596</v>
      </c>
      <c r="E508" s="223" t="s">
        <v>1597</v>
      </c>
      <c r="F508" s="223" t="s">
        <v>1619</v>
      </c>
      <c r="G508" s="223">
        <v>355.78888939370398</v>
      </c>
    </row>
    <row r="509" spans="1:7">
      <c r="A509" s="223" t="s">
        <v>1595</v>
      </c>
      <c r="B509" s="223" t="s">
        <v>856</v>
      </c>
      <c r="C509" s="223" t="s">
        <v>1595</v>
      </c>
      <c r="D509" s="223" t="s">
        <v>1596</v>
      </c>
      <c r="E509" s="223" t="s">
        <v>1597</v>
      </c>
      <c r="F509" s="223" t="s">
        <v>1619</v>
      </c>
      <c r="G509" s="223">
        <v>766.94480708480603</v>
      </c>
    </row>
    <row r="510" spans="1:7">
      <c r="A510" s="223" t="s">
        <v>1595</v>
      </c>
      <c r="B510" s="223" t="s">
        <v>857</v>
      </c>
      <c r="C510" s="223" t="s">
        <v>1595</v>
      </c>
      <c r="D510" s="223" t="s">
        <v>1596</v>
      </c>
      <c r="E510" s="223" t="s">
        <v>1597</v>
      </c>
      <c r="F510" s="223" t="s">
        <v>1619</v>
      </c>
      <c r="G510" s="223">
        <v>1816.8477353824601</v>
      </c>
    </row>
    <row r="511" spans="1:7">
      <c r="A511" s="223" t="s">
        <v>1595</v>
      </c>
      <c r="B511" s="223" t="s">
        <v>858</v>
      </c>
      <c r="C511" s="223" t="s">
        <v>1595</v>
      </c>
      <c r="D511" s="223" t="s">
        <v>1596</v>
      </c>
      <c r="E511" s="223" t="s">
        <v>1597</v>
      </c>
      <c r="F511" s="223" t="s">
        <v>1619</v>
      </c>
      <c r="G511" s="223">
        <v>3864.0156627287602</v>
      </c>
    </row>
    <row r="512" spans="1:7">
      <c r="A512" s="223" t="s">
        <v>1595</v>
      </c>
      <c r="B512" s="223" t="s">
        <v>859</v>
      </c>
      <c r="C512" s="223" t="s">
        <v>1595</v>
      </c>
      <c r="D512" s="223" t="s">
        <v>1596</v>
      </c>
      <c r="E512" s="223" t="s">
        <v>1597</v>
      </c>
      <c r="F512" s="223" t="s">
        <v>1619</v>
      </c>
      <c r="G512" s="223">
        <v>3325.7532801706002</v>
      </c>
    </row>
    <row r="513" spans="1:7">
      <c r="A513" s="223" t="s">
        <v>1595</v>
      </c>
      <c r="B513" s="223" t="s">
        <v>862</v>
      </c>
      <c r="C513" s="223" t="s">
        <v>1595</v>
      </c>
      <c r="D513" s="223" t="s">
        <v>1596</v>
      </c>
      <c r="E513" s="223" t="s">
        <v>1597</v>
      </c>
      <c r="F513" s="223" t="s">
        <v>1619</v>
      </c>
      <c r="G513" s="223">
        <v>913.92858642692897</v>
      </c>
    </row>
    <row r="514" spans="1:7">
      <c r="A514" s="223" t="s">
        <v>1595</v>
      </c>
      <c r="B514" s="223" t="s">
        <v>849</v>
      </c>
      <c r="C514" s="223" t="s">
        <v>1595</v>
      </c>
      <c r="D514" s="223" t="s">
        <v>1596</v>
      </c>
      <c r="E514" s="223" t="s">
        <v>1597</v>
      </c>
      <c r="F514" s="223" t="s">
        <v>1620</v>
      </c>
      <c r="G514" s="223">
        <v>2332.7670947780598</v>
      </c>
    </row>
    <row r="515" spans="1:7">
      <c r="A515" s="223" t="s">
        <v>1595</v>
      </c>
      <c r="B515" s="223" t="s">
        <v>852</v>
      </c>
      <c r="C515" s="223" t="s">
        <v>1595</v>
      </c>
      <c r="D515" s="223" t="s">
        <v>1596</v>
      </c>
      <c r="E515" s="223" t="s">
        <v>1597</v>
      </c>
      <c r="F515" s="223" t="s">
        <v>1620</v>
      </c>
      <c r="G515" s="223">
        <v>3135.2604926843601</v>
      </c>
    </row>
    <row r="516" spans="1:7">
      <c r="A516" s="223" t="s">
        <v>1595</v>
      </c>
      <c r="B516" s="223" t="s">
        <v>854</v>
      </c>
      <c r="C516" s="223" t="s">
        <v>1595</v>
      </c>
      <c r="D516" s="223" t="s">
        <v>1596</v>
      </c>
      <c r="E516" s="223" t="s">
        <v>1597</v>
      </c>
      <c r="F516" s="223" t="s">
        <v>1620</v>
      </c>
      <c r="G516" s="223">
        <v>496.87758691189799</v>
      </c>
    </row>
    <row r="517" spans="1:7">
      <c r="A517" s="223" t="s">
        <v>1595</v>
      </c>
      <c r="B517" s="223" t="s">
        <v>855</v>
      </c>
      <c r="C517" s="223" t="s">
        <v>1595</v>
      </c>
      <c r="D517" s="223" t="s">
        <v>1596</v>
      </c>
      <c r="E517" s="223" t="s">
        <v>1597</v>
      </c>
      <c r="F517" s="223" t="s">
        <v>1620</v>
      </c>
      <c r="G517" s="223">
        <v>116.57729018453</v>
      </c>
    </row>
    <row r="518" spans="1:7">
      <c r="A518" s="223" t="s">
        <v>1595</v>
      </c>
      <c r="B518" s="223" t="s">
        <v>856</v>
      </c>
      <c r="C518" s="223" t="s">
        <v>1595</v>
      </c>
      <c r="D518" s="223" t="s">
        <v>1596</v>
      </c>
      <c r="E518" s="223" t="s">
        <v>1597</v>
      </c>
      <c r="F518" s="223" t="s">
        <v>1620</v>
      </c>
      <c r="G518" s="223">
        <v>159.780168142668</v>
      </c>
    </row>
    <row r="519" spans="1:7">
      <c r="A519" s="223" t="s">
        <v>1595</v>
      </c>
      <c r="B519" s="223" t="s">
        <v>857</v>
      </c>
      <c r="C519" s="223" t="s">
        <v>1595</v>
      </c>
      <c r="D519" s="223" t="s">
        <v>1596</v>
      </c>
      <c r="E519" s="223" t="s">
        <v>1597</v>
      </c>
      <c r="F519" s="223" t="s">
        <v>1620</v>
      </c>
      <c r="G519" s="223">
        <v>1083.1207653241599</v>
      </c>
    </row>
    <row r="520" spans="1:7">
      <c r="A520" s="223" t="s">
        <v>1595</v>
      </c>
      <c r="B520" s="223" t="s">
        <v>858</v>
      </c>
      <c r="C520" s="223" t="s">
        <v>1595</v>
      </c>
      <c r="D520" s="223" t="s">
        <v>1596</v>
      </c>
      <c r="E520" s="223" t="s">
        <v>1597</v>
      </c>
      <c r="F520" s="223" t="s">
        <v>1620</v>
      </c>
      <c r="G520" s="223">
        <v>2822.6212229298499</v>
      </c>
    </row>
    <row r="521" spans="1:7">
      <c r="A521" s="223" t="s">
        <v>1595</v>
      </c>
      <c r="B521" s="223" t="s">
        <v>859</v>
      </c>
      <c r="C521" s="223" t="s">
        <v>1595</v>
      </c>
      <c r="D521" s="223" t="s">
        <v>1596</v>
      </c>
      <c r="E521" s="223" t="s">
        <v>1597</v>
      </c>
      <c r="F521" s="223" t="s">
        <v>1620</v>
      </c>
      <c r="G521" s="223">
        <v>1705.51450265159</v>
      </c>
    </row>
    <row r="522" spans="1:7">
      <c r="A522" s="223" t="s">
        <v>1595</v>
      </c>
      <c r="B522" s="223" t="s">
        <v>862</v>
      </c>
      <c r="C522" s="223" t="s">
        <v>1595</v>
      </c>
      <c r="D522" s="223" t="s">
        <v>1596</v>
      </c>
      <c r="E522" s="223" t="s">
        <v>1597</v>
      </c>
      <c r="F522" s="223" t="s">
        <v>1620</v>
      </c>
      <c r="G522" s="223">
        <v>1071.1636120487599</v>
      </c>
    </row>
    <row r="523" spans="1:7">
      <c r="A523" s="223" t="s">
        <v>1595</v>
      </c>
      <c r="B523" s="223" t="s">
        <v>863</v>
      </c>
      <c r="C523" s="223" t="s">
        <v>1595</v>
      </c>
      <c r="D523" s="223" t="s">
        <v>1596</v>
      </c>
      <c r="E523" s="223" t="s">
        <v>1597</v>
      </c>
      <c r="F523" s="223" t="s">
        <v>1620</v>
      </c>
      <c r="G523" s="223">
        <v>593.38376543047002</v>
      </c>
    </row>
    <row r="524" spans="1:7">
      <c r="A524" s="223" t="s">
        <v>1595</v>
      </c>
      <c r="B524" s="223" t="s">
        <v>917</v>
      </c>
      <c r="C524" s="223" t="s">
        <v>1595</v>
      </c>
      <c r="D524" s="223" t="s">
        <v>1596</v>
      </c>
      <c r="E524" s="223" t="s">
        <v>1597</v>
      </c>
      <c r="F524" s="223" t="s">
        <v>1643</v>
      </c>
      <c r="G524" s="223">
        <v>174.256504574628</v>
      </c>
    </row>
    <row r="525" spans="1:7">
      <c r="A525" s="223" t="s">
        <v>1595</v>
      </c>
      <c r="B525" s="223" t="s">
        <v>908</v>
      </c>
      <c r="C525" s="223" t="s">
        <v>1595</v>
      </c>
      <c r="D525" s="223" t="s">
        <v>1596</v>
      </c>
      <c r="E525" s="223" t="s">
        <v>1597</v>
      </c>
      <c r="F525" s="223" t="s">
        <v>1643</v>
      </c>
      <c r="G525" s="223">
        <v>139.29517415005</v>
      </c>
    </row>
    <row r="526" spans="1:7">
      <c r="A526" s="223" t="s">
        <v>1595</v>
      </c>
      <c r="B526" s="223" t="s">
        <v>917</v>
      </c>
      <c r="C526" s="223" t="s">
        <v>1595</v>
      </c>
      <c r="D526" s="223" t="s">
        <v>1596</v>
      </c>
      <c r="E526" s="223" t="s">
        <v>1597</v>
      </c>
      <c r="F526" s="223" t="s">
        <v>1662</v>
      </c>
      <c r="G526" s="223">
        <v>174.256504574628</v>
      </c>
    </row>
    <row r="527" spans="1:7">
      <c r="A527" s="223" t="s">
        <v>1595</v>
      </c>
      <c r="B527" s="223" t="s">
        <v>917</v>
      </c>
      <c r="C527" s="223" t="s">
        <v>1595</v>
      </c>
      <c r="D527" s="223" t="s">
        <v>1596</v>
      </c>
      <c r="E527" s="223" t="s">
        <v>1597</v>
      </c>
      <c r="F527" s="223" t="s">
        <v>1663</v>
      </c>
      <c r="G527" s="223">
        <v>174.256504574628</v>
      </c>
    </row>
    <row r="528" spans="1:7">
      <c r="A528" s="223" t="s">
        <v>1595</v>
      </c>
      <c r="B528" s="223" t="s">
        <v>917</v>
      </c>
      <c r="C528" s="223" t="s">
        <v>1595</v>
      </c>
      <c r="D528" s="223" t="s">
        <v>1596</v>
      </c>
      <c r="E528" s="223" t="s">
        <v>1597</v>
      </c>
      <c r="F528" s="223" t="s">
        <v>1664</v>
      </c>
      <c r="G528" s="223">
        <v>174.256504574628</v>
      </c>
    </row>
    <row r="529" spans="1:7">
      <c r="A529" s="223" t="s">
        <v>1595</v>
      </c>
      <c r="B529" s="223" t="s">
        <v>917</v>
      </c>
      <c r="C529" s="223" t="s">
        <v>1595</v>
      </c>
      <c r="D529" s="223" t="s">
        <v>1596</v>
      </c>
      <c r="E529" s="223" t="s">
        <v>1597</v>
      </c>
      <c r="F529" s="223" t="s">
        <v>1665</v>
      </c>
      <c r="G529" s="223">
        <v>174.256504574628</v>
      </c>
    </row>
    <row r="530" spans="1:7">
      <c r="A530" s="223" t="s">
        <v>1595</v>
      </c>
      <c r="B530" s="223" t="s">
        <v>917</v>
      </c>
      <c r="C530" s="223" t="s">
        <v>1595</v>
      </c>
      <c r="D530" s="223" t="s">
        <v>1596</v>
      </c>
      <c r="E530" s="223" t="s">
        <v>1597</v>
      </c>
      <c r="F530" s="223" t="s">
        <v>1666</v>
      </c>
      <c r="G530" s="223">
        <v>174.256504574628</v>
      </c>
    </row>
    <row r="531" spans="1:7">
      <c r="A531" s="223" t="s">
        <v>1595</v>
      </c>
      <c r="B531" s="223" t="s">
        <v>908</v>
      </c>
      <c r="C531" s="223" t="s">
        <v>1595</v>
      </c>
      <c r="D531" s="223" t="s">
        <v>1596</v>
      </c>
      <c r="E531" s="223" t="s">
        <v>1597</v>
      </c>
      <c r="F531" s="223" t="s">
        <v>1667</v>
      </c>
      <c r="G531" s="223">
        <v>139.29517415005</v>
      </c>
    </row>
    <row r="532" spans="1:7">
      <c r="A532" s="223" t="s">
        <v>1595</v>
      </c>
      <c r="B532" s="223" t="s">
        <v>908</v>
      </c>
      <c r="C532" s="223" t="s">
        <v>1595</v>
      </c>
      <c r="D532" s="223" t="s">
        <v>1596</v>
      </c>
      <c r="E532" s="223" t="s">
        <v>1597</v>
      </c>
      <c r="F532" s="223" t="s">
        <v>1668</v>
      </c>
      <c r="G532" s="223">
        <v>139.29517415005</v>
      </c>
    </row>
    <row r="533" spans="1:7">
      <c r="A533" s="223" t="s">
        <v>1595</v>
      </c>
      <c r="B533" s="223" t="s">
        <v>908</v>
      </c>
      <c r="C533" s="223" t="s">
        <v>1595</v>
      </c>
      <c r="D533" s="223" t="s">
        <v>1596</v>
      </c>
      <c r="E533" s="223" t="s">
        <v>1597</v>
      </c>
      <c r="F533" s="223" t="s">
        <v>1669</v>
      </c>
      <c r="G533" s="223">
        <v>139.29517415005</v>
      </c>
    </row>
    <row r="534" spans="1:7">
      <c r="A534" s="223" t="s">
        <v>1595</v>
      </c>
      <c r="B534" s="223" t="s">
        <v>908</v>
      </c>
      <c r="C534" s="223" t="s">
        <v>1595</v>
      </c>
      <c r="D534" s="223" t="s">
        <v>1596</v>
      </c>
      <c r="E534" s="223" t="s">
        <v>1597</v>
      </c>
      <c r="F534" s="223" t="s">
        <v>1670</v>
      </c>
      <c r="G534" s="223">
        <v>139.29517415005</v>
      </c>
    </row>
    <row r="535" spans="1:7">
      <c r="A535" s="223" t="s">
        <v>1595</v>
      </c>
      <c r="B535" s="223" t="s">
        <v>908</v>
      </c>
      <c r="C535" s="223" t="s">
        <v>1595</v>
      </c>
      <c r="D535" s="223" t="s">
        <v>1596</v>
      </c>
      <c r="E535" s="223" t="s">
        <v>1597</v>
      </c>
      <c r="F535" s="223" t="s">
        <v>1671</v>
      </c>
      <c r="G535" s="223">
        <v>139.29517415005</v>
      </c>
    </row>
    <row r="536" spans="1:7">
      <c r="A536" s="223" t="s">
        <v>1550</v>
      </c>
      <c r="B536" s="223" t="s">
        <v>875</v>
      </c>
      <c r="C536" s="223" t="s">
        <v>1550</v>
      </c>
      <c r="D536" s="223" t="s">
        <v>1551</v>
      </c>
      <c r="E536" s="223" t="s">
        <v>1543</v>
      </c>
      <c r="F536" s="223" t="s">
        <v>1621</v>
      </c>
      <c r="G536" s="223">
        <v>605.05067716678798</v>
      </c>
    </row>
    <row r="537" spans="1:7">
      <c r="A537" s="223" t="s">
        <v>1552</v>
      </c>
      <c r="B537" s="223" t="s">
        <v>875</v>
      </c>
      <c r="C537" s="223" t="s">
        <v>1552</v>
      </c>
      <c r="D537" s="223" t="s">
        <v>1551</v>
      </c>
      <c r="E537" s="223" t="s">
        <v>1543</v>
      </c>
      <c r="F537" s="223" t="s">
        <v>1621</v>
      </c>
      <c r="G537" s="223">
        <v>644.72613140723297</v>
      </c>
    </row>
    <row r="538" spans="1:7">
      <c r="A538" s="223" t="s">
        <v>1553</v>
      </c>
      <c r="B538" s="223" t="s">
        <v>875</v>
      </c>
      <c r="C538" s="223" t="s">
        <v>1553</v>
      </c>
      <c r="D538" s="223" t="s">
        <v>1551</v>
      </c>
      <c r="E538" s="223" t="s">
        <v>1543</v>
      </c>
      <c r="F538" s="223" t="s">
        <v>1621</v>
      </c>
      <c r="G538" s="223">
        <v>267.80931612300401</v>
      </c>
    </row>
    <row r="539" spans="1:7">
      <c r="A539" s="223" t="s">
        <v>1572</v>
      </c>
      <c r="B539" s="223" t="s">
        <v>875</v>
      </c>
      <c r="C539" s="223" t="s">
        <v>1572</v>
      </c>
      <c r="D539" s="223" t="s">
        <v>1551</v>
      </c>
      <c r="E539" s="223" t="s">
        <v>1543</v>
      </c>
      <c r="F539" s="223" t="s">
        <v>1621</v>
      </c>
      <c r="G539" s="223">
        <v>396.754542404451</v>
      </c>
    </row>
    <row r="540" spans="1:7">
      <c r="A540" s="223" t="s">
        <v>1573</v>
      </c>
      <c r="B540" s="223" t="s">
        <v>875</v>
      </c>
      <c r="C540" s="223" t="s">
        <v>1573</v>
      </c>
      <c r="D540" s="223" t="s">
        <v>1551</v>
      </c>
      <c r="E540" s="223" t="s">
        <v>1543</v>
      </c>
      <c r="F540" s="223" t="s">
        <v>1621</v>
      </c>
      <c r="G540" s="223">
        <v>128.945226281446</v>
      </c>
    </row>
    <row r="541" spans="1:7">
      <c r="A541" s="223" t="s">
        <v>1550</v>
      </c>
      <c r="B541" s="223" t="s">
        <v>908</v>
      </c>
      <c r="C541" s="223" t="s">
        <v>1550</v>
      </c>
      <c r="D541" s="223" t="s">
        <v>1551</v>
      </c>
      <c r="E541" s="223" t="s">
        <v>1543</v>
      </c>
      <c r="F541" s="223" t="s">
        <v>1621</v>
      </c>
      <c r="G541" s="223">
        <v>24655.2513963659</v>
      </c>
    </row>
    <row r="542" spans="1:7">
      <c r="A542" s="223" t="s">
        <v>1552</v>
      </c>
      <c r="B542" s="223" t="s">
        <v>908</v>
      </c>
      <c r="C542" s="223" t="s">
        <v>1552</v>
      </c>
      <c r="D542" s="223" t="s">
        <v>1551</v>
      </c>
      <c r="E542" s="223" t="s">
        <v>1543</v>
      </c>
      <c r="F542" s="223" t="s">
        <v>1621</v>
      </c>
      <c r="G542" s="223">
        <v>3203.7890054511699</v>
      </c>
    </row>
    <row r="543" spans="1:7">
      <c r="A543" s="223" t="s">
        <v>1553</v>
      </c>
      <c r="B543" s="223" t="s">
        <v>908</v>
      </c>
      <c r="C543" s="223" t="s">
        <v>1553</v>
      </c>
      <c r="D543" s="223" t="s">
        <v>1551</v>
      </c>
      <c r="E543" s="223" t="s">
        <v>1543</v>
      </c>
      <c r="F543" s="223" t="s">
        <v>1621</v>
      </c>
      <c r="G543" s="223">
        <v>1950.13243810071</v>
      </c>
    </row>
    <row r="544" spans="1:7">
      <c r="A544" s="223" t="s">
        <v>1572</v>
      </c>
      <c r="B544" s="223" t="s">
        <v>908</v>
      </c>
      <c r="C544" s="223" t="s">
        <v>1572</v>
      </c>
      <c r="D544" s="223" t="s">
        <v>1551</v>
      </c>
      <c r="E544" s="223" t="s">
        <v>1543</v>
      </c>
      <c r="F544" s="223" t="s">
        <v>1621</v>
      </c>
      <c r="G544" s="223">
        <v>12118.683961000301</v>
      </c>
    </row>
    <row r="545" spans="1:7">
      <c r="A545" s="223" t="s">
        <v>1573</v>
      </c>
      <c r="B545" s="223" t="s">
        <v>908</v>
      </c>
      <c r="C545" s="223" t="s">
        <v>1573</v>
      </c>
      <c r="D545" s="223" t="s">
        <v>1551</v>
      </c>
      <c r="E545" s="223" t="s">
        <v>1543</v>
      </c>
      <c r="F545" s="223" t="s">
        <v>1621</v>
      </c>
      <c r="G545" s="223">
        <v>3203.7890054511699</v>
      </c>
    </row>
    <row r="546" spans="1:7">
      <c r="A546" s="223" t="s">
        <v>1552</v>
      </c>
      <c r="B546" s="223" t="s">
        <v>861</v>
      </c>
      <c r="C546" s="223" t="s">
        <v>1552</v>
      </c>
      <c r="D546" s="223" t="s">
        <v>1551</v>
      </c>
      <c r="E546" s="223" t="s">
        <v>1543</v>
      </c>
      <c r="F546" s="223" t="s">
        <v>1621</v>
      </c>
      <c r="G546" s="223">
        <v>105.697073714507</v>
      </c>
    </row>
    <row r="547" spans="1:7">
      <c r="A547" s="223" t="s">
        <v>1550</v>
      </c>
      <c r="B547" s="223" t="s">
        <v>918</v>
      </c>
      <c r="C547" s="223" t="s">
        <v>1550</v>
      </c>
      <c r="D547" s="223" t="s">
        <v>1551</v>
      </c>
      <c r="E547" s="223" t="s">
        <v>1543</v>
      </c>
      <c r="F547" s="223" t="s">
        <v>1622</v>
      </c>
      <c r="G547" s="223">
        <v>116.448903034149</v>
      </c>
    </row>
    <row r="548" spans="1:7">
      <c r="A548" s="223" t="s">
        <v>1550</v>
      </c>
      <c r="B548" s="223" t="s">
        <v>875</v>
      </c>
      <c r="C548" s="223" t="s">
        <v>1550</v>
      </c>
      <c r="D548" s="223" t="s">
        <v>1551</v>
      </c>
      <c r="E548" s="223" t="s">
        <v>1543</v>
      </c>
      <c r="F548" s="223" t="s">
        <v>1622</v>
      </c>
      <c r="G548" s="223">
        <v>3114.5231578749399</v>
      </c>
    </row>
    <row r="549" spans="1:7">
      <c r="A549" s="223" t="s">
        <v>1552</v>
      </c>
      <c r="B549" s="223" t="s">
        <v>875</v>
      </c>
      <c r="C549" s="223" t="s">
        <v>1552</v>
      </c>
      <c r="D549" s="223" t="s">
        <v>1551</v>
      </c>
      <c r="E549" s="223" t="s">
        <v>1543</v>
      </c>
      <c r="F549" s="223" t="s">
        <v>1622</v>
      </c>
      <c r="G549" s="223">
        <v>1993.69157558236</v>
      </c>
    </row>
    <row r="550" spans="1:7">
      <c r="A550" s="223" t="s">
        <v>1553</v>
      </c>
      <c r="B550" s="223" t="s">
        <v>875</v>
      </c>
      <c r="C550" s="223" t="s">
        <v>1553</v>
      </c>
      <c r="D550" s="223" t="s">
        <v>1551</v>
      </c>
      <c r="E550" s="223" t="s">
        <v>1543</v>
      </c>
      <c r="F550" s="223" t="s">
        <v>1622</v>
      </c>
      <c r="G550" s="223">
        <v>1130.7504458526801</v>
      </c>
    </row>
    <row r="551" spans="1:7">
      <c r="A551" s="223" t="s">
        <v>1572</v>
      </c>
      <c r="B551" s="223" t="s">
        <v>875</v>
      </c>
      <c r="C551" s="223" t="s">
        <v>1572</v>
      </c>
      <c r="D551" s="223" t="s">
        <v>1551</v>
      </c>
      <c r="E551" s="223" t="s">
        <v>1543</v>
      </c>
      <c r="F551" s="223" t="s">
        <v>1622</v>
      </c>
      <c r="G551" s="223">
        <v>1547.34271537736</v>
      </c>
    </row>
    <row r="552" spans="1:7">
      <c r="A552" s="223" t="s">
        <v>1573</v>
      </c>
      <c r="B552" s="223" t="s">
        <v>875</v>
      </c>
      <c r="C552" s="223" t="s">
        <v>1573</v>
      </c>
      <c r="D552" s="223" t="s">
        <v>1551</v>
      </c>
      <c r="E552" s="223" t="s">
        <v>1543</v>
      </c>
      <c r="F552" s="223" t="s">
        <v>1622</v>
      </c>
      <c r="G552" s="223">
        <v>1408.4786255357999</v>
      </c>
    </row>
    <row r="553" spans="1:7">
      <c r="A553" s="223" t="s">
        <v>1553</v>
      </c>
      <c r="B553" s="223" t="s">
        <v>908</v>
      </c>
      <c r="C553" s="223" t="s">
        <v>1553</v>
      </c>
      <c r="D553" s="223" t="s">
        <v>1551</v>
      </c>
      <c r="E553" s="223" t="s">
        <v>1543</v>
      </c>
      <c r="F553" s="223" t="s">
        <v>1622</v>
      </c>
      <c r="G553" s="223">
        <v>2089.4276122507599</v>
      </c>
    </row>
    <row r="554" spans="1:7">
      <c r="A554" s="223" t="s">
        <v>1550</v>
      </c>
      <c r="B554" s="223" t="s">
        <v>849</v>
      </c>
      <c r="C554" s="223" t="s">
        <v>1550</v>
      </c>
      <c r="D554" s="223" t="s">
        <v>1551</v>
      </c>
      <c r="E554" s="223" t="s">
        <v>1543</v>
      </c>
      <c r="F554" s="223" t="s">
        <v>1623</v>
      </c>
      <c r="G554" s="223">
        <v>10865.783573045101</v>
      </c>
    </row>
    <row r="555" spans="1:7">
      <c r="A555" s="223" t="s">
        <v>1552</v>
      </c>
      <c r="B555" s="223" t="s">
        <v>849</v>
      </c>
      <c r="C555" s="223" t="s">
        <v>1552</v>
      </c>
      <c r="D555" s="223" t="s">
        <v>1551</v>
      </c>
      <c r="E555" s="223" t="s">
        <v>1543</v>
      </c>
      <c r="F555" s="223" t="s">
        <v>1623</v>
      </c>
      <c r="G555" s="223">
        <v>7356.4014962518804</v>
      </c>
    </row>
    <row r="556" spans="1:7">
      <c r="A556" s="223" t="s">
        <v>1553</v>
      </c>
      <c r="B556" s="223" t="s">
        <v>849</v>
      </c>
      <c r="C556" s="223" t="s">
        <v>1553</v>
      </c>
      <c r="D556" s="223" t="s">
        <v>1551</v>
      </c>
      <c r="E556" s="223" t="s">
        <v>1543</v>
      </c>
      <c r="F556" s="223" t="s">
        <v>1623</v>
      </c>
      <c r="G556" s="223">
        <v>3120.5875609969698</v>
      </c>
    </row>
    <row r="557" spans="1:7">
      <c r="A557" s="223" t="s">
        <v>1572</v>
      </c>
      <c r="B557" s="223" t="s">
        <v>849</v>
      </c>
      <c r="C557" s="223" t="s">
        <v>1572</v>
      </c>
      <c r="D557" s="223" t="s">
        <v>1551</v>
      </c>
      <c r="E557" s="223" t="s">
        <v>1543</v>
      </c>
      <c r="F557" s="223" t="s">
        <v>1623</v>
      </c>
      <c r="G557" s="223">
        <v>2342.9985294042799</v>
      </c>
    </row>
    <row r="558" spans="1:7">
      <c r="A558" s="223" t="s">
        <v>1573</v>
      </c>
      <c r="B558" s="223" t="s">
        <v>849</v>
      </c>
      <c r="C558" s="223" t="s">
        <v>1573</v>
      </c>
      <c r="D558" s="223" t="s">
        <v>1551</v>
      </c>
      <c r="E558" s="223" t="s">
        <v>1543</v>
      </c>
      <c r="F558" s="223" t="s">
        <v>1623</v>
      </c>
      <c r="G558" s="223">
        <v>2619.2472643122101</v>
      </c>
    </row>
    <row r="559" spans="1:7">
      <c r="A559" s="223" t="s">
        <v>1550</v>
      </c>
      <c r="B559" s="223" t="s">
        <v>852</v>
      </c>
      <c r="C559" s="223" t="s">
        <v>1550</v>
      </c>
      <c r="D559" s="223" t="s">
        <v>1551</v>
      </c>
      <c r="E559" s="223" t="s">
        <v>1543</v>
      </c>
      <c r="F559" s="223" t="s">
        <v>1623</v>
      </c>
      <c r="G559" s="223">
        <v>16688.4896317188</v>
      </c>
    </row>
    <row r="560" spans="1:7">
      <c r="A560" s="223" t="s">
        <v>1552</v>
      </c>
      <c r="B560" s="223" t="s">
        <v>852</v>
      </c>
      <c r="C560" s="223" t="s">
        <v>1552</v>
      </c>
      <c r="D560" s="223" t="s">
        <v>1551</v>
      </c>
      <c r="E560" s="223" t="s">
        <v>1543</v>
      </c>
      <c r="F560" s="223" t="s">
        <v>1623</v>
      </c>
      <c r="G560" s="223">
        <v>7669.4561133381203</v>
      </c>
    </row>
    <row r="561" spans="1:7">
      <c r="A561" s="223" t="s">
        <v>1553</v>
      </c>
      <c r="B561" s="223" t="s">
        <v>852</v>
      </c>
      <c r="C561" s="223" t="s">
        <v>1553</v>
      </c>
      <c r="D561" s="223" t="s">
        <v>1551</v>
      </c>
      <c r="E561" s="223" t="s">
        <v>1543</v>
      </c>
      <c r="F561" s="223" t="s">
        <v>1623</v>
      </c>
      <c r="G561" s="223">
        <v>6673.7453561074299</v>
      </c>
    </row>
    <row r="562" spans="1:7">
      <c r="A562" s="223" t="s">
        <v>1572</v>
      </c>
      <c r="B562" s="223" t="s">
        <v>852</v>
      </c>
      <c r="C562" s="223" t="s">
        <v>1572</v>
      </c>
      <c r="D562" s="223" t="s">
        <v>1551</v>
      </c>
      <c r="E562" s="223" t="s">
        <v>1543</v>
      </c>
      <c r="F562" s="223" t="s">
        <v>1623</v>
      </c>
      <c r="G562" s="223">
        <v>5299.4954259546703</v>
      </c>
    </row>
    <row r="563" spans="1:7">
      <c r="A563" s="223" t="s">
        <v>1573</v>
      </c>
      <c r="B563" s="223" t="s">
        <v>852</v>
      </c>
      <c r="C563" s="223" t="s">
        <v>1573</v>
      </c>
      <c r="D563" s="223" t="s">
        <v>1551</v>
      </c>
      <c r="E563" s="223" t="s">
        <v>1543</v>
      </c>
      <c r="F563" s="223" t="s">
        <v>1623</v>
      </c>
      <c r="G563" s="223">
        <v>4312.0118062115598</v>
      </c>
    </row>
    <row r="564" spans="1:7">
      <c r="A564" s="223" t="s">
        <v>1550</v>
      </c>
      <c r="B564" s="223" t="s">
        <v>875</v>
      </c>
      <c r="C564" s="223" t="s">
        <v>1550</v>
      </c>
      <c r="D564" s="223" t="s">
        <v>1551</v>
      </c>
      <c r="E564" s="223" t="s">
        <v>1543</v>
      </c>
      <c r="F564" s="223" t="s">
        <v>1623</v>
      </c>
      <c r="G564" s="223">
        <v>158.70181696178</v>
      </c>
    </row>
    <row r="565" spans="1:7">
      <c r="A565" s="223" t="s">
        <v>1550</v>
      </c>
      <c r="B565" s="223" t="s">
        <v>863</v>
      </c>
      <c r="C565" s="223" t="s">
        <v>1550</v>
      </c>
      <c r="D565" s="223" t="s">
        <v>1551</v>
      </c>
      <c r="E565" s="223" t="s">
        <v>1543</v>
      </c>
      <c r="F565" s="223" t="s">
        <v>1623</v>
      </c>
      <c r="G565" s="223">
        <v>148.34594135761699</v>
      </c>
    </row>
    <row r="566" spans="1:7">
      <c r="A566" s="223" t="s">
        <v>1529</v>
      </c>
      <c r="B566" s="223" t="s">
        <v>874</v>
      </c>
      <c r="C566" s="223" t="s">
        <v>1529</v>
      </c>
      <c r="D566" s="223" t="s">
        <v>1530</v>
      </c>
      <c r="E566" s="223" t="s">
        <v>1524</v>
      </c>
      <c r="F566" s="223" t="s">
        <v>1630</v>
      </c>
      <c r="G566" s="223">
        <v>1200.49179455389</v>
      </c>
    </row>
    <row r="567" spans="1:7">
      <c r="A567" s="223" t="s">
        <v>1529</v>
      </c>
      <c r="B567" s="223" t="s">
        <v>857</v>
      </c>
      <c r="C567" s="223" t="s">
        <v>1529</v>
      </c>
      <c r="D567" s="223" t="s">
        <v>1530</v>
      </c>
      <c r="E567" s="223" t="s">
        <v>1524</v>
      </c>
      <c r="F567" s="223" t="s">
        <v>1630</v>
      </c>
      <c r="G567" s="223">
        <v>104.818138579757</v>
      </c>
    </row>
    <row r="568" spans="1:7">
      <c r="A568" s="223" t="s">
        <v>1529</v>
      </c>
      <c r="B568" s="223" t="s">
        <v>849</v>
      </c>
      <c r="C568" s="223" t="s">
        <v>1529</v>
      </c>
      <c r="D568" s="223" t="s">
        <v>1530</v>
      </c>
      <c r="E568" s="223" t="s">
        <v>1524</v>
      </c>
      <c r="F568" s="223" t="s">
        <v>1616</v>
      </c>
      <c r="G568" s="223">
        <v>317.174473412807</v>
      </c>
    </row>
    <row r="569" spans="1:7">
      <c r="A569" s="223" t="s">
        <v>1529</v>
      </c>
      <c r="B569" s="223" t="s">
        <v>851</v>
      </c>
      <c r="C569" s="223" t="s">
        <v>1529</v>
      </c>
      <c r="D569" s="223" t="s">
        <v>1530</v>
      </c>
      <c r="E569" s="223" t="s">
        <v>1524</v>
      </c>
      <c r="F569" s="223" t="s">
        <v>1616</v>
      </c>
      <c r="G569" s="223">
        <v>214.611680023411</v>
      </c>
    </row>
    <row r="570" spans="1:7">
      <c r="A570" s="223" t="s">
        <v>1529</v>
      </c>
      <c r="B570" s="223" t="s">
        <v>854</v>
      </c>
      <c r="C570" s="223" t="s">
        <v>1529</v>
      </c>
      <c r="D570" s="223" t="s">
        <v>1530</v>
      </c>
      <c r="E570" s="223" t="s">
        <v>1524</v>
      </c>
      <c r="F570" s="223" t="s">
        <v>1616</v>
      </c>
      <c r="G570" s="223">
        <v>1380.2155191997099</v>
      </c>
    </row>
    <row r="571" spans="1:7">
      <c r="A571" s="223" t="s">
        <v>1529</v>
      </c>
      <c r="B571" s="223" t="s">
        <v>859</v>
      </c>
      <c r="C571" s="223" t="s">
        <v>1529</v>
      </c>
      <c r="D571" s="223" t="s">
        <v>1530</v>
      </c>
      <c r="E571" s="223" t="s">
        <v>1524</v>
      </c>
      <c r="F571" s="223" t="s">
        <v>1616</v>
      </c>
      <c r="G571" s="223">
        <v>1506.53781067557</v>
      </c>
    </row>
    <row r="572" spans="1:7">
      <c r="A572" s="223" t="s">
        <v>1529</v>
      </c>
      <c r="B572" s="223" t="s">
        <v>860</v>
      </c>
      <c r="C572" s="223" t="s">
        <v>1529</v>
      </c>
      <c r="D572" s="223" t="s">
        <v>1530</v>
      </c>
      <c r="E572" s="223" t="s">
        <v>1524</v>
      </c>
      <c r="F572" s="223" t="s">
        <v>1616</v>
      </c>
      <c r="G572" s="223">
        <v>409.93534931848001</v>
      </c>
    </row>
    <row r="573" spans="1:7">
      <c r="A573" s="223" t="s">
        <v>1529</v>
      </c>
      <c r="B573" s="223" t="s">
        <v>861</v>
      </c>
      <c r="C573" s="223" t="s">
        <v>1529</v>
      </c>
      <c r="D573" s="223" t="s">
        <v>1530</v>
      </c>
      <c r="E573" s="223" t="s">
        <v>1524</v>
      </c>
      <c r="F573" s="223" t="s">
        <v>1616</v>
      </c>
      <c r="G573" s="223">
        <v>924.84939500193798</v>
      </c>
    </row>
    <row r="574" spans="1:7">
      <c r="A574" s="223" t="s">
        <v>1529</v>
      </c>
      <c r="B574" s="223" t="s">
        <v>862</v>
      </c>
      <c r="C574" s="223" t="s">
        <v>1529</v>
      </c>
      <c r="D574" s="223" t="s">
        <v>1530</v>
      </c>
      <c r="E574" s="223" t="s">
        <v>1524</v>
      </c>
      <c r="F574" s="223" t="s">
        <v>1616</v>
      </c>
      <c r="G574" s="223">
        <v>299.72926759162698</v>
      </c>
    </row>
    <row r="575" spans="1:7">
      <c r="A575" s="223" t="s">
        <v>1539</v>
      </c>
      <c r="B575" s="223" t="s">
        <v>852</v>
      </c>
      <c r="C575" s="223" t="s">
        <v>1539</v>
      </c>
      <c r="D575" s="223" t="s">
        <v>1534</v>
      </c>
      <c r="E575" s="223" t="s">
        <v>1524</v>
      </c>
      <c r="F575" s="223" t="s">
        <v>1672</v>
      </c>
      <c r="G575" s="223">
        <v>304.47411608745699</v>
      </c>
    </row>
    <row r="576" spans="1:7">
      <c r="A576" s="223" t="s">
        <v>1539</v>
      </c>
      <c r="B576" s="223" t="s">
        <v>863</v>
      </c>
      <c r="C576" s="223" t="s">
        <v>1539</v>
      </c>
      <c r="D576" s="223" t="s">
        <v>1534</v>
      </c>
      <c r="E576" s="223" t="s">
        <v>1524</v>
      </c>
      <c r="F576" s="223" t="s">
        <v>1672</v>
      </c>
      <c r="G576" s="223">
        <v>148.34594135761699</v>
      </c>
    </row>
    <row r="577" spans="1:7">
      <c r="A577" s="223" t="s">
        <v>1540</v>
      </c>
      <c r="B577" s="223" t="s">
        <v>862</v>
      </c>
      <c r="C577" s="223" t="s">
        <v>1540</v>
      </c>
      <c r="D577" s="223" t="s">
        <v>1528</v>
      </c>
      <c r="E577" s="223" t="s">
        <v>1524</v>
      </c>
      <c r="F577" s="223" t="s">
        <v>1626</v>
      </c>
      <c r="G577" s="223">
        <v>289.902078490262</v>
      </c>
    </row>
    <row r="578" spans="1:7">
      <c r="A578" s="223" t="s">
        <v>1531</v>
      </c>
      <c r="B578" s="223" t="s">
        <v>860</v>
      </c>
      <c r="C578" s="223" t="s">
        <v>1531</v>
      </c>
      <c r="D578" s="223" t="s">
        <v>1532</v>
      </c>
      <c r="E578" s="223" t="s">
        <v>1524</v>
      </c>
      <c r="F578" s="223" t="s">
        <v>1641</v>
      </c>
      <c r="G578" s="223">
        <v>201.56334791739999</v>
      </c>
    </row>
    <row r="579" spans="1:7">
      <c r="A579" s="223" t="s">
        <v>1531</v>
      </c>
      <c r="B579" s="223" t="s">
        <v>856</v>
      </c>
      <c r="C579" s="223" t="s">
        <v>1531</v>
      </c>
      <c r="D579" s="223" t="s">
        <v>1532</v>
      </c>
      <c r="E579" s="223" t="s">
        <v>1524</v>
      </c>
      <c r="F579" s="223" t="s">
        <v>1626</v>
      </c>
      <c r="G579" s="223">
        <v>223.69223539973501</v>
      </c>
    </row>
    <row r="580" spans="1:7">
      <c r="A580" s="223" t="s">
        <v>1531</v>
      </c>
      <c r="B580" s="223" t="s">
        <v>860</v>
      </c>
      <c r="C580" s="223" t="s">
        <v>1531</v>
      </c>
      <c r="D580" s="223" t="s">
        <v>1532</v>
      </c>
      <c r="E580" s="223" t="s">
        <v>1524</v>
      </c>
      <c r="F580" s="223" t="s">
        <v>1626</v>
      </c>
      <c r="G580" s="223">
        <v>282.90532860866801</v>
      </c>
    </row>
    <row r="581" spans="1:7">
      <c r="A581" s="223" t="s">
        <v>1531</v>
      </c>
      <c r="B581" s="223" t="s">
        <v>861</v>
      </c>
      <c r="C581" s="223" t="s">
        <v>1531</v>
      </c>
      <c r="D581" s="223" t="s">
        <v>1532</v>
      </c>
      <c r="E581" s="223" t="s">
        <v>1524</v>
      </c>
      <c r="F581" s="223" t="s">
        <v>1626</v>
      </c>
      <c r="G581" s="223">
        <v>105.697073714507</v>
      </c>
    </row>
    <row r="582" spans="1:7">
      <c r="A582" s="223" t="s">
        <v>1531</v>
      </c>
      <c r="B582" s="223" t="s">
        <v>860</v>
      </c>
      <c r="C582" s="223" t="s">
        <v>1531</v>
      </c>
      <c r="D582" s="223" t="s">
        <v>1532</v>
      </c>
      <c r="E582" s="223" t="s">
        <v>1524</v>
      </c>
      <c r="F582" s="223" t="s">
        <v>1673</v>
      </c>
      <c r="G582" s="223">
        <v>111.800549814131</v>
      </c>
    </row>
    <row r="583" spans="1:7">
      <c r="A583" s="223" t="s">
        <v>1531</v>
      </c>
      <c r="B583" s="223" t="s">
        <v>860</v>
      </c>
      <c r="C583" s="223" t="s">
        <v>1531</v>
      </c>
      <c r="D583" s="223" t="s">
        <v>1532</v>
      </c>
      <c r="E583" s="223" t="s">
        <v>1524</v>
      </c>
      <c r="F583" s="223" t="s">
        <v>1674</v>
      </c>
      <c r="G583" s="223">
        <v>111.800549814131</v>
      </c>
    </row>
    <row r="584" spans="1:7">
      <c r="A584" s="223" t="s">
        <v>1531</v>
      </c>
      <c r="B584" s="223" t="s">
        <v>860</v>
      </c>
      <c r="C584" s="223" t="s">
        <v>1531</v>
      </c>
      <c r="D584" s="223" t="s">
        <v>1532</v>
      </c>
      <c r="E584" s="223" t="s">
        <v>1524</v>
      </c>
      <c r="F584" s="223" t="s">
        <v>1675</v>
      </c>
      <c r="G584" s="223">
        <v>111.800549814131</v>
      </c>
    </row>
    <row r="585" spans="1:7">
      <c r="A585" s="223" t="s">
        <v>1535</v>
      </c>
      <c r="B585" s="223" t="s">
        <v>917</v>
      </c>
      <c r="C585" s="223" t="s">
        <v>1535</v>
      </c>
      <c r="D585" s="223" t="s">
        <v>1536</v>
      </c>
      <c r="E585" s="223" t="s">
        <v>1524</v>
      </c>
      <c r="F585" s="223" t="s">
        <v>1614</v>
      </c>
      <c r="G585" s="223">
        <v>1916.8214910736899</v>
      </c>
    </row>
    <row r="586" spans="1:7">
      <c r="A586" s="223" t="s">
        <v>1535</v>
      </c>
      <c r="B586" s="223" t="s">
        <v>853</v>
      </c>
      <c r="C586" s="223" t="s">
        <v>1535</v>
      </c>
      <c r="D586" s="223" t="s">
        <v>1536</v>
      </c>
      <c r="E586" s="223" t="s">
        <v>1524</v>
      </c>
      <c r="F586" s="223" t="s">
        <v>1614</v>
      </c>
      <c r="G586" s="223">
        <v>9025.74011212199</v>
      </c>
    </row>
    <row r="587" spans="1:7">
      <c r="A587" s="223" t="s">
        <v>1535</v>
      </c>
      <c r="B587" s="223" t="s">
        <v>874</v>
      </c>
      <c r="C587" s="223" t="s">
        <v>1535</v>
      </c>
      <c r="D587" s="223" t="s">
        <v>1536</v>
      </c>
      <c r="E587" s="223" t="s">
        <v>1524</v>
      </c>
      <c r="F587" s="223" t="s">
        <v>1614</v>
      </c>
      <c r="G587" s="223">
        <v>648.19828343029496</v>
      </c>
    </row>
    <row r="588" spans="1:7">
      <c r="A588" s="223" t="s">
        <v>1535</v>
      </c>
      <c r="B588" s="223" t="s">
        <v>918</v>
      </c>
      <c r="C588" s="223" t="s">
        <v>1535</v>
      </c>
      <c r="D588" s="223" t="s">
        <v>1536</v>
      </c>
      <c r="E588" s="223" t="s">
        <v>1524</v>
      </c>
      <c r="F588" s="223" t="s">
        <v>1614</v>
      </c>
      <c r="G588" s="223">
        <v>9328.1869552452499</v>
      </c>
    </row>
    <row r="589" spans="1:7">
      <c r="A589" s="223" t="s">
        <v>1535</v>
      </c>
      <c r="B589" s="223" t="s">
        <v>875</v>
      </c>
      <c r="C589" s="223" t="s">
        <v>1535</v>
      </c>
      <c r="D589" s="223" t="s">
        <v>1536</v>
      </c>
      <c r="E589" s="223" t="s">
        <v>1524</v>
      </c>
      <c r="F589" s="223" t="s">
        <v>1614</v>
      </c>
      <c r="G589" s="223">
        <v>5296.67214921306</v>
      </c>
    </row>
    <row r="590" spans="1:7">
      <c r="A590" s="223" t="s">
        <v>1535</v>
      </c>
      <c r="B590" s="223" t="s">
        <v>853</v>
      </c>
      <c r="C590" s="223" t="s">
        <v>1535</v>
      </c>
      <c r="D590" s="223" t="s">
        <v>1536</v>
      </c>
      <c r="E590" s="223" t="s">
        <v>1524</v>
      </c>
      <c r="F590" s="223" t="s">
        <v>1615</v>
      </c>
      <c r="G590" s="223">
        <v>3802.6406041209898</v>
      </c>
    </row>
    <row r="591" spans="1:7">
      <c r="A591" s="223" t="s">
        <v>1535</v>
      </c>
      <c r="B591" s="223" t="s">
        <v>874</v>
      </c>
      <c r="C591" s="223" t="s">
        <v>1535</v>
      </c>
      <c r="D591" s="223" t="s">
        <v>1536</v>
      </c>
      <c r="E591" s="223" t="s">
        <v>1524</v>
      </c>
      <c r="F591" s="223" t="s">
        <v>1615</v>
      </c>
      <c r="G591" s="223">
        <v>571.20174095709399</v>
      </c>
    </row>
    <row r="592" spans="1:7">
      <c r="A592" s="223" t="s">
        <v>1535</v>
      </c>
      <c r="B592" s="223" t="s">
        <v>918</v>
      </c>
      <c r="C592" s="223" t="s">
        <v>1535</v>
      </c>
      <c r="D592" s="223" t="s">
        <v>1536</v>
      </c>
      <c r="E592" s="223" t="s">
        <v>1524</v>
      </c>
      <c r="F592" s="223" t="s">
        <v>1615</v>
      </c>
      <c r="G592" s="223">
        <v>1836.5655564243</v>
      </c>
    </row>
    <row r="593" spans="1:7">
      <c r="A593" s="223" t="s">
        <v>1535</v>
      </c>
      <c r="B593" s="223" t="s">
        <v>875</v>
      </c>
      <c r="C593" s="223" t="s">
        <v>1535</v>
      </c>
      <c r="D593" s="223" t="s">
        <v>1536</v>
      </c>
      <c r="E593" s="223" t="s">
        <v>1524</v>
      </c>
      <c r="F593" s="223" t="s">
        <v>1615</v>
      </c>
      <c r="G593" s="223">
        <v>2539.22907138848</v>
      </c>
    </row>
    <row r="594" spans="1:7">
      <c r="A594" s="223" t="s">
        <v>1535</v>
      </c>
      <c r="B594" s="223" t="s">
        <v>849</v>
      </c>
      <c r="C594" s="223" t="s">
        <v>1535</v>
      </c>
      <c r="D594" s="223" t="s">
        <v>1536</v>
      </c>
      <c r="E594" s="223" t="s">
        <v>1524</v>
      </c>
      <c r="F594" s="223" t="s">
        <v>1639</v>
      </c>
      <c r="G594" s="223">
        <v>112.545780888415</v>
      </c>
    </row>
    <row r="595" spans="1:7">
      <c r="A595" s="223" t="s">
        <v>1535</v>
      </c>
      <c r="B595" s="223" t="s">
        <v>855</v>
      </c>
      <c r="C595" s="223" t="s">
        <v>1535</v>
      </c>
      <c r="D595" s="223" t="s">
        <v>1536</v>
      </c>
      <c r="E595" s="223" t="s">
        <v>1524</v>
      </c>
      <c r="F595" s="223" t="s">
        <v>1639</v>
      </c>
      <c r="G595" s="223">
        <v>757.75238619944605</v>
      </c>
    </row>
    <row r="596" spans="1:7">
      <c r="A596" s="223" t="s">
        <v>1535</v>
      </c>
      <c r="B596" s="223" t="s">
        <v>839</v>
      </c>
      <c r="C596" s="223" t="s">
        <v>1535</v>
      </c>
      <c r="D596" s="223" t="s">
        <v>1536</v>
      </c>
      <c r="E596" s="223" t="s">
        <v>1524</v>
      </c>
      <c r="F596" s="223" t="s">
        <v>1676</v>
      </c>
      <c r="G596" s="223">
        <v>111.484239882132</v>
      </c>
    </row>
    <row r="597" spans="1:7">
      <c r="A597" s="223" t="s">
        <v>1535</v>
      </c>
      <c r="B597" s="223" t="s">
        <v>859</v>
      </c>
      <c r="C597" s="223" t="s">
        <v>1535</v>
      </c>
      <c r="D597" s="223" t="s">
        <v>1536</v>
      </c>
      <c r="E597" s="223" t="s">
        <v>1524</v>
      </c>
      <c r="F597" s="223" t="s">
        <v>1677</v>
      </c>
      <c r="G597" s="223">
        <v>142.12620855429901</v>
      </c>
    </row>
    <row r="598" spans="1:7">
      <c r="A598" s="223" t="s">
        <v>1535</v>
      </c>
      <c r="B598" s="223" t="s">
        <v>839</v>
      </c>
      <c r="C598" s="223" t="s">
        <v>1535</v>
      </c>
      <c r="D598" s="223" t="s">
        <v>1536</v>
      </c>
      <c r="E598" s="223" t="s">
        <v>1524</v>
      </c>
      <c r="F598" s="223" t="s">
        <v>1641</v>
      </c>
      <c r="G598" s="223">
        <v>134.23612557236299</v>
      </c>
    </row>
    <row r="599" spans="1:7">
      <c r="A599" s="223" t="s">
        <v>1535</v>
      </c>
      <c r="B599" s="223" t="s">
        <v>855</v>
      </c>
      <c r="C599" s="223" t="s">
        <v>1535</v>
      </c>
      <c r="D599" s="223" t="s">
        <v>1536</v>
      </c>
      <c r="E599" s="223" t="s">
        <v>1524</v>
      </c>
      <c r="F599" s="223" t="s">
        <v>1641</v>
      </c>
      <c r="G599" s="223">
        <v>116.57729018453</v>
      </c>
    </row>
    <row r="600" spans="1:7">
      <c r="A600" s="223" t="s">
        <v>1535</v>
      </c>
      <c r="B600" s="223" t="s">
        <v>854</v>
      </c>
      <c r="C600" s="223" t="s">
        <v>1535</v>
      </c>
      <c r="D600" s="223" t="s">
        <v>1536</v>
      </c>
      <c r="E600" s="223" t="s">
        <v>1524</v>
      </c>
      <c r="F600" s="223" t="s">
        <v>1616</v>
      </c>
      <c r="G600" s="223">
        <v>214.700191875511</v>
      </c>
    </row>
    <row r="601" spans="1:7">
      <c r="A601" s="223" t="s">
        <v>1535</v>
      </c>
      <c r="B601" s="223" t="s">
        <v>859</v>
      </c>
      <c r="C601" s="223" t="s">
        <v>1535</v>
      </c>
      <c r="D601" s="223" t="s">
        <v>1536</v>
      </c>
      <c r="E601" s="223" t="s">
        <v>1524</v>
      </c>
      <c r="F601" s="223" t="s">
        <v>1616</v>
      </c>
      <c r="G601" s="223">
        <v>1137.0096684343901</v>
      </c>
    </row>
    <row r="602" spans="1:7">
      <c r="A602" s="223" t="s">
        <v>1537</v>
      </c>
      <c r="B602" s="223" t="s">
        <v>859</v>
      </c>
      <c r="C602" s="223" t="s">
        <v>1537</v>
      </c>
      <c r="D602" s="223" t="s">
        <v>1536</v>
      </c>
      <c r="E602" s="223" t="s">
        <v>1524</v>
      </c>
      <c r="F602" s="223" t="s">
        <v>1616</v>
      </c>
      <c r="G602" s="223">
        <v>142.12620855429901</v>
      </c>
    </row>
    <row r="603" spans="1:7">
      <c r="A603" s="223" t="s">
        <v>1535</v>
      </c>
      <c r="B603" s="223" t="s">
        <v>860</v>
      </c>
      <c r="C603" s="223" t="s">
        <v>1535</v>
      </c>
      <c r="D603" s="223" t="s">
        <v>1536</v>
      </c>
      <c r="E603" s="223" t="s">
        <v>1524</v>
      </c>
      <c r="F603" s="223" t="s">
        <v>1616</v>
      </c>
      <c r="G603" s="223">
        <v>652.16989254918997</v>
      </c>
    </row>
    <row r="604" spans="1:7">
      <c r="A604" s="223" t="s">
        <v>1535</v>
      </c>
      <c r="B604" s="223" t="s">
        <v>861</v>
      </c>
      <c r="C604" s="223" t="s">
        <v>1535</v>
      </c>
      <c r="D604" s="223" t="s">
        <v>1536</v>
      </c>
      <c r="E604" s="223" t="s">
        <v>1524</v>
      </c>
      <c r="F604" s="223" t="s">
        <v>1616</v>
      </c>
      <c r="G604" s="223">
        <v>1294.78915300271</v>
      </c>
    </row>
    <row r="605" spans="1:7">
      <c r="A605" s="223" t="s">
        <v>1537</v>
      </c>
      <c r="B605" s="223" t="s">
        <v>861</v>
      </c>
      <c r="C605" s="223" t="s">
        <v>1537</v>
      </c>
      <c r="D605" s="223" t="s">
        <v>1536</v>
      </c>
      <c r="E605" s="223" t="s">
        <v>1524</v>
      </c>
      <c r="F605" s="223" t="s">
        <v>1616</v>
      </c>
      <c r="G605" s="223">
        <v>132.121342143134</v>
      </c>
    </row>
    <row r="606" spans="1:7">
      <c r="A606" s="223" t="s">
        <v>1535</v>
      </c>
      <c r="B606" s="223" t="s">
        <v>862</v>
      </c>
      <c r="C606" s="223" t="s">
        <v>1535</v>
      </c>
      <c r="D606" s="223" t="s">
        <v>1536</v>
      </c>
      <c r="E606" s="223" t="s">
        <v>1524</v>
      </c>
      <c r="F606" s="223" t="s">
        <v>1616</v>
      </c>
      <c r="G606" s="223">
        <v>687.90323709553797</v>
      </c>
    </row>
    <row r="607" spans="1:7">
      <c r="A607" s="223" t="s">
        <v>1535</v>
      </c>
      <c r="B607" s="223" t="s">
        <v>839</v>
      </c>
      <c r="C607" s="223" t="s">
        <v>1535</v>
      </c>
      <c r="D607" s="223" t="s">
        <v>1536</v>
      </c>
      <c r="E607" s="223" t="s">
        <v>1524</v>
      </c>
      <c r="F607" s="223" t="s">
        <v>1627</v>
      </c>
      <c r="G607" s="223">
        <v>1532.48631915542</v>
      </c>
    </row>
    <row r="608" spans="1:7">
      <c r="A608" s="223" t="s">
        <v>1535</v>
      </c>
      <c r="B608" s="223" t="s">
        <v>856</v>
      </c>
      <c r="C608" s="223" t="s">
        <v>1535</v>
      </c>
      <c r="D608" s="223" t="s">
        <v>1536</v>
      </c>
      <c r="E608" s="223" t="s">
        <v>1524</v>
      </c>
      <c r="F608" s="223" t="s">
        <v>1627</v>
      </c>
      <c r="G608" s="223">
        <v>127.824134514134</v>
      </c>
    </row>
    <row r="609" spans="1:7">
      <c r="A609" s="223" t="s">
        <v>1535</v>
      </c>
      <c r="B609" s="223" t="s">
        <v>839</v>
      </c>
      <c r="C609" s="223" t="s">
        <v>1535</v>
      </c>
      <c r="D609" s="223" t="s">
        <v>1536</v>
      </c>
      <c r="E609" s="223" t="s">
        <v>1524</v>
      </c>
      <c r="F609" s="223" t="s">
        <v>1617</v>
      </c>
      <c r="G609" s="223">
        <v>7081.3779899481196</v>
      </c>
    </row>
    <row r="610" spans="1:7">
      <c r="A610" s="223" t="s">
        <v>1537</v>
      </c>
      <c r="B610" s="223" t="s">
        <v>839</v>
      </c>
      <c r="C610" s="223" t="s">
        <v>1537</v>
      </c>
      <c r="D610" s="223" t="s">
        <v>1536</v>
      </c>
      <c r="E610" s="223" t="s">
        <v>1524</v>
      </c>
      <c r="F610" s="223" t="s">
        <v>1617</v>
      </c>
      <c r="G610" s="223">
        <v>5794.9052853018502</v>
      </c>
    </row>
    <row r="611" spans="1:7">
      <c r="A611" s="223" t="s">
        <v>1535</v>
      </c>
      <c r="B611" s="223" t="s">
        <v>849</v>
      </c>
      <c r="C611" s="223" t="s">
        <v>1535</v>
      </c>
      <c r="D611" s="223" t="s">
        <v>1536</v>
      </c>
      <c r="E611" s="223" t="s">
        <v>1524</v>
      </c>
      <c r="F611" s="223" t="s">
        <v>1617</v>
      </c>
      <c r="G611" s="223">
        <v>194.397257898172</v>
      </c>
    </row>
    <row r="612" spans="1:7">
      <c r="A612" s="223" t="s">
        <v>1537</v>
      </c>
      <c r="B612" s="223" t="s">
        <v>849</v>
      </c>
      <c r="C612" s="223" t="s">
        <v>1537</v>
      </c>
      <c r="D612" s="223" t="s">
        <v>1536</v>
      </c>
      <c r="E612" s="223" t="s">
        <v>1524</v>
      </c>
      <c r="F612" s="223" t="s">
        <v>1617</v>
      </c>
      <c r="G612" s="223">
        <v>122.777215514635</v>
      </c>
    </row>
    <row r="613" spans="1:7">
      <c r="A613" s="223" t="s">
        <v>1535</v>
      </c>
      <c r="B613" s="223" t="s">
        <v>855</v>
      </c>
      <c r="C613" s="223" t="s">
        <v>1535</v>
      </c>
      <c r="D613" s="223" t="s">
        <v>1536</v>
      </c>
      <c r="E613" s="223" t="s">
        <v>1524</v>
      </c>
      <c r="F613" s="223" t="s">
        <v>1617</v>
      </c>
      <c r="G613" s="223">
        <v>174.865935276795</v>
      </c>
    </row>
    <row r="614" spans="1:7">
      <c r="A614" s="223" t="s">
        <v>1537</v>
      </c>
      <c r="B614" s="223" t="s">
        <v>855</v>
      </c>
      <c r="C614" s="223" t="s">
        <v>1537</v>
      </c>
      <c r="D614" s="223" t="s">
        <v>1536</v>
      </c>
      <c r="E614" s="223" t="s">
        <v>1524</v>
      </c>
      <c r="F614" s="223" t="s">
        <v>1617</v>
      </c>
      <c r="G614" s="223">
        <v>233.15458036906</v>
      </c>
    </row>
    <row r="615" spans="1:7">
      <c r="A615" s="223" t="s">
        <v>1535</v>
      </c>
      <c r="B615" s="223" t="s">
        <v>859</v>
      </c>
      <c r="C615" s="223" t="s">
        <v>1535</v>
      </c>
      <c r="D615" s="223" t="s">
        <v>1536</v>
      </c>
      <c r="E615" s="223" t="s">
        <v>1524</v>
      </c>
      <c r="F615" s="223" t="s">
        <v>1617</v>
      </c>
      <c r="G615" s="223">
        <v>255.82717539773799</v>
      </c>
    </row>
    <row r="616" spans="1:7">
      <c r="A616" s="223" t="s">
        <v>1535</v>
      </c>
      <c r="B616" s="223" t="s">
        <v>860</v>
      </c>
      <c r="C616" s="223" t="s">
        <v>1535</v>
      </c>
      <c r="D616" s="223" t="s">
        <v>1536</v>
      </c>
      <c r="E616" s="223" t="s">
        <v>1524</v>
      </c>
      <c r="F616" s="223" t="s">
        <v>1617</v>
      </c>
      <c r="G616" s="223">
        <v>428.56877428750198</v>
      </c>
    </row>
    <row r="617" spans="1:7">
      <c r="A617" s="223" t="s">
        <v>1537</v>
      </c>
      <c r="B617" s="223" t="s">
        <v>860</v>
      </c>
      <c r="C617" s="223" t="s">
        <v>1537</v>
      </c>
      <c r="D617" s="223" t="s">
        <v>1536</v>
      </c>
      <c r="E617" s="223" t="s">
        <v>1524</v>
      </c>
      <c r="F617" s="223" t="s">
        <v>1617</v>
      </c>
      <c r="G617" s="223">
        <v>503.10247416358999</v>
      </c>
    </row>
    <row r="618" spans="1:7">
      <c r="A618" s="223" t="s">
        <v>1535</v>
      </c>
      <c r="B618" s="223" t="s">
        <v>861</v>
      </c>
      <c r="C618" s="223" t="s">
        <v>1535</v>
      </c>
      <c r="D618" s="223" t="s">
        <v>1536</v>
      </c>
      <c r="E618" s="223" t="s">
        <v>1524</v>
      </c>
      <c r="F618" s="223" t="s">
        <v>1617</v>
      </c>
      <c r="G618" s="223">
        <v>264.242684286268</v>
      </c>
    </row>
    <row r="619" spans="1:7">
      <c r="A619" s="223" t="s">
        <v>1535</v>
      </c>
      <c r="B619" s="223" t="s">
        <v>849</v>
      </c>
      <c r="C619" s="223" t="s">
        <v>1535</v>
      </c>
      <c r="D619" s="223" t="s">
        <v>1536</v>
      </c>
      <c r="E619" s="223" t="s">
        <v>1524</v>
      </c>
      <c r="F619" s="223" t="s">
        <v>1618</v>
      </c>
      <c r="G619" s="223">
        <v>313.16682046971601</v>
      </c>
    </row>
    <row r="620" spans="1:7">
      <c r="A620" s="223" t="s">
        <v>1535</v>
      </c>
      <c r="B620" s="223" t="s">
        <v>852</v>
      </c>
      <c r="C620" s="223" t="s">
        <v>1535</v>
      </c>
      <c r="D620" s="223" t="s">
        <v>1536</v>
      </c>
      <c r="E620" s="223" t="s">
        <v>1524</v>
      </c>
      <c r="F620" s="223" t="s">
        <v>1618</v>
      </c>
      <c r="G620" s="223">
        <v>1464.7673692855999</v>
      </c>
    </row>
    <row r="621" spans="1:7">
      <c r="A621" s="223" t="s">
        <v>1535</v>
      </c>
      <c r="B621" s="223" t="s">
        <v>854</v>
      </c>
      <c r="C621" s="223" t="s">
        <v>1535</v>
      </c>
      <c r="D621" s="223" t="s">
        <v>1536</v>
      </c>
      <c r="E621" s="223" t="s">
        <v>1524</v>
      </c>
      <c r="F621" s="223" t="s">
        <v>1618</v>
      </c>
      <c r="G621" s="223">
        <v>466.20613092968199</v>
      </c>
    </row>
    <row r="622" spans="1:7">
      <c r="A622" s="223" t="s">
        <v>1535</v>
      </c>
      <c r="B622" s="223" t="s">
        <v>855</v>
      </c>
      <c r="C622" s="223" t="s">
        <v>1535</v>
      </c>
      <c r="D622" s="223" t="s">
        <v>1536</v>
      </c>
      <c r="E622" s="223" t="s">
        <v>1524</v>
      </c>
      <c r="F622" s="223" t="s">
        <v>1618</v>
      </c>
      <c r="G622" s="223">
        <v>349.73187055359</v>
      </c>
    </row>
    <row r="623" spans="1:7">
      <c r="A623" s="223" t="s">
        <v>1535</v>
      </c>
      <c r="B623" s="223" t="s">
        <v>856</v>
      </c>
      <c r="C623" s="223" t="s">
        <v>1535</v>
      </c>
      <c r="D623" s="223" t="s">
        <v>1536</v>
      </c>
      <c r="E623" s="223" t="s">
        <v>1524</v>
      </c>
      <c r="F623" s="223" t="s">
        <v>1618</v>
      </c>
      <c r="G623" s="223">
        <v>191.736201771201</v>
      </c>
    </row>
    <row r="624" spans="1:7">
      <c r="A624" s="223" t="s">
        <v>1535</v>
      </c>
      <c r="B624" s="223" t="s">
        <v>857</v>
      </c>
      <c r="C624" s="223" t="s">
        <v>1535</v>
      </c>
      <c r="D624" s="223" t="s">
        <v>1536</v>
      </c>
      <c r="E624" s="223" t="s">
        <v>1524</v>
      </c>
      <c r="F624" s="223" t="s">
        <v>1618</v>
      </c>
      <c r="G624" s="223">
        <v>908.42386769123402</v>
      </c>
    </row>
    <row r="625" spans="1:7">
      <c r="A625" s="223" t="s">
        <v>1535</v>
      </c>
      <c r="B625" s="223" t="s">
        <v>858</v>
      </c>
      <c r="C625" s="223" t="s">
        <v>1535</v>
      </c>
      <c r="D625" s="223" t="s">
        <v>1536</v>
      </c>
      <c r="E625" s="223" t="s">
        <v>1524</v>
      </c>
      <c r="F625" s="223" t="s">
        <v>1618</v>
      </c>
      <c r="G625" s="223">
        <v>4422.5086653853896</v>
      </c>
    </row>
    <row r="626" spans="1:7">
      <c r="A626" s="223" t="s">
        <v>1535</v>
      </c>
      <c r="B626" s="223" t="s">
        <v>859</v>
      </c>
      <c r="C626" s="223" t="s">
        <v>1535</v>
      </c>
      <c r="D626" s="223" t="s">
        <v>1536</v>
      </c>
      <c r="E626" s="223" t="s">
        <v>1524</v>
      </c>
      <c r="F626" s="223" t="s">
        <v>1618</v>
      </c>
      <c r="G626" s="223">
        <v>3752.1319058334998</v>
      </c>
    </row>
    <row r="627" spans="1:7">
      <c r="A627" s="223" t="s">
        <v>1535</v>
      </c>
      <c r="B627" s="223" t="s">
        <v>862</v>
      </c>
      <c r="C627" s="223" t="s">
        <v>1535</v>
      </c>
      <c r="D627" s="223" t="s">
        <v>1536</v>
      </c>
      <c r="E627" s="223" t="s">
        <v>1524</v>
      </c>
      <c r="F627" s="223" t="s">
        <v>1618</v>
      </c>
      <c r="G627" s="223">
        <v>343.95161854776899</v>
      </c>
    </row>
    <row r="628" spans="1:7">
      <c r="A628" s="223" t="s">
        <v>1535</v>
      </c>
      <c r="B628" s="223" t="s">
        <v>863</v>
      </c>
      <c r="C628" s="223" t="s">
        <v>1535</v>
      </c>
      <c r="D628" s="223" t="s">
        <v>1536</v>
      </c>
      <c r="E628" s="223" t="s">
        <v>1524</v>
      </c>
      <c r="F628" s="223" t="s">
        <v>1618</v>
      </c>
      <c r="G628" s="223">
        <v>1631.8053549337901</v>
      </c>
    </row>
    <row r="629" spans="1:7">
      <c r="A629" s="223" t="s">
        <v>1535</v>
      </c>
      <c r="B629" s="223" t="s">
        <v>849</v>
      </c>
      <c r="C629" s="223" t="s">
        <v>1535</v>
      </c>
      <c r="D629" s="223" t="s">
        <v>1536</v>
      </c>
      <c r="E629" s="223" t="s">
        <v>1524</v>
      </c>
      <c r="F629" s="223" t="s">
        <v>1619</v>
      </c>
      <c r="G629" s="223">
        <v>931.06055098598199</v>
      </c>
    </row>
    <row r="630" spans="1:7">
      <c r="A630" s="223" t="s">
        <v>1535</v>
      </c>
      <c r="B630" s="223" t="s">
        <v>852</v>
      </c>
      <c r="C630" s="223" t="s">
        <v>1535</v>
      </c>
      <c r="D630" s="223" t="s">
        <v>1536</v>
      </c>
      <c r="E630" s="223" t="s">
        <v>1524</v>
      </c>
      <c r="F630" s="223" t="s">
        <v>1619</v>
      </c>
      <c r="G630" s="223">
        <v>315.94702994283898</v>
      </c>
    </row>
    <row r="631" spans="1:7">
      <c r="A631" s="223" t="s">
        <v>1537</v>
      </c>
      <c r="B631" s="223" t="s">
        <v>852</v>
      </c>
      <c r="C631" s="223" t="s">
        <v>1537</v>
      </c>
      <c r="D631" s="223" t="s">
        <v>1536</v>
      </c>
      <c r="E631" s="223" t="s">
        <v>1524</v>
      </c>
      <c r="F631" s="223" t="s">
        <v>1619</v>
      </c>
      <c r="G631" s="223">
        <v>436.13859871987199</v>
      </c>
    </row>
    <row r="632" spans="1:7">
      <c r="A632" s="223" t="s">
        <v>1537</v>
      </c>
      <c r="B632" s="223" t="s">
        <v>854</v>
      </c>
      <c r="C632" s="223" t="s">
        <v>1537</v>
      </c>
      <c r="D632" s="223" t="s">
        <v>1536</v>
      </c>
      <c r="E632" s="223" t="s">
        <v>1524</v>
      </c>
      <c r="F632" s="223" t="s">
        <v>1619</v>
      </c>
      <c r="G632" s="223">
        <v>165.62586230396599</v>
      </c>
    </row>
    <row r="633" spans="1:7">
      <c r="A633" s="223" t="s">
        <v>1535</v>
      </c>
      <c r="B633" s="223" t="s">
        <v>855</v>
      </c>
      <c r="C633" s="223" t="s">
        <v>1535</v>
      </c>
      <c r="D633" s="223" t="s">
        <v>1536</v>
      </c>
      <c r="E633" s="223" t="s">
        <v>1524</v>
      </c>
      <c r="F633" s="223" t="s">
        <v>1619</v>
      </c>
      <c r="G633" s="223">
        <v>2098.3912233215401</v>
      </c>
    </row>
    <row r="634" spans="1:7">
      <c r="A634" s="223" t="s">
        <v>1535</v>
      </c>
      <c r="B634" s="223" t="s">
        <v>856</v>
      </c>
      <c r="C634" s="223" t="s">
        <v>1535</v>
      </c>
      <c r="D634" s="223" t="s">
        <v>1536</v>
      </c>
      <c r="E634" s="223" t="s">
        <v>1524</v>
      </c>
      <c r="F634" s="223" t="s">
        <v>1619</v>
      </c>
      <c r="G634" s="223">
        <v>479.34050442800401</v>
      </c>
    </row>
    <row r="635" spans="1:7">
      <c r="A635" s="223" t="s">
        <v>1537</v>
      </c>
      <c r="B635" s="223" t="s">
        <v>856</v>
      </c>
      <c r="C635" s="223" t="s">
        <v>1537</v>
      </c>
      <c r="D635" s="223" t="s">
        <v>1536</v>
      </c>
      <c r="E635" s="223" t="s">
        <v>1524</v>
      </c>
      <c r="F635" s="223" t="s">
        <v>1619</v>
      </c>
      <c r="G635" s="223">
        <v>127.824134514134</v>
      </c>
    </row>
    <row r="636" spans="1:7">
      <c r="A636" s="223" t="s">
        <v>1535</v>
      </c>
      <c r="B636" s="223" t="s">
        <v>857</v>
      </c>
      <c r="C636" s="223" t="s">
        <v>1535</v>
      </c>
      <c r="D636" s="223" t="s">
        <v>1536</v>
      </c>
      <c r="E636" s="223" t="s">
        <v>1524</v>
      </c>
      <c r="F636" s="223" t="s">
        <v>1619</v>
      </c>
      <c r="G636" s="223">
        <v>209.636277159515</v>
      </c>
    </row>
    <row r="637" spans="1:7">
      <c r="A637" s="223" t="s">
        <v>1537</v>
      </c>
      <c r="B637" s="223" t="s">
        <v>857</v>
      </c>
      <c r="C637" s="223" t="s">
        <v>1537</v>
      </c>
      <c r="D637" s="223" t="s">
        <v>1536</v>
      </c>
      <c r="E637" s="223" t="s">
        <v>1524</v>
      </c>
      <c r="F637" s="223" t="s">
        <v>1619</v>
      </c>
      <c r="G637" s="223">
        <v>524.09069289878903</v>
      </c>
    </row>
    <row r="638" spans="1:7">
      <c r="A638" s="223" t="s">
        <v>1535</v>
      </c>
      <c r="B638" s="223" t="s">
        <v>858</v>
      </c>
      <c r="C638" s="223" t="s">
        <v>1535</v>
      </c>
      <c r="D638" s="223" t="s">
        <v>1536</v>
      </c>
      <c r="E638" s="223" t="s">
        <v>1524</v>
      </c>
      <c r="F638" s="223" t="s">
        <v>1619</v>
      </c>
      <c r="G638" s="223">
        <v>321.152776501738</v>
      </c>
    </row>
    <row r="639" spans="1:7">
      <c r="A639" s="223" t="s">
        <v>1537</v>
      </c>
      <c r="B639" s="223" t="s">
        <v>858</v>
      </c>
      <c r="C639" s="223" t="s">
        <v>1537</v>
      </c>
      <c r="D639" s="223" t="s">
        <v>1536</v>
      </c>
      <c r="E639" s="223" t="s">
        <v>1524</v>
      </c>
      <c r="F639" s="223" t="s">
        <v>1619</v>
      </c>
      <c r="G639" s="223">
        <v>796.12393467252298</v>
      </c>
    </row>
    <row r="640" spans="1:7">
      <c r="A640" s="223" t="s">
        <v>1535</v>
      </c>
      <c r="B640" s="223" t="s">
        <v>859</v>
      </c>
      <c r="C640" s="223" t="s">
        <v>1535</v>
      </c>
      <c r="D640" s="223" t="s">
        <v>1536</v>
      </c>
      <c r="E640" s="223" t="s">
        <v>1524</v>
      </c>
      <c r="F640" s="223" t="s">
        <v>1619</v>
      </c>
      <c r="G640" s="223">
        <v>129.22996064249901</v>
      </c>
    </row>
    <row r="641" spans="1:7">
      <c r="A641" s="223" t="s">
        <v>1537</v>
      </c>
      <c r="B641" s="223" t="s">
        <v>859</v>
      </c>
      <c r="C641" s="223" t="s">
        <v>1537</v>
      </c>
      <c r="D641" s="223" t="s">
        <v>1536</v>
      </c>
      <c r="E641" s="223" t="s">
        <v>1524</v>
      </c>
      <c r="F641" s="223" t="s">
        <v>1619</v>
      </c>
      <c r="G641" s="223">
        <v>1023.30870159095</v>
      </c>
    </row>
    <row r="642" spans="1:7">
      <c r="A642" s="223" t="s">
        <v>1535</v>
      </c>
      <c r="B642" s="223" t="s">
        <v>862</v>
      </c>
      <c r="C642" s="223" t="s">
        <v>1535</v>
      </c>
      <c r="D642" s="223" t="s">
        <v>1536</v>
      </c>
      <c r="E642" s="223" t="s">
        <v>1524</v>
      </c>
      <c r="F642" s="223" t="s">
        <v>1619</v>
      </c>
      <c r="G642" s="223">
        <v>141.06487731499601</v>
      </c>
    </row>
    <row r="643" spans="1:7">
      <c r="A643" s="223" t="s">
        <v>1537</v>
      </c>
      <c r="B643" s="223" t="s">
        <v>862</v>
      </c>
      <c r="C643" s="223" t="s">
        <v>1537</v>
      </c>
      <c r="D643" s="223" t="s">
        <v>1536</v>
      </c>
      <c r="E643" s="223" t="s">
        <v>1524</v>
      </c>
      <c r="F643" s="223" t="s">
        <v>1619</v>
      </c>
      <c r="G643" s="223">
        <v>127.753458317742</v>
      </c>
    </row>
    <row r="644" spans="1:7">
      <c r="A644" s="223" t="s">
        <v>1537</v>
      </c>
      <c r="B644" s="223" t="s">
        <v>863</v>
      </c>
      <c r="C644" s="223" t="s">
        <v>1537</v>
      </c>
      <c r="D644" s="223" t="s">
        <v>1536</v>
      </c>
      <c r="E644" s="223" t="s">
        <v>1524</v>
      </c>
      <c r="F644" s="223" t="s">
        <v>1619</v>
      </c>
      <c r="G644" s="223">
        <v>890.07564814570503</v>
      </c>
    </row>
    <row r="645" spans="1:7">
      <c r="A645" s="223" t="s">
        <v>1535</v>
      </c>
      <c r="B645" s="223" t="s">
        <v>855</v>
      </c>
      <c r="C645" s="223" t="s">
        <v>1535</v>
      </c>
      <c r="D645" s="223" t="s">
        <v>1536</v>
      </c>
      <c r="E645" s="223" t="s">
        <v>1524</v>
      </c>
      <c r="F645" s="223" t="s">
        <v>1628</v>
      </c>
      <c r="G645" s="223">
        <v>174.865935276795</v>
      </c>
    </row>
    <row r="646" spans="1:7">
      <c r="A646" s="223" t="s">
        <v>1535</v>
      </c>
      <c r="B646" s="223" t="s">
        <v>856</v>
      </c>
      <c r="C646" s="223" t="s">
        <v>1535</v>
      </c>
      <c r="D646" s="223" t="s">
        <v>1536</v>
      </c>
      <c r="E646" s="223" t="s">
        <v>1524</v>
      </c>
      <c r="F646" s="223" t="s">
        <v>1628</v>
      </c>
      <c r="G646" s="223">
        <v>383.47240354240301</v>
      </c>
    </row>
    <row r="647" spans="1:7">
      <c r="A647" s="223" t="s">
        <v>1537</v>
      </c>
      <c r="B647" s="223" t="s">
        <v>856</v>
      </c>
      <c r="C647" s="223" t="s">
        <v>1537</v>
      </c>
      <c r="D647" s="223" t="s">
        <v>1536</v>
      </c>
      <c r="E647" s="223" t="s">
        <v>1524</v>
      </c>
      <c r="F647" s="223" t="s">
        <v>1628</v>
      </c>
      <c r="G647" s="223">
        <v>159.780168142668</v>
      </c>
    </row>
    <row r="648" spans="1:7">
      <c r="A648" s="223" t="s">
        <v>1535</v>
      </c>
      <c r="B648" s="223" t="s">
        <v>857</v>
      </c>
      <c r="C648" s="223" t="s">
        <v>1535</v>
      </c>
      <c r="D648" s="223" t="s">
        <v>1536</v>
      </c>
      <c r="E648" s="223" t="s">
        <v>1524</v>
      </c>
      <c r="F648" s="223" t="s">
        <v>1628</v>
      </c>
      <c r="G648" s="223">
        <v>349.39379526585901</v>
      </c>
    </row>
    <row r="649" spans="1:7">
      <c r="A649" s="223" t="s">
        <v>1537</v>
      </c>
      <c r="B649" s="223" t="s">
        <v>857</v>
      </c>
      <c r="C649" s="223" t="s">
        <v>1537</v>
      </c>
      <c r="D649" s="223" t="s">
        <v>1536</v>
      </c>
      <c r="E649" s="223" t="s">
        <v>1524</v>
      </c>
      <c r="F649" s="223" t="s">
        <v>1628</v>
      </c>
      <c r="G649" s="223">
        <v>104.818138579757</v>
      </c>
    </row>
    <row r="650" spans="1:7">
      <c r="A650" s="223" t="s">
        <v>1535</v>
      </c>
      <c r="B650" s="223" t="s">
        <v>849</v>
      </c>
      <c r="C650" s="223" t="s">
        <v>1535</v>
      </c>
      <c r="D650" s="223" t="s">
        <v>1536</v>
      </c>
      <c r="E650" s="223" t="s">
        <v>1524</v>
      </c>
      <c r="F650" s="223" t="s">
        <v>1620</v>
      </c>
      <c r="G650" s="223">
        <v>945.29963855529195</v>
      </c>
    </row>
    <row r="651" spans="1:7">
      <c r="A651" s="223" t="s">
        <v>1535</v>
      </c>
      <c r="B651" s="223" t="s">
        <v>852</v>
      </c>
      <c r="C651" s="223" t="s">
        <v>1535</v>
      </c>
      <c r="D651" s="223" t="s">
        <v>1536</v>
      </c>
      <c r="E651" s="223" t="s">
        <v>1524</v>
      </c>
      <c r="F651" s="223" t="s">
        <v>1620</v>
      </c>
      <c r="G651" s="223">
        <v>951.32443829716306</v>
      </c>
    </row>
    <row r="652" spans="1:7">
      <c r="A652" s="223" t="s">
        <v>1535</v>
      </c>
      <c r="B652" s="223" t="s">
        <v>854</v>
      </c>
      <c r="C652" s="223" t="s">
        <v>1535</v>
      </c>
      <c r="D652" s="223" t="s">
        <v>1536</v>
      </c>
      <c r="E652" s="223" t="s">
        <v>1524</v>
      </c>
      <c r="F652" s="223" t="s">
        <v>1620</v>
      </c>
      <c r="G652" s="223">
        <v>141.08869751819299</v>
      </c>
    </row>
    <row r="653" spans="1:7">
      <c r="A653" s="223" t="s">
        <v>1535</v>
      </c>
      <c r="B653" s="223" t="s">
        <v>855</v>
      </c>
      <c r="C653" s="223" t="s">
        <v>1535</v>
      </c>
      <c r="D653" s="223" t="s">
        <v>1536</v>
      </c>
      <c r="E653" s="223" t="s">
        <v>1524</v>
      </c>
      <c r="F653" s="223" t="s">
        <v>1620</v>
      </c>
      <c r="G653" s="223">
        <v>116.57729018453</v>
      </c>
    </row>
    <row r="654" spans="1:7">
      <c r="A654" s="223" t="s">
        <v>1535</v>
      </c>
      <c r="B654" s="223" t="s">
        <v>856</v>
      </c>
      <c r="C654" s="223" t="s">
        <v>1535</v>
      </c>
      <c r="D654" s="223" t="s">
        <v>1536</v>
      </c>
      <c r="E654" s="223" t="s">
        <v>1524</v>
      </c>
      <c r="F654" s="223" t="s">
        <v>1620</v>
      </c>
      <c r="G654" s="223">
        <v>798.90084071334002</v>
      </c>
    </row>
    <row r="655" spans="1:7">
      <c r="A655" s="223" t="s">
        <v>1535</v>
      </c>
      <c r="B655" s="223" t="s">
        <v>857</v>
      </c>
      <c r="C655" s="223" t="s">
        <v>1535</v>
      </c>
      <c r="D655" s="223" t="s">
        <v>1536</v>
      </c>
      <c r="E655" s="223" t="s">
        <v>1524</v>
      </c>
      <c r="F655" s="223" t="s">
        <v>1620</v>
      </c>
      <c r="G655" s="223">
        <v>559.03007242537501</v>
      </c>
    </row>
    <row r="656" spans="1:7">
      <c r="A656" s="223" t="s">
        <v>1535</v>
      </c>
      <c r="B656" s="223" t="s">
        <v>858</v>
      </c>
      <c r="C656" s="223" t="s">
        <v>1535</v>
      </c>
      <c r="D656" s="223" t="s">
        <v>1536</v>
      </c>
      <c r="E656" s="223" t="s">
        <v>1524</v>
      </c>
      <c r="F656" s="223" t="s">
        <v>1620</v>
      </c>
      <c r="G656" s="223">
        <v>1810.2883625757399</v>
      </c>
    </row>
    <row r="657" spans="1:7">
      <c r="A657" s="223" t="s">
        <v>1535</v>
      </c>
      <c r="B657" s="223" t="s">
        <v>859</v>
      </c>
      <c r="C657" s="223" t="s">
        <v>1535</v>
      </c>
      <c r="D657" s="223" t="s">
        <v>1536</v>
      </c>
      <c r="E657" s="223" t="s">
        <v>1524</v>
      </c>
      <c r="F657" s="223" t="s">
        <v>1620</v>
      </c>
      <c r="G657" s="223">
        <v>2429.0383823058801</v>
      </c>
    </row>
    <row r="658" spans="1:7">
      <c r="A658" s="223" t="s">
        <v>1535</v>
      </c>
      <c r="B658" s="223" t="s">
        <v>862</v>
      </c>
      <c r="C658" s="223" t="s">
        <v>1535</v>
      </c>
      <c r="D658" s="223" t="s">
        <v>1536</v>
      </c>
      <c r="E658" s="223" t="s">
        <v>1524</v>
      </c>
      <c r="F658" s="223" t="s">
        <v>1620</v>
      </c>
      <c r="G658" s="223">
        <v>227.45446830645699</v>
      </c>
    </row>
    <row r="659" spans="1:7">
      <c r="A659" s="223" t="s">
        <v>1535</v>
      </c>
      <c r="B659" s="223" t="s">
        <v>863</v>
      </c>
      <c r="C659" s="223" t="s">
        <v>1535</v>
      </c>
      <c r="D659" s="223" t="s">
        <v>1536</v>
      </c>
      <c r="E659" s="223" t="s">
        <v>1524</v>
      </c>
      <c r="F659" s="223" t="s">
        <v>1620</v>
      </c>
      <c r="G659" s="223">
        <v>1186.76753086094</v>
      </c>
    </row>
    <row r="660" spans="1:7">
      <c r="A660" s="223" t="s">
        <v>1494</v>
      </c>
      <c r="B660" s="223" t="s">
        <v>839</v>
      </c>
      <c r="C660" s="223" t="s">
        <v>1494</v>
      </c>
      <c r="D660" s="223" t="s">
        <v>1495</v>
      </c>
      <c r="E660" s="223" t="s">
        <v>1464</v>
      </c>
      <c r="F660" s="223" t="s">
        <v>1616</v>
      </c>
      <c r="G660" s="223">
        <v>1226.32663870345</v>
      </c>
    </row>
    <row r="661" spans="1:7">
      <c r="A661" s="223" t="s">
        <v>1494</v>
      </c>
      <c r="B661" s="223" t="s">
        <v>851</v>
      </c>
      <c r="C661" s="223" t="s">
        <v>1494</v>
      </c>
      <c r="D661" s="223" t="s">
        <v>1495</v>
      </c>
      <c r="E661" s="223" t="s">
        <v>1464</v>
      </c>
      <c r="F661" s="223" t="s">
        <v>1616</v>
      </c>
      <c r="G661" s="223">
        <v>134.670366547642</v>
      </c>
    </row>
    <row r="662" spans="1:7">
      <c r="A662" s="223" t="s">
        <v>1494</v>
      </c>
      <c r="B662" s="223" t="s">
        <v>854</v>
      </c>
      <c r="C662" s="223" t="s">
        <v>1494</v>
      </c>
      <c r="D662" s="223" t="s">
        <v>1495</v>
      </c>
      <c r="E662" s="223" t="s">
        <v>1464</v>
      </c>
      <c r="F662" s="223" t="s">
        <v>1616</v>
      </c>
      <c r="G662" s="223">
        <v>276.043103839943</v>
      </c>
    </row>
    <row r="663" spans="1:7">
      <c r="A663" s="223" t="s">
        <v>1494</v>
      </c>
      <c r="B663" s="223" t="s">
        <v>858</v>
      </c>
      <c r="C663" s="223" t="s">
        <v>1494</v>
      </c>
      <c r="D663" s="223" t="s">
        <v>1495</v>
      </c>
      <c r="E663" s="223" t="s">
        <v>1464</v>
      </c>
      <c r="F663" s="223" t="s">
        <v>1616</v>
      </c>
      <c r="G663" s="223">
        <v>100.520698822288</v>
      </c>
    </row>
    <row r="664" spans="1:7">
      <c r="A664" s="223" t="s">
        <v>1494</v>
      </c>
      <c r="B664" s="223" t="s">
        <v>859</v>
      </c>
      <c r="C664" s="223" t="s">
        <v>1494</v>
      </c>
      <c r="D664" s="223" t="s">
        <v>1495</v>
      </c>
      <c r="E664" s="223" t="s">
        <v>1464</v>
      </c>
      <c r="F664" s="223" t="s">
        <v>1616</v>
      </c>
      <c r="G664" s="223">
        <v>824.33200961493606</v>
      </c>
    </row>
    <row r="665" spans="1:7">
      <c r="A665" s="223" t="s">
        <v>1500</v>
      </c>
      <c r="B665" s="223" t="s">
        <v>859</v>
      </c>
      <c r="C665" s="223" t="s">
        <v>1500</v>
      </c>
      <c r="D665" s="223" t="s">
        <v>1495</v>
      </c>
      <c r="E665" s="223" t="s">
        <v>1464</v>
      </c>
      <c r="F665" s="223" t="s">
        <v>1616</v>
      </c>
      <c r="G665" s="223">
        <v>142.12620855429901</v>
      </c>
    </row>
    <row r="666" spans="1:7">
      <c r="A666" s="223" t="s">
        <v>1494</v>
      </c>
      <c r="B666" s="223" t="s">
        <v>860</v>
      </c>
      <c r="C666" s="223" t="s">
        <v>1494</v>
      </c>
      <c r="D666" s="223" t="s">
        <v>1495</v>
      </c>
      <c r="E666" s="223" t="s">
        <v>1464</v>
      </c>
      <c r="F666" s="223" t="s">
        <v>1616</v>
      </c>
      <c r="G666" s="223">
        <v>316.76822447337099</v>
      </c>
    </row>
    <row r="667" spans="1:7">
      <c r="A667" s="223" t="s">
        <v>1494</v>
      </c>
      <c r="B667" s="223" t="s">
        <v>862</v>
      </c>
      <c r="C667" s="223" t="s">
        <v>1494</v>
      </c>
      <c r="D667" s="223" t="s">
        <v>1495</v>
      </c>
      <c r="E667" s="223" t="s">
        <v>1464</v>
      </c>
      <c r="F667" s="223" t="s">
        <v>1616</v>
      </c>
      <c r="G667" s="223">
        <v>127.753458317742</v>
      </c>
    </row>
    <row r="668" spans="1:7">
      <c r="A668" s="223" t="s">
        <v>1494</v>
      </c>
      <c r="B668" s="223" t="s">
        <v>849</v>
      </c>
      <c r="C668" s="223" t="s">
        <v>1494</v>
      </c>
      <c r="D668" s="223" t="s">
        <v>1495</v>
      </c>
      <c r="E668" s="223" t="s">
        <v>1464</v>
      </c>
      <c r="F668" s="223" t="s">
        <v>1619</v>
      </c>
      <c r="G668" s="223">
        <v>798.05190084512697</v>
      </c>
    </row>
    <row r="669" spans="1:7">
      <c r="A669" s="223" t="s">
        <v>1494</v>
      </c>
      <c r="B669" s="223" t="s">
        <v>852</v>
      </c>
      <c r="C669" s="223" t="s">
        <v>1494</v>
      </c>
      <c r="D669" s="223" t="s">
        <v>1495</v>
      </c>
      <c r="E669" s="223" t="s">
        <v>1464</v>
      </c>
      <c r="F669" s="223" t="s">
        <v>1619</v>
      </c>
      <c r="G669" s="223">
        <v>5903.8024851167902</v>
      </c>
    </row>
    <row r="670" spans="1:7">
      <c r="A670" s="223" t="s">
        <v>1494</v>
      </c>
      <c r="B670" s="223" t="s">
        <v>854</v>
      </c>
      <c r="C670" s="223" t="s">
        <v>1494</v>
      </c>
      <c r="D670" s="223" t="s">
        <v>1495</v>
      </c>
      <c r="E670" s="223" t="s">
        <v>1464</v>
      </c>
      <c r="F670" s="223" t="s">
        <v>1619</v>
      </c>
      <c r="G670" s="223">
        <v>815.86072912694397</v>
      </c>
    </row>
    <row r="671" spans="1:7">
      <c r="A671" s="223" t="s">
        <v>1494</v>
      </c>
      <c r="B671" s="223" t="s">
        <v>855</v>
      </c>
      <c r="C671" s="223" t="s">
        <v>1494</v>
      </c>
      <c r="D671" s="223" t="s">
        <v>1495</v>
      </c>
      <c r="E671" s="223" t="s">
        <v>1464</v>
      </c>
      <c r="F671" s="223" t="s">
        <v>1619</v>
      </c>
      <c r="G671" s="223">
        <v>816.04103129171096</v>
      </c>
    </row>
    <row r="672" spans="1:7">
      <c r="A672" s="223" t="s">
        <v>1494</v>
      </c>
      <c r="B672" s="223" t="s">
        <v>856</v>
      </c>
      <c r="C672" s="223" t="s">
        <v>1494</v>
      </c>
      <c r="D672" s="223" t="s">
        <v>1495</v>
      </c>
      <c r="E672" s="223" t="s">
        <v>1464</v>
      </c>
      <c r="F672" s="223" t="s">
        <v>1619</v>
      </c>
      <c r="G672" s="223">
        <v>319.56033628533601</v>
      </c>
    </row>
    <row r="673" spans="1:7">
      <c r="A673" s="223" t="s">
        <v>1494</v>
      </c>
      <c r="B673" s="223" t="s">
        <v>857</v>
      </c>
      <c r="C673" s="223" t="s">
        <v>1494</v>
      </c>
      <c r="D673" s="223" t="s">
        <v>1495</v>
      </c>
      <c r="E673" s="223" t="s">
        <v>1464</v>
      </c>
      <c r="F673" s="223" t="s">
        <v>1619</v>
      </c>
      <c r="G673" s="223">
        <v>1677.09021727612</v>
      </c>
    </row>
    <row r="674" spans="1:7">
      <c r="A674" s="223" t="s">
        <v>1494</v>
      </c>
      <c r="B674" s="223" t="s">
        <v>858</v>
      </c>
      <c r="C674" s="223" t="s">
        <v>1494</v>
      </c>
      <c r="D674" s="223" t="s">
        <v>1495</v>
      </c>
      <c r="E674" s="223" t="s">
        <v>1464</v>
      </c>
      <c r="F674" s="223" t="s">
        <v>1619</v>
      </c>
      <c r="G674" s="223">
        <v>14402.5494356661</v>
      </c>
    </row>
    <row r="675" spans="1:7">
      <c r="A675" s="223" t="s">
        <v>1494</v>
      </c>
      <c r="B675" s="223" t="s">
        <v>859</v>
      </c>
      <c r="C675" s="223" t="s">
        <v>1494</v>
      </c>
      <c r="D675" s="223" t="s">
        <v>1495</v>
      </c>
      <c r="E675" s="223" t="s">
        <v>1464</v>
      </c>
      <c r="F675" s="223" t="s">
        <v>1619</v>
      </c>
      <c r="G675" s="223">
        <v>3115.4349167519499</v>
      </c>
    </row>
    <row r="676" spans="1:7">
      <c r="A676" s="223" t="s">
        <v>1494</v>
      </c>
      <c r="B676" s="223" t="s">
        <v>862</v>
      </c>
      <c r="C676" s="223" t="s">
        <v>1494</v>
      </c>
      <c r="D676" s="223" t="s">
        <v>1495</v>
      </c>
      <c r="E676" s="223" t="s">
        <v>1464</v>
      </c>
      <c r="F676" s="223" t="s">
        <v>1619</v>
      </c>
      <c r="G676" s="223">
        <v>1433.0356012823199</v>
      </c>
    </row>
    <row r="677" spans="1:7">
      <c r="A677" s="223" t="s">
        <v>1494</v>
      </c>
      <c r="B677" s="223" t="s">
        <v>863</v>
      </c>
      <c r="C677" s="223" t="s">
        <v>1494</v>
      </c>
      <c r="D677" s="223" t="s">
        <v>1495</v>
      </c>
      <c r="E677" s="223" t="s">
        <v>1464</v>
      </c>
      <c r="F677" s="223" t="s">
        <v>1619</v>
      </c>
      <c r="G677" s="223">
        <v>2670.22694443711</v>
      </c>
    </row>
    <row r="678" spans="1:7">
      <c r="A678" s="223" t="s">
        <v>1494</v>
      </c>
      <c r="B678" s="223" t="s">
        <v>849</v>
      </c>
      <c r="C678" s="223" t="s">
        <v>1494</v>
      </c>
      <c r="D678" s="223" t="s">
        <v>1495</v>
      </c>
      <c r="E678" s="223" t="s">
        <v>1464</v>
      </c>
      <c r="F678" s="223" t="s">
        <v>1620</v>
      </c>
      <c r="G678" s="223">
        <v>603.65464294695505</v>
      </c>
    </row>
    <row r="679" spans="1:7">
      <c r="A679" s="223" t="s">
        <v>1494</v>
      </c>
      <c r="B679" s="223" t="s">
        <v>852</v>
      </c>
      <c r="C679" s="223" t="s">
        <v>1494</v>
      </c>
      <c r="D679" s="223" t="s">
        <v>1495</v>
      </c>
      <c r="E679" s="223" t="s">
        <v>1464</v>
      </c>
      <c r="F679" s="223" t="s">
        <v>1620</v>
      </c>
      <c r="G679" s="223">
        <v>1448.9659855636801</v>
      </c>
    </row>
    <row r="680" spans="1:7">
      <c r="A680" s="223" t="s">
        <v>1494</v>
      </c>
      <c r="B680" s="223" t="s">
        <v>854</v>
      </c>
      <c r="C680" s="223" t="s">
        <v>1494</v>
      </c>
      <c r="D680" s="223" t="s">
        <v>1495</v>
      </c>
      <c r="E680" s="223" t="s">
        <v>1464</v>
      </c>
      <c r="F680" s="223" t="s">
        <v>1620</v>
      </c>
      <c r="G680" s="223">
        <v>220.83472844360199</v>
      </c>
    </row>
    <row r="681" spans="1:7">
      <c r="A681" s="223" t="s">
        <v>1494</v>
      </c>
      <c r="B681" s="223" t="s">
        <v>855</v>
      </c>
      <c r="C681" s="223" t="s">
        <v>1494</v>
      </c>
      <c r="D681" s="223" t="s">
        <v>1495</v>
      </c>
      <c r="E681" s="223" t="s">
        <v>1464</v>
      </c>
      <c r="F681" s="223" t="s">
        <v>1620</v>
      </c>
      <c r="G681" s="223">
        <v>233.15458036906</v>
      </c>
    </row>
    <row r="682" spans="1:7">
      <c r="A682" s="223" t="s">
        <v>1494</v>
      </c>
      <c r="B682" s="223" t="s">
        <v>856</v>
      </c>
      <c r="C682" s="223" t="s">
        <v>1494</v>
      </c>
      <c r="D682" s="223" t="s">
        <v>1495</v>
      </c>
      <c r="E682" s="223" t="s">
        <v>1464</v>
      </c>
      <c r="F682" s="223" t="s">
        <v>1620</v>
      </c>
      <c r="G682" s="223">
        <v>2844.0869929394898</v>
      </c>
    </row>
    <row r="683" spans="1:7">
      <c r="A683" s="223" t="s">
        <v>1494</v>
      </c>
      <c r="B683" s="223" t="s">
        <v>857</v>
      </c>
      <c r="C683" s="223" t="s">
        <v>1494</v>
      </c>
      <c r="D683" s="223" t="s">
        <v>1495</v>
      </c>
      <c r="E683" s="223" t="s">
        <v>1464</v>
      </c>
      <c r="F683" s="223" t="s">
        <v>1620</v>
      </c>
      <c r="G683" s="223">
        <v>2201.18091017491</v>
      </c>
    </row>
    <row r="684" spans="1:7">
      <c r="A684" s="223" t="s">
        <v>1494</v>
      </c>
      <c r="B684" s="223" t="s">
        <v>858</v>
      </c>
      <c r="C684" s="223" t="s">
        <v>1494</v>
      </c>
      <c r="D684" s="223" t="s">
        <v>1495</v>
      </c>
      <c r="E684" s="223" t="s">
        <v>1464</v>
      </c>
      <c r="F684" s="223" t="s">
        <v>1620</v>
      </c>
      <c r="G684" s="223">
        <v>4808.1309952009997</v>
      </c>
    </row>
    <row r="685" spans="1:7">
      <c r="A685" s="223" t="s">
        <v>1494</v>
      </c>
      <c r="B685" s="223" t="s">
        <v>859</v>
      </c>
      <c r="C685" s="223" t="s">
        <v>1494</v>
      </c>
      <c r="D685" s="223" t="s">
        <v>1495</v>
      </c>
      <c r="E685" s="223" t="s">
        <v>1464</v>
      </c>
      <c r="F685" s="223" t="s">
        <v>1620</v>
      </c>
      <c r="G685" s="223">
        <v>380.86867667414299</v>
      </c>
    </row>
    <row r="686" spans="1:7">
      <c r="A686" s="223" t="s">
        <v>1494</v>
      </c>
      <c r="B686" s="223" t="s">
        <v>862</v>
      </c>
      <c r="C686" s="223" t="s">
        <v>1494</v>
      </c>
      <c r="D686" s="223" t="s">
        <v>1495</v>
      </c>
      <c r="E686" s="223" t="s">
        <v>1464</v>
      </c>
      <c r="F686" s="223" t="s">
        <v>1620</v>
      </c>
      <c r="G686" s="223">
        <v>506.68485819992799</v>
      </c>
    </row>
    <row r="687" spans="1:7">
      <c r="A687" s="223" t="s">
        <v>1494</v>
      </c>
      <c r="B687" s="223" t="s">
        <v>863</v>
      </c>
      <c r="C687" s="223" t="s">
        <v>1494</v>
      </c>
      <c r="D687" s="223" t="s">
        <v>1495</v>
      </c>
      <c r="E687" s="223" t="s">
        <v>1464</v>
      </c>
      <c r="F687" s="223" t="s">
        <v>1620</v>
      </c>
      <c r="G687" s="223">
        <v>296.69188271523501</v>
      </c>
    </row>
    <row r="688" spans="1:7">
      <c r="A688" s="223" t="s">
        <v>1580</v>
      </c>
      <c r="B688" s="223" t="s">
        <v>849</v>
      </c>
      <c r="C688" s="223" t="s">
        <v>1580</v>
      </c>
      <c r="D688" s="223" t="s">
        <v>1579</v>
      </c>
      <c r="E688" s="223" t="s">
        <v>1576</v>
      </c>
      <c r="F688" s="223" t="s">
        <v>1676</v>
      </c>
      <c r="G688" s="223">
        <v>124.169713767263</v>
      </c>
    </row>
    <row r="689" spans="1:7">
      <c r="A689" s="223" t="s">
        <v>1580</v>
      </c>
      <c r="B689" s="223" t="s">
        <v>859</v>
      </c>
      <c r="C689" s="223" t="s">
        <v>1580</v>
      </c>
      <c r="D689" s="223" t="s">
        <v>1579</v>
      </c>
      <c r="E689" s="223" t="s">
        <v>1576</v>
      </c>
      <c r="F689" s="223" t="s">
        <v>1676</v>
      </c>
      <c r="G689" s="223">
        <v>653.78055934977704</v>
      </c>
    </row>
    <row r="690" spans="1:7">
      <c r="A690" s="223" t="s">
        <v>1580</v>
      </c>
      <c r="B690" s="223" t="s">
        <v>862</v>
      </c>
      <c r="C690" s="223" t="s">
        <v>1580</v>
      </c>
      <c r="D690" s="223" t="s">
        <v>1579</v>
      </c>
      <c r="E690" s="223" t="s">
        <v>1576</v>
      </c>
      <c r="F690" s="223" t="s">
        <v>1676</v>
      </c>
      <c r="G690" s="223">
        <v>250.59332208480299</v>
      </c>
    </row>
    <row r="691" spans="1:7">
      <c r="A691" s="223" t="s">
        <v>1580</v>
      </c>
      <c r="B691" s="223" t="s">
        <v>849</v>
      </c>
      <c r="C691" s="223" t="s">
        <v>1580</v>
      </c>
      <c r="D691" s="223" t="s">
        <v>1579</v>
      </c>
      <c r="E691" s="223" t="s">
        <v>1576</v>
      </c>
      <c r="F691" s="223" t="s">
        <v>1677</v>
      </c>
      <c r="G691" s="223">
        <v>306.94303878658701</v>
      </c>
    </row>
    <row r="692" spans="1:7">
      <c r="A692" s="223" t="s">
        <v>1580</v>
      </c>
      <c r="B692" s="223" t="s">
        <v>855</v>
      </c>
      <c r="C692" s="223" t="s">
        <v>1580</v>
      </c>
      <c r="D692" s="223" t="s">
        <v>1579</v>
      </c>
      <c r="E692" s="223" t="s">
        <v>1576</v>
      </c>
      <c r="F692" s="223" t="s">
        <v>1677</v>
      </c>
      <c r="G692" s="223">
        <v>466.30916073812</v>
      </c>
    </row>
    <row r="693" spans="1:7">
      <c r="A693" s="223" t="s">
        <v>1580</v>
      </c>
      <c r="B693" s="223" t="s">
        <v>861</v>
      </c>
      <c r="C693" s="223" t="s">
        <v>1580</v>
      </c>
      <c r="D693" s="223" t="s">
        <v>1579</v>
      </c>
      <c r="E693" s="223" t="s">
        <v>1576</v>
      </c>
      <c r="F693" s="223" t="s">
        <v>1677</v>
      </c>
      <c r="G693" s="223">
        <v>211.394147429014</v>
      </c>
    </row>
    <row r="694" spans="1:7">
      <c r="A694" s="223" t="s">
        <v>1580</v>
      </c>
      <c r="B694" s="223" t="s">
        <v>862</v>
      </c>
      <c r="C694" s="223" t="s">
        <v>1580</v>
      </c>
      <c r="D694" s="223" t="s">
        <v>1579</v>
      </c>
      <c r="E694" s="223" t="s">
        <v>1576</v>
      </c>
      <c r="F694" s="223" t="s">
        <v>1677</v>
      </c>
      <c r="G694" s="223">
        <v>147.40783652047199</v>
      </c>
    </row>
    <row r="695" spans="1:7">
      <c r="A695" s="223" t="s">
        <v>1580</v>
      </c>
      <c r="B695" s="223" t="s">
        <v>862</v>
      </c>
      <c r="C695" s="223" t="s">
        <v>1580</v>
      </c>
      <c r="D695" s="223" t="s">
        <v>1579</v>
      </c>
      <c r="E695" s="223" t="s">
        <v>1576</v>
      </c>
      <c r="F695" s="223" t="s">
        <v>1641</v>
      </c>
      <c r="G695" s="223">
        <v>132.667052868425</v>
      </c>
    </row>
    <row r="696" spans="1:7">
      <c r="A696" s="223" t="s">
        <v>1580</v>
      </c>
      <c r="B696" s="223" t="s">
        <v>863</v>
      </c>
      <c r="C696" s="223" t="s">
        <v>1580</v>
      </c>
      <c r="D696" s="223" t="s">
        <v>1579</v>
      </c>
      <c r="E696" s="223" t="s">
        <v>1576</v>
      </c>
      <c r="F696" s="223" t="s">
        <v>1641</v>
      </c>
      <c r="G696" s="223">
        <v>148.34594135761699</v>
      </c>
    </row>
    <row r="697" spans="1:7">
      <c r="A697" s="223" t="s">
        <v>1578</v>
      </c>
      <c r="B697" s="223" t="s">
        <v>839</v>
      </c>
      <c r="C697" s="223" t="s">
        <v>1578</v>
      </c>
      <c r="D697" s="223" t="s">
        <v>1579</v>
      </c>
      <c r="E697" s="223" t="s">
        <v>1576</v>
      </c>
      <c r="F697" s="223" t="s">
        <v>1616</v>
      </c>
      <c r="G697" s="223">
        <v>516.46779379230202</v>
      </c>
    </row>
    <row r="698" spans="1:7">
      <c r="A698" s="223" t="s">
        <v>1580</v>
      </c>
      <c r="B698" s="223" t="s">
        <v>839</v>
      </c>
      <c r="C698" s="223" t="s">
        <v>1580</v>
      </c>
      <c r="D698" s="223" t="s">
        <v>1579</v>
      </c>
      <c r="E698" s="223" t="s">
        <v>1576</v>
      </c>
      <c r="F698" s="223" t="s">
        <v>1616</v>
      </c>
      <c r="G698" s="223">
        <v>2090.8982949322299</v>
      </c>
    </row>
    <row r="699" spans="1:7">
      <c r="A699" s="223" t="s">
        <v>1578</v>
      </c>
      <c r="B699" s="223" t="s">
        <v>849</v>
      </c>
      <c r="C699" s="223" t="s">
        <v>1578</v>
      </c>
      <c r="D699" s="223" t="s">
        <v>1579</v>
      </c>
      <c r="E699" s="223" t="s">
        <v>1576</v>
      </c>
      <c r="F699" s="223" t="s">
        <v>1616</v>
      </c>
      <c r="G699" s="223">
        <v>1943.9725789817201</v>
      </c>
    </row>
    <row r="700" spans="1:7">
      <c r="A700" s="223" t="s">
        <v>1580</v>
      </c>
      <c r="B700" s="223" t="s">
        <v>849</v>
      </c>
      <c r="C700" s="223" t="s">
        <v>1580</v>
      </c>
      <c r="D700" s="223" t="s">
        <v>1579</v>
      </c>
      <c r="E700" s="223" t="s">
        <v>1576</v>
      </c>
      <c r="F700" s="223" t="s">
        <v>1616</v>
      </c>
      <c r="G700" s="223">
        <v>1657.49240944757</v>
      </c>
    </row>
    <row r="701" spans="1:7">
      <c r="A701" s="223" t="s">
        <v>1578</v>
      </c>
      <c r="B701" s="223" t="s">
        <v>851</v>
      </c>
      <c r="C701" s="223" t="s">
        <v>1578</v>
      </c>
      <c r="D701" s="223" t="s">
        <v>1579</v>
      </c>
      <c r="E701" s="223" t="s">
        <v>1576</v>
      </c>
      <c r="F701" s="223" t="s">
        <v>1616</v>
      </c>
      <c r="G701" s="223">
        <v>472.11494939247598</v>
      </c>
    </row>
    <row r="702" spans="1:7">
      <c r="A702" s="223" t="s">
        <v>1580</v>
      </c>
      <c r="B702" s="223" t="s">
        <v>851</v>
      </c>
      <c r="C702" s="223" t="s">
        <v>1580</v>
      </c>
      <c r="D702" s="223" t="s">
        <v>1579</v>
      </c>
      <c r="E702" s="223" t="s">
        <v>1576</v>
      </c>
      <c r="F702" s="223" t="s">
        <v>1616</v>
      </c>
      <c r="G702" s="223">
        <v>416.15587622614203</v>
      </c>
    </row>
    <row r="703" spans="1:7">
      <c r="A703" s="223" t="s">
        <v>1578</v>
      </c>
      <c r="B703" s="223" t="s">
        <v>854</v>
      </c>
      <c r="C703" s="223" t="s">
        <v>1578</v>
      </c>
      <c r="D703" s="223" t="s">
        <v>1579</v>
      </c>
      <c r="E703" s="223" t="s">
        <v>1576</v>
      </c>
      <c r="F703" s="223" t="s">
        <v>1616</v>
      </c>
      <c r="G703" s="223">
        <v>3521.0831467583898</v>
      </c>
    </row>
    <row r="704" spans="1:7">
      <c r="A704" s="223" t="s">
        <v>1580</v>
      </c>
      <c r="B704" s="223" t="s">
        <v>854</v>
      </c>
      <c r="C704" s="223" t="s">
        <v>1580</v>
      </c>
      <c r="D704" s="223" t="s">
        <v>1579</v>
      </c>
      <c r="E704" s="223" t="s">
        <v>1576</v>
      </c>
      <c r="F704" s="223" t="s">
        <v>1616</v>
      </c>
      <c r="G704" s="223">
        <v>2453.7152517190302</v>
      </c>
    </row>
    <row r="705" spans="1:7">
      <c r="A705" s="223" t="s">
        <v>1580</v>
      </c>
      <c r="B705" s="223" t="s">
        <v>856</v>
      </c>
      <c r="C705" s="223" t="s">
        <v>1580</v>
      </c>
      <c r="D705" s="223" t="s">
        <v>1579</v>
      </c>
      <c r="E705" s="223" t="s">
        <v>1576</v>
      </c>
      <c r="F705" s="223" t="s">
        <v>1616</v>
      </c>
      <c r="G705" s="223">
        <v>511.296538056538</v>
      </c>
    </row>
    <row r="706" spans="1:7">
      <c r="A706" s="223" t="s">
        <v>1578</v>
      </c>
      <c r="B706" s="223" t="s">
        <v>859</v>
      </c>
      <c r="C706" s="223" t="s">
        <v>1578</v>
      </c>
      <c r="D706" s="223" t="s">
        <v>1579</v>
      </c>
      <c r="E706" s="223" t="s">
        <v>1576</v>
      </c>
      <c r="F706" s="223" t="s">
        <v>1616</v>
      </c>
      <c r="G706" s="223">
        <v>2529.8465122665202</v>
      </c>
    </row>
    <row r="707" spans="1:7">
      <c r="A707" s="223" t="s">
        <v>1580</v>
      </c>
      <c r="B707" s="223" t="s">
        <v>859</v>
      </c>
      <c r="C707" s="223" t="s">
        <v>1580</v>
      </c>
      <c r="D707" s="223" t="s">
        <v>1579</v>
      </c>
      <c r="E707" s="223" t="s">
        <v>1576</v>
      </c>
      <c r="F707" s="223" t="s">
        <v>1616</v>
      </c>
      <c r="G707" s="223">
        <v>6168.2859788290998</v>
      </c>
    </row>
    <row r="708" spans="1:7">
      <c r="A708" s="223" t="s">
        <v>1578</v>
      </c>
      <c r="B708" s="223" t="s">
        <v>860</v>
      </c>
      <c r="C708" s="223" t="s">
        <v>1578</v>
      </c>
      <c r="D708" s="223" t="s">
        <v>1579</v>
      </c>
      <c r="E708" s="223" t="s">
        <v>1576</v>
      </c>
      <c r="F708" s="223" t="s">
        <v>1616</v>
      </c>
      <c r="G708" s="223">
        <v>2097.4925374081599</v>
      </c>
    </row>
    <row r="709" spans="1:7">
      <c r="A709" s="223" t="s">
        <v>1580</v>
      </c>
      <c r="B709" s="223" t="s">
        <v>860</v>
      </c>
      <c r="C709" s="223" t="s">
        <v>1580</v>
      </c>
      <c r="D709" s="223" t="s">
        <v>1579</v>
      </c>
      <c r="E709" s="223" t="s">
        <v>1576</v>
      </c>
      <c r="F709" s="223" t="s">
        <v>1616</v>
      </c>
      <c r="G709" s="223">
        <v>7621.0715576669299</v>
      </c>
    </row>
    <row r="710" spans="1:7">
      <c r="A710" s="223" t="s">
        <v>1578</v>
      </c>
      <c r="B710" s="223" t="s">
        <v>861</v>
      </c>
      <c r="C710" s="223" t="s">
        <v>1578</v>
      </c>
      <c r="D710" s="223" t="s">
        <v>1579</v>
      </c>
      <c r="E710" s="223" t="s">
        <v>1576</v>
      </c>
      <c r="F710" s="223" t="s">
        <v>1616</v>
      </c>
      <c r="G710" s="223">
        <v>2589.57830600542</v>
      </c>
    </row>
    <row r="711" spans="1:7">
      <c r="A711" s="223" t="s">
        <v>1580</v>
      </c>
      <c r="B711" s="223" t="s">
        <v>861</v>
      </c>
      <c r="C711" s="223" t="s">
        <v>1580</v>
      </c>
      <c r="D711" s="223" t="s">
        <v>1579</v>
      </c>
      <c r="E711" s="223" t="s">
        <v>1576</v>
      </c>
      <c r="F711" s="223" t="s">
        <v>1616</v>
      </c>
      <c r="G711" s="223">
        <v>9037.09980259037</v>
      </c>
    </row>
    <row r="712" spans="1:7">
      <c r="A712" s="223" t="s">
        <v>1578</v>
      </c>
      <c r="B712" s="223" t="s">
        <v>862</v>
      </c>
      <c r="C712" s="223" t="s">
        <v>1578</v>
      </c>
      <c r="D712" s="223" t="s">
        <v>1579</v>
      </c>
      <c r="E712" s="223" t="s">
        <v>1576</v>
      </c>
      <c r="F712" s="223" t="s">
        <v>1616</v>
      </c>
      <c r="G712" s="223">
        <v>5537.62105861908</v>
      </c>
    </row>
    <row r="713" spans="1:7">
      <c r="A713" s="223" t="s">
        <v>1580</v>
      </c>
      <c r="B713" s="223" t="s">
        <v>862</v>
      </c>
      <c r="C713" s="223" t="s">
        <v>1580</v>
      </c>
      <c r="D713" s="223" t="s">
        <v>1579</v>
      </c>
      <c r="E713" s="223" t="s">
        <v>1576</v>
      </c>
      <c r="F713" s="223" t="s">
        <v>1616</v>
      </c>
      <c r="G713" s="223">
        <v>5793.1279752545597</v>
      </c>
    </row>
    <row r="714" spans="1:7">
      <c r="A714" s="223" t="s">
        <v>1580</v>
      </c>
      <c r="B714" s="223" t="s">
        <v>854</v>
      </c>
      <c r="C714" s="223" t="s">
        <v>1580</v>
      </c>
      <c r="D714" s="223" t="s">
        <v>1579</v>
      </c>
      <c r="E714" s="223" t="s">
        <v>1576</v>
      </c>
      <c r="F714" s="223" t="s">
        <v>1627</v>
      </c>
      <c r="G714" s="223">
        <v>318.98314221504501</v>
      </c>
    </row>
    <row r="715" spans="1:7">
      <c r="A715" s="223" t="s">
        <v>1578</v>
      </c>
      <c r="B715" s="223" t="s">
        <v>861</v>
      </c>
      <c r="C715" s="223" t="s">
        <v>1578</v>
      </c>
      <c r="D715" s="223" t="s">
        <v>1579</v>
      </c>
      <c r="E715" s="223" t="s">
        <v>1576</v>
      </c>
      <c r="F715" s="223" t="s">
        <v>1627</v>
      </c>
      <c r="G715" s="223">
        <v>132.121342143134</v>
      </c>
    </row>
    <row r="716" spans="1:7">
      <c r="A716" s="223" t="s">
        <v>1580</v>
      </c>
      <c r="B716" s="223" t="s">
        <v>861</v>
      </c>
      <c r="C716" s="223" t="s">
        <v>1580</v>
      </c>
      <c r="D716" s="223" t="s">
        <v>1579</v>
      </c>
      <c r="E716" s="223" t="s">
        <v>1576</v>
      </c>
      <c r="F716" s="223" t="s">
        <v>1627</v>
      </c>
      <c r="G716" s="223">
        <v>317.09122114352101</v>
      </c>
    </row>
    <row r="717" spans="1:7">
      <c r="A717" s="223" t="s">
        <v>1578</v>
      </c>
      <c r="B717" s="223" t="s">
        <v>839</v>
      </c>
      <c r="C717" s="223" t="s">
        <v>1578</v>
      </c>
      <c r="D717" s="223" t="s">
        <v>1579</v>
      </c>
      <c r="E717" s="223" t="s">
        <v>1576</v>
      </c>
      <c r="F717" s="223" t="s">
        <v>1642</v>
      </c>
      <c r="G717" s="223">
        <v>3048.7526824909601</v>
      </c>
    </row>
    <row r="718" spans="1:7">
      <c r="A718" s="223" t="s">
        <v>1580</v>
      </c>
      <c r="B718" s="223" t="s">
        <v>839</v>
      </c>
      <c r="C718" s="223" t="s">
        <v>1580</v>
      </c>
      <c r="D718" s="223" t="s">
        <v>1579</v>
      </c>
      <c r="E718" s="223" t="s">
        <v>1576</v>
      </c>
      <c r="F718" s="223" t="s">
        <v>1642</v>
      </c>
      <c r="G718" s="223">
        <v>1854.2786837538299</v>
      </c>
    </row>
    <row r="719" spans="1:7">
      <c r="A719" s="223" t="s">
        <v>1578</v>
      </c>
      <c r="B719" s="223" t="s">
        <v>851</v>
      </c>
      <c r="C719" s="223" t="s">
        <v>1578</v>
      </c>
      <c r="D719" s="223" t="s">
        <v>1579</v>
      </c>
      <c r="E719" s="223" t="s">
        <v>1576</v>
      </c>
      <c r="F719" s="223" t="s">
        <v>1642</v>
      </c>
      <c r="G719" s="223">
        <v>520.07927627805202</v>
      </c>
    </row>
    <row r="720" spans="1:7">
      <c r="A720" s="223" t="s">
        <v>1580</v>
      </c>
      <c r="B720" s="223" t="s">
        <v>851</v>
      </c>
      <c r="C720" s="223" t="s">
        <v>1580</v>
      </c>
      <c r="D720" s="223" t="s">
        <v>1579</v>
      </c>
      <c r="E720" s="223" t="s">
        <v>1576</v>
      </c>
      <c r="F720" s="223" t="s">
        <v>1642</v>
      </c>
      <c r="G720" s="223">
        <v>140.512277883167</v>
      </c>
    </row>
    <row r="721" spans="1:7">
      <c r="A721" s="223" t="s">
        <v>1578</v>
      </c>
      <c r="B721" s="223" t="s">
        <v>856</v>
      </c>
      <c r="C721" s="223" t="s">
        <v>1578</v>
      </c>
      <c r="D721" s="223" t="s">
        <v>1579</v>
      </c>
      <c r="E721" s="223" t="s">
        <v>1576</v>
      </c>
      <c r="F721" s="223" t="s">
        <v>1642</v>
      </c>
      <c r="G721" s="223">
        <v>1821.49391682641</v>
      </c>
    </row>
    <row r="722" spans="1:7">
      <c r="A722" s="223" t="s">
        <v>1580</v>
      </c>
      <c r="B722" s="223" t="s">
        <v>856</v>
      </c>
      <c r="C722" s="223" t="s">
        <v>1580</v>
      </c>
      <c r="D722" s="223" t="s">
        <v>1579</v>
      </c>
      <c r="E722" s="223" t="s">
        <v>1576</v>
      </c>
      <c r="F722" s="223" t="s">
        <v>1642</v>
      </c>
      <c r="G722" s="223">
        <v>734.98877345627295</v>
      </c>
    </row>
    <row r="723" spans="1:7">
      <c r="A723" s="223" t="s">
        <v>1578</v>
      </c>
      <c r="B723" s="223" t="s">
        <v>860</v>
      </c>
      <c r="C723" s="223" t="s">
        <v>1578</v>
      </c>
      <c r="D723" s="223" t="s">
        <v>1579</v>
      </c>
      <c r="E723" s="223" t="s">
        <v>1576</v>
      </c>
      <c r="F723" s="223" t="s">
        <v>1642</v>
      </c>
      <c r="G723" s="223">
        <v>17180.017821438101</v>
      </c>
    </row>
    <row r="724" spans="1:7">
      <c r="A724" s="223" t="s">
        <v>1580</v>
      </c>
      <c r="B724" s="223" t="s">
        <v>860</v>
      </c>
      <c r="C724" s="223" t="s">
        <v>1580</v>
      </c>
      <c r="D724" s="223" t="s">
        <v>1579</v>
      </c>
      <c r="E724" s="223" t="s">
        <v>1576</v>
      </c>
      <c r="F724" s="223" t="s">
        <v>1642</v>
      </c>
      <c r="G724" s="223">
        <v>7378.8362877326499</v>
      </c>
    </row>
    <row r="725" spans="1:7">
      <c r="A725" s="223" t="s">
        <v>1578</v>
      </c>
      <c r="B725" s="223" t="s">
        <v>861</v>
      </c>
      <c r="C725" s="223" t="s">
        <v>1578</v>
      </c>
      <c r="D725" s="223" t="s">
        <v>1579</v>
      </c>
      <c r="E725" s="223" t="s">
        <v>1576</v>
      </c>
      <c r="F725" s="223" t="s">
        <v>1642</v>
      </c>
      <c r="G725" s="223">
        <v>22883.416459190801</v>
      </c>
    </row>
    <row r="726" spans="1:7">
      <c r="A726" s="223" t="s">
        <v>1580</v>
      </c>
      <c r="B726" s="223" t="s">
        <v>861</v>
      </c>
      <c r="C726" s="223" t="s">
        <v>1580</v>
      </c>
      <c r="D726" s="223" t="s">
        <v>1579</v>
      </c>
      <c r="E726" s="223" t="s">
        <v>1576</v>
      </c>
      <c r="F726" s="223" t="s">
        <v>1642</v>
      </c>
      <c r="G726" s="223">
        <v>5496.2478331543698</v>
      </c>
    </row>
    <row r="727" spans="1:7">
      <c r="A727" s="223" t="s">
        <v>1578</v>
      </c>
      <c r="B727" s="223" t="s">
        <v>839</v>
      </c>
      <c r="C727" s="223" t="s">
        <v>1578</v>
      </c>
      <c r="D727" s="223" t="s">
        <v>1579</v>
      </c>
      <c r="E727" s="223" t="s">
        <v>1576</v>
      </c>
      <c r="F727" s="223" t="s">
        <v>1617</v>
      </c>
      <c r="G727" s="223">
        <v>5064.5697546454303</v>
      </c>
    </row>
    <row r="728" spans="1:7">
      <c r="A728" s="223" t="s">
        <v>1580</v>
      </c>
      <c r="B728" s="223" t="s">
        <v>839</v>
      </c>
      <c r="C728" s="223" t="s">
        <v>1580</v>
      </c>
      <c r="D728" s="223" t="s">
        <v>1579</v>
      </c>
      <c r="E728" s="223" t="s">
        <v>1576</v>
      </c>
      <c r="F728" s="223" t="s">
        <v>1617</v>
      </c>
      <c r="G728" s="223">
        <v>3860.99500163221</v>
      </c>
    </row>
    <row r="729" spans="1:7">
      <c r="A729" s="223" t="s">
        <v>1578</v>
      </c>
      <c r="B729" s="223" t="s">
        <v>849</v>
      </c>
      <c r="C729" s="223" t="s">
        <v>1578</v>
      </c>
      <c r="D729" s="223" t="s">
        <v>1579</v>
      </c>
      <c r="E729" s="223" t="s">
        <v>1576</v>
      </c>
      <c r="F729" s="223" t="s">
        <v>1617</v>
      </c>
      <c r="G729" s="223">
        <v>869.67194322866396</v>
      </c>
    </row>
    <row r="730" spans="1:7">
      <c r="A730" s="223" t="s">
        <v>1580</v>
      </c>
      <c r="B730" s="223" t="s">
        <v>849</v>
      </c>
      <c r="C730" s="223" t="s">
        <v>1580</v>
      </c>
      <c r="D730" s="223" t="s">
        <v>1579</v>
      </c>
      <c r="E730" s="223" t="s">
        <v>1576</v>
      </c>
      <c r="F730" s="223" t="s">
        <v>1617</v>
      </c>
      <c r="G730" s="223">
        <v>468.66621020592697</v>
      </c>
    </row>
    <row r="731" spans="1:7">
      <c r="A731" s="223" t="s">
        <v>1578</v>
      </c>
      <c r="B731" s="223" t="s">
        <v>851</v>
      </c>
      <c r="C731" s="223" t="s">
        <v>1578</v>
      </c>
      <c r="D731" s="223" t="s">
        <v>1579</v>
      </c>
      <c r="E731" s="223" t="s">
        <v>1576</v>
      </c>
      <c r="F731" s="223" t="s">
        <v>1617</v>
      </c>
      <c r="G731" s="223">
        <v>197.54728426223701</v>
      </c>
    </row>
    <row r="732" spans="1:7">
      <c r="A732" s="223" t="s">
        <v>1580</v>
      </c>
      <c r="B732" s="223" t="s">
        <v>851</v>
      </c>
      <c r="C732" s="223" t="s">
        <v>1580</v>
      </c>
      <c r="D732" s="223" t="s">
        <v>1579</v>
      </c>
      <c r="E732" s="223" t="s">
        <v>1576</v>
      </c>
      <c r="F732" s="223" t="s">
        <v>1617</v>
      </c>
      <c r="G732" s="223">
        <v>147.89142993017299</v>
      </c>
    </row>
    <row r="733" spans="1:7">
      <c r="A733" s="223" t="s">
        <v>1578</v>
      </c>
      <c r="B733" s="223" t="s">
        <v>855</v>
      </c>
      <c r="C733" s="223" t="s">
        <v>1578</v>
      </c>
      <c r="D733" s="223" t="s">
        <v>1579</v>
      </c>
      <c r="E733" s="223" t="s">
        <v>1576</v>
      </c>
      <c r="F733" s="223" t="s">
        <v>1617</v>
      </c>
      <c r="G733" s="223">
        <v>408.02051564585503</v>
      </c>
    </row>
    <row r="734" spans="1:7">
      <c r="A734" s="223" t="s">
        <v>1578</v>
      </c>
      <c r="B734" s="223" t="s">
        <v>856</v>
      </c>
      <c r="C734" s="223" t="s">
        <v>1578</v>
      </c>
      <c r="D734" s="223" t="s">
        <v>1579</v>
      </c>
      <c r="E734" s="223" t="s">
        <v>1576</v>
      </c>
      <c r="F734" s="223" t="s">
        <v>1617</v>
      </c>
      <c r="G734" s="223">
        <v>830.856874341874</v>
      </c>
    </row>
    <row r="735" spans="1:7">
      <c r="A735" s="223" t="s">
        <v>1580</v>
      </c>
      <c r="B735" s="223" t="s">
        <v>856</v>
      </c>
      <c r="C735" s="223" t="s">
        <v>1580</v>
      </c>
      <c r="D735" s="223" t="s">
        <v>1579</v>
      </c>
      <c r="E735" s="223" t="s">
        <v>1576</v>
      </c>
      <c r="F735" s="223" t="s">
        <v>1617</v>
      </c>
      <c r="G735" s="223">
        <v>830.856874341874</v>
      </c>
    </row>
    <row r="736" spans="1:7">
      <c r="A736" s="223" t="s">
        <v>1578</v>
      </c>
      <c r="B736" s="223" t="s">
        <v>860</v>
      </c>
      <c r="C736" s="223" t="s">
        <v>1578</v>
      </c>
      <c r="D736" s="223" t="s">
        <v>1579</v>
      </c>
      <c r="E736" s="223" t="s">
        <v>1576</v>
      </c>
      <c r="F736" s="223" t="s">
        <v>1617</v>
      </c>
      <c r="G736" s="223">
        <v>2225.4635460789</v>
      </c>
    </row>
    <row r="737" spans="1:7">
      <c r="A737" s="223" t="s">
        <v>1580</v>
      </c>
      <c r="B737" s="223" t="s">
        <v>860</v>
      </c>
      <c r="C737" s="223" t="s">
        <v>1580</v>
      </c>
      <c r="D737" s="223" t="s">
        <v>1579</v>
      </c>
      <c r="E737" s="223" t="s">
        <v>1576</v>
      </c>
      <c r="F737" s="223" t="s">
        <v>1617</v>
      </c>
      <c r="G737" s="223">
        <v>1267.0728978934801</v>
      </c>
    </row>
    <row r="738" spans="1:7">
      <c r="A738" s="223" t="s">
        <v>1578</v>
      </c>
      <c r="B738" s="223" t="s">
        <v>861</v>
      </c>
      <c r="C738" s="223" t="s">
        <v>1578</v>
      </c>
      <c r="D738" s="223" t="s">
        <v>1579</v>
      </c>
      <c r="E738" s="223" t="s">
        <v>1576</v>
      </c>
      <c r="F738" s="223" t="s">
        <v>1617</v>
      </c>
      <c r="G738" s="223">
        <v>1083.39500557369</v>
      </c>
    </row>
    <row r="739" spans="1:7">
      <c r="A739" s="223" t="s">
        <v>1580</v>
      </c>
      <c r="B739" s="223" t="s">
        <v>861</v>
      </c>
      <c r="C739" s="223" t="s">
        <v>1580</v>
      </c>
      <c r="D739" s="223" t="s">
        <v>1579</v>
      </c>
      <c r="E739" s="223" t="s">
        <v>1576</v>
      </c>
      <c r="F739" s="223" t="s">
        <v>1617</v>
      </c>
      <c r="G739" s="223">
        <v>1559.0318372889799</v>
      </c>
    </row>
    <row r="740" spans="1:7">
      <c r="A740" s="223" t="s">
        <v>1578</v>
      </c>
      <c r="B740" s="223" t="s">
        <v>862</v>
      </c>
      <c r="C740" s="223" t="s">
        <v>1578</v>
      </c>
      <c r="D740" s="223" t="s">
        <v>1579</v>
      </c>
      <c r="E740" s="223" t="s">
        <v>1576</v>
      </c>
      <c r="F740" s="223" t="s">
        <v>1617</v>
      </c>
      <c r="G740" s="223">
        <v>314.47005124367399</v>
      </c>
    </row>
    <row r="741" spans="1:7">
      <c r="A741" s="223" t="s">
        <v>1578</v>
      </c>
      <c r="B741" s="223" t="s">
        <v>849</v>
      </c>
      <c r="C741" s="223" t="s">
        <v>1578</v>
      </c>
      <c r="D741" s="223" t="s">
        <v>1579</v>
      </c>
      <c r="E741" s="223" t="s">
        <v>1576</v>
      </c>
      <c r="F741" s="223" t="s">
        <v>1619</v>
      </c>
      <c r="G741" s="223">
        <v>286.48016953414799</v>
      </c>
    </row>
    <row r="742" spans="1:7">
      <c r="A742" s="223" t="s">
        <v>1578</v>
      </c>
      <c r="B742" s="223" t="s">
        <v>852</v>
      </c>
      <c r="C742" s="223" t="s">
        <v>1578</v>
      </c>
      <c r="D742" s="223" t="s">
        <v>1579</v>
      </c>
      <c r="E742" s="223" t="s">
        <v>1576</v>
      </c>
      <c r="F742" s="223" t="s">
        <v>1619</v>
      </c>
      <c r="G742" s="223">
        <v>2369.96068738345</v>
      </c>
    </row>
    <row r="743" spans="1:7">
      <c r="A743" s="223" t="s">
        <v>1580</v>
      </c>
      <c r="B743" s="223" t="s">
        <v>852</v>
      </c>
      <c r="C743" s="223" t="s">
        <v>1580</v>
      </c>
      <c r="D743" s="223" t="s">
        <v>1579</v>
      </c>
      <c r="E743" s="223" t="s">
        <v>1576</v>
      </c>
      <c r="F743" s="223" t="s">
        <v>1619</v>
      </c>
      <c r="G743" s="223">
        <v>814.673986288062</v>
      </c>
    </row>
    <row r="744" spans="1:7">
      <c r="A744" s="223" t="s">
        <v>1578</v>
      </c>
      <c r="B744" s="223" t="s">
        <v>854</v>
      </c>
      <c r="C744" s="223" t="s">
        <v>1578</v>
      </c>
      <c r="D744" s="223" t="s">
        <v>1579</v>
      </c>
      <c r="E744" s="223" t="s">
        <v>1576</v>
      </c>
      <c r="F744" s="223" t="s">
        <v>1619</v>
      </c>
      <c r="G744" s="223">
        <v>1220.7239480921901</v>
      </c>
    </row>
    <row r="745" spans="1:7">
      <c r="A745" s="223" t="s">
        <v>1580</v>
      </c>
      <c r="B745" s="223" t="s">
        <v>854</v>
      </c>
      <c r="C745" s="223" t="s">
        <v>1580</v>
      </c>
      <c r="D745" s="223" t="s">
        <v>1579</v>
      </c>
      <c r="E745" s="223" t="s">
        <v>1576</v>
      </c>
      <c r="F745" s="223" t="s">
        <v>1619</v>
      </c>
      <c r="G745" s="223">
        <v>656.36915801942098</v>
      </c>
    </row>
    <row r="746" spans="1:7">
      <c r="A746" s="223" t="s">
        <v>1578</v>
      </c>
      <c r="B746" s="223" t="s">
        <v>855</v>
      </c>
      <c r="C746" s="223" t="s">
        <v>1578</v>
      </c>
      <c r="D746" s="223" t="s">
        <v>1579</v>
      </c>
      <c r="E746" s="223" t="s">
        <v>1576</v>
      </c>
      <c r="F746" s="223" t="s">
        <v>1619</v>
      </c>
      <c r="G746" s="223">
        <v>932.61832147624204</v>
      </c>
    </row>
    <row r="747" spans="1:7">
      <c r="A747" s="223" t="s">
        <v>1580</v>
      </c>
      <c r="B747" s="223" t="s">
        <v>855</v>
      </c>
      <c r="C747" s="223" t="s">
        <v>1580</v>
      </c>
      <c r="D747" s="223" t="s">
        <v>1579</v>
      </c>
      <c r="E747" s="223" t="s">
        <v>1576</v>
      </c>
      <c r="F747" s="223" t="s">
        <v>1619</v>
      </c>
      <c r="G747" s="223">
        <v>1107.48425675303</v>
      </c>
    </row>
    <row r="748" spans="1:7">
      <c r="A748" s="223" t="s">
        <v>1578</v>
      </c>
      <c r="B748" s="223" t="s">
        <v>856</v>
      </c>
      <c r="C748" s="223" t="s">
        <v>1578</v>
      </c>
      <c r="D748" s="223" t="s">
        <v>1579</v>
      </c>
      <c r="E748" s="223" t="s">
        <v>1576</v>
      </c>
      <c r="F748" s="223" t="s">
        <v>1619</v>
      </c>
      <c r="G748" s="223">
        <v>600.65679269368798</v>
      </c>
    </row>
    <row r="749" spans="1:7">
      <c r="A749" s="223" t="s">
        <v>1580</v>
      </c>
      <c r="B749" s="223" t="s">
        <v>856</v>
      </c>
      <c r="C749" s="223" t="s">
        <v>1580</v>
      </c>
      <c r="D749" s="223" t="s">
        <v>1579</v>
      </c>
      <c r="E749" s="223" t="s">
        <v>1576</v>
      </c>
      <c r="F749" s="223" t="s">
        <v>1619</v>
      </c>
      <c r="G749" s="223">
        <v>127.824134514134</v>
      </c>
    </row>
    <row r="750" spans="1:7">
      <c r="A750" s="223" t="s">
        <v>1578</v>
      </c>
      <c r="B750" s="223" t="s">
        <v>857</v>
      </c>
      <c r="C750" s="223" t="s">
        <v>1578</v>
      </c>
      <c r="D750" s="223" t="s">
        <v>1579</v>
      </c>
      <c r="E750" s="223" t="s">
        <v>1576</v>
      </c>
      <c r="F750" s="223" t="s">
        <v>1619</v>
      </c>
      <c r="G750" s="223">
        <v>2929.1624486638598</v>
      </c>
    </row>
    <row r="751" spans="1:7">
      <c r="A751" s="223" t="s">
        <v>1580</v>
      </c>
      <c r="B751" s="223" t="s">
        <v>857</v>
      </c>
      <c r="C751" s="223" t="s">
        <v>1580</v>
      </c>
      <c r="D751" s="223" t="s">
        <v>1579</v>
      </c>
      <c r="E751" s="223" t="s">
        <v>1576</v>
      </c>
      <c r="F751" s="223" t="s">
        <v>1619</v>
      </c>
      <c r="G751" s="223">
        <v>1467.4528919352199</v>
      </c>
    </row>
    <row r="752" spans="1:7">
      <c r="A752" s="223" t="s">
        <v>1578</v>
      </c>
      <c r="B752" s="223" t="s">
        <v>858</v>
      </c>
      <c r="C752" s="223" t="s">
        <v>1578</v>
      </c>
      <c r="D752" s="223" t="s">
        <v>1579</v>
      </c>
      <c r="E752" s="223" t="s">
        <v>1576</v>
      </c>
      <c r="F752" s="223" t="s">
        <v>1619</v>
      </c>
      <c r="G752" s="223">
        <v>7056.5530573246397</v>
      </c>
    </row>
    <row r="753" spans="1:7">
      <c r="A753" s="223" t="s">
        <v>1580</v>
      </c>
      <c r="B753" s="223" t="s">
        <v>858</v>
      </c>
      <c r="C753" s="223" t="s">
        <v>1580</v>
      </c>
      <c r="D753" s="223" t="s">
        <v>1579</v>
      </c>
      <c r="E753" s="223" t="s">
        <v>1576</v>
      </c>
      <c r="F753" s="223" t="s">
        <v>1619</v>
      </c>
      <c r="G753" s="223">
        <v>2589.4132016621402</v>
      </c>
    </row>
    <row r="754" spans="1:7">
      <c r="A754" s="223" t="s">
        <v>1578</v>
      </c>
      <c r="B754" s="223" t="s">
        <v>859</v>
      </c>
      <c r="C754" s="223" t="s">
        <v>1578</v>
      </c>
      <c r="D754" s="223" t="s">
        <v>1579</v>
      </c>
      <c r="E754" s="223" t="s">
        <v>1576</v>
      </c>
      <c r="F754" s="223" t="s">
        <v>1619</v>
      </c>
      <c r="G754" s="223">
        <v>5514.4968919068097</v>
      </c>
    </row>
    <row r="755" spans="1:7">
      <c r="A755" s="223" t="s">
        <v>1580</v>
      </c>
      <c r="B755" s="223" t="s">
        <v>859</v>
      </c>
      <c r="C755" s="223" t="s">
        <v>1580</v>
      </c>
      <c r="D755" s="223" t="s">
        <v>1579</v>
      </c>
      <c r="E755" s="223" t="s">
        <v>1576</v>
      </c>
      <c r="F755" s="223" t="s">
        <v>1619</v>
      </c>
      <c r="G755" s="223">
        <v>2785.6736876642599</v>
      </c>
    </row>
    <row r="756" spans="1:7">
      <c r="A756" s="223" t="s">
        <v>1578</v>
      </c>
      <c r="B756" s="223" t="s">
        <v>861</v>
      </c>
      <c r="C756" s="223" t="s">
        <v>1578</v>
      </c>
      <c r="D756" s="223" t="s">
        <v>1579</v>
      </c>
      <c r="E756" s="223" t="s">
        <v>1576</v>
      </c>
      <c r="F756" s="223" t="s">
        <v>1619</v>
      </c>
      <c r="G756" s="223">
        <v>105.697073714507</v>
      </c>
    </row>
    <row r="757" spans="1:7">
      <c r="A757" s="223" t="s">
        <v>1578</v>
      </c>
      <c r="B757" s="223" t="s">
        <v>862</v>
      </c>
      <c r="C757" s="223" t="s">
        <v>1578</v>
      </c>
      <c r="D757" s="223" t="s">
        <v>1579</v>
      </c>
      <c r="E757" s="223" t="s">
        <v>1576</v>
      </c>
      <c r="F757" s="223" t="s">
        <v>1619</v>
      </c>
      <c r="G757" s="223">
        <v>619.11291338598403</v>
      </c>
    </row>
    <row r="758" spans="1:7">
      <c r="A758" s="223" t="s">
        <v>1580</v>
      </c>
      <c r="B758" s="223" t="s">
        <v>862</v>
      </c>
      <c r="C758" s="223" t="s">
        <v>1580</v>
      </c>
      <c r="D758" s="223" t="s">
        <v>1579</v>
      </c>
      <c r="E758" s="223" t="s">
        <v>1576</v>
      </c>
      <c r="F758" s="223" t="s">
        <v>1619</v>
      </c>
      <c r="G758" s="223">
        <v>339.03802399708599</v>
      </c>
    </row>
    <row r="759" spans="1:7">
      <c r="A759" s="223" t="s">
        <v>1578</v>
      </c>
      <c r="B759" s="223" t="s">
        <v>863</v>
      </c>
      <c r="C759" s="223" t="s">
        <v>1578</v>
      </c>
      <c r="D759" s="223" t="s">
        <v>1579</v>
      </c>
      <c r="E759" s="223" t="s">
        <v>1576</v>
      </c>
      <c r="F759" s="223" t="s">
        <v>1619</v>
      </c>
      <c r="G759" s="223">
        <v>1038.4215895033201</v>
      </c>
    </row>
    <row r="760" spans="1:7">
      <c r="A760" s="223" t="s">
        <v>1580</v>
      </c>
      <c r="B760" s="223" t="s">
        <v>863</v>
      </c>
      <c r="C760" s="223" t="s">
        <v>1580</v>
      </c>
      <c r="D760" s="223" t="s">
        <v>1579</v>
      </c>
      <c r="E760" s="223" t="s">
        <v>1576</v>
      </c>
      <c r="F760" s="223" t="s">
        <v>1619</v>
      </c>
      <c r="G760" s="223">
        <v>1483.4594135761699</v>
      </c>
    </row>
    <row r="761" spans="1:7">
      <c r="A761" s="223" t="s">
        <v>1578</v>
      </c>
      <c r="B761" s="223" t="s">
        <v>849</v>
      </c>
      <c r="C761" s="223" t="s">
        <v>1578</v>
      </c>
      <c r="D761" s="223" t="s">
        <v>1579</v>
      </c>
      <c r="E761" s="223" t="s">
        <v>1576</v>
      </c>
      <c r="F761" s="223" t="s">
        <v>1620</v>
      </c>
      <c r="G761" s="223">
        <v>1166.3835473890299</v>
      </c>
    </row>
    <row r="762" spans="1:7">
      <c r="A762" s="223" t="s">
        <v>1580</v>
      </c>
      <c r="B762" s="223" t="s">
        <v>849</v>
      </c>
      <c r="C762" s="223" t="s">
        <v>1580</v>
      </c>
      <c r="D762" s="223" t="s">
        <v>1579</v>
      </c>
      <c r="E762" s="223" t="s">
        <v>1576</v>
      </c>
      <c r="F762" s="223" t="s">
        <v>1620</v>
      </c>
      <c r="G762" s="223">
        <v>450.18312355366101</v>
      </c>
    </row>
    <row r="763" spans="1:7">
      <c r="A763" s="223" t="s">
        <v>1578</v>
      </c>
      <c r="B763" s="223" t="s">
        <v>852</v>
      </c>
      <c r="C763" s="223" t="s">
        <v>1578</v>
      </c>
      <c r="D763" s="223" t="s">
        <v>1579</v>
      </c>
      <c r="E763" s="223" t="s">
        <v>1576</v>
      </c>
      <c r="F763" s="223" t="s">
        <v>1620</v>
      </c>
      <c r="G763" s="223">
        <v>576.03211151681205</v>
      </c>
    </row>
    <row r="764" spans="1:7">
      <c r="A764" s="223" t="s">
        <v>1580</v>
      </c>
      <c r="B764" s="223" t="s">
        <v>852</v>
      </c>
      <c r="C764" s="223" t="s">
        <v>1580</v>
      </c>
      <c r="D764" s="223" t="s">
        <v>1579</v>
      </c>
      <c r="E764" s="223" t="s">
        <v>1576</v>
      </c>
      <c r="F764" s="223" t="s">
        <v>1620</v>
      </c>
      <c r="G764" s="223">
        <v>238.64187477125</v>
      </c>
    </row>
    <row r="765" spans="1:7">
      <c r="A765" s="223" t="s">
        <v>1578</v>
      </c>
      <c r="B765" s="223" t="s">
        <v>855</v>
      </c>
      <c r="C765" s="223" t="s">
        <v>1578</v>
      </c>
      <c r="D765" s="223" t="s">
        <v>1579</v>
      </c>
      <c r="E765" s="223" t="s">
        <v>1576</v>
      </c>
      <c r="F765" s="223" t="s">
        <v>1620</v>
      </c>
      <c r="G765" s="223">
        <v>1632.0820625834201</v>
      </c>
    </row>
    <row r="766" spans="1:7">
      <c r="A766" s="223" t="s">
        <v>1580</v>
      </c>
      <c r="B766" s="223" t="s">
        <v>855</v>
      </c>
      <c r="C766" s="223" t="s">
        <v>1580</v>
      </c>
      <c r="D766" s="223" t="s">
        <v>1579</v>
      </c>
      <c r="E766" s="223" t="s">
        <v>1576</v>
      </c>
      <c r="F766" s="223" t="s">
        <v>1620</v>
      </c>
      <c r="G766" s="223">
        <v>1340.6388371220901</v>
      </c>
    </row>
    <row r="767" spans="1:7">
      <c r="A767" s="223" t="s">
        <v>1578</v>
      </c>
      <c r="B767" s="223" t="s">
        <v>856</v>
      </c>
      <c r="C767" s="223" t="s">
        <v>1578</v>
      </c>
      <c r="D767" s="223" t="s">
        <v>1579</v>
      </c>
      <c r="E767" s="223" t="s">
        <v>1576</v>
      </c>
      <c r="F767" s="223" t="s">
        <v>1620</v>
      </c>
      <c r="G767" s="223">
        <v>2307.34386530455</v>
      </c>
    </row>
    <row r="768" spans="1:7">
      <c r="A768" s="223" t="s">
        <v>1580</v>
      </c>
      <c r="B768" s="223" t="s">
        <v>856</v>
      </c>
      <c r="C768" s="223" t="s">
        <v>1580</v>
      </c>
      <c r="D768" s="223" t="s">
        <v>1579</v>
      </c>
      <c r="E768" s="223" t="s">
        <v>1576</v>
      </c>
      <c r="F768" s="223" t="s">
        <v>1620</v>
      </c>
      <c r="G768" s="223">
        <v>1310.1973787698701</v>
      </c>
    </row>
    <row r="769" spans="1:7">
      <c r="A769" s="223" t="s">
        <v>1578</v>
      </c>
      <c r="B769" s="223" t="s">
        <v>857</v>
      </c>
      <c r="C769" s="223" t="s">
        <v>1578</v>
      </c>
      <c r="D769" s="223" t="s">
        <v>1579</v>
      </c>
      <c r="E769" s="223" t="s">
        <v>1576</v>
      </c>
      <c r="F769" s="223" t="s">
        <v>1620</v>
      </c>
      <c r="G769" s="223">
        <v>1962.35068505816</v>
      </c>
    </row>
    <row r="770" spans="1:7">
      <c r="A770" s="223" t="s">
        <v>1580</v>
      </c>
      <c r="B770" s="223" t="s">
        <v>857</v>
      </c>
      <c r="C770" s="223" t="s">
        <v>1580</v>
      </c>
      <c r="D770" s="223" t="s">
        <v>1579</v>
      </c>
      <c r="E770" s="223" t="s">
        <v>1576</v>
      </c>
      <c r="F770" s="223" t="s">
        <v>1620</v>
      </c>
      <c r="G770" s="223">
        <v>663.84821100513295</v>
      </c>
    </row>
    <row r="771" spans="1:7">
      <c r="A771" s="223" t="s">
        <v>1578</v>
      </c>
      <c r="B771" s="223" t="s">
        <v>858</v>
      </c>
      <c r="C771" s="223" t="s">
        <v>1578</v>
      </c>
      <c r="D771" s="223" t="s">
        <v>1579</v>
      </c>
      <c r="E771" s="223" t="s">
        <v>1576</v>
      </c>
      <c r="F771" s="223" t="s">
        <v>1620</v>
      </c>
      <c r="G771" s="223">
        <v>180.93725788011901</v>
      </c>
    </row>
    <row r="772" spans="1:7">
      <c r="A772" s="223" t="s">
        <v>1580</v>
      </c>
      <c r="B772" s="223" t="s">
        <v>858</v>
      </c>
      <c r="C772" s="223" t="s">
        <v>1580</v>
      </c>
      <c r="D772" s="223" t="s">
        <v>1579</v>
      </c>
      <c r="E772" s="223" t="s">
        <v>1576</v>
      </c>
      <c r="F772" s="223" t="s">
        <v>1620</v>
      </c>
      <c r="G772" s="223">
        <v>120.624838586745</v>
      </c>
    </row>
    <row r="773" spans="1:7">
      <c r="A773" s="223" t="s">
        <v>1578</v>
      </c>
      <c r="B773" s="223" t="s">
        <v>859</v>
      </c>
      <c r="C773" s="223" t="s">
        <v>1578</v>
      </c>
      <c r="D773" s="223" t="s">
        <v>1579</v>
      </c>
      <c r="E773" s="223" t="s">
        <v>1576</v>
      </c>
      <c r="F773" s="223" t="s">
        <v>1620</v>
      </c>
      <c r="G773" s="223">
        <v>397.953383952038</v>
      </c>
    </row>
    <row r="774" spans="1:7">
      <c r="A774" s="223" t="s">
        <v>1578</v>
      </c>
      <c r="B774" s="223" t="s">
        <v>861</v>
      </c>
      <c r="C774" s="223" t="s">
        <v>1578</v>
      </c>
      <c r="D774" s="223" t="s">
        <v>1579</v>
      </c>
      <c r="E774" s="223" t="s">
        <v>1576</v>
      </c>
      <c r="F774" s="223" t="s">
        <v>1620</v>
      </c>
      <c r="G774" s="223">
        <v>317.09122114352101</v>
      </c>
    </row>
    <row r="775" spans="1:7">
      <c r="A775" s="223" t="s">
        <v>1578</v>
      </c>
      <c r="B775" s="223" t="s">
        <v>862</v>
      </c>
      <c r="C775" s="223" t="s">
        <v>1578</v>
      </c>
      <c r="D775" s="223" t="s">
        <v>1579</v>
      </c>
      <c r="E775" s="223" t="s">
        <v>1576</v>
      </c>
      <c r="F775" s="223" t="s">
        <v>1620</v>
      </c>
      <c r="G775" s="223">
        <v>407.82834770663999</v>
      </c>
    </row>
    <row r="776" spans="1:7">
      <c r="A776" s="223" t="s">
        <v>1602</v>
      </c>
      <c r="B776" s="223" t="s">
        <v>908</v>
      </c>
      <c r="C776" s="223" t="s">
        <v>1602</v>
      </c>
      <c r="D776" s="223" t="s">
        <v>1603</v>
      </c>
      <c r="E776" s="223" t="s">
        <v>1597</v>
      </c>
      <c r="F776" s="223" t="s">
        <v>1621</v>
      </c>
      <c r="G776" s="223">
        <v>5293.2166177019299</v>
      </c>
    </row>
    <row r="777" spans="1:7">
      <c r="A777" s="223" t="s">
        <v>1602</v>
      </c>
      <c r="B777" s="223" t="s">
        <v>875</v>
      </c>
      <c r="C777" s="223" t="s">
        <v>1602</v>
      </c>
      <c r="D777" s="223" t="s">
        <v>1603</v>
      </c>
      <c r="E777" s="223" t="s">
        <v>1597</v>
      </c>
      <c r="F777" s="223" t="s">
        <v>1622</v>
      </c>
      <c r="G777" s="223">
        <v>148.782953401669</v>
      </c>
    </row>
    <row r="778" spans="1:7">
      <c r="A778" s="223" t="s">
        <v>1602</v>
      </c>
      <c r="B778" s="223" t="s">
        <v>849</v>
      </c>
      <c r="C778" s="223" t="s">
        <v>1602</v>
      </c>
      <c r="D778" s="223" t="s">
        <v>1603</v>
      </c>
      <c r="E778" s="223" t="s">
        <v>1597</v>
      </c>
      <c r="F778" s="223" t="s">
        <v>1623</v>
      </c>
      <c r="G778" s="223">
        <v>879.90337785488396</v>
      </c>
    </row>
    <row r="779" spans="1:7">
      <c r="A779" s="223" t="s">
        <v>1602</v>
      </c>
      <c r="B779" s="223" t="s">
        <v>852</v>
      </c>
      <c r="C779" s="223" t="s">
        <v>1602</v>
      </c>
      <c r="D779" s="223" t="s">
        <v>1603</v>
      </c>
      <c r="E779" s="223" t="s">
        <v>1597</v>
      </c>
      <c r="F779" s="223" t="s">
        <v>1623</v>
      </c>
      <c r="G779" s="223">
        <v>279.78702559388</v>
      </c>
    </row>
    <row r="780" spans="1:7">
      <c r="A780" s="223" t="s">
        <v>1602</v>
      </c>
      <c r="B780" s="223" t="s">
        <v>917</v>
      </c>
      <c r="C780" s="223" t="s">
        <v>1602</v>
      </c>
      <c r="D780" s="223" t="s">
        <v>1603</v>
      </c>
      <c r="E780" s="223" t="s">
        <v>1597</v>
      </c>
      <c r="F780" s="223" t="s">
        <v>1611</v>
      </c>
      <c r="G780" s="223">
        <v>1626.39404269652</v>
      </c>
    </row>
    <row r="781" spans="1:7">
      <c r="A781" s="223" t="s">
        <v>1492</v>
      </c>
      <c r="B781" s="223" t="s">
        <v>908</v>
      </c>
      <c r="C781" s="223" t="s">
        <v>1492</v>
      </c>
      <c r="D781" s="223" t="s">
        <v>1493</v>
      </c>
      <c r="E781" s="223" t="s">
        <v>1464</v>
      </c>
      <c r="F781" s="223" t="s">
        <v>1613</v>
      </c>
      <c r="G781" s="223">
        <v>975.06621905035604</v>
      </c>
    </row>
    <row r="782" spans="1:7">
      <c r="A782" s="223" t="s">
        <v>1492</v>
      </c>
      <c r="B782" s="223" t="s">
        <v>839</v>
      </c>
      <c r="C782" s="223" t="s">
        <v>1492</v>
      </c>
      <c r="D782" s="223" t="s">
        <v>1493</v>
      </c>
      <c r="E782" s="223" t="s">
        <v>1464</v>
      </c>
      <c r="F782" s="223" t="s">
        <v>1617</v>
      </c>
      <c r="G782" s="223">
        <v>398.15799957904397</v>
      </c>
    </row>
    <row r="783" spans="1:7">
      <c r="A783" s="223" t="s">
        <v>1492</v>
      </c>
      <c r="B783" s="223" t="s">
        <v>849</v>
      </c>
      <c r="C783" s="223" t="s">
        <v>1492</v>
      </c>
      <c r="D783" s="223" t="s">
        <v>1493</v>
      </c>
      <c r="E783" s="223" t="s">
        <v>1464</v>
      </c>
      <c r="F783" s="223" t="s">
        <v>1620</v>
      </c>
      <c r="G783" s="223">
        <v>122.777215514635</v>
      </c>
    </row>
    <row r="784" spans="1:7">
      <c r="A784" s="223" t="s">
        <v>1492</v>
      </c>
      <c r="B784" s="223" t="s">
        <v>858</v>
      </c>
      <c r="C784" s="223" t="s">
        <v>1492</v>
      </c>
      <c r="D784" s="223" t="s">
        <v>1493</v>
      </c>
      <c r="E784" s="223" t="s">
        <v>1464</v>
      </c>
      <c r="F784" s="223" t="s">
        <v>1620</v>
      </c>
      <c r="G784" s="223">
        <v>144.74980630409499</v>
      </c>
    </row>
    <row r="785" spans="1:7">
      <c r="A785" s="223" t="s">
        <v>1492</v>
      </c>
      <c r="B785" s="223" t="s">
        <v>859</v>
      </c>
      <c r="C785" s="223" t="s">
        <v>1492</v>
      </c>
      <c r="D785" s="223" t="s">
        <v>1493</v>
      </c>
      <c r="E785" s="223" t="s">
        <v>1464</v>
      </c>
      <c r="F785" s="223" t="s">
        <v>1620</v>
      </c>
      <c r="G785" s="223">
        <v>170.55145026515899</v>
      </c>
    </row>
    <row r="786" spans="1:7">
      <c r="A786" s="223" t="s">
        <v>1590</v>
      </c>
      <c r="B786" s="223" t="s">
        <v>917</v>
      </c>
      <c r="C786" s="223" t="s">
        <v>1590</v>
      </c>
      <c r="D786" s="223" t="s">
        <v>1591</v>
      </c>
      <c r="E786" s="223" t="s">
        <v>1576</v>
      </c>
      <c r="F786" s="223" t="s">
        <v>1611</v>
      </c>
      <c r="G786" s="223">
        <v>813.197021348264</v>
      </c>
    </row>
    <row r="787" spans="1:7">
      <c r="A787" s="223" t="s">
        <v>1592</v>
      </c>
      <c r="B787" s="223" t="s">
        <v>917</v>
      </c>
      <c r="C787" s="223" t="s">
        <v>1592</v>
      </c>
      <c r="D787" s="223" t="s">
        <v>1591</v>
      </c>
      <c r="E787" s="223" t="s">
        <v>1576</v>
      </c>
      <c r="F787" s="223" t="s">
        <v>1611</v>
      </c>
      <c r="G787" s="223">
        <v>755.11151982338799</v>
      </c>
    </row>
    <row r="788" spans="1:7">
      <c r="A788" s="223" t="s">
        <v>1593</v>
      </c>
      <c r="B788" s="223" t="s">
        <v>917</v>
      </c>
      <c r="C788" s="223" t="s">
        <v>1593</v>
      </c>
      <c r="D788" s="223" t="s">
        <v>1591</v>
      </c>
      <c r="E788" s="223" t="s">
        <v>1576</v>
      </c>
      <c r="F788" s="223" t="s">
        <v>1611</v>
      </c>
      <c r="G788" s="223">
        <v>348.51300914925599</v>
      </c>
    </row>
    <row r="789" spans="1:7">
      <c r="A789" s="223" t="s">
        <v>1594</v>
      </c>
      <c r="B789" s="223" t="s">
        <v>917</v>
      </c>
      <c r="C789" s="223" t="s">
        <v>1594</v>
      </c>
      <c r="D789" s="223" t="s">
        <v>1591</v>
      </c>
      <c r="E789" s="223" t="s">
        <v>1576</v>
      </c>
      <c r="F789" s="223" t="s">
        <v>1611</v>
      </c>
      <c r="G789" s="223">
        <v>697.02601829851199</v>
      </c>
    </row>
    <row r="790" spans="1:7">
      <c r="A790" s="223" t="s">
        <v>1592</v>
      </c>
      <c r="B790" s="223" t="s">
        <v>917</v>
      </c>
      <c r="C790" s="223" t="s">
        <v>1592</v>
      </c>
      <c r="D790" s="223" t="s">
        <v>1591</v>
      </c>
      <c r="E790" s="223" t="s">
        <v>1576</v>
      </c>
      <c r="F790" s="223" t="s">
        <v>1613</v>
      </c>
      <c r="G790" s="223">
        <v>116.171003049752</v>
      </c>
    </row>
    <row r="791" spans="1:7">
      <c r="A791" s="223" t="s">
        <v>1590</v>
      </c>
      <c r="B791" s="223" t="s">
        <v>853</v>
      </c>
      <c r="C791" s="223" t="s">
        <v>1590</v>
      </c>
      <c r="D791" s="223" t="s">
        <v>1591</v>
      </c>
      <c r="E791" s="223" t="s">
        <v>1576</v>
      </c>
      <c r="F791" s="223" t="s">
        <v>1613</v>
      </c>
      <c r="G791" s="223">
        <v>276.37189471464899</v>
      </c>
    </row>
    <row r="792" spans="1:7">
      <c r="A792" s="223" t="s">
        <v>1592</v>
      </c>
      <c r="B792" s="223" t="s">
        <v>853</v>
      </c>
      <c r="C792" s="223" t="s">
        <v>1592</v>
      </c>
      <c r="D792" s="223" t="s">
        <v>1591</v>
      </c>
      <c r="E792" s="223" t="s">
        <v>1576</v>
      </c>
      <c r="F792" s="223" t="s">
        <v>1613</v>
      </c>
      <c r="G792" s="223">
        <v>476.35670634777</v>
      </c>
    </row>
    <row r="793" spans="1:7">
      <c r="A793" s="223" t="s">
        <v>1593</v>
      </c>
      <c r="B793" s="223" t="s">
        <v>853</v>
      </c>
      <c r="C793" s="223" t="s">
        <v>1593</v>
      </c>
      <c r="D793" s="223" t="s">
        <v>1591</v>
      </c>
      <c r="E793" s="223" t="s">
        <v>1576</v>
      </c>
      <c r="F793" s="223" t="s">
        <v>1613</v>
      </c>
      <c r="G793" s="223">
        <v>599.55240626529599</v>
      </c>
    </row>
    <row r="794" spans="1:7">
      <c r="A794" s="223" t="s">
        <v>1594</v>
      </c>
      <c r="B794" s="223" t="s">
        <v>853</v>
      </c>
      <c r="C794" s="223" t="s">
        <v>1594</v>
      </c>
      <c r="D794" s="223" t="s">
        <v>1591</v>
      </c>
      <c r="E794" s="223" t="s">
        <v>1576</v>
      </c>
      <c r="F794" s="223" t="s">
        <v>1613</v>
      </c>
      <c r="G794" s="223">
        <v>525.63498631478001</v>
      </c>
    </row>
    <row r="795" spans="1:7">
      <c r="A795" s="223" t="s">
        <v>1590</v>
      </c>
      <c r="B795" s="223" t="s">
        <v>874</v>
      </c>
      <c r="C795" s="223" t="s">
        <v>1590</v>
      </c>
      <c r="D795" s="223" t="s">
        <v>1591</v>
      </c>
      <c r="E795" s="223" t="s">
        <v>1576</v>
      </c>
      <c r="F795" s="223" t="s">
        <v>1613</v>
      </c>
      <c r="G795" s="223">
        <v>285.60087047854699</v>
      </c>
    </row>
    <row r="796" spans="1:7">
      <c r="A796" s="223" t="s">
        <v>1592</v>
      </c>
      <c r="B796" s="223" t="s">
        <v>874</v>
      </c>
      <c r="C796" s="223" t="s">
        <v>1592</v>
      </c>
      <c r="D796" s="223" t="s">
        <v>1591</v>
      </c>
      <c r="E796" s="223" t="s">
        <v>1576</v>
      </c>
      <c r="F796" s="223" t="s">
        <v>1613</v>
      </c>
      <c r="G796" s="223">
        <v>154.902167039212</v>
      </c>
    </row>
    <row r="797" spans="1:7">
      <c r="A797" s="223" t="s">
        <v>1593</v>
      </c>
      <c r="B797" s="223" t="s">
        <v>874</v>
      </c>
      <c r="C797" s="223" t="s">
        <v>1593</v>
      </c>
      <c r="D797" s="223" t="s">
        <v>1591</v>
      </c>
      <c r="E797" s="223" t="s">
        <v>1576</v>
      </c>
      <c r="F797" s="223" t="s">
        <v>1613</v>
      </c>
      <c r="G797" s="223">
        <v>140.38008887928601</v>
      </c>
    </row>
    <row r="798" spans="1:7">
      <c r="A798" s="223" t="s">
        <v>1594</v>
      </c>
      <c r="B798" s="223" t="s">
        <v>874</v>
      </c>
      <c r="C798" s="223" t="s">
        <v>1594</v>
      </c>
      <c r="D798" s="223" t="s">
        <v>1591</v>
      </c>
      <c r="E798" s="223" t="s">
        <v>1576</v>
      </c>
      <c r="F798" s="223" t="s">
        <v>1613</v>
      </c>
      <c r="G798" s="223">
        <v>435.66234479778399</v>
      </c>
    </row>
    <row r="799" spans="1:7">
      <c r="A799" s="223" t="s">
        <v>1590</v>
      </c>
      <c r="B799" s="223" t="s">
        <v>918</v>
      </c>
      <c r="C799" s="223" t="s">
        <v>1590</v>
      </c>
      <c r="D799" s="223" t="s">
        <v>1591</v>
      </c>
      <c r="E799" s="223" t="s">
        <v>1576</v>
      </c>
      <c r="F799" s="223" t="s">
        <v>1613</v>
      </c>
      <c r="G799" s="223">
        <v>350.18048324817403</v>
      </c>
    </row>
    <row r="800" spans="1:7">
      <c r="A800" s="223" t="s">
        <v>1592</v>
      </c>
      <c r="B800" s="223" t="s">
        <v>918</v>
      </c>
      <c r="C800" s="223" t="s">
        <v>1592</v>
      </c>
      <c r="D800" s="223" t="s">
        <v>1591</v>
      </c>
      <c r="E800" s="223" t="s">
        <v>1576</v>
      </c>
      <c r="F800" s="223" t="s">
        <v>1613</v>
      </c>
      <c r="G800" s="223">
        <v>708.67475275068398</v>
      </c>
    </row>
    <row r="801" spans="1:7">
      <c r="A801" s="223" t="s">
        <v>1593</v>
      </c>
      <c r="B801" s="223" t="s">
        <v>918</v>
      </c>
      <c r="C801" s="223" t="s">
        <v>1593</v>
      </c>
      <c r="D801" s="223" t="s">
        <v>1591</v>
      </c>
      <c r="E801" s="223" t="s">
        <v>1576</v>
      </c>
      <c r="F801" s="223" t="s">
        <v>1613</v>
      </c>
      <c r="G801" s="223">
        <v>748.60009093382098</v>
      </c>
    </row>
    <row r="802" spans="1:7">
      <c r="A802" s="223" t="s">
        <v>1594</v>
      </c>
      <c r="B802" s="223" t="s">
        <v>918</v>
      </c>
      <c r="C802" s="223" t="s">
        <v>1594</v>
      </c>
      <c r="D802" s="223" t="s">
        <v>1591</v>
      </c>
      <c r="E802" s="223" t="s">
        <v>1576</v>
      </c>
      <c r="F802" s="223" t="s">
        <v>1613</v>
      </c>
      <c r="G802" s="223">
        <v>1996.26690915685</v>
      </c>
    </row>
    <row r="803" spans="1:7">
      <c r="A803" s="223" t="s">
        <v>1593</v>
      </c>
      <c r="B803" s="223" t="s">
        <v>875</v>
      </c>
      <c r="C803" s="223" t="s">
        <v>1593</v>
      </c>
      <c r="D803" s="223" t="s">
        <v>1591</v>
      </c>
      <c r="E803" s="223" t="s">
        <v>1576</v>
      </c>
      <c r="F803" s="223" t="s">
        <v>1613</v>
      </c>
      <c r="G803" s="223">
        <v>238.05272544267001</v>
      </c>
    </row>
    <row r="804" spans="1:7">
      <c r="A804" s="223" t="s">
        <v>1593</v>
      </c>
      <c r="B804" s="223" t="s">
        <v>917</v>
      </c>
      <c r="C804" s="223" t="s">
        <v>1593</v>
      </c>
      <c r="D804" s="223" t="s">
        <v>1591</v>
      </c>
      <c r="E804" s="223" t="s">
        <v>1576</v>
      </c>
      <c r="F804" s="223" t="s">
        <v>1614</v>
      </c>
      <c r="G804" s="223">
        <v>174.256504574628</v>
      </c>
    </row>
    <row r="805" spans="1:7">
      <c r="A805" s="223" t="s">
        <v>1590</v>
      </c>
      <c r="B805" s="223" t="s">
        <v>853</v>
      </c>
      <c r="C805" s="223" t="s">
        <v>1590</v>
      </c>
      <c r="D805" s="223" t="s">
        <v>1591</v>
      </c>
      <c r="E805" s="223" t="s">
        <v>1576</v>
      </c>
      <c r="F805" s="223" t="s">
        <v>1614</v>
      </c>
      <c r="G805" s="223">
        <v>733.83284460906896</v>
      </c>
    </row>
    <row r="806" spans="1:7">
      <c r="A806" s="223" t="s">
        <v>1592</v>
      </c>
      <c r="B806" s="223" t="s">
        <v>853</v>
      </c>
      <c r="C806" s="223" t="s">
        <v>1592</v>
      </c>
      <c r="D806" s="223" t="s">
        <v>1591</v>
      </c>
      <c r="E806" s="223" t="s">
        <v>1576</v>
      </c>
      <c r="F806" s="223" t="s">
        <v>1614</v>
      </c>
      <c r="G806" s="223">
        <v>287.45663314089501</v>
      </c>
    </row>
    <row r="807" spans="1:7">
      <c r="A807" s="223" t="s">
        <v>1593</v>
      </c>
      <c r="B807" s="223" t="s">
        <v>853</v>
      </c>
      <c r="C807" s="223" t="s">
        <v>1593</v>
      </c>
      <c r="D807" s="223" t="s">
        <v>1591</v>
      </c>
      <c r="E807" s="223" t="s">
        <v>1576</v>
      </c>
      <c r="F807" s="223" t="s">
        <v>1614</v>
      </c>
      <c r="G807" s="223">
        <v>1149.82653256358</v>
      </c>
    </row>
    <row r="808" spans="1:7">
      <c r="A808" s="223" t="s">
        <v>1594</v>
      </c>
      <c r="B808" s="223" t="s">
        <v>853</v>
      </c>
      <c r="C808" s="223" t="s">
        <v>1594</v>
      </c>
      <c r="D808" s="223" t="s">
        <v>1591</v>
      </c>
      <c r="E808" s="223" t="s">
        <v>1576</v>
      </c>
      <c r="F808" s="223" t="s">
        <v>1614</v>
      </c>
      <c r="G808" s="223">
        <v>591.33935960412805</v>
      </c>
    </row>
    <row r="809" spans="1:7">
      <c r="A809" s="223" t="s">
        <v>1593</v>
      </c>
      <c r="B809" s="223" t="s">
        <v>874</v>
      </c>
      <c r="C809" s="223" t="s">
        <v>1593</v>
      </c>
      <c r="D809" s="223" t="s">
        <v>1591</v>
      </c>
      <c r="E809" s="223" t="s">
        <v>1576</v>
      </c>
      <c r="F809" s="223" t="s">
        <v>1614</v>
      </c>
      <c r="G809" s="223">
        <v>121.01731799938401</v>
      </c>
    </row>
    <row r="810" spans="1:7">
      <c r="A810" s="223" t="s">
        <v>1590</v>
      </c>
      <c r="B810" s="223" t="s">
        <v>918</v>
      </c>
      <c r="C810" s="223" t="s">
        <v>1590</v>
      </c>
      <c r="D810" s="223" t="s">
        <v>1591</v>
      </c>
      <c r="E810" s="223" t="s">
        <v>1576</v>
      </c>
      <c r="F810" s="223" t="s">
        <v>1614</v>
      </c>
      <c r="G810" s="223">
        <v>1293.4126052909701</v>
      </c>
    </row>
    <row r="811" spans="1:7">
      <c r="A811" s="223" t="s">
        <v>1592</v>
      </c>
      <c r="B811" s="223" t="s">
        <v>918</v>
      </c>
      <c r="C811" s="223" t="s">
        <v>1592</v>
      </c>
      <c r="D811" s="223" t="s">
        <v>1591</v>
      </c>
      <c r="E811" s="223" t="s">
        <v>1576</v>
      </c>
      <c r="F811" s="223" t="s">
        <v>1614</v>
      </c>
      <c r="G811" s="223">
        <v>748.60009093382098</v>
      </c>
    </row>
    <row r="812" spans="1:7">
      <c r="A812" s="223" t="s">
        <v>1593</v>
      </c>
      <c r="B812" s="223" t="s">
        <v>918</v>
      </c>
      <c r="C812" s="223" t="s">
        <v>1593</v>
      </c>
      <c r="D812" s="223" t="s">
        <v>1591</v>
      </c>
      <c r="E812" s="223" t="s">
        <v>1576</v>
      </c>
      <c r="F812" s="223" t="s">
        <v>1614</v>
      </c>
      <c r="G812" s="223">
        <v>865.048993967971</v>
      </c>
    </row>
    <row r="813" spans="1:7">
      <c r="A813" s="223" t="s">
        <v>1594</v>
      </c>
      <c r="B813" s="223" t="s">
        <v>918</v>
      </c>
      <c r="C813" s="223" t="s">
        <v>1594</v>
      </c>
      <c r="D813" s="223" t="s">
        <v>1591</v>
      </c>
      <c r="E813" s="223" t="s">
        <v>1576</v>
      </c>
      <c r="F813" s="223" t="s">
        <v>1614</v>
      </c>
      <c r="G813" s="223">
        <v>831.77787881535596</v>
      </c>
    </row>
    <row r="814" spans="1:7">
      <c r="A814" s="223" t="s">
        <v>1590</v>
      </c>
      <c r="B814" s="223" t="s">
        <v>875</v>
      </c>
      <c r="C814" s="223" t="s">
        <v>1590</v>
      </c>
      <c r="D814" s="223" t="s">
        <v>1591</v>
      </c>
      <c r="E814" s="223" t="s">
        <v>1576</v>
      </c>
      <c r="F814" s="223" t="s">
        <v>1614</v>
      </c>
      <c r="G814" s="223">
        <v>714.15817632801202</v>
      </c>
    </row>
    <row r="815" spans="1:7">
      <c r="A815" s="223" t="s">
        <v>1592</v>
      </c>
      <c r="B815" s="223" t="s">
        <v>875</v>
      </c>
      <c r="C815" s="223" t="s">
        <v>1592</v>
      </c>
      <c r="D815" s="223" t="s">
        <v>1591</v>
      </c>
      <c r="E815" s="223" t="s">
        <v>1576</v>
      </c>
      <c r="F815" s="223" t="s">
        <v>1614</v>
      </c>
      <c r="G815" s="223">
        <v>674.48272208756703</v>
      </c>
    </row>
    <row r="816" spans="1:7">
      <c r="A816" s="223" t="s">
        <v>1593</v>
      </c>
      <c r="B816" s="223" t="s">
        <v>875</v>
      </c>
      <c r="C816" s="223" t="s">
        <v>1593</v>
      </c>
      <c r="D816" s="223" t="s">
        <v>1591</v>
      </c>
      <c r="E816" s="223" t="s">
        <v>1576</v>
      </c>
      <c r="F816" s="223" t="s">
        <v>1614</v>
      </c>
      <c r="G816" s="223">
        <v>972.04862889090498</v>
      </c>
    </row>
    <row r="817" spans="1:7">
      <c r="A817" s="223" t="s">
        <v>1594</v>
      </c>
      <c r="B817" s="223" t="s">
        <v>875</v>
      </c>
      <c r="C817" s="223" t="s">
        <v>1594</v>
      </c>
      <c r="D817" s="223" t="s">
        <v>1591</v>
      </c>
      <c r="E817" s="223" t="s">
        <v>1576</v>
      </c>
      <c r="F817" s="223" t="s">
        <v>1614</v>
      </c>
      <c r="G817" s="223">
        <v>803.42794836901396</v>
      </c>
    </row>
    <row r="818" spans="1:7">
      <c r="A818" s="223" t="s">
        <v>1594</v>
      </c>
      <c r="B818" s="223" t="s">
        <v>917</v>
      </c>
      <c r="C818" s="223" t="s">
        <v>1594</v>
      </c>
      <c r="D818" s="223" t="s">
        <v>1591</v>
      </c>
      <c r="E818" s="223" t="s">
        <v>1576</v>
      </c>
      <c r="F818" s="223" t="s">
        <v>1615</v>
      </c>
      <c r="G818" s="223">
        <v>232.342006099504</v>
      </c>
    </row>
    <row r="819" spans="1:7">
      <c r="A819" s="223" t="s">
        <v>1590</v>
      </c>
      <c r="B819" s="223" t="s">
        <v>853</v>
      </c>
      <c r="C819" s="223" t="s">
        <v>1590</v>
      </c>
      <c r="D819" s="223" t="s">
        <v>1591</v>
      </c>
      <c r="E819" s="223" t="s">
        <v>1576</v>
      </c>
      <c r="F819" s="223" t="s">
        <v>1615</v>
      </c>
      <c r="G819" s="223">
        <v>1018.41778598488</v>
      </c>
    </row>
    <row r="820" spans="1:7">
      <c r="A820" s="223" t="s">
        <v>1592</v>
      </c>
      <c r="B820" s="223" t="s">
        <v>853</v>
      </c>
      <c r="C820" s="223" t="s">
        <v>1592</v>
      </c>
      <c r="D820" s="223" t="s">
        <v>1591</v>
      </c>
      <c r="E820" s="223" t="s">
        <v>1576</v>
      </c>
      <c r="F820" s="223" t="s">
        <v>1615</v>
      </c>
      <c r="G820" s="223">
        <v>509.208892992443</v>
      </c>
    </row>
    <row r="821" spans="1:7">
      <c r="A821" s="223" t="s">
        <v>1594</v>
      </c>
      <c r="B821" s="223" t="s">
        <v>853</v>
      </c>
      <c r="C821" s="223" t="s">
        <v>1594</v>
      </c>
      <c r="D821" s="223" t="s">
        <v>1591</v>
      </c>
      <c r="E821" s="223" t="s">
        <v>1576</v>
      </c>
      <c r="F821" s="223" t="s">
        <v>1615</v>
      </c>
      <c r="G821" s="223">
        <v>574.91326628179104</v>
      </c>
    </row>
    <row r="822" spans="1:7">
      <c r="A822" s="223" t="s">
        <v>1590</v>
      </c>
      <c r="B822" s="223" t="s">
        <v>874</v>
      </c>
      <c r="C822" s="223" t="s">
        <v>1590</v>
      </c>
      <c r="D822" s="223" t="s">
        <v>1591</v>
      </c>
      <c r="E822" s="223" t="s">
        <v>1576</v>
      </c>
      <c r="F822" s="223" t="s">
        <v>1615</v>
      </c>
      <c r="G822" s="223">
        <v>106.49523983945799</v>
      </c>
    </row>
    <row r="823" spans="1:7">
      <c r="A823" s="223" t="s">
        <v>1592</v>
      </c>
      <c r="B823" s="223" t="s">
        <v>874</v>
      </c>
      <c r="C823" s="223" t="s">
        <v>1592</v>
      </c>
      <c r="D823" s="223" t="s">
        <v>1591</v>
      </c>
      <c r="E823" s="223" t="s">
        <v>1576</v>
      </c>
      <c r="F823" s="223" t="s">
        <v>1615</v>
      </c>
      <c r="G823" s="223">
        <v>125.858010719359</v>
      </c>
    </row>
    <row r="824" spans="1:7">
      <c r="A824" s="223" t="s">
        <v>1594</v>
      </c>
      <c r="B824" s="223" t="s">
        <v>874</v>
      </c>
      <c r="C824" s="223" t="s">
        <v>1594</v>
      </c>
      <c r="D824" s="223" t="s">
        <v>1591</v>
      </c>
      <c r="E824" s="223" t="s">
        <v>1576</v>
      </c>
      <c r="F824" s="223" t="s">
        <v>1615</v>
      </c>
      <c r="G824" s="223">
        <v>256.556714158695</v>
      </c>
    </row>
    <row r="825" spans="1:7">
      <c r="A825" s="223" t="s">
        <v>1590</v>
      </c>
      <c r="B825" s="223" t="s">
        <v>918</v>
      </c>
      <c r="C825" s="223" t="s">
        <v>1590</v>
      </c>
      <c r="D825" s="223" t="s">
        <v>1591</v>
      </c>
      <c r="E825" s="223" t="s">
        <v>1576</v>
      </c>
      <c r="F825" s="223" t="s">
        <v>1615</v>
      </c>
      <c r="G825" s="223">
        <v>445.83294304503102</v>
      </c>
    </row>
    <row r="826" spans="1:7">
      <c r="A826" s="223" t="s">
        <v>1592</v>
      </c>
      <c r="B826" s="223" t="s">
        <v>918</v>
      </c>
      <c r="C826" s="223" t="s">
        <v>1592</v>
      </c>
      <c r="D826" s="223" t="s">
        <v>1591</v>
      </c>
      <c r="E826" s="223" t="s">
        <v>1576</v>
      </c>
      <c r="F826" s="223" t="s">
        <v>1615</v>
      </c>
      <c r="G826" s="223">
        <v>199.626690915685</v>
      </c>
    </row>
    <row r="827" spans="1:7">
      <c r="A827" s="223" t="s">
        <v>1594</v>
      </c>
      <c r="B827" s="223" t="s">
        <v>918</v>
      </c>
      <c r="C827" s="223" t="s">
        <v>1594</v>
      </c>
      <c r="D827" s="223" t="s">
        <v>1591</v>
      </c>
      <c r="E827" s="223" t="s">
        <v>1576</v>
      </c>
      <c r="F827" s="223" t="s">
        <v>1615</v>
      </c>
      <c r="G827" s="223">
        <v>316.07559394983502</v>
      </c>
    </row>
    <row r="828" spans="1:7">
      <c r="A828" s="223" t="s">
        <v>1590</v>
      </c>
      <c r="B828" s="223" t="s">
        <v>875</v>
      </c>
      <c r="C828" s="223" t="s">
        <v>1590</v>
      </c>
      <c r="D828" s="223" t="s">
        <v>1591</v>
      </c>
      <c r="E828" s="223" t="s">
        <v>1576</v>
      </c>
      <c r="F828" s="223" t="s">
        <v>1615</v>
      </c>
      <c r="G828" s="223">
        <v>545.53749580611998</v>
      </c>
    </row>
    <row r="829" spans="1:7">
      <c r="A829" s="223" t="s">
        <v>1592</v>
      </c>
      <c r="B829" s="223" t="s">
        <v>875</v>
      </c>
      <c r="C829" s="223" t="s">
        <v>1592</v>
      </c>
      <c r="D829" s="223" t="s">
        <v>1591</v>
      </c>
      <c r="E829" s="223" t="s">
        <v>1576</v>
      </c>
      <c r="F829" s="223" t="s">
        <v>1615</v>
      </c>
      <c r="G829" s="223">
        <v>1150.5881729729001</v>
      </c>
    </row>
    <row r="830" spans="1:7">
      <c r="A830" s="223" t="s">
        <v>1593</v>
      </c>
      <c r="B830" s="223" t="s">
        <v>875</v>
      </c>
      <c r="C830" s="223" t="s">
        <v>1593</v>
      </c>
      <c r="D830" s="223" t="s">
        <v>1591</v>
      </c>
      <c r="E830" s="223" t="s">
        <v>1576</v>
      </c>
      <c r="F830" s="223" t="s">
        <v>1615</v>
      </c>
      <c r="G830" s="223">
        <v>188.458407642114</v>
      </c>
    </row>
    <row r="831" spans="1:7">
      <c r="A831" s="223" t="s">
        <v>1594</v>
      </c>
      <c r="B831" s="223" t="s">
        <v>875</v>
      </c>
      <c r="C831" s="223" t="s">
        <v>1594</v>
      </c>
      <c r="D831" s="223" t="s">
        <v>1591</v>
      </c>
      <c r="E831" s="223" t="s">
        <v>1576</v>
      </c>
      <c r="F831" s="223" t="s">
        <v>1615</v>
      </c>
      <c r="G831" s="223">
        <v>495.94317800556399</v>
      </c>
    </row>
    <row r="832" spans="1:7">
      <c r="A832" s="223" t="s">
        <v>1501</v>
      </c>
      <c r="B832" s="223" t="s">
        <v>917</v>
      </c>
      <c r="C832" s="223" t="s">
        <v>1501</v>
      </c>
      <c r="D832" s="223" t="s">
        <v>1502</v>
      </c>
      <c r="E832" s="223" t="s">
        <v>1464</v>
      </c>
      <c r="F832" s="223" t="s">
        <v>1611</v>
      </c>
      <c r="G832" s="223">
        <v>2497.6765655696599</v>
      </c>
    </row>
    <row r="833" spans="1:7">
      <c r="A833" s="223" t="s">
        <v>1501</v>
      </c>
      <c r="B833" s="223" t="s">
        <v>874</v>
      </c>
      <c r="C833" s="223" t="s">
        <v>1501</v>
      </c>
      <c r="D833" s="223" t="s">
        <v>1502</v>
      </c>
      <c r="E833" s="223" t="s">
        <v>1464</v>
      </c>
      <c r="F833" s="223" t="s">
        <v>1652</v>
      </c>
      <c r="G833" s="223">
        <v>1858.8260044705401</v>
      </c>
    </row>
    <row r="834" spans="1:7">
      <c r="A834" s="223" t="s">
        <v>1501</v>
      </c>
      <c r="B834" s="223" t="s">
        <v>874</v>
      </c>
      <c r="C834" s="223" t="s">
        <v>1501</v>
      </c>
      <c r="D834" s="223" t="s">
        <v>1502</v>
      </c>
      <c r="E834" s="223" t="s">
        <v>1464</v>
      </c>
      <c r="F834" s="223" t="s">
        <v>1678</v>
      </c>
      <c r="G834" s="223">
        <v>6312.2633068478899</v>
      </c>
    </row>
    <row r="835" spans="1:7">
      <c r="A835" s="223" t="s">
        <v>1501</v>
      </c>
      <c r="B835" s="223" t="s">
        <v>853</v>
      </c>
      <c r="C835" s="223" t="s">
        <v>1501</v>
      </c>
      <c r="D835" s="223" t="s">
        <v>1502</v>
      </c>
      <c r="E835" s="223" t="s">
        <v>1464</v>
      </c>
      <c r="F835" s="223" t="s">
        <v>1614</v>
      </c>
      <c r="G835" s="223">
        <v>180.68702654570501</v>
      </c>
    </row>
    <row r="836" spans="1:7">
      <c r="A836" s="223" t="s">
        <v>1501</v>
      </c>
      <c r="B836" s="223" t="s">
        <v>874</v>
      </c>
      <c r="C836" s="223" t="s">
        <v>1501</v>
      </c>
      <c r="D836" s="223" t="s">
        <v>1502</v>
      </c>
      <c r="E836" s="223" t="s">
        <v>1464</v>
      </c>
      <c r="F836" s="223" t="s">
        <v>1614</v>
      </c>
      <c r="G836" s="223">
        <v>275.91948503859601</v>
      </c>
    </row>
    <row r="837" spans="1:7">
      <c r="A837" s="223" t="s">
        <v>1501</v>
      </c>
      <c r="B837" s="223" t="s">
        <v>918</v>
      </c>
      <c r="C837" s="223" t="s">
        <v>1501</v>
      </c>
      <c r="D837" s="223" t="s">
        <v>1502</v>
      </c>
      <c r="E837" s="223" t="s">
        <v>1464</v>
      </c>
      <c r="F837" s="223" t="s">
        <v>1614</v>
      </c>
      <c r="G837" s="223">
        <v>232.89780606829899</v>
      </c>
    </row>
    <row r="838" spans="1:7">
      <c r="A838" s="223" t="s">
        <v>1501</v>
      </c>
      <c r="B838" s="223" t="s">
        <v>875</v>
      </c>
      <c r="C838" s="223" t="s">
        <v>1501</v>
      </c>
      <c r="D838" s="223" t="s">
        <v>1502</v>
      </c>
      <c r="E838" s="223" t="s">
        <v>1464</v>
      </c>
      <c r="F838" s="223" t="s">
        <v>1614</v>
      </c>
      <c r="G838" s="223">
        <v>148.782953401669</v>
      </c>
    </row>
    <row r="839" spans="1:7">
      <c r="A839" s="223" t="s">
        <v>1501</v>
      </c>
      <c r="B839" s="223" t="s">
        <v>853</v>
      </c>
      <c r="C839" s="223" t="s">
        <v>1501</v>
      </c>
      <c r="D839" s="223" t="s">
        <v>1502</v>
      </c>
      <c r="E839" s="223" t="s">
        <v>1464</v>
      </c>
      <c r="F839" s="223" t="s">
        <v>1615</v>
      </c>
      <c r="G839" s="223">
        <v>266.92401648797397</v>
      </c>
    </row>
    <row r="840" spans="1:7">
      <c r="A840" s="223" t="s">
        <v>1501</v>
      </c>
      <c r="B840" s="223" t="s">
        <v>875</v>
      </c>
      <c r="C840" s="223" t="s">
        <v>1501</v>
      </c>
      <c r="D840" s="223" t="s">
        <v>1502</v>
      </c>
      <c r="E840" s="223" t="s">
        <v>1464</v>
      </c>
      <c r="F840" s="223" t="s">
        <v>1615</v>
      </c>
      <c r="G840" s="223">
        <v>119.026362721335</v>
      </c>
    </row>
    <row r="841" spans="1:7">
      <c r="A841" s="223" t="s">
        <v>1501</v>
      </c>
      <c r="B841" s="223" t="s">
        <v>849</v>
      </c>
      <c r="C841" s="223" t="s">
        <v>1501</v>
      </c>
      <c r="D841" s="223" t="s">
        <v>1502</v>
      </c>
      <c r="E841" s="223" t="s">
        <v>1464</v>
      </c>
      <c r="F841" s="223" t="s">
        <v>1616</v>
      </c>
      <c r="G841" s="223">
        <v>777.589031592688</v>
      </c>
    </row>
    <row r="842" spans="1:7">
      <c r="A842" s="223" t="s">
        <v>1501</v>
      </c>
      <c r="B842" s="223" t="s">
        <v>851</v>
      </c>
      <c r="C842" s="223" t="s">
        <v>1501</v>
      </c>
      <c r="D842" s="223" t="s">
        <v>1502</v>
      </c>
      <c r="E842" s="223" t="s">
        <v>1464</v>
      </c>
      <c r="F842" s="223" t="s">
        <v>1616</v>
      </c>
      <c r="G842" s="223">
        <v>219.22367887778299</v>
      </c>
    </row>
    <row r="843" spans="1:7">
      <c r="A843" s="223" t="s">
        <v>1501</v>
      </c>
      <c r="B843" s="223" t="s">
        <v>854</v>
      </c>
      <c r="C843" s="223" t="s">
        <v>1501</v>
      </c>
      <c r="D843" s="223" t="s">
        <v>1502</v>
      </c>
      <c r="E843" s="223" t="s">
        <v>1464</v>
      </c>
      <c r="F843" s="223" t="s">
        <v>1616</v>
      </c>
      <c r="G843" s="223">
        <v>815.86072912694397</v>
      </c>
    </row>
    <row r="844" spans="1:7">
      <c r="A844" s="223" t="s">
        <v>1501</v>
      </c>
      <c r="B844" s="223" t="s">
        <v>856</v>
      </c>
      <c r="C844" s="223" t="s">
        <v>1501</v>
      </c>
      <c r="D844" s="223" t="s">
        <v>1502</v>
      </c>
      <c r="E844" s="223" t="s">
        <v>1464</v>
      </c>
      <c r="F844" s="223" t="s">
        <v>1616</v>
      </c>
      <c r="G844" s="223">
        <v>223.69223539973501</v>
      </c>
    </row>
    <row r="845" spans="1:7">
      <c r="A845" s="223" t="s">
        <v>1501</v>
      </c>
      <c r="B845" s="223" t="s">
        <v>859</v>
      </c>
      <c r="C845" s="223" t="s">
        <v>1501</v>
      </c>
      <c r="D845" s="223" t="s">
        <v>1502</v>
      </c>
      <c r="E845" s="223" t="s">
        <v>1464</v>
      </c>
      <c r="F845" s="223" t="s">
        <v>1616</v>
      </c>
      <c r="G845" s="223">
        <v>1847.6407112058901</v>
      </c>
    </row>
    <row r="846" spans="1:7">
      <c r="A846" s="223" t="s">
        <v>1501</v>
      </c>
      <c r="B846" s="223" t="s">
        <v>860</v>
      </c>
      <c r="C846" s="223" t="s">
        <v>1501</v>
      </c>
      <c r="D846" s="223" t="s">
        <v>1502</v>
      </c>
      <c r="E846" s="223" t="s">
        <v>1464</v>
      </c>
      <c r="F846" s="223" t="s">
        <v>1616</v>
      </c>
      <c r="G846" s="223">
        <v>2422.3452459728401</v>
      </c>
    </row>
    <row r="847" spans="1:7">
      <c r="A847" s="223" t="s">
        <v>1501</v>
      </c>
      <c r="B847" s="223" t="s">
        <v>861</v>
      </c>
      <c r="C847" s="223" t="s">
        <v>1501</v>
      </c>
      <c r="D847" s="223" t="s">
        <v>1502</v>
      </c>
      <c r="E847" s="223" t="s">
        <v>1464</v>
      </c>
      <c r="F847" s="223" t="s">
        <v>1616</v>
      </c>
      <c r="G847" s="223">
        <v>422.78829485802902</v>
      </c>
    </row>
    <row r="848" spans="1:7">
      <c r="A848" s="223" t="s">
        <v>1501</v>
      </c>
      <c r="B848" s="223" t="s">
        <v>862</v>
      </c>
      <c r="C848" s="223" t="s">
        <v>1501</v>
      </c>
      <c r="D848" s="223" t="s">
        <v>1502</v>
      </c>
      <c r="E848" s="223" t="s">
        <v>1464</v>
      </c>
      <c r="F848" s="223" t="s">
        <v>1616</v>
      </c>
      <c r="G848" s="223">
        <v>1311.9297450321999</v>
      </c>
    </row>
    <row r="849" spans="1:7">
      <c r="A849" s="223" t="s">
        <v>1501</v>
      </c>
      <c r="B849" s="223" t="s">
        <v>854</v>
      </c>
      <c r="C849" s="223" t="s">
        <v>1501</v>
      </c>
      <c r="D849" s="223" t="s">
        <v>1502</v>
      </c>
      <c r="E849" s="223" t="s">
        <v>1464</v>
      </c>
      <c r="F849" s="223" t="s">
        <v>1627</v>
      </c>
      <c r="G849" s="223">
        <v>202.43160948262499</v>
      </c>
    </row>
    <row r="850" spans="1:7">
      <c r="A850" s="223" t="s">
        <v>1501</v>
      </c>
      <c r="B850" s="223" t="s">
        <v>859</v>
      </c>
      <c r="C850" s="223" t="s">
        <v>1501</v>
      </c>
      <c r="D850" s="223" t="s">
        <v>1502</v>
      </c>
      <c r="E850" s="223" t="s">
        <v>1464</v>
      </c>
      <c r="F850" s="223" t="s">
        <v>1627</v>
      </c>
      <c r="G850" s="223">
        <v>113.70096684343901</v>
      </c>
    </row>
    <row r="851" spans="1:7">
      <c r="A851" s="223" t="s">
        <v>1501</v>
      </c>
      <c r="B851" s="223" t="s">
        <v>860</v>
      </c>
      <c r="C851" s="223" t="s">
        <v>1501</v>
      </c>
      <c r="D851" s="223" t="s">
        <v>1502</v>
      </c>
      <c r="E851" s="223" t="s">
        <v>1464</v>
      </c>
      <c r="F851" s="223" t="s">
        <v>1627</v>
      </c>
      <c r="G851" s="223">
        <v>111.800549814131</v>
      </c>
    </row>
    <row r="852" spans="1:7">
      <c r="A852" s="223" t="s">
        <v>1501</v>
      </c>
      <c r="B852" s="223" t="s">
        <v>862</v>
      </c>
      <c r="C852" s="223" t="s">
        <v>1501</v>
      </c>
      <c r="D852" s="223" t="s">
        <v>1502</v>
      </c>
      <c r="E852" s="223" t="s">
        <v>1464</v>
      </c>
      <c r="F852" s="223" t="s">
        <v>1627</v>
      </c>
      <c r="G852" s="223">
        <v>132.667052868425</v>
      </c>
    </row>
    <row r="853" spans="1:7">
      <c r="A853" s="223" t="s">
        <v>1501</v>
      </c>
      <c r="B853" s="223" t="s">
        <v>859</v>
      </c>
      <c r="C853" s="223" t="s">
        <v>1501</v>
      </c>
      <c r="D853" s="223" t="s">
        <v>1502</v>
      </c>
      <c r="E853" s="223" t="s">
        <v>1464</v>
      </c>
      <c r="F853" s="223" t="s">
        <v>1642</v>
      </c>
      <c r="G853" s="223">
        <v>483.22910908461802</v>
      </c>
    </row>
    <row r="854" spans="1:7">
      <c r="A854" s="223" t="s">
        <v>1501</v>
      </c>
      <c r="B854" s="223" t="s">
        <v>839</v>
      </c>
      <c r="C854" s="223" t="s">
        <v>1501</v>
      </c>
      <c r="D854" s="223" t="s">
        <v>1502</v>
      </c>
      <c r="E854" s="223" t="s">
        <v>1464</v>
      </c>
      <c r="F854" s="223" t="s">
        <v>1617</v>
      </c>
      <c r="G854" s="223">
        <v>1999.8907521713099</v>
      </c>
    </row>
    <row r="855" spans="1:7">
      <c r="A855" s="223" t="s">
        <v>1501</v>
      </c>
      <c r="B855" s="223" t="s">
        <v>860</v>
      </c>
      <c r="C855" s="223" t="s">
        <v>1501</v>
      </c>
      <c r="D855" s="223" t="s">
        <v>1502</v>
      </c>
      <c r="E855" s="223" t="s">
        <v>1464</v>
      </c>
      <c r="F855" s="223" t="s">
        <v>1617</v>
      </c>
      <c r="G855" s="223">
        <v>1062.1052232342399</v>
      </c>
    </row>
    <row r="856" spans="1:7">
      <c r="A856" s="223" t="s">
        <v>1501</v>
      </c>
      <c r="B856" s="223" t="s">
        <v>861</v>
      </c>
      <c r="C856" s="223" t="s">
        <v>1501</v>
      </c>
      <c r="D856" s="223" t="s">
        <v>1502</v>
      </c>
      <c r="E856" s="223" t="s">
        <v>1464</v>
      </c>
      <c r="F856" s="223" t="s">
        <v>1617</v>
      </c>
      <c r="G856" s="223">
        <v>1083.39500557369</v>
      </c>
    </row>
    <row r="857" spans="1:7">
      <c r="A857" s="223" t="s">
        <v>1501</v>
      </c>
      <c r="B857" s="223" t="s">
        <v>862</v>
      </c>
      <c r="C857" s="223" t="s">
        <v>1501</v>
      </c>
      <c r="D857" s="223" t="s">
        <v>1502</v>
      </c>
      <c r="E857" s="223" t="s">
        <v>1464</v>
      </c>
      <c r="F857" s="223" t="s">
        <v>1617</v>
      </c>
      <c r="G857" s="223">
        <v>181.80299837524899</v>
      </c>
    </row>
    <row r="858" spans="1:7">
      <c r="A858" s="223" t="s">
        <v>1501</v>
      </c>
      <c r="B858" s="223" t="s">
        <v>849</v>
      </c>
      <c r="C858" s="223" t="s">
        <v>1501</v>
      </c>
      <c r="D858" s="223" t="s">
        <v>1502</v>
      </c>
      <c r="E858" s="223" t="s">
        <v>1464</v>
      </c>
      <c r="F858" s="223" t="s">
        <v>1619</v>
      </c>
      <c r="G858" s="223">
        <v>235.32299640305001</v>
      </c>
    </row>
    <row r="859" spans="1:7">
      <c r="A859" s="223" t="s">
        <v>1501</v>
      </c>
      <c r="B859" s="223" t="s">
        <v>852</v>
      </c>
      <c r="C859" s="223" t="s">
        <v>1501</v>
      </c>
      <c r="D859" s="223" t="s">
        <v>1502</v>
      </c>
      <c r="E859" s="223" t="s">
        <v>1464</v>
      </c>
      <c r="F859" s="223" t="s">
        <v>1619</v>
      </c>
      <c r="G859" s="223">
        <v>205.72575411314699</v>
      </c>
    </row>
    <row r="860" spans="1:7">
      <c r="A860" s="223" t="s">
        <v>1501</v>
      </c>
      <c r="B860" s="223" t="s">
        <v>854</v>
      </c>
      <c r="C860" s="223" t="s">
        <v>1501</v>
      </c>
      <c r="D860" s="223" t="s">
        <v>1502</v>
      </c>
      <c r="E860" s="223" t="s">
        <v>1464</v>
      </c>
      <c r="F860" s="223" t="s">
        <v>1619</v>
      </c>
      <c r="G860" s="223">
        <v>177.89444469685199</v>
      </c>
    </row>
    <row r="861" spans="1:7">
      <c r="A861" s="223" t="s">
        <v>1501</v>
      </c>
      <c r="B861" s="223" t="s">
        <v>855</v>
      </c>
      <c r="C861" s="223" t="s">
        <v>1501</v>
      </c>
      <c r="D861" s="223" t="s">
        <v>1502</v>
      </c>
      <c r="E861" s="223" t="s">
        <v>1464</v>
      </c>
      <c r="F861" s="223" t="s">
        <v>1619</v>
      </c>
      <c r="G861" s="223">
        <v>757.75238619944605</v>
      </c>
    </row>
    <row r="862" spans="1:7">
      <c r="A862" s="223" t="s">
        <v>1501</v>
      </c>
      <c r="B862" s="223" t="s">
        <v>857</v>
      </c>
      <c r="C862" s="223" t="s">
        <v>1501</v>
      </c>
      <c r="D862" s="223" t="s">
        <v>1502</v>
      </c>
      <c r="E862" s="223" t="s">
        <v>1464</v>
      </c>
      <c r="F862" s="223" t="s">
        <v>1619</v>
      </c>
      <c r="G862" s="223">
        <v>209.636277159515</v>
      </c>
    </row>
    <row r="863" spans="1:7">
      <c r="A863" s="223" t="s">
        <v>1501</v>
      </c>
      <c r="B863" s="223" t="s">
        <v>858</v>
      </c>
      <c r="C863" s="223" t="s">
        <v>1501</v>
      </c>
      <c r="D863" s="223" t="s">
        <v>1502</v>
      </c>
      <c r="E863" s="223" t="s">
        <v>1464</v>
      </c>
      <c r="F863" s="223" t="s">
        <v>1619</v>
      </c>
      <c r="G863" s="223">
        <v>426.20776300650198</v>
      </c>
    </row>
    <row r="864" spans="1:7">
      <c r="A864" s="223" t="s">
        <v>1501</v>
      </c>
      <c r="B864" s="223" t="s">
        <v>859</v>
      </c>
      <c r="C864" s="223" t="s">
        <v>1501</v>
      </c>
      <c r="D864" s="223" t="s">
        <v>1502</v>
      </c>
      <c r="E864" s="223" t="s">
        <v>1464</v>
      </c>
      <c r="F864" s="223" t="s">
        <v>1619</v>
      </c>
      <c r="G864" s="223">
        <v>511.654350795477</v>
      </c>
    </row>
    <row r="865" spans="1:7">
      <c r="A865" s="223" t="s">
        <v>1501</v>
      </c>
      <c r="B865" s="223" t="s">
        <v>862</v>
      </c>
      <c r="C865" s="223" t="s">
        <v>1501</v>
      </c>
      <c r="D865" s="223" t="s">
        <v>1502</v>
      </c>
      <c r="E865" s="223" t="s">
        <v>1464</v>
      </c>
      <c r="F865" s="223" t="s">
        <v>1619</v>
      </c>
      <c r="G865" s="223">
        <v>122.83986376706</v>
      </c>
    </row>
    <row r="866" spans="1:7">
      <c r="A866" s="223" t="s">
        <v>1501</v>
      </c>
      <c r="B866" s="223" t="s">
        <v>860</v>
      </c>
      <c r="C866" s="223" t="s">
        <v>1501</v>
      </c>
      <c r="D866" s="223" t="s">
        <v>1502</v>
      </c>
      <c r="E866" s="223" t="s">
        <v>1464</v>
      </c>
      <c r="F866" s="223" t="s">
        <v>1673</v>
      </c>
      <c r="G866" s="223">
        <v>149.067399752174</v>
      </c>
    </row>
    <row r="867" spans="1:7">
      <c r="A867" s="223" t="s">
        <v>1501</v>
      </c>
      <c r="B867" s="223" t="s">
        <v>860</v>
      </c>
      <c r="C867" s="223" t="s">
        <v>1501</v>
      </c>
      <c r="D867" s="223" t="s">
        <v>1502</v>
      </c>
      <c r="E867" s="223" t="s">
        <v>1464</v>
      </c>
      <c r="F867" s="223" t="s">
        <v>1679</v>
      </c>
      <c r="G867" s="223">
        <v>149.067399752174</v>
      </c>
    </row>
    <row r="868" spans="1:7">
      <c r="A868" s="223" t="s">
        <v>1501</v>
      </c>
      <c r="B868" s="223" t="s">
        <v>860</v>
      </c>
      <c r="C868" s="223" t="s">
        <v>1501</v>
      </c>
      <c r="D868" s="223" t="s">
        <v>1502</v>
      </c>
      <c r="E868" s="223" t="s">
        <v>1464</v>
      </c>
      <c r="F868" s="223" t="s">
        <v>1680</v>
      </c>
      <c r="G868" s="223">
        <v>149.067399752174</v>
      </c>
    </row>
    <row r="869" spans="1:7">
      <c r="A869" s="223" t="s">
        <v>1497</v>
      </c>
      <c r="B869" s="223" t="s">
        <v>917</v>
      </c>
      <c r="C869" s="223" t="s">
        <v>1497</v>
      </c>
      <c r="D869" s="223" t="s">
        <v>1498</v>
      </c>
      <c r="E869" s="223" t="s">
        <v>1464</v>
      </c>
      <c r="F869" s="223" t="s">
        <v>1624</v>
      </c>
      <c r="G869" s="223">
        <v>2032.99081080561</v>
      </c>
    </row>
    <row r="870" spans="1:7">
      <c r="A870" s="223" t="s">
        <v>1499</v>
      </c>
      <c r="B870" s="223" t="s">
        <v>917</v>
      </c>
      <c r="C870" s="223" t="s">
        <v>1499</v>
      </c>
      <c r="D870" s="223" t="s">
        <v>1498</v>
      </c>
      <c r="E870" s="223" t="s">
        <v>1464</v>
      </c>
      <c r="F870" s="223" t="s">
        <v>1624</v>
      </c>
      <c r="G870" s="223">
        <v>2149.1635564204098</v>
      </c>
    </row>
    <row r="871" spans="1:7">
      <c r="A871" s="223" t="s">
        <v>1497</v>
      </c>
      <c r="B871" s="223" t="s">
        <v>861</v>
      </c>
      <c r="C871" s="223" t="s">
        <v>1497</v>
      </c>
      <c r="D871" s="223" t="s">
        <v>1498</v>
      </c>
      <c r="E871" s="223" t="s">
        <v>1464</v>
      </c>
      <c r="F871" s="223" t="s">
        <v>1624</v>
      </c>
      <c r="G871" s="223">
        <v>132.121342143134</v>
      </c>
    </row>
    <row r="872" spans="1:7">
      <c r="A872" s="223" t="s">
        <v>1503</v>
      </c>
      <c r="B872" s="223" t="s">
        <v>861</v>
      </c>
      <c r="C872" s="223" t="s">
        <v>1503</v>
      </c>
      <c r="D872" s="223" t="s">
        <v>1504</v>
      </c>
      <c r="E872" s="223" t="s">
        <v>1464</v>
      </c>
      <c r="F872" s="223" t="s">
        <v>1616</v>
      </c>
      <c r="G872" s="223">
        <v>1955.39586371838</v>
      </c>
    </row>
    <row r="873" spans="1:7">
      <c r="A873" s="223" t="s">
        <v>1505</v>
      </c>
      <c r="B873" s="223" t="s">
        <v>861</v>
      </c>
      <c r="C873" s="223" t="s">
        <v>1505</v>
      </c>
      <c r="D873" s="223" t="s">
        <v>1504</v>
      </c>
      <c r="E873" s="223" t="s">
        <v>1464</v>
      </c>
      <c r="F873" s="223" t="s">
        <v>1616</v>
      </c>
      <c r="G873" s="223">
        <v>5601.94490686888</v>
      </c>
    </row>
    <row r="874" spans="1:7">
      <c r="A874" s="223" t="s">
        <v>1509</v>
      </c>
      <c r="B874" s="223" t="s">
        <v>861</v>
      </c>
      <c r="C874" s="223" t="s">
        <v>1509</v>
      </c>
      <c r="D874" s="223" t="s">
        <v>1504</v>
      </c>
      <c r="E874" s="223" t="s">
        <v>1464</v>
      </c>
      <c r="F874" s="223" t="s">
        <v>1616</v>
      </c>
      <c r="G874" s="223">
        <v>158.54561057175999</v>
      </c>
    </row>
    <row r="875" spans="1:7">
      <c r="A875" s="223" t="s">
        <v>1506</v>
      </c>
      <c r="B875" s="223" t="s">
        <v>861</v>
      </c>
      <c r="C875" s="223" t="s">
        <v>1506</v>
      </c>
      <c r="D875" s="223" t="s">
        <v>1504</v>
      </c>
      <c r="E875" s="223" t="s">
        <v>1464</v>
      </c>
      <c r="F875" s="223" t="s">
        <v>1627</v>
      </c>
      <c r="G875" s="223">
        <v>528.485368572536</v>
      </c>
    </row>
    <row r="876" spans="1:7">
      <c r="A876" s="223" t="s">
        <v>1503</v>
      </c>
      <c r="B876" s="223" t="s">
        <v>861</v>
      </c>
      <c r="C876" s="223" t="s">
        <v>1503</v>
      </c>
      <c r="D876" s="223" t="s">
        <v>1504</v>
      </c>
      <c r="E876" s="223" t="s">
        <v>1464</v>
      </c>
      <c r="F876" s="223" t="s">
        <v>1617</v>
      </c>
      <c r="G876" s="223">
        <v>1109.8192740023201</v>
      </c>
    </row>
    <row r="877" spans="1:7">
      <c r="A877" s="223" t="s">
        <v>1506</v>
      </c>
      <c r="B877" s="223" t="s">
        <v>861</v>
      </c>
      <c r="C877" s="223" t="s">
        <v>1506</v>
      </c>
      <c r="D877" s="223" t="s">
        <v>1504</v>
      </c>
      <c r="E877" s="223" t="s">
        <v>1464</v>
      </c>
      <c r="F877" s="223" t="s">
        <v>1617</v>
      </c>
      <c r="G877" s="223">
        <v>237.81841585764101</v>
      </c>
    </row>
    <row r="878" spans="1:7">
      <c r="A878" s="223" t="s">
        <v>1559</v>
      </c>
      <c r="B878" s="223" t="s">
        <v>875</v>
      </c>
      <c r="C878" s="223" t="s">
        <v>1559</v>
      </c>
      <c r="D878" s="223" t="s">
        <v>1560</v>
      </c>
      <c r="E878" s="223" t="s">
        <v>1543</v>
      </c>
      <c r="F878" s="223" t="s">
        <v>1621</v>
      </c>
      <c r="G878" s="223">
        <v>208.29613476233601</v>
      </c>
    </row>
    <row r="879" spans="1:7">
      <c r="A879" s="223" t="s">
        <v>1562</v>
      </c>
      <c r="B879" s="223" t="s">
        <v>875</v>
      </c>
      <c r="C879" s="223" t="s">
        <v>1562</v>
      </c>
      <c r="D879" s="223" t="s">
        <v>1560</v>
      </c>
      <c r="E879" s="223" t="s">
        <v>1543</v>
      </c>
      <c r="F879" s="223" t="s">
        <v>1621</v>
      </c>
      <c r="G879" s="223">
        <v>168.62068052189099</v>
      </c>
    </row>
    <row r="880" spans="1:7">
      <c r="A880" s="223" t="s">
        <v>1564</v>
      </c>
      <c r="B880" s="223" t="s">
        <v>908</v>
      </c>
      <c r="C880" s="223" t="s">
        <v>1564</v>
      </c>
      <c r="D880" s="223" t="s">
        <v>1560</v>
      </c>
      <c r="E880" s="223" t="s">
        <v>1543</v>
      </c>
      <c r="F880" s="223" t="s">
        <v>1621</v>
      </c>
      <c r="G880" s="223">
        <v>1532.2469156505599</v>
      </c>
    </row>
    <row r="881" spans="1:7">
      <c r="A881" s="223" t="s">
        <v>1559</v>
      </c>
      <c r="B881" s="223" t="s">
        <v>875</v>
      </c>
      <c r="C881" s="223" t="s">
        <v>1559</v>
      </c>
      <c r="D881" s="223" t="s">
        <v>1560</v>
      </c>
      <c r="E881" s="223" t="s">
        <v>1543</v>
      </c>
      <c r="F881" s="223" t="s">
        <v>1622</v>
      </c>
      <c r="G881" s="223">
        <v>238.05272544267001</v>
      </c>
    </row>
    <row r="882" spans="1:7">
      <c r="A882" s="223" t="s">
        <v>1564</v>
      </c>
      <c r="B882" s="223" t="s">
        <v>875</v>
      </c>
      <c r="C882" s="223" t="s">
        <v>1564</v>
      </c>
      <c r="D882" s="223" t="s">
        <v>1560</v>
      </c>
      <c r="E882" s="223" t="s">
        <v>1543</v>
      </c>
      <c r="F882" s="223" t="s">
        <v>1622</v>
      </c>
      <c r="G882" s="223">
        <v>138.86408984155699</v>
      </c>
    </row>
    <row r="883" spans="1:7">
      <c r="A883" s="223" t="s">
        <v>1562</v>
      </c>
      <c r="B883" s="223" t="s">
        <v>849</v>
      </c>
      <c r="C883" s="223" t="s">
        <v>1562</v>
      </c>
      <c r="D883" s="223" t="s">
        <v>1560</v>
      </c>
      <c r="E883" s="223" t="s">
        <v>1543</v>
      </c>
      <c r="F883" s="223" t="s">
        <v>1629</v>
      </c>
      <c r="G883" s="223">
        <v>665.04325070427205</v>
      </c>
    </row>
    <row r="884" spans="1:7">
      <c r="A884" s="223" t="s">
        <v>1562</v>
      </c>
      <c r="B884" s="223" t="s">
        <v>852</v>
      </c>
      <c r="C884" s="223" t="s">
        <v>1562</v>
      </c>
      <c r="D884" s="223" t="s">
        <v>1560</v>
      </c>
      <c r="E884" s="223" t="s">
        <v>1543</v>
      </c>
      <c r="F884" s="223" t="s">
        <v>1629</v>
      </c>
      <c r="G884" s="223">
        <v>1053.31586105931</v>
      </c>
    </row>
    <row r="885" spans="1:7">
      <c r="A885" s="223" t="s">
        <v>1559</v>
      </c>
      <c r="B885" s="223" t="s">
        <v>849</v>
      </c>
      <c r="C885" s="223" t="s">
        <v>1559</v>
      </c>
      <c r="D885" s="223" t="s">
        <v>1560</v>
      </c>
      <c r="E885" s="223" t="s">
        <v>1543</v>
      </c>
      <c r="F885" s="223" t="s">
        <v>1623</v>
      </c>
      <c r="G885" s="223">
        <v>2240.6841831420802</v>
      </c>
    </row>
    <row r="886" spans="1:7">
      <c r="A886" s="223" t="s">
        <v>1561</v>
      </c>
      <c r="B886" s="223" t="s">
        <v>849</v>
      </c>
      <c r="C886" s="223" t="s">
        <v>1561</v>
      </c>
      <c r="D886" s="223" t="s">
        <v>1560</v>
      </c>
      <c r="E886" s="223" t="s">
        <v>1543</v>
      </c>
      <c r="F886" s="223" t="s">
        <v>1623</v>
      </c>
      <c r="G886" s="223">
        <v>399.02595042256303</v>
      </c>
    </row>
    <row r="887" spans="1:7">
      <c r="A887" s="223" t="s">
        <v>1563</v>
      </c>
      <c r="B887" s="223" t="s">
        <v>849</v>
      </c>
      <c r="C887" s="223" t="s">
        <v>1563</v>
      </c>
      <c r="D887" s="223" t="s">
        <v>1560</v>
      </c>
      <c r="E887" s="223" t="s">
        <v>1543</v>
      </c>
      <c r="F887" s="223" t="s">
        <v>1623</v>
      </c>
      <c r="G887" s="223">
        <v>1023.14346262195</v>
      </c>
    </row>
    <row r="888" spans="1:7">
      <c r="A888" s="223" t="s">
        <v>1564</v>
      </c>
      <c r="B888" s="223" t="s">
        <v>849</v>
      </c>
      <c r="C888" s="223" t="s">
        <v>1564</v>
      </c>
      <c r="D888" s="223" t="s">
        <v>1560</v>
      </c>
      <c r="E888" s="223" t="s">
        <v>1543</v>
      </c>
      <c r="F888" s="223" t="s">
        <v>1623</v>
      </c>
      <c r="G888" s="223">
        <v>1299.3921975298799</v>
      </c>
    </row>
    <row r="889" spans="1:7">
      <c r="A889" s="223" t="s">
        <v>1566</v>
      </c>
      <c r="B889" s="223" t="s">
        <v>849</v>
      </c>
      <c r="C889" s="223" t="s">
        <v>1566</v>
      </c>
      <c r="D889" s="223" t="s">
        <v>1560</v>
      </c>
      <c r="E889" s="223" t="s">
        <v>1543</v>
      </c>
      <c r="F889" s="223" t="s">
        <v>1623</v>
      </c>
      <c r="G889" s="223">
        <v>194.397257898172</v>
      </c>
    </row>
    <row r="890" spans="1:7">
      <c r="A890" s="223" t="s">
        <v>1567</v>
      </c>
      <c r="B890" s="223" t="s">
        <v>849</v>
      </c>
      <c r="C890" s="223" t="s">
        <v>1567</v>
      </c>
      <c r="D890" s="223" t="s">
        <v>1560</v>
      </c>
      <c r="E890" s="223" t="s">
        <v>1543</v>
      </c>
      <c r="F890" s="223" t="s">
        <v>1623</v>
      </c>
      <c r="G890" s="223">
        <v>1585.87236706403</v>
      </c>
    </row>
    <row r="891" spans="1:7">
      <c r="A891" s="223" t="s">
        <v>1559</v>
      </c>
      <c r="B891" s="223" t="s">
        <v>852</v>
      </c>
      <c r="C891" s="223" t="s">
        <v>1559</v>
      </c>
      <c r="D891" s="223" t="s">
        <v>1560</v>
      </c>
      <c r="E891" s="223" t="s">
        <v>1543</v>
      </c>
      <c r="F891" s="223" t="s">
        <v>1623</v>
      </c>
      <c r="G891" s="223">
        <v>2312.3574762317699</v>
      </c>
    </row>
    <row r="892" spans="1:7">
      <c r="A892" s="223" t="s">
        <v>1561</v>
      </c>
      <c r="B892" s="223" t="s">
        <v>852</v>
      </c>
      <c r="C892" s="223" t="s">
        <v>1561</v>
      </c>
      <c r="D892" s="223" t="s">
        <v>1560</v>
      </c>
      <c r="E892" s="223" t="s">
        <v>1543</v>
      </c>
      <c r="F892" s="223" t="s">
        <v>1623</v>
      </c>
      <c r="G892" s="223">
        <v>576.03211151681205</v>
      </c>
    </row>
    <row r="893" spans="1:7">
      <c r="A893" s="223" t="s">
        <v>1563</v>
      </c>
      <c r="B893" s="223" t="s">
        <v>852</v>
      </c>
      <c r="C893" s="223" t="s">
        <v>1563</v>
      </c>
      <c r="D893" s="223" t="s">
        <v>1560</v>
      </c>
      <c r="E893" s="223" t="s">
        <v>1543</v>
      </c>
      <c r="F893" s="223" t="s">
        <v>1623</v>
      </c>
      <c r="G893" s="223">
        <v>576.03211151681205</v>
      </c>
    </row>
    <row r="894" spans="1:7">
      <c r="A894" s="223" t="s">
        <v>1564</v>
      </c>
      <c r="B894" s="223" t="s">
        <v>852</v>
      </c>
      <c r="C894" s="223" t="s">
        <v>1564</v>
      </c>
      <c r="D894" s="223" t="s">
        <v>1560</v>
      </c>
      <c r="E894" s="223" t="s">
        <v>1543</v>
      </c>
      <c r="F894" s="223" t="s">
        <v>1623</v>
      </c>
      <c r="G894" s="223">
        <v>1316.64482632414</v>
      </c>
    </row>
    <row r="895" spans="1:7">
      <c r="A895" s="223" t="s">
        <v>1566</v>
      </c>
      <c r="B895" s="223" t="s">
        <v>852</v>
      </c>
      <c r="C895" s="223" t="s">
        <v>1566</v>
      </c>
      <c r="D895" s="223" t="s">
        <v>1560</v>
      </c>
      <c r="E895" s="223" t="s">
        <v>1543</v>
      </c>
      <c r="F895" s="223" t="s">
        <v>1623</v>
      </c>
      <c r="G895" s="223">
        <v>172.80963345504301</v>
      </c>
    </row>
    <row r="896" spans="1:7">
      <c r="A896" s="223" t="s">
        <v>1567</v>
      </c>
      <c r="B896" s="223" t="s">
        <v>852</v>
      </c>
      <c r="C896" s="223" t="s">
        <v>1567</v>
      </c>
      <c r="D896" s="223" t="s">
        <v>1560</v>
      </c>
      <c r="E896" s="223" t="s">
        <v>1543</v>
      </c>
      <c r="F896" s="223" t="s">
        <v>1623</v>
      </c>
      <c r="G896" s="223">
        <v>2147.7768729412501</v>
      </c>
    </row>
  </sheetData>
  <mergeCells count="1">
    <mergeCell ref="A1: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FEAE-D404-4DC7-B167-8B3C011710FF}">
  <dimension ref="A1:I13"/>
  <sheetViews>
    <sheetView workbookViewId="0">
      <selection sqref="A1:I2"/>
    </sheetView>
  </sheetViews>
  <sheetFormatPr defaultColWidth="8.875" defaultRowHeight="15"/>
  <cols>
    <col min="1" max="2" width="14.625" style="112" customWidth="1"/>
    <col min="3" max="3" width="20.375" style="112" customWidth="1"/>
    <col min="4" max="9" width="14.625" style="112" customWidth="1"/>
    <col min="10" max="16384" width="8.875" style="112"/>
  </cols>
  <sheetData>
    <row r="1" spans="1:9">
      <c r="A1" s="278" t="s">
        <v>1681</v>
      </c>
      <c r="B1" s="279"/>
      <c r="C1" s="279"/>
      <c r="D1" s="279"/>
      <c r="E1" s="279"/>
      <c r="F1" s="279"/>
      <c r="G1" s="279"/>
      <c r="H1" s="279"/>
      <c r="I1" s="280"/>
    </row>
    <row r="2" spans="1:9" ht="21" customHeight="1">
      <c r="A2" s="284"/>
      <c r="B2" s="285"/>
      <c r="C2" s="285"/>
      <c r="D2" s="285"/>
      <c r="E2" s="285"/>
      <c r="F2" s="285"/>
      <c r="G2" s="285"/>
      <c r="H2" s="285"/>
      <c r="I2" s="286"/>
    </row>
    <row r="4" spans="1:9">
      <c r="A4" s="296" t="s">
        <v>1682</v>
      </c>
      <c r="B4" s="297"/>
      <c r="C4" s="298"/>
      <c r="D4" s="299" t="s">
        <v>1683</v>
      </c>
      <c r="E4" s="297"/>
      <c r="F4" s="298"/>
      <c r="G4" s="299" t="s">
        <v>1684</v>
      </c>
      <c r="H4" s="297"/>
      <c r="I4" s="300"/>
    </row>
    <row r="5" spans="1:9" ht="23.25">
      <c r="A5" s="224" t="s">
        <v>838</v>
      </c>
      <c r="B5" s="224" t="s">
        <v>1685</v>
      </c>
      <c r="C5" s="225">
        <v>122</v>
      </c>
      <c r="D5" s="226" t="s">
        <v>1685</v>
      </c>
      <c r="E5" s="224" t="s">
        <v>838</v>
      </c>
      <c r="F5" s="225">
        <v>126</v>
      </c>
      <c r="G5" s="226" t="s">
        <v>838</v>
      </c>
      <c r="H5" s="227"/>
      <c r="I5" s="227"/>
    </row>
    <row r="6" spans="1:9" ht="23.25">
      <c r="A6" s="227"/>
      <c r="B6" s="224" t="s">
        <v>1686</v>
      </c>
      <c r="C6" s="225">
        <v>71</v>
      </c>
      <c r="D6" s="228"/>
      <c r="E6" s="224" t="s">
        <v>181</v>
      </c>
      <c r="F6" s="225">
        <v>149</v>
      </c>
      <c r="G6" s="228"/>
      <c r="H6" s="224">
        <v>2013</v>
      </c>
      <c r="I6" s="224">
        <v>84</v>
      </c>
    </row>
    <row r="7" spans="1:9" ht="23.25">
      <c r="A7" s="227"/>
      <c r="B7" s="224" t="s">
        <v>1687</v>
      </c>
      <c r="C7" s="225">
        <v>99</v>
      </c>
      <c r="D7" s="228"/>
      <c r="E7" s="224" t="s">
        <v>850</v>
      </c>
      <c r="F7" s="225">
        <v>50</v>
      </c>
      <c r="G7" s="228"/>
      <c r="H7" s="224">
        <v>2014</v>
      </c>
      <c r="I7" s="224">
        <v>1</v>
      </c>
    </row>
    <row r="8" spans="1:9" ht="23.25">
      <c r="A8" s="224" t="s">
        <v>181</v>
      </c>
      <c r="B8" s="224" t="s">
        <v>1685</v>
      </c>
      <c r="C8" s="225">
        <v>58</v>
      </c>
      <c r="D8" s="226" t="s">
        <v>1686</v>
      </c>
      <c r="E8" s="224" t="s">
        <v>838</v>
      </c>
      <c r="F8" s="225">
        <v>1</v>
      </c>
      <c r="G8" s="226" t="s">
        <v>181</v>
      </c>
      <c r="H8" s="227"/>
      <c r="I8" s="227"/>
    </row>
    <row r="9" spans="1:9" ht="23.25">
      <c r="A9" s="227"/>
      <c r="B9" s="224" t="s">
        <v>1686</v>
      </c>
      <c r="C9" s="225">
        <v>58</v>
      </c>
      <c r="D9" s="228"/>
      <c r="E9" s="224" t="s">
        <v>181</v>
      </c>
      <c r="F9" s="225">
        <v>0</v>
      </c>
      <c r="G9" s="228"/>
      <c r="H9" s="224">
        <v>2013</v>
      </c>
      <c r="I9" s="224">
        <v>1</v>
      </c>
    </row>
    <row r="10" spans="1:9" ht="23.25">
      <c r="A10" s="227"/>
      <c r="B10" s="224" t="s">
        <v>1687</v>
      </c>
      <c r="C10" s="225">
        <v>156</v>
      </c>
      <c r="D10" s="228"/>
      <c r="E10" s="224" t="s">
        <v>850</v>
      </c>
      <c r="F10" s="225">
        <v>0</v>
      </c>
      <c r="G10" s="228"/>
      <c r="H10" s="224">
        <v>2014</v>
      </c>
      <c r="I10" s="224">
        <v>12</v>
      </c>
    </row>
    <row r="11" spans="1:9" ht="23.25">
      <c r="A11" s="224" t="s">
        <v>850</v>
      </c>
      <c r="B11" s="224" t="s">
        <v>1685</v>
      </c>
      <c r="C11" s="225">
        <v>129</v>
      </c>
      <c r="D11" s="226" t="s">
        <v>1687</v>
      </c>
      <c r="E11" s="224" t="s">
        <v>838</v>
      </c>
      <c r="F11" s="225">
        <v>2</v>
      </c>
      <c r="G11" s="226" t="s">
        <v>850</v>
      </c>
      <c r="H11" s="227"/>
      <c r="I11" s="227"/>
    </row>
    <row r="12" spans="1:9" ht="23.25">
      <c r="A12" s="227"/>
      <c r="B12" s="224" t="s">
        <v>1686</v>
      </c>
      <c r="C12" s="225">
        <v>60</v>
      </c>
      <c r="D12" s="228"/>
      <c r="E12" s="224" t="s">
        <v>181</v>
      </c>
      <c r="F12" s="225">
        <v>0</v>
      </c>
      <c r="G12" s="228"/>
      <c r="H12" s="224">
        <v>2013</v>
      </c>
      <c r="I12" s="224">
        <v>51</v>
      </c>
    </row>
    <row r="13" spans="1:9" ht="23.25">
      <c r="A13" s="227"/>
      <c r="B13" s="224" t="s">
        <v>1687</v>
      </c>
      <c r="C13" s="225">
        <v>277</v>
      </c>
      <c r="D13" s="228"/>
      <c r="E13" s="224" t="s">
        <v>850</v>
      </c>
      <c r="F13" s="225">
        <v>1</v>
      </c>
      <c r="G13" s="228"/>
      <c r="H13" s="224">
        <v>2014</v>
      </c>
      <c r="I13" s="224">
        <v>12</v>
      </c>
    </row>
  </sheetData>
  <mergeCells count="4">
    <mergeCell ref="A4:C4"/>
    <mergeCell ref="D4:F4"/>
    <mergeCell ref="G4:I4"/>
    <mergeCell ref="A1: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A0E0-1BAF-4E98-B63B-983E896609A6}">
  <dimension ref="A1:R1035"/>
  <sheetViews>
    <sheetView workbookViewId="0">
      <selection sqref="A1:K3"/>
    </sheetView>
  </sheetViews>
  <sheetFormatPr defaultColWidth="10.875" defaultRowHeight="15"/>
  <cols>
    <col min="1" max="2" width="10.875" style="112"/>
    <col min="3" max="3" width="15.125" style="112" customWidth="1"/>
    <col min="4" max="4" width="12" style="112" customWidth="1"/>
    <col min="5" max="5" width="8.625" style="112" customWidth="1"/>
    <col min="6" max="6" width="9" style="112"/>
    <col min="7" max="8" width="9.125" style="112" bestFit="1" customWidth="1"/>
    <col min="9" max="11" width="9" style="112"/>
    <col min="12" max="13" width="9.375" style="112" bestFit="1" customWidth="1"/>
    <col min="14" max="16" width="9" style="112"/>
    <col min="17" max="17" width="57.875" style="112" customWidth="1"/>
    <col min="18" max="16384" width="10.875" style="112"/>
  </cols>
  <sheetData>
    <row r="1" spans="1:18">
      <c r="A1" s="278" t="s">
        <v>1688</v>
      </c>
      <c r="B1" s="279"/>
      <c r="C1" s="279"/>
      <c r="D1" s="279"/>
      <c r="E1" s="279"/>
      <c r="F1" s="279"/>
      <c r="G1" s="279"/>
      <c r="H1" s="279"/>
      <c r="I1" s="279"/>
      <c r="J1" s="279"/>
      <c r="K1" s="280"/>
    </row>
    <row r="2" spans="1:18">
      <c r="A2" s="281"/>
      <c r="B2" s="282"/>
      <c r="C2" s="282"/>
      <c r="D2" s="282"/>
      <c r="E2" s="282"/>
      <c r="F2" s="282"/>
      <c r="G2" s="282"/>
      <c r="H2" s="282"/>
      <c r="I2" s="282"/>
      <c r="J2" s="282"/>
      <c r="K2" s="283"/>
    </row>
    <row r="3" spans="1:18" ht="21" customHeight="1">
      <c r="A3" s="284"/>
      <c r="B3" s="285"/>
      <c r="C3" s="285"/>
      <c r="D3" s="285"/>
      <c r="E3" s="285"/>
      <c r="F3" s="285"/>
      <c r="G3" s="285"/>
      <c r="H3" s="285"/>
      <c r="I3" s="285"/>
      <c r="J3" s="285"/>
      <c r="K3" s="286"/>
    </row>
    <row r="5" spans="1:18">
      <c r="A5" s="112" t="s">
        <v>1453</v>
      </c>
      <c r="B5" s="112" t="s">
        <v>1689</v>
      </c>
      <c r="C5" s="112" t="s">
        <v>1690</v>
      </c>
      <c r="D5" s="112" t="s">
        <v>1691</v>
      </c>
      <c r="E5" s="112" t="s">
        <v>1692</v>
      </c>
      <c r="F5" s="112" t="s">
        <v>814</v>
      </c>
      <c r="G5" s="112" t="s">
        <v>1693</v>
      </c>
      <c r="H5" s="112" t="s">
        <v>1694</v>
      </c>
      <c r="I5" s="112" t="s">
        <v>1695</v>
      </c>
      <c r="J5" s="112" t="s">
        <v>1696</v>
      </c>
      <c r="K5" s="112" t="s">
        <v>1697</v>
      </c>
      <c r="L5" s="112" t="s">
        <v>1698</v>
      </c>
      <c r="M5" s="112" t="s">
        <v>1699</v>
      </c>
      <c r="N5" s="112" t="s">
        <v>1453</v>
      </c>
      <c r="O5" s="112" t="s">
        <v>1700</v>
      </c>
      <c r="P5" s="112" t="s">
        <v>1701</v>
      </c>
      <c r="Q5" s="112" t="s">
        <v>1702</v>
      </c>
      <c r="R5" s="112" t="s">
        <v>1703</v>
      </c>
    </row>
    <row r="6" spans="1:18">
      <c r="A6" s="112" t="s">
        <v>1704</v>
      </c>
      <c r="B6" s="112" t="s">
        <v>1705</v>
      </c>
      <c r="C6" s="112" t="s">
        <v>1706</v>
      </c>
      <c r="D6" s="112">
        <v>80</v>
      </c>
      <c r="E6" s="112" t="s">
        <v>1707</v>
      </c>
      <c r="F6" s="112" t="s">
        <v>1708</v>
      </c>
      <c r="G6" s="112">
        <v>5.3747594939953798</v>
      </c>
      <c r="H6" s="112">
        <v>2.67334038188935</v>
      </c>
      <c r="I6" s="112">
        <v>1.63920889522183</v>
      </c>
      <c r="J6" s="112" t="s">
        <v>848</v>
      </c>
      <c r="K6" s="112" t="s">
        <v>1709</v>
      </c>
      <c r="L6" s="112">
        <v>1.91503180196546E-2</v>
      </c>
      <c r="M6" s="112">
        <v>1.8268395479275801E-3</v>
      </c>
      <c r="N6" s="112" t="s">
        <v>1704</v>
      </c>
      <c r="O6" s="112" t="s">
        <v>1710</v>
      </c>
      <c r="P6" s="112" t="s">
        <v>1711</v>
      </c>
      <c r="Q6" s="112" t="s">
        <v>1712</v>
      </c>
      <c r="R6" s="112" t="s">
        <v>1713</v>
      </c>
    </row>
    <row r="7" spans="1:18">
      <c r="A7" s="112" t="s">
        <v>1714</v>
      </c>
      <c r="B7" s="112" t="s">
        <v>1705</v>
      </c>
      <c r="C7" s="112" t="s">
        <v>1706</v>
      </c>
      <c r="D7" s="112">
        <v>80</v>
      </c>
      <c r="E7" s="112" t="s">
        <v>1707</v>
      </c>
      <c r="F7" s="112" t="s">
        <v>1708</v>
      </c>
      <c r="G7" s="112">
        <v>-1.9068343235068701</v>
      </c>
      <c r="H7" s="112">
        <v>-1.4589910823779499</v>
      </c>
      <c r="I7" s="112">
        <v>-2.3467806508717</v>
      </c>
      <c r="J7" s="112" t="s">
        <v>848</v>
      </c>
      <c r="K7" s="112" t="s">
        <v>1709</v>
      </c>
      <c r="L7" s="112">
        <v>3.6323543312576298E-2</v>
      </c>
      <c r="M7" s="112">
        <v>4.8192420403747101E-3</v>
      </c>
      <c r="N7" s="112" t="s">
        <v>1714</v>
      </c>
      <c r="O7" s="112" t="s">
        <v>1715</v>
      </c>
      <c r="P7" s="112" t="s">
        <v>1716</v>
      </c>
      <c r="Q7" s="112" t="s">
        <v>1717</v>
      </c>
      <c r="R7" s="112" t="s">
        <v>1718</v>
      </c>
    </row>
    <row r="8" spans="1:18">
      <c r="A8" s="112" t="s">
        <v>1719</v>
      </c>
      <c r="B8" s="112" t="s">
        <v>1720</v>
      </c>
      <c r="C8" s="112" t="s">
        <v>1706</v>
      </c>
      <c r="D8" s="112">
        <v>55</v>
      </c>
      <c r="E8" s="112" t="s">
        <v>1707</v>
      </c>
      <c r="F8" s="112" t="s">
        <v>1721</v>
      </c>
      <c r="G8" s="112">
        <v>3.7948486830053998</v>
      </c>
      <c r="H8" s="112">
        <v>3.3182660967759898</v>
      </c>
      <c r="I8" s="112">
        <v>1.1837918022896801</v>
      </c>
      <c r="J8" s="112" t="s">
        <v>848</v>
      </c>
      <c r="K8" s="112" t="s">
        <v>1722</v>
      </c>
      <c r="L8" s="229">
        <v>4.1948233842809797E-8</v>
      </c>
      <c r="M8" s="229">
        <v>1.3798761132503199E-10</v>
      </c>
      <c r="N8" s="112" t="s">
        <v>1719</v>
      </c>
      <c r="O8" s="112" t="s">
        <v>1715</v>
      </c>
      <c r="P8" s="112" t="s">
        <v>1715</v>
      </c>
      <c r="Q8" s="112" t="s">
        <v>1723</v>
      </c>
      <c r="R8" s="112" t="s">
        <v>1724</v>
      </c>
    </row>
    <row r="9" spans="1:18">
      <c r="A9" s="112" t="s">
        <v>1725</v>
      </c>
      <c r="B9" s="112" t="s">
        <v>1705</v>
      </c>
      <c r="C9" s="112" t="s">
        <v>1706</v>
      </c>
      <c r="D9" s="112">
        <v>80</v>
      </c>
      <c r="E9" s="112" t="s">
        <v>1707</v>
      </c>
      <c r="F9" s="112" t="s">
        <v>1708</v>
      </c>
      <c r="G9" s="112">
        <v>-4.7728733317505796</v>
      </c>
      <c r="H9" s="112">
        <v>-4.0822015279460402</v>
      </c>
      <c r="I9" s="112">
        <v>-5.7932210266428896</v>
      </c>
      <c r="J9" s="112" t="s">
        <v>848</v>
      </c>
      <c r="K9" s="112" t="s">
        <v>1709</v>
      </c>
      <c r="L9" s="229">
        <v>1.0112608262661599E-6</v>
      </c>
      <c r="M9" s="229">
        <v>7.7618703770429094E-9</v>
      </c>
      <c r="N9" s="112" t="s">
        <v>1725</v>
      </c>
      <c r="O9" s="112" t="s">
        <v>1715</v>
      </c>
      <c r="P9" s="112" t="s">
        <v>1715</v>
      </c>
      <c r="Q9" s="112" t="s">
        <v>1726</v>
      </c>
      <c r="R9" s="112" t="s">
        <v>1718</v>
      </c>
    </row>
    <row r="10" spans="1:18">
      <c r="A10" s="112" t="s">
        <v>1727</v>
      </c>
      <c r="B10" s="112" t="s">
        <v>1720</v>
      </c>
      <c r="C10" s="112" t="s">
        <v>1706</v>
      </c>
      <c r="D10" s="112">
        <v>55</v>
      </c>
      <c r="E10" s="112" t="s">
        <v>1707</v>
      </c>
      <c r="F10" s="112" t="s">
        <v>1721</v>
      </c>
      <c r="G10" s="112">
        <v>4.8899330805352204</v>
      </c>
      <c r="H10" s="112">
        <v>3.6001480301176998</v>
      </c>
      <c r="I10" s="112">
        <v>0.85298931426096902</v>
      </c>
      <c r="J10" s="112" t="s">
        <v>848</v>
      </c>
      <c r="K10" s="112" t="s">
        <v>1722</v>
      </c>
      <c r="L10" s="229">
        <v>9.9932179888481896E-5</v>
      </c>
      <c r="M10" s="229">
        <v>6.0266117257308199E-7</v>
      </c>
      <c r="N10" s="112" t="s">
        <v>1727</v>
      </c>
      <c r="O10" s="112" t="s">
        <v>1715</v>
      </c>
      <c r="P10" s="112" t="s">
        <v>1715</v>
      </c>
      <c r="Q10" s="112" t="s">
        <v>1728</v>
      </c>
      <c r="R10" s="112" t="s">
        <v>1729</v>
      </c>
    </row>
    <row r="11" spans="1:18">
      <c r="A11" s="112" t="s">
        <v>1730</v>
      </c>
      <c r="B11" s="112" t="s">
        <v>1731</v>
      </c>
      <c r="C11" s="112" t="s">
        <v>1706</v>
      </c>
      <c r="D11" s="112">
        <v>30</v>
      </c>
      <c r="E11" s="112" t="s">
        <v>1707</v>
      </c>
      <c r="F11" s="112" t="s">
        <v>1708</v>
      </c>
      <c r="G11" s="112">
        <v>2.7762521297907399</v>
      </c>
      <c r="H11" s="112">
        <v>2.3298176743063901</v>
      </c>
      <c r="I11" s="112">
        <v>0.83548653757302205</v>
      </c>
      <c r="J11" s="112" t="s">
        <v>848</v>
      </c>
      <c r="K11" s="112" t="s">
        <v>1732</v>
      </c>
      <c r="L11" s="229">
        <v>1.04889510204272E-4</v>
      </c>
      <c r="M11" s="229">
        <v>1.83431575873927E-6</v>
      </c>
      <c r="N11" s="112" t="s">
        <v>1730</v>
      </c>
      <c r="O11" s="112" t="s">
        <v>1715</v>
      </c>
      <c r="P11" s="112" t="s">
        <v>1715</v>
      </c>
      <c r="Q11" s="112" t="s">
        <v>1733</v>
      </c>
      <c r="R11" s="112" t="s">
        <v>1734</v>
      </c>
    </row>
    <row r="12" spans="1:18">
      <c r="A12" s="112" t="s">
        <v>1730</v>
      </c>
      <c r="B12" s="112" t="s">
        <v>1705</v>
      </c>
      <c r="C12" s="112" t="s">
        <v>1706</v>
      </c>
      <c r="D12" s="112">
        <v>80</v>
      </c>
      <c r="E12" s="112" t="s">
        <v>1707</v>
      </c>
      <c r="F12" s="112" t="s">
        <v>1708</v>
      </c>
      <c r="G12" s="112">
        <v>-5.0381461945636197</v>
      </c>
      <c r="H12" s="112">
        <v>-3.9235460239264501</v>
      </c>
      <c r="I12" s="112">
        <v>0</v>
      </c>
      <c r="J12" s="112">
        <v>1</v>
      </c>
      <c r="K12" s="112" t="s">
        <v>1709</v>
      </c>
      <c r="L12" s="229">
        <v>1.3161629650449699E-4</v>
      </c>
      <c r="M12" s="229">
        <v>2.1647417188239599E-6</v>
      </c>
      <c r="N12" s="112" t="s">
        <v>1730</v>
      </c>
      <c r="O12" s="112" t="s">
        <v>1715</v>
      </c>
      <c r="P12" s="112" t="s">
        <v>1715</v>
      </c>
      <c r="Q12" s="112" t="s">
        <v>1733</v>
      </c>
      <c r="R12" s="112" t="s">
        <v>1734</v>
      </c>
    </row>
    <row r="13" spans="1:18">
      <c r="A13" s="112" t="s">
        <v>1727</v>
      </c>
      <c r="B13" s="112" t="s">
        <v>1735</v>
      </c>
      <c r="C13" s="112" t="s">
        <v>1706</v>
      </c>
      <c r="D13" s="112">
        <v>30</v>
      </c>
      <c r="E13" s="112" t="s">
        <v>1707</v>
      </c>
      <c r="F13" s="112" t="s">
        <v>440</v>
      </c>
      <c r="G13" s="112">
        <v>5.9588542258178601</v>
      </c>
      <c r="H13" s="112">
        <v>4.1912696712213604</v>
      </c>
      <c r="I13" s="112">
        <v>1.86534148124727</v>
      </c>
      <c r="J13" s="112" t="s">
        <v>848</v>
      </c>
      <c r="K13" s="112" t="s">
        <v>1736</v>
      </c>
      <c r="L13" s="229">
        <v>1.3333145862783299E-4</v>
      </c>
      <c r="M13" s="229">
        <v>8.0408226146171298E-7</v>
      </c>
      <c r="N13" s="112" t="s">
        <v>1727</v>
      </c>
      <c r="O13" s="112" t="s">
        <v>1715</v>
      </c>
      <c r="P13" s="112" t="s">
        <v>1715</v>
      </c>
      <c r="Q13" s="112" t="s">
        <v>1728</v>
      </c>
      <c r="R13" s="112" t="s">
        <v>1729</v>
      </c>
    </row>
    <row r="14" spans="1:18">
      <c r="A14" s="112" t="s">
        <v>1737</v>
      </c>
      <c r="B14" s="112" t="s">
        <v>1705</v>
      </c>
      <c r="C14" s="112" t="s">
        <v>1706</v>
      </c>
      <c r="D14" s="112">
        <v>80</v>
      </c>
      <c r="E14" s="112" t="s">
        <v>1707</v>
      </c>
      <c r="F14" s="112" t="s">
        <v>1708</v>
      </c>
      <c r="G14" s="112">
        <v>-4.57096732206276</v>
      </c>
      <c r="H14" s="112">
        <v>-3.6377985505185402</v>
      </c>
      <c r="I14" s="112">
        <v>-7.2033170946438396</v>
      </c>
      <c r="J14" s="112" t="s">
        <v>848</v>
      </c>
      <c r="K14" s="112" t="s">
        <v>1709</v>
      </c>
      <c r="L14" s="229">
        <v>1.80180188302866E-4</v>
      </c>
      <c r="M14" s="229">
        <v>3.6643354525087001E-6</v>
      </c>
      <c r="N14" s="112" t="s">
        <v>1737</v>
      </c>
      <c r="O14" s="112" t="s">
        <v>1715</v>
      </c>
      <c r="P14" s="112" t="s">
        <v>1715</v>
      </c>
      <c r="Q14" s="112" t="s">
        <v>1738</v>
      </c>
      <c r="R14" s="112" t="s">
        <v>1739</v>
      </c>
    </row>
    <row r="15" spans="1:18">
      <c r="A15" s="112" t="s">
        <v>1740</v>
      </c>
      <c r="B15" s="112" t="s">
        <v>1705</v>
      </c>
      <c r="C15" s="112" t="s">
        <v>1706</v>
      </c>
      <c r="D15" s="112">
        <v>80</v>
      </c>
      <c r="E15" s="112" t="s">
        <v>1707</v>
      </c>
      <c r="F15" s="112" t="s">
        <v>1708</v>
      </c>
      <c r="G15" s="112">
        <v>-4.6617143005130801</v>
      </c>
      <c r="H15" s="112">
        <v>-3.56769903267275</v>
      </c>
      <c r="I15" s="112">
        <v>0</v>
      </c>
      <c r="J15" s="112">
        <v>1</v>
      </c>
      <c r="K15" s="112" t="s">
        <v>1709</v>
      </c>
      <c r="L15" s="229">
        <v>5.2572154825052001E-4</v>
      </c>
      <c r="M15" s="229">
        <v>1.3834777585539999E-5</v>
      </c>
      <c r="N15" s="112" t="s">
        <v>1740</v>
      </c>
      <c r="O15" s="112" t="s">
        <v>1715</v>
      </c>
      <c r="P15" s="112" t="s">
        <v>1715</v>
      </c>
      <c r="Q15" s="112" t="s">
        <v>1741</v>
      </c>
      <c r="R15" s="112" t="s">
        <v>1742</v>
      </c>
    </row>
    <row r="16" spans="1:18">
      <c r="A16" s="112" t="s">
        <v>1740</v>
      </c>
      <c r="B16" s="112" t="s">
        <v>1743</v>
      </c>
      <c r="C16" s="112" t="s">
        <v>1706</v>
      </c>
      <c r="D16" s="112">
        <v>55</v>
      </c>
      <c r="E16" s="112" t="s">
        <v>1707</v>
      </c>
      <c r="F16" s="112" t="s">
        <v>440</v>
      </c>
      <c r="G16" s="112">
        <v>3.22359632969148</v>
      </c>
      <c r="H16" s="112">
        <v>2.6855250320839801</v>
      </c>
      <c r="I16" s="112">
        <v>1.3551278637751301</v>
      </c>
      <c r="J16" s="112" t="s">
        <v>848</v>
      </c>
      <c r="K16" s="112" t="s">
        <v>1744</v>
      </c>
      <c r="L16" s="229">
        <v>5.8047622015298798E-4</v>
      </c>
      <c r="M16" s="229">
        <v>8.8254850334248394E-6</v>
      </c>
      <c r="N16" s="112" t="s">
        <v>1740</v>
      </c>
      <c r="O16" s="112" t="s">
        <v>1715</v>
      </c>
      <c r="P16" s="112" t="s">
        <v>1715</v>
      </c>
      <c r="Q16" s="112" t="s">
        <v>1741</v>
      </c>
      <c r="R16" s="112" t="s">
        <v>1742</v>
      </c>
    </row>
    <row r="17" spans="1:18">
      <c r="A17" s="112" t="s">
        <v>1727</v>
      </c>
      <c r="B17" s="112" t="s">
        <v>1743</v>
      </c>
      <c r="C17" s="112" t="s">
        <v>1706</v>
      </c>
      <c r="D17" s="112">
        <v>55</v>
      </c>
      <c r="E17" s="112" t="s">
        <v>1707</v>
      </c>
      <c r="F17" s="112" t="s">
        <v>440</v>
      </c>
      <c r="G17" s="112">
        <v>5.2031285206221201</v>
      </c>
      <c r="H17" s="112">
        <v>3.53422847168433</v>
      </c>
      <c r="I17" s="112">
        <v>1.4656339633709199</v>
      </c>
      <c r="J17" s="112" t="s">
        <v>848</v>
      </c>
      <c r="K17" s="112" t="s">
        <v>1744</v>
      </c>
      <c r="L17" s="229">
        <v>8.7647412963360401E-4</v>
      </c>
      <c r="M17" s="229">
        <v>1.5748671299567101E-5</v>
      </c>
      <c r="N17" s="112" t="s">
        <v>1727</v>
      </c>
      <c r="O17" s="112" t="s">
        <v>1715</v>
      </c>
      <c r="P17" s="112" t="s">
        <v>1715</v>
      </c>
      <c r="Q17" s="112" t="s">
        <v>1728</v>
      </c>
      <c r="R17" s="112" t="s">
        <v>1729</v>
      </c>
    </row>
    <row r="18" spans="1:18">
      <c r="A18" s="112" t="s">
        <v>1745</v>
      </c>
      <c r="B18" s="112" t="s">
        <v>1705</v>
      </c>
      <c r="C18" s="112" t="s">
        <v>1706</v>
      </c>
      <c r="D18" s="112">
        <v>80</v>
      </c>
      <c r="E18" s="112" t="s">
        <v>1707</v>
      </c>
      <c r="F18" s="112" t="s">
        <v>1708</v>
      </c>
      <c r="G18" s="112">
        <v>-4.5399065614881096</v>
      </c>
      <c r="H18" s="112">
        <v>-3.4334245213044698</v>
      </c>
      <c r="I18" s="112">
        <v>-4.2419786012746696</v>
      </c>
      <c r="J18" s="112" t="s">
        <v>848</v>
      </c>
      <c r="K18" s="112" t="s">
        <v>1709</v>
      </c>
      <c r="L18" s="229">
        <v>9.5652624668908504E-4</v>
      </c>
      <c r="M18" s="229">
        <v>2.8842622570120402E-5</v>
      </c>
      <c r="N18" s="112" t="s">
        <v>1745</v>
      </c>
      <c r="O18" s="112" t="s">
        <v>1715</v>
      </c>
      <c r="P18" s="112" t="s">
        <v>1715</v>
      </c>
      <c r="Q18" s="112" t="s">
        <v>1746</v>
      </c>
      <c r="R18" s="112" t="s">
        <v>1747</v>
      </c>
    </row>
    <row r="19" spans="1:18">
      <c r="A19" s="112" t="s">
        <v>1730</v>
      </c>
      <c r="B19" s="112" t="s">
        <v>1748</v>
      </c>
      <c r="C19" s="112" t="s">
        <v>1706</v>
      </c>
      <c r="D19" s="112">
        <v>80</v>
      </c>
      <c r="E19" s="112" t="s">
        <v>1707</v>
      </c>
      <c r="F19" s="112" t="s">
        <v>440</v>
      </c>
      <c r="G19" s="112">
        <v>-6.4265757469253497</v>
      </c>
      <c r="H19" s="112">
        <v>-4.7017752951214096</v>
      </c>
      <c r="I19" s="112">
        <v>0</v>
      </c>
      <c r="J19" s="112">
        <v>1</v>
      </c>
      <c r="K19" s="112" t="s">
        <v>1749</v>
      </c>
      <c r="L19" s="229">
        <v>9.6550485177423302E-4</v>
      </c>
      <c r="M19" s="229">
        <v>1.2479298532286801E-5</v>
      </c>
      <c r="N19" s="112" t="s">
        <v>1730</v>
      </c>
      <c r="O19" s="112" t="s">
        <v>1715</v>
      </c>
      <c r="P19" s="112" t="s">
        <v>1715</v>
      </c>
      <c r="Q19" s="112" t="s">
        <v>1733</v>
      </c>
      <c r="R19" s="112" t="s">
        <v>1734</v>
      </c>
    </row>
    <row r="20" spans="1:18">
      <c r="A20" s="112" t="s">
        <v>1740</v>
      </c>
      <c r="B20" s="112" t="s">
        <v>1735</v>
      </c>
      <c r="C20" s="112" t="s">
        <v>1706</v>
      </c>
      <c r="D20" s="112">
        <v>30</v>
      </c>
      <c r="E20" s="112" t="s">
        <v>1707</v>
      </c>
      <c r="F20" s="112" t="s">
        <v>440</v>
      </c>
      <c r="G20" s="112">
        <v>3.2630548399231101</v>
      </c>
      <c r="H20" s="112">
        <v>2.6137320262941501</v>
      </c>
      <c r="I20" s="112">
        <v>1.12124344315144</v>
      </c>
      <c r="J20" s="112" t="s">
        <v>848</v>
      </c>
      <c r="K20" s="112" t="s">
        <v>1736</v>
      </c>
      <c r="L20" s="112">
        <v>1.3560758647398999E-3</v>
      </c>
      <c r="M20" s="229">
        <v>1.7099640838277301E-5</v>
      </c>
      <c r="N20" s="112" t="s">
        <v>1740</v>
      </c>
      <c r="O20" s="112" t="s">
        <v>1715</v>
      </c>
      <c r="P20" s="112" t="s">
        <v>1715</v>
      </c>
      <c r="Q20" s="112" t="s">
        <v>1741</v>
      </c>
      <c r="R20" s="112" t="s">
        <v>1742</v>
      </c>
    </row>
    <row r="21" spans="1:18">
      <c r="A21" s="112" t="s">
        <v>1750</v>
      </c>
      <c r="B21" s="112" t="s">
        <v>1731</v>
      </c>
      <c r="C21" s="112" t="s">
        <v>1706</v>
      </c>
      <c r="D21" s="112">
        <v>30</v>
      </c>
      <c r="E21" s="112" t="s">
        <v>1707</v>
      </c>
      <c r="F21" s="112" t="s">
        <v>1708</v>
      </c>
      <c r="G21" s="112">
        <v>2.9343257422852398</v>
      </c>
      <c r="H21" s="112">
        <v>2.2362800290292002</v>
      </c>
      <c r="I21" s="112">
        <v>0.94388011934898797</v>
      </c>
      <c r="J21" s="112" t="s">
        <v>848</v>
      </c>
      <c r="K21" s="112" t="s">
        <v>1732</v>
      </c>
      <c r="L21" s="112">
        <v>1.3656267935316601E-3</v>
      </c>
      <c r="M21" s="229">
        <v>4.3422155597191102E-5</v>
      </c>
      <c r="N21" s="112" t="s">
        <v>1750</v>
      </c>
      <c r="O21" s="112" t="s">
        <v>1715</v>
      </c>
      <c r="P21" s="112" t="s">
        <v>1715</v>
      </c>
      <c r="Q21" s="112" t="s">
        <v>1751</v>
      </c>
      <c r="R21" s="112" t="s">
        <v>1752</v>
      </c>
    </row>
    <row r="22" spans="1:18">
      <c r="A22" s="112" t="s">
        <v>1730</v>
      </c>
      <c r="B22" s="112" t="s">
        <v>1735</v>
      </c>
      <c r="C22" s="112" t="s">
        <v>1706</v>
      </c>
      <c r="D22" s="112">
        <v>30</v>
      </c>
      <c r="E22" s="112" t="s">
        <v>1707</v>
      </c>
      <c r="F22" s="112" t="s">
        <v>440</v>
      </c>
      <c r="G22" s="112">
        <v>3.09467732220467</v>
      </c>
      <c r="H22" s="112">
        <v>2.5009778734021202</v>
      </c>
      <c r="I22" s="112">
        <v>1.15370252336394</v>
      </c>
      <c r="J22" s="112" t="s">
        <v>848</v>
      </c>
      <c r="K22" s="112" t="s">
        <v>1736</v>
      </c>
      <c r="L22" s="112">
        <v>1.71340752817465E-3</v>
      </c>
      <c r="M22" s="229">
        <v>2.4770464154461599E-5</v>
      </c>
      <c r="N22" s="112" t="s">
        <v>1730</v>
      </c>
      <c r="O22" s="112" t="s">
        <v>1715</v>
      </c>
      <c r="P22" s="112" t="s">
        <v>1715</v>
      </c>
      <c r="Q22" s="112" t="s">
        <v>1733</v>
      </c>
      <c r="R22" s="112" t="s">
        <v>1734</v>
      </c>
    </row>
    <row r="23" spans="1:18">
      <c r="A23" s="112" t="s">
        <v>1753</v>
      </c>
      <c r="B23" s="112" t="s">
        <v>1731</v>
      </c>
      <c r="C23" s="112" t="s">
        <v>1706</v>
      </c>
      <c r="D23" s="112">
        <v>30</v>
      </c>
      <c r="E23" s="112" t="s">
        <v>1707</v>
      </c>
      <c r="F23" s="112" t="s">
        <v>1708</v>
      </c>
      <c r="G23" s="112">
        <v>1.7645700057948901</v>
      </c>
      <c r="H23" s="112">
        <v>1.44731711002829</v>
      </c>
      <c r="I23" s="112">
        <v>1.43036889837949</v>
      </c>
      <c r="J23" s="112" t="s">
        <v>848</v>
      </c>
      <c r="K23" s="112" t="s">
        <v>1732</v>
      </c>
      <c r="L23" s="112">
        <v>1.79604255698178E-3</v>
      </c>
      <c r="M23" s="229">
        <v>6.1390961804623799E-5</v>
      </c>
      <c r="N23" s="112" t="s">
        <v>1753</v>
      </c>
      <c r="O23" s="112" t="s">
        <v>1715</v>
      </c>
      <c r="P23" s="112" t="s">
        <v>1715</v>
      </c>
      <c r="Q23" s="112" t="s">
        <v>1754</v>
      </c>
    </row>
    <row r="24" spans="1:18">
      <c r="A24" s="112" t="s">
        <v>1740</v>
      </c>
      <c r="B24" s="112" t="s">
        <v>1755</v>
      </c>
      <c r="C24" s="112" t="s">
        <v>1706</v>
      </c>
      <c r="D24" s="112">
        <v>30</v>
      </c>
      <c r="E24" s="112" t="s">
        <v>1707</v>
      </c>
      <c r="F24" s="112" t="s">
        <v>1721</v>
      </c>
      <c r="G24" s="112">
        <v>4.1528987279466296</v>
      </c>
      <c r="H24" s="112">
        <v>3.2522677404164599</v>
      </c>
      <c r="I24" s="112">
        <v>1.6104369832201</v>
      </c>
      <c r="J24" s="112" t="s">
        <v>848</v>
      </c>
      <c r="K24" s="112" t="s">
        <v>1756</v>
      </c>
      <c r="L24" s="112">
        <v>1.9641133054122402E-3</v>
      </c>
      <c r="M24" s="229">
        <v>3.4348563369689499E-5</v>
      </c>
      <c r="N24" s="112" t="s">
        <v>1740</v>
      </c>
      <c r="O24" s="112" t="s">
        <v>1715</v>
      </c>
      <c r="P24" s="112" t="s">
        <v>1715</v>
      </c>
      <c r="Q24" s="112" t="s">
        <v>1741</v>
      </c>
      <c r="R24" s="112" t="s">
        <v>1742</v>
      </c>
    </row>
    <row r="25" spans="1:18">
      <c r="A25" s="112" t="s">
        <v>1740</v>
      </c>
      <c r="B25" s="112" t="s">
        <v>1748</v>
      </c>
      <c r="C25" s="112" t="s">
        <v>1706</v>
      </c>
      <c r="D25" s="112">
        <v>80</v>
      </c>
      <c r="E25" s="112" t="s">
        <v>1707</v>
      </c>
      <c r="F25" s="112" t="s">
        <v>440</v>
      </c>
      <c r="G25" s="112">
        <v>-6.05398460249131</v>
      </c>
      <c r="H25" s="112">
        <v>-4.3321583383159297</v>
      </c>
      <c r="I25" s="112">
        <v>0</v>
      </c>
      <c r="J25" s="112">
        <v>1</v>
      </c>
      <c r="K25" s="112" t="s">
        <v>1749</v>
      </c>
      <c r="L25" s="112">
        <v>2.0786119225747902E-3</v>
      </c>
      <c r="M25" s="229">
        <v>4.33044150536416E-5</v>
      </c>
      <c r="N25" s="112" t="s">
        <v>1740</v>
      </c>
      <c r="O25" s="112" t="s">
        <v>1715</v>
      </c>
      <c r="P25" s="112" t="s">
        <v>1715</v>
      </c>
      <c r="Q25" s="112" t="s">
        <v>1741</v>
      </c>
      <c r="R25" s="112" t="s">
        <v>1742</v>
      </c>
    </row>
    <row r="26" spans="1:18">
      <c r="A26" s="112" t="s">
        <v>1757</v>
      </c>
      <c r="B26" s="112" t="s">
        <v>1705</v>
      </c>
      <c r="C26" s="112" t="s">
        <v>1706</v>
      </c>
      <c r="D26" s="112">
        <v>80</v>
      </c>
      <c r="E26" s="112" t="s">
        <v>1707</v>
      </c>
      <c r="F26" s="112" t="s">
        <v>1708</v>
      </c>
      <c r="G26" s="112">
        <v>4.2368611213884204</v>
      </c>
      <c r="H26" s="112">
        <v>3.1329359751394699</v>
      </c>
      <c r="I26" s="112">
        <v>1.4295339408855601</v>
      </c>
      <c r="J26" s="112" t="s">
        <v>848</v>
      </c>
      <c r="K26" s="112" t="s">
        <v>1709</v>
      </c>
      <c r="L26" s="112">
        <v>2.58374295784481E-3</v>
      </c>
      <c r="M26" s="229">
        <v>1.13322059554597E-4</v>
      </c>
      <c r="N26" s="112" t="s">
        <v>1757</v>
      </c>
      <c r="O26" s="112" t="s">
        <v>1715</v>
      </c>
      <c r="P26" s="112" t="s">
        <v>1715</v>
      </c>
      <c r="Q26" s="112" t="s">
        <v>1758</v>
      </c>
      <c r="R26" s="112" t="s">
        <v>1729</v>
      </c>
    </row>
    <row r="27" spans="1:18">
      <c r="A27" s="112" t="s">
        <v>1759</v>
      </c>
      <c r="B27" s="112" t="s">
        <v>1720</v>
      </c>
      <c r="C27" s="112" t="s">
        <v>1706</v>
      </c>
      <c r="D27" s="112">
        <v>55</v>
      </c>
      <c r="E27" s="112" t="s">
        <v>1707</v>
      </c>
      <c r="F27" s="112" t="s">
        <v>1721</v>
      </c>
      <c r="G27" s="112">
        <v>3.1145634044857702</v>
      </c>
      <c r="H27" s="112">
        <v>2.4398095370265902</v>
      </c>
      <c r="I27" s="112">
        <v>1.8160811508479899</v>
      </c>
      <c r="J27" s="112" t="s">
        <v>848</v>
      </c>
      <c r="K27" s="112" t="s">
        <v>1722</v>
      </c>
      <c r="L27" s="112">
        <v>3.1748567884772498E-3</v>
      </c>
      <c r="M27" s="229">
        <v>4.5255634046276697E-5</v>
      </c>
      <c r="N27" s="112" t="s">
        <v>1759</v>
      </c>
      <c r="O27" s="112" t="s">
        <v>1715</v>
      </c>
      <c r="P27" s="112" t="s">
        <v>1715</v>
      </c>
      <c r="Q27" s="112" t="s">
        <v>1760</v>
      </c>
      <c r="R27" s="112" t="s">
        <v>1747</v>
      </c>
    </row>
    <row r="28" spans="1:18">
      <c r="A28" s="112" t="s">
        <v>1761</v>
      </c>
      <c r="B28" s="112" t="s">
        <v>1762</v>
      </c>
      <c r="C28" s="112" t="s">
        <v>1706</v>
      </c>
      <c r="D28" s="112">
        <v>55</v>
      </c>
      <c r="E28" s="112" t="s">
        <v>1707</v>
      </c>
      <c r="F28" s="112" t="s">
        <v>1708</v>
      </c>
      <c r="G28" s="112">
        <v>3.0854803705811098</v>
      </c>
      <c r="H28" s="112">
        <v>2.3948747767952399</v>
      </c>
      <c r="I28" s="112">
        <v>1.8999517874393801</v>
      </c>
      <c r="J28" s="112" t="s">
        <v>848</v>
      </c>
      <c r="K28" s="112" t="s">
        <v>1763</v>
      </c>
      <c r="L28" s="112">
        <v>3.9748998751729502E-3</v>
      </c>
      <c r="M28" s="229">
        <v>7.2270906821326401E-5</v>
      </c>
      <c r="N28" s="112" t="s">
        <v>1761</v>
      </c>
      <c r="O28" s="112" t="s">
        <v>1715</v>
      </c>
      <c r="P28" s="112" t="s">
        <v>1715</v>
      </c>
      <c r="Q28" s="112" t="s">
        <v>1764</v>
      </c>
      <c r="R28" s="112" t="s">
        <v>1765</v>
      </c>
    </row>
    <row r="29" spans="1:18">
      <c r="A29" s="112" t="s">
        <v>1727</v>
      </c>
      <c r="B29" s="112" t="s">
        <v>1762</v>
      </c>
      <c r="C29" s="112" t="s">
        <v>1706</v>
      </c>
      <c r="D29" s="112">
        <v>55</v>
      </c>
      <c r="E29" s="112" t="s">
        <v>1707</v>
      </c>
      <c r="F29" s="112" t="s">
        <v>1708</v>
      </c>
      <c r="G29" s="112">
        <v>3.8892230449423302</v>
      </c>
      <c r="H29" s="112">
        <v>2.6593221414874599</v>
      </c>
      <c r="I29" s="112">
        <v>-0.118134595574301</v>
      </c>
      <c r="J29" s="112" t="s">
        <v>848</v>
      </c>
      <c r="K29" s="112" t="s">
        <v>1763</v>
      </c>
      <c r="L29" s="112">
        <v>4.5940866926048804E-3</v>
      </c>
      <c r="M29" s="229">
        <v>8.9495195310484795E-5</v>
      </c>
      <c r="N29" s="112" t="s">
        <v>1727</v>
      </c>
      <c r="O29" s="112" t="s">
        <v>1715</v>
      </c>
      <c r="P29" s="112" t="s">
        <v>1715</v>
      </c>
      <c r="Q29" s="112" t="s">
        <v>1728</v>
      </c>
      <c r="R29" s="112" t="s">
        <v>1729</v>
      </c>
    </row>
    <row r="30" spans="1:18">
      <c r="A30" s="112" t="s">
        <v>1750</v>
      </c>
      <c r="B30" s="112" t="s">
        <v>1705</v>
      </c>
      <c r="C30" s="112" t="s">
        <v>1706</v>
      </c>
      <c r="D30" s="112">
        <v>80</v>
      </c>
      <c r="E30" s="112" t="s">
        <v>1707</v>
      </c>
      <c r="F30" s="112" t="s">
        <v>1708</v>
      </c>
      <c r="G30" s="112">
        <v>-4.1561909343860304</v>
      </c>
      <c r="H30" s="112">
        <v>-2.9760729581991701</v>
      </c>
      <c r="I30" s="112">
        <v>0</v>
      </c>
      <c r="J30" s="112">
        <v>1</v>
      </c>
      <c r="K30" s="112" t="s">
        <v>1709</v>
      </c>
      <c r="L30" s="112">
        <v>4.8951082290665101E-3</v>
      </c>
      <c r="M30" s="229">
        <v>2.6032099683083898E-4</v>
      </c>
      <c r="N30" s="112" t="s">
        <v>1750</v>
      </c>
      <c r="O30" s="112" t="s">
        <v>1715</v>
      </c>
      <c r="P30" s="112" t="s">
        <v>1715</v>
      </c>
      <c r="Q30" s="112" t="s">
        <v>1751</v>
      </c>
      <c r="R30" s="112" t="s">
        <v>1752</v>
      </c>
    </row>
    <row r="31" spans="1:18">
      <c r="A31" s="112" t="s">
        <v>1766</v>
      </c>
      <c r="B31" s="112" t="s">
        <v>1748</v>
      </c>
      <c r="C31" s="112" t="s">
        <v>1706</v>
      </c>
      <c r="D31" s="112">
        <v>80</v>
      </c>
      <c r="E31" s="112" t="s">
        <v>1707</v>
      </c>
      <c r="F31" s="112" t="s">
        <v>440</v>
      </c>
      <c r="G31" s="112">
        <v>2.29824731235143</v>
      </c>
      <c r="H31" s="112">
        <v>1.9875595050546799</v>
      </c>
      <c r="I31" s="112">
        <v>1.9612900391569701</v>
      </c>
      <c r="J31" s="112" t="s">
        <v>848</v>
      </c>
      <c r="K31" s="112" t="s">
        <v>1749</v>
      </c>
      <c r="L31" s="112">
        <v>5.1777644609039197E-3</v>
      </c>
      <c r="M31" s="229">
        <v>1.7883725934043099E-4</v>
      </c>
      <c r="N31" s="112" t="s">
        <v>1766</v>
      </c>
      <c r="O31" s="112" t="s">
        <v>1715</v>
      </c>
      <c r="P31" s="112" t="s">
        <v>1767</v>
      </c>
      <c r="Q31" s="112" t="s">
        <v>1768</v>
      </c>
      <c r="R31" s="112" t="s">
        <v>1769</v>
      </c>
    </row>
    <row r="32" spans="1:18">
      <c r="A32" s="112" t="s">
        <v>1770</v>
      </c>
      <c r="B32" s="112" t="s">
        <v>1705</v>
      </c>
      <c r="C32" s="112" t="s">
        <v>1706</v>
      </c>
      <c r="D32" s="112">
        <v>80</v>
      </c>
      <c r="E32" s="112" t="s">
        <v>1707</v>
      </c>
      <c r="F32" s="112" t="s">
        <v>1708</v>
      </c>
      <c r="G32" s="112">
        <v>-3.70061475766573</v>
      </c>
      <c r="H32" s="112">
        <v>-2.7451550331089898</v>
      </c>
      <c r="I32" s="112">
        <v>-5.55696610094809</v>
      </c>
      <c r="J32" s="112" t="s">
        <v>848</v>
      </c>
      <c r="K32" s="112" t="s">
        <v>1709</v>
      </c>
      <c r="L32" s="112">
        <v>6.0142435691064597E-3</v>
      </c>
      <c r="M32" s="229">
        <v>3.5280924445964398E-4</v>
      </c>
      <c r="N32" s="112" t="s">
        <v>1770</v>
      </c>
      <c r="O32" s="112" t="s">
        <v>1715</v>
      </c>
      <c r="P32" s="112" t="s">
        <v>1715</v>
      </c>
      <c r="Q32" s="112" t="s">
        <v>1771</v>
      </c>
      <c r="R32" s="112" t="s">
        <v>1742</v>
      </c>
    </row>
    <row r="33" spans="1:18">
      <c r="A33" s="112" t="s">
        <v>1772</v>
      </c>
      <c r="B33" s="112" t="s">
        <v>1731</v>
      </c>
      <c r="C33" s="112" t="s">
        <v>1706</v>
      </c>
      <c r="D33" s="112">
        <v>30</v>
      </c>
      <c r="E33" s="112" t="s">
        <v>1707</v>
      </c>
      <c r="F33" s="112" t="s">
        <v>1708</v>
      </c>
      <c r="G33" s="112">
        <v>1.52565826878084</v>
      </c>
      <c r="H33" s="112">
        <v>1.23197173099535</v>
      </c>
      <c r="I33" s="112">
        <v>1.32118932056623</v>
      </c>
      <c r="J33" s="112" t="s">
        <v>848</v>
      </c>
      <c r="K33" s="112" t="s">
        <v>1732</v>
      </c>
      <c r="L33" s="112">
        <v>6.1435761260604403E-3</v>
      </c>
      <c r="M33" s="229">
        <v>3.1255077270895702E-4</v>
      </c>
      <c r="N33" s="112" t="s">
        <v>1772</v>
      </c>
      <c r="O33" s="112" t="s">
        <v>1715</v>
      </c>
      <c r="P33" s="112" t="s">
        <v>1767</v>
      </c>
      <c r="Q33" s="112" t="s">
        <v>1773</v>
      </c>
      <c r="R33" s="112" t="s">
        <v>1774</v>
      </c>
    </row>
    <row r="34" spans="1:18">
      <c r="A34" s="112" t="s">
        <v>1761</v>
      </c>
      <c r="B34" s="112" t="s">
        <v>1705</v>
      </c>
      <c r="C34" s="112" t="s">
        <v>1706</v>
      </c>
      <c r="D34" s="112">
        <v>80</v>
      </c>
      <c r="E34" s="112" t="s">
        <v>1707</v>
      </c>
      <c r="F34" s="112" t="s">
        <v>1708</v>
      </c>
      <c r="G34" s="112">
        <v>-4.11340065666342</v>
      </c>
      <c r="H34" s="112">
        <v>-2.8976277720141699</v>
      </c>
      <c r="I34" s="112">
        <v>0</v>
      </c>
      <c r="J34" s="112">
        <v>1</v>
      </c>
      <c r="K34" s="112" t="s">
        <v>1709</v>
      </c>
      <c r="L34" s="112">
        <v>6.3230050651111097E-3</v>
      </c>
      <c r="M34" s="229">
        <v>3.74388457802631E-4</v>
      </c>
      <c r="N34" s="112" t="s">
        <v>1761</v>
      </c>
      <c r="O34" s="112" t="s">
        <v>1715</v>
      </c>
      <c r="P34" s="112" t="s">
        <v>1715</v>
      </c>
      <c r="Q34" s="112" t="s">
        <v>1764</v>
      </c>
      <c r="R34" s="112" t="s">
        <v>1765</v>
      </c>
    </row>
    <row r="35" spans="1:18">
      <c r="A35" s="112" t="s">
        <v>1775</v>
      </c>
      <c r="B35" s="112" t="s">
        <v>1743</v>
      </c>
      <c r="C35" s="112" t="s">
        <v>1706</v>
      </c>
      <c r="D35" s="112">
        <v>55</v>
      </c>
      <c r="E35" s="112" t="s">
        <v>1707</v>
      </c>
      <c r="F35" s="112" t="s">
        <v>440</v>
      </c>
      <c r="G35" s="112">
        <v>1.5658319769133999</v>
      </c>
      <c r="H35" s="112">
        <v>1.4344540293971</v>
      </c>
      <c r="I35" s="112">
        <v>1.55519101695874</v>
      </c>
      <c r="J35" s="112" t="s">
        <v>848</v>
      </c>
      <c r="K35" s="112" t="s">
        <v>1744</v>
      </c>
      <c r="L35" s="112">
        <v>6.3927625719427204E-3</v>
      </c>
      <c r="M35" s="229">
        <v>1.5021003970010501E-4</v>
      </c>
      <c r="N35" s="112" t="s">
        <v>1775</v>
      </c>
      <c r="O35" s="112" t="s">
        <v>1715</v>
      </c>
      <c r="P35" s="112" t="s">
        <v>1715</v>
      </c>
      <c r="Q35" s="112" t="s">
        <v>1776</v>
      </c>
      <c r="R35" s="112" t="s">
        <v>1752</v>
      </c>
    </row>
    <row r="36" spans="1:18">
      <c r="A36" s="112" t="s">
        <v>1740</v>
      </c>
      <c r="B36" s="112" t="s">
        <v>1762</v>
      </c>
      <c r="C36" s="112" t="s">
        <v>1706</v>
      </c>
      <c r="D36" s="112">
        <v>55</v>
      </c>
      <c r="E36" s="112" t="s">
        <v>1707</v>
      </c>
      <c r="F36" s="112" t="s">
        <v>1708</v>
      </c>
      <c r="G36" s="112">
        <v>2.4254075409551201</v>
      </c>
      <c r="H36" s="112">
        <v>1.9927021057085901</v>
      </c>
      <c r="I36" s="112">
        <v>0.47581362542463901</v>
      </c>
      <c r="J36" s="112" t="s">
        <v>848</v>
      </c>
      <c r="K36" s="112" t="s">
        <v>1763</v>
      </c>
      <c r="L36" s="112">
        <v>6.4494669947580399E-3</v>
      </c>
      <c r="M36" s="229">
        <v>1.4657879533540999E-4</v>
      </c>
      <c r="N36" s="112" t="s">
        <v>1740</v>
      </c>
      <c r="O36" s="112" t="s">
        <v>1715</v>
      </c>
      <c r="P36" s="112" t="s">
        <v>1715</v>
      </c>
      <c r="Q36" s="112" t="s">
        <v>1741</v>
      </c>
      <c r="R36" s="112" t="s">
        <v>1742</v>
      </c>
    </row>
    <row r="37" spans="1:18">
      <c r="A37" s="112" t="s">
        <v>1777</v>
      </c>
      <c r="B37" s="112" t="s">
        <v>1705</v>
      </c>
      <c r="C37" s="112" t="s">
        <v>1706</v>
      </c>
      <c r="D37" s="112">
        <v>80</v>
      </c>
      <c r="E37" s="112" t="s">
        <v>1707</v>
      </c>
      <c r="F37" s="112" t="s">
        <v>1708</v>
      </c>
      <c r="G37" s="112">
        <v>-4.5238120784354896</v>
      </c>
      <c r="H37" s="112">
        <v>-3.0174565120444399</v>
      </c>
      <c r="I37" s="112">
        <v>0</v>
      </c>
      <c r="J37" s="112">
        <v>1</v>
      </c>
      <c r="K37" s="112" t="s">
        <v>1709</v>
      </c>
      <c r="L37" s="112">
        <v>6.5771536987923899E-3</v>
      </c>
      <c r="M37" s="229">
        <v>3.9664852350173397E-4</v>
      </c>
      <c r="N37" s="112" t="s">
        <v>1777</v>
      </c>
      <c r="O37" s="112" t="s">
        <v>1715</v>
      </c>
      <c r="P37" s="112" t="s">
        <v>1715</v>
      </c>
      <c r="Q37" s="112" t="s">
        <v>1778</v>
      </c>
    </row>
    <row r="38" spans="1:18">
      <c r="A38" s="112" t="s">
        <v>1730</v>
      </c>
      <c r="B38" s="112" t="s">
        <v>1743</v>
      </c>
      <c r="C38" s="112" t="s">
        <v>1706</v>
      </c>
      <c r="D38" s="112">
        <v>55</v>
      </c>
      <c r="E38" s="112" t="s">
        <v>1707</v>
      </c>
      <c r="F38" s="112" t="s">
        <v>440</v>
      </c>
      <c r="G38" s="112">
        <v>2.6554511210254299</v>
      </c>
      <c r="H38" s="112">
        <v>2.1642792656727501</v>
      </c>
      <c r="I38" s="112">
        <v>0.94026220254972803</v>
      </c>
      <c r="J38" s="112" t="s">
        <v>848</v>
      </c>
      <c r="K38" s="112" t="s">
        <v>1744</v>
      </c>
      <c r="L38" s="112">
        <v>7.0142110986796697E-3</v>
      </c>
      <c r="M38" s="229">
        <v>1.7450697964925199E-4</v>
      </c>
      <c r="N38" s="112" t="s">
        <v>1730</v>
      </c>
      <c r="O38" s="112" t="s">
        <v>1715</v>
      </c>
      <c r="P38" s="112" t="s">
        <v>1715</v>
      </c>
      <c r="Q38" s="112" t="s">
        <v>1733</v>
      </c>
      <c r="R38" s="112" t="s">
        <v>1734</v>
      </c>
    </row>
    <row r="39" spans="1:18">
      <c r="A39" s="112" t="s">
        <v>1779</v>
      </c>
      <c r="B39" s="112" t="s">
        <v>1705</v>
      </c>
      <c r="C39" s="112" t="s">
        <v>1706</v>
      </c>
      <c r="D39" s="112">
        <v>80</v>
      </c>
      <c r="E39" s="112" t="s">
        <v>1707</v>
      </c>
      <c r="F39" s="112" t="s">
        <v>1708</v>
      </c>
      <c r="G39" s="112">
        <v>-3.4036040803451799</v>
      </c>
      <c r="H39" s="112">
        <v>-2.5744440378393301</v>
      </c>
      <c r="I39" s="112">
        <v>-5.5649727872579398</v>
      </c>
      <c r="J39" s="112" t="s">
        <v>848</v>
      </c>
      <c r="K39" s="112" t="s">
        <v>1709</v>
      </c>
      <c r="L39" s="112">
        <v>7.3876603983511098E-3</v>
      </c>
      <c r="M39" s="229">
        <v>4.5933888529888102E-4</v>
      </c>
      <c r="N39" s="112" t="s">
        <v>1779</v>
      </c>
      <c r="O39" s="112" t="s">
        <v>1715</v>
      </c>
      <c r="P39" s="112" t="s">
        <v>1715</v>
      </c>
      <c r="Q39" s="112" t="s">
        <v>1780</v>
      </c>
      <c r="R39" s="112" t="s">
        <v>1718</v>
      </c>
    </row>
    <row r="40" spans="1:18">
      <c r="A40" s="112" t="s">
        <v>1757</v>
      </c>
      <c r="B40" s="112" t="s">
        <v>1748</v>
      </c>
      <c r="C40" s="112" t="s">
        <v>1706</v>
      </c>
      <c r="D40" s="112">
        <v>80</v>
      </c>
      <c r="E40" s="112" t="s">
        <v>1707</v>
      </c>
      <c r="F40" s="112" t="s">
        <v>440</v>
      </c>
      <c r="G40" s="112">
        <v>4.8064540827125199</v>
      </c>
      <c r="H40" s="112">
        <v>3.4286293761786601</v>
      </c>
      <c r="I40" s="112">
        <v>2.1903856476147499</v>
      </c>
      <c r="J40" s="112" t="s">
        <v>848</v>
      </c>
      <c r="K40" s="112" t="s">
        <v>1749</v>
      </c>
      <c r="L40" s="112">
        <v>8.2348025789487998E-3</v>
      </c>
      <c r="M40" s="229">
        <v>3.25057996537453E-4</v>
      </c>
      <c r="N40" s="112" t="s">
        <v>1757</v>
      </c>
      <c r="O40" s="112" t="s">
        <v>1715</v>
      </c>
      <c r="P40" s="112" t="s">
        <v>1715</v>
      </c>
      <c r="Q40" s="112" t="s">
        <v>1758</v>
      </c>
      <c r="R40" s="112" t="s">
        <v>1729</v>
      </c>
    </row>
    <row r="41" spans="1:18">
      <c r="A41" s="112" t="s">
        <v>1781</v>
      </c>
      <c r="B41" s="112" t="s">
        <v>1705</v>
      </c>
      <c r="C41" s="112" t="s">
        <v>1706</v>
      </c>
      <c r="D41" s="112">
        <v>80</v>
      </c>
      <c r="E41" s="112" t="s">
        <v>1707</v>
      </c>
      <c r="F41" s="112" t="s">
        <v>1708</v>
      </c>
      <c r="G41" s="112">
        <v>3.5813344907846401</v>
      </c>
      <c r="H41" s="112">
        <v>2.6258289676529301</v>
      </c>
      <c r="I41" s="112">
        <v>1.58528413598174</v>
      </c>
      <c r="J41" s="112" t="s">
        <v>848</v>
      </c>
      <c r="K41" s="112" t="s">
        <v>1709</v>
      </c>
      <c r="L41" s="112">
        <v>8.3358688074199293E-3</v>
      </c>
      <c r="M41" s="229">
        <v>5.5298252505362399E-4</v>
      </c>
      <c r="N41" s="112" t="s">
        <v>1781</v>
      </c>
      <c r="O41" s="112" t="s">
        <v>1715</v>
      </c>
      <c r="P41" s="112" t="s">
        <v>1767</v>
      </c>
      <c r="Q41" s="112" t="s">
        <v>1782</v>
      </c>
    </row>
    <row r="42" spans="1:18">
      <c r="A42" s="112" t="s">
        <v>1750</v>
      </c>
      <c r="B42" s="112" t="s">
        <v>1748</v>
      </c>
      <c r="C42" s="112" t="s">
        <v>1706</v>
      </c>
      <c r="D42" s="112">
        <v>80</v>
      </c>
      <c r="E42" s="112" t="s">
        <v>1707</v>
      </c>
      <c r="F42" s="112" t="s">
        <v>440</v>
      </c>
      <c r="G42" s="112">
        <v>-5.5825033227959304</v>
      </c>
      <c r="H42" s="112">
        <v>-3.6723558855272098</v>
      </c>
      <c r="I42" s="112">
        <v>0</v>
      </c>
      <c r="J42" s="112">
        <v>1</v>
      </c>
      <c r="K42" s="112" t="s">
        <v>1749</v>
      </c>
      <c r="L42" s="112">
        <v>8.3788363888594505E-3</v>
      </c>
      <c r="M42" s="229">
        <v>3.3533720196641398E-4</v>
      </c>
      <c r="N42" s="112" t="s">
        <v>1750</v>
      </c>
      <c r="O42" s="112" t="s">
        <v>1715</v>
      </c>
      <c r="P42" s="112" t="s">
        <v>1715</v>
      </c>
      <c r="Q42" s="112" t="s">
        <v>1751</v>
      </c>
      <c r="R42" s="112" t="s">
        <v>1752</v>
      </c>
    </row>
    <row r="43" spans="1:18">
      <c r="A43" s="112" t="s">
        <v>1783</v>
      </c>
      <c r="B43" s="112" t="s">
        <v>1705</v>
      </c>
      <c r="C43" s="112" t="s">
        <v>1706</v>
      </c>
      <c r="D43" s="112">
        <v>80</v>
      </c>
      <c r="E43" s="112" t="s">
        <v>1707</v>
      </c>
      <c r="F43" s="112" t="s">
        <v>1708</v>
      </c>
      <c r="G43" s="112">
        <v>4.6084170081565201</v>
      </c>
      <c r="H43" s="112">
        <v>2.9510201979365598</v>
      </c>
      <c r="I43" s="112">
        <v>1.76125133152392</v>
      </c>
      <c r="J43" s="112" t="s">
        <v>848</v>
      </c>
      <c r="K43" s="112" t="s">
        <v>1709</v>
      </c>
      <c r="L43" s="112">
        <v>8.6734980719827808E-3</v>
      </c>
      <c r="M43" s="229">
        <v>5.8013528770937397E-4</v>
      </c>
      <c r="N43" s="112" t="s">
        <v>1783</v>
      </c>
      <c r="O43" s="112" t="s">
        <v>1715</v>
      </c>
      <c r="P43" s="112" t="s">
        <v>1715</v>
      </c>
      <c r="Q43" s="112" t="s">
        <v>1784</v>
      </c>
      <c r="R43" s="112" t="s">
        <v>1785</v>
      </c>
    </row>
    <row r="44" spans="1:18">
      <c r="A44" s="112" t="s">
        <v>1775</v>
      </c>
      <c r="B44" s="112" t="s">
        <v>1755</v>
      </c>
      <c r="C44" s="112" t="s">
        <v>1706</v>
      </c>
      <c r="D44" s="112">
        <v>30</v>
      </c>
      <c r="E44" s="112" t="s">
        <v>1707</v>
      </c>
      <c r="F44" s="112" t="s">
        <v>1721</v>
      </c>
      <c r="G44" s="112">
        <v>-2.2427138281350101</v>
      </c>
      <c r="H44" s="112">
        <v>-1.80159323316271</v>
      </c>
      <c r="I44" s="112">
        <v>-2.9998563449997699</v>
      </c>
      <c r="J44" s="112" t="s">
        <v>848</v>
      </c>
      <c r="K44" s="112" t="s">
        <v>1756</v>
      </c>
      <c r="L44" s="112">
        <v>8.7366157552671801E-3</v>
      </c>
      <c r="M44" s="229">
        <v>3.4029743402868998E-4</v>
      </c>
      <c r="N44" s="112" t="s">
        <v>1775</v>
      </c>
      <c r="O44" s="112" t="s">
        <v>1715</v>
      </c>
      <c r="P44" s="112" t="s">
        <v>1715</v>
      </c>
      <c r="Q44" s="112" t="s">
        <v>1776</v>
      </c>
      <c r="R44" s="112" t="s">
        <v>1752</v>
      </c>
    </row>
    <row r="45" spans="1:18">
      <c r="A45" s="112" t="s">
        <v>1786</v>
      </c>
      <c r="B45" s="112" t="s">
        <v>1705</v>
      </c>
      <c r="C45" s="112" t="s">
        <v>1706</v>
      </c>
      <c r="D45" s="112">
        <v>80</v>
      </c>
      <c r="E45" s="112" t="s">
        <v>1707</v>
      </c>
      <c r="F45" s="112" t="s">
        <v>1708</v>
      </c>
      <c r="G45" s="112">
        <v>-4.2810433142618596</v>
      </c>
      <c r="H45" s="112">
        <v>-2.8576773139254898</v>
      </c>
      <c r="I45" s="112">
        <v>0</v>
      </c>
      <c r="J45" s="112">
        <v>1</v>
      </c>
      <c r="K45" s="112" t="s">
        <v>1709</v>
      </c>
      <c r="L45" s="112">
        <v>8.7504315210601997E-3</v>
      </c>
      <c r="M45" s="229">
        <v>5.9775017008670403E-4</v>
      </c>
      <c r="N45" s="112" t="s">
        <v>1786</v>
      </c>
      <c r="O45" s="112" t="s">
        <v>1715</v>
      </c>
      <c r="P45" s="112" t="s">
        <v>1715</v>
      </c>
      <c r="Q45" s="112" t="s">
        <v>1787</v>
      </c>
      <c r="R45" s="112" t="s">
        <v>1729</v>
      </c>
    </row>
    <row r="46" spans="1:18">
      <c r="A46" s="112" t="s">
        <v>1740</v>
      </c>
      <c r="B46" s="112" t="s">
        <v>1720</v>
      </c>
      <c r="C46" s="112" t="s">
        <v>1706</v>
      </c>
      <c r="D46" s="112">
        <v>55</v>
      </c>
      <c r="E46" s="112" t="s">
        <v>1707</v>
      </c>
      <c r="F46" s="112" t="s">
        <v>1721</v>
      </c>
      <c r="G46" s="112">
        <v>2.3735869320789602</v>
      </c>
      <c r="H46" s="112">
        <v>1.93229311291309</v>
      </c>
      <c r="I46" s="112">
        <v>0.14993557107896799</v>
      </c>
      <c r="J46" s="112" t="s">
        <v>848</v>
      </c>
      <c r="K46" s="112" t="s">
        <v>1722</v>
      </c>
      <c r="L46" s="112">
        <v>9.0890339299145098E-3</v>
      </c>
      <c r="M46" s="112">
        <v>2.0065535201888E-4</v>
      </c>
      <c r="N46" s="112" t="s">
        <v>1740</v>
      </c>
      <c r="O46" s="112" t="s">
        <v>1715</v>
      </c>
      <c r="P46" s="112" t="s">
        <v>1715</v>
      </c>
      <c r="Q46" s="112" t="s">
        <v>1741</v>
      </c>
      <c r="R46" s="112" t="s">
        <v>1742</v>
      </c>
    </row>
    <row r="47" spans="1:18">
      <c r="A47" s="112" t="s">
        <v>1759</v>
      </c>
      <c r="B47" s="112" t="s">
        <v>1705</v>
      </c>
      <c r="C47" s="112" t="s">
        <v>1706</v>
      </c>
      <c r="D47" s="112">
        <v>80</v>
      </c>
      <c r="E47" s="112" t="s">
        <v>1707</v>
      </c>
      <c r="F47" s="112" t="s">
        <v>1708</v>
      </c>
      <c r="G47" s="112">
        <v>2.5963118947989399</v>
      </c>
      <c r="H47" s="112">
        <v>2.1014145210320998</v>
      </c>
      <c r="I47" s="112">
        <v>1.20261498315874</v>
      </c>
      <c r="J47" s="112" t="s">
        <v>848</v>
      </c>
      <c r="K47" s="112" t="s">
        <v>1709</v>
      </c>
      <c r="L47" s="112">
        <v>9.1495896993847199E-3</v>
      </c>
      <c r="M47" s="229">
        <v>6.4207647013226103E-4</v>
      </c>
      <c r="N47" s="112" t="s">
        <v>1759</v>
      </c>
      <c r="O47" s="112" t="s">
        <v>1715</v>
      </c>
      <c r="P47" s="112" t="s">
        <v>1715</v>
      </c>
      <c r="Q47" s="112" t="s">
        <v>1760</v>
      </c>
      <c r="R47" s="112" t="s">
        <v>1747</v>
      </c>
    </row>
    <row r="48" spans="1:18">
      <c r="A48" s="112" t="s">
        <v>1788</v>
      </c>
      <c r="B48" s="112" t="s">
        <v>1731</v>
      </c>
      <c r="C48" s="112" t="s">
        <v>1706</v>
      </c>
      <c r="D48" s="112">
        <v>30</v>
      </c>
      <c r="E48" s="112" t="s">
        <v>1707</v>
      </c>
      <c r="F48" s="112" t="s">
        <v>1708</v>
      </c>
      <c r="G48" s="112">
        <v>-1.9653850846729399</v>
      </c>
      <c r="H48" s="112">
        <v>-1.4541229610167401</v>
      </c>
      <c r="I48" s="112">
        <v>-2.3518683030023801</v>
      </c>
      <c r="J48" s="112" t="s">
        <v>848</v>
      </c>
      <c r="K48" s="112" t="s">
        <v>1732</v>
      </c>
      <c r="L48" s="112">
        <v>9.1620589364671996E-3</v>
      </c>
      <c r="M48" s="229">
        <v>5.4622767904216195E-4</v>
      </c>
      <c r="N48" s="112" t="s">
        <v>1788</v>
      </c>
      <c r="O48" s="112" t="s">
        <v>1715</v>
      </c>
      <c r="P48" s="112" t="s">
        <v>1715</v>
      </c>
      <c r="Q48" s="112" t="s">
        <v>1789</v>
      </c>
      <c r="R48" s="112" t="s">
        <v>1734</v>
      </c>
    </row>
    <row r="49" spans="1:18">
      <c r="A49" s="112" t="s">
        <v>1790</v>
      </c>
      <c r="B49" s="112" t="s">
        <v>1705</v>
      </c>
      <c r="C49" s="112" t="s">
        <v>1706</v>
      </c>
      <c r="D49" s="112">
        <v>80</v>
      </c>
      <c r="E49" s="112" t="s">
        <v>1707</v>
      </c>
      <c r="F49" s="112" t="s">
        <v>1708</v>
      </c>
      <c r="G49" s="112">
        <v>-4.46874550727886</v>
      </c>
      <c r="H49" s="112">
        <v>-2.8787963469100299</v>
      </c>
      <c r="I49" s="112">
        <v>0</v>
      </c>
      <c r="J49" s="112">
        <v>1</v>
      </c>
      <c r="K49" s="112" t="s">
        <v>1709</v>
      </c>
      <c r="L49" s="112">
        <v>9.3779813882080999E-3</v>
      </c>
      <c r="M49" s="229">
        <v>6.7660360920667004E-4</v>
      </c>
      <c r="N49" s="112" t="s">
        <v>1790</v>
      </c>
      <c r="O49" s="112" t="s">
        <v>1715</v>
      </c>
      <c r="P49" s="112" t="s">
        <v>1715</v>
      </c>
      <c r="Q49" s="112" t="s">
        <v>1791</v>
      </c>
      <c r="R49" s="112" t="s">
        <v>1752</v>
      </c>
    </row>
    <row r="50" spans="1:18">
      <c r="A50" s="112" t="s">
        <v>1761</v>
      </c>
      <c r="B50" s="112" t="s">
        <v>1748</v>
      </c>
      <c r="C50" s="112" t="s">
        <v>1706</v>
      </c>
      <c r="D50" s="112">
        <v>80</v>
      </c>
      <c r="E50" s="112" t="s">
        <v>1707</v>
      </c>
      <c r="F50" s="112" t="s">
        <v>440</v>
      </c>
      <c r="G50" s="112">
        <v>-5.5486420147557096</v>
      </c>
      <c r="H50" s="112">
        <v>-3.5781975569055202</v>
      </c>
      <c r="I50" s="112">
        <v>0</v>
      </c>
      <c r="J50" s="112">
        <v>1</v>
      </c>
      <c r="K50" s="112" t="s">
        <v>1749</v>
      </c>
      <c r="L50" s="112">
        <v>9.7224329550666504E-3</v>
      </c>
      <c r="M50" s="229">
        <v>4.3708306047996999E-4</v>
      </c>
      <c r="N50" s="112" t="s">
        <v>1761</v>
      </c>
      <c r="O50" s="112" t="s">
        <v>1715</v>
      </c>
      <c r="P50" s="112" t="s">
        <v>1715</v>
      </c>
      <c r="Q50" s="112" t="s">
        <v>1764</v>
      </c>
      <c r="R50" s="112" t="s">
        <v>1765</v>
      </c>
    </row>
    <row r="51" spans="1:18">
      <c r="A51" s="112" t="s">
        <v>1730</v>
      </c>
      <c r="B51" s="112" t="s">
        <v>1755</v>
      </c>
      <c r="C51" s="112" t="s">
        <v>1706</v>
      </c>
      <c r="D51" s="112">
        <v>30</v>
      </c>
      <c r="E51" s="112" t="s">
        <v>1707</v>
      </c>
      <c r="F51" s="112" t="s">
        <v>1721</v>
      </c>
      <c r="G51" s="112">
        <v>3.44773297361326</v>
      </c>
      <c r="H51" s="112">
        <v>2.48931127495936</v>
      </c>
      <c r="I51" s="112">
        <v>1.0632469178086701</v>
      </c>
      <c r="J51" s="112" t="s">
        <v>848</v>
      </c>
      <c r="K51" s="112" t="s">
        <v>1756</v>
      </c>
      <c r="L51" s="112">
        <v>1.0108605929855101E-2</v>
      </c>
      <c r="M51" s="229">
        <v>4.0980834850764001E-4</v>
      </c>
      <c r="N51" s="112" t="s">
        <v>1730</v>
      </c>
      <c r="O51" s="112" t="s">
        <v>1715</v>
      </c>
      <c r="P51" s="112" t="s">
        <v>1715</v>
      </c>
      <c r="Q51" s="112" t="s">
        <v>1733</v>
      </c>
      <c r="R51" s="112" t="s">
        <v>1734</v>
      </c>
    </row>
    <row r="52" spans="1:18">
      <c r="A52" s="112" t="s">
        <v>1792</v>
      </c>
      <c r="B52" s="112" t="s">
        <v>1705</v>
      </c>
      <c r="C52" s="112" t="s">
        <v>1706</v>
      </c>
      <c r="D52" s="112">
        <v>80</v>
      </c>
      <c r="E52" s="112" t="s">
        <v>1707</v>
      </c>
      <c r="F52" s="112" t="s">
        <v>1708</v>
      </c>
      <c r="G52" s="112">
        <v>-3.9495791299049099</v>
      </c>
      <c r="H52" s="112">
        <v>-2.6855912755523801</v>
      </c>
      <c r="I52" s="112">
        <v>0</v>
      </c>
      <c r="J52" s="112">
        <v>1</v>
      </c>
      <c r="K52" s="112" t="s">
        <v>1709</v>
      </c>
      <c r="L52" s="112">
        <v>1.0682590533747101E-2</v>
      </c>
      <c r="M52" s="229">
        <v>8.3124603349712001E-4</v>
      </c>
      <c r="N52" s="112" t="s">
        <v>1792</v>
      </c>
      <c r="O52" s="112" t="s">
        <v>1715</v>
      </c>
      <c r="P52" s="112" t="s">
        <v>1767</v>
      </c>
      <c r="Q52" s="112" t="s">
        <v>1793</v>
      </c>
    </row>
    <row r="53" spans="1:18">
      <c r="A53" s="112" t="s">
        <v>1727</v>
      </c>
      <c r="B53" s="112" t="s">
        <v>1705</v>
      </c>
      <c r="C53" s="112" t="s">
        <v>1706</v>
      </c>
      <c r="D53" s="112">
        <v>80</v>
      </c>
      <c r="E53" s="112" t="s">
        <v>1707</v>
      </c>
      <c r="F53" s="112" t="s">
        <v>1708</v>
      </c>
      <c r="G53" s="112">
        <v>-4.4132572324443204</v>
      </c>
      <c r="H53" s="112">
        <v>-2.8114469830517801</v>
      </c>
      <c r="I53" s="112">
        <v>0</v>
      </c>
      <c r="J53" s="112">
        <v>1</v>
      </c>
      <c r="K53" s="112" t="s">
        <v>1709</v>
      </c>
      <c r="L53" s="112">
        <v>1.0682590533747101E-2</v>
      </c>
      <c r="M53" s="229">
        <v>8.3750572715232501E-4</v>
      </c>
      <c r="N53" s="112" t="s">
        <v>1727</v>
      </c>
      <c r="O53" s="112" t="s">
        <v>1715</v>
      </c>
      <c r="P53" s="112" t="s">
        <v>1715</v>
      </c>
      <c r="Q53" s="112" t="s">
        <v>1728</v>
      </c>
      <c r="R53" s="112" t="s">
        <v>1729</v>
      </c>
    </row>
    <row r="54" spans="1:18">
      <c r="A54" s="112" t="s">
        <v>1792</v>
      </c>
      <c r="B54" s="112" t="s">
        <v>1755</v>
      </c>
      <c r="C54" s="112" t="s">
        <v>1706</v>
      </c>
      <c r="D54" s="112">
        <v>30</v>
      </c>
      <c r="E54" s="112" t="s">
        <v>1707</v>
      </c>
      <c r="F54" s="112" t="s">
        <v>1721</v>
      </c>
      <c r="G54" s="112">
        <v>4.7039183435720497</v>
      </c>
      <c r="H54" s="112">
        <v>3.0805355116251301</v>
      </c>
      <c r="I54" s="112">
        <v>2.6598387515631199</v>
      </c>
      <c r="J54" s="112" t="s">
        <v>848</v>
      </c>
      <c r="K54" s="112" t="s">
        <v>1756</v>
      </c>
      <c r="L54" s="112">
        <v>1.17247679549365E-2</v>
      </c>
      <c r="M54" s="229">
        <v>4.9396876121751601E-4</v>
      </c>
      <c r="N54" s="112" t="s">
        <v>1792</v>
      </c>
      <c r="O54" s="112" t="s">
        <v>1715</v>
      </c>
      <c r="P54" s="112" t="s">
        <v>1767</v>
      </c>
      <c r="Q54" s="112" t="s">
        <v>1793</v>
      </c>
    </row>
    <row r="55" spans="1:18">
      <c r="A55" s="112" t="s">
        <v>1794</v>
      </c>
      <c r="B55" s="112" t="s">
        <v>1705</v>
      </c>
      <c r="C55" s="112" t="s">
        <v>1706</v>
      </c>
      <c r="D55" s="112">
        <v>80</v>
      </c>
      <c r="E55" s="112" t="s">
        <v>1707</v>
      </c>
      <c r="F55" s="112" t="s">
        <v>1708</v>
      </c>
      <c r="G55" s="112">
        <v>-3.8811910962615501</v>
      </c>
      <c r="H55" s="112">
        <v>-2.61615834480369</v>
      </c>
      <c r="I55" s="112">
        <v>0</v>
      </c>
      <c r="J55" s="112">
        <v>1</v>
      </c>
      <c r="K55" s="112" t="s">
        <v>1709</v>
      </c>
      <c r="L55" s="112">
        <v>1.25587868289399E-2</v>
      </c>
      <c r="M55" s="112">
        <v>1.03591179061985E-3</v>
      </c>
      <c r="N55" s="112" t="s">
        <v>1794</v>
      </c>
      <c r="O55" s="112" t="s">
        <v>1715</v>
      </c>
      <c r="P55" s="112" t="s">
        <v>1715</v>
      </c>
      <c r="Q55" s="112" t="s">
        <v>1795</v>
      </c>
      <c r="R55" s="112" t="s">
        <v>1752</v>
      </c>
    </row>
    <row r="56" spans="1:18">
      <c r="A56" s="112" t="s">
        <v>1745</v>
      </c>
      <c r="B56" s="112" t="s">
        <v>1748</v>
      </c>
      <c r="C56" s="112" t="s">
        <v>1706</v>
      </c>
      <c r="D56" s="112">
        <v>80</v>
      </c>
      <c r="E56" s="112" t="s">
        <v>1707</v>
      </c>
      <c r="F56" s="112" t="s">
        <v>440</v>
      </c>
      <c r="G56" s="112">
        <v>-4.2131470945940199</v>
      </c>
      <c r="H56" s="112">
        <v>-3.0184407278698702</v>
      </c>
      <c r="I56" s="112">
        <v>-5.8358372063539399</v>
      </c>
      <c r="J56" s="112" t="s">
        <v>848</v>
      </c>
      <c r="K56" s="112" t="s">
        <v>1749</v>
      </c>
      <c r="L56" s="112">
        <v>1.30006696603823E-2</v>
      </c>
      <c r="M56" s="229">
        <v>6.7429168048031602E-4</v>
      </c>
      <c r="N56" s="112" t="s">
        <v>1745</v>
      </c>
      <c r="O56" s="112" t="s">
        <v>1715</v>
      </c>
      <c r="P56" s="112" t="s">
        <v>1715</v>
      </c>
      <c r="Q56" s="112" t="s">
        <v>1746</v>
      </c>
      <c r="R56" s="112" t="s">
        <v>1747</v>
      </c>
    </row>
    <row r="57" spans="1:18">
      <c r="A57" s="112" t="s">
        <v>1790</v>
      </c>
      <c r="B57" s="112" t="s">
        <v>1748</v>
      </c>
      <c r="C57" s="112" t="s">
        <v>1706</v>
      </c>
      <c r="D57" s="112">
        <v>80</v>
      </c>
      <c r="E57" s="112" t="s">
        <v>1707</v>
      </c>
      <c r="F57" s="112" t="s">
        <v>440</v>
      </c>
      <c r="G57" s="112">
        <v>-5.9720171671319102</v>
      </c>
      <c r="H57" s="112">
        <v>-3.47010727681061</v>
      </c>
      <c r="I57" s="112">
        <v>0</v>
      </c>
      <c r="J57" s="112">
        <v>1</v>
      </c>
      <c r="K57" s="112" t="s">
        <v>1749</v>
      </c>
      <c r="L57" s="112">
        <v>1.35345078189529E-2</v>
      </c>
      <c r="M57" s="229">
        <v>7.1645166789533203E-4</v>
      </c>
      <c r="N57" s="112" t="s">
        <v>1790</v>
      </c>
      <c r="O57" s="112" t="s">
        <v>1715</v>
      </c>
      <c r="P57" s="112" t="s">
        <v>1715</v>
      </c>
      <c r="Q57" s="112" t="s">
        <v>1791</v>
      </c>
      <c r="R57" s="112" t="s">
        <v>1752</v>
      </c>
    </row>
    <row r="58" spans="1:18">
      <c r="A58" s="112" t="s">
        <v>1792</v>
      </c>
      <c r="B58" s="112" t="s">
        <v>1748</v>
      </c>
      <c r="C58" s="112" t="s">
        <v>1706</v>
      </c>
      <c r="D58" s="112">
        <v>80</v>
      </c>
      <c r="E58" s="112" t="s">
        <v>1707</v>
      </c>
      <c r="F58" s="112" t="s">
        <v>440</v>
      </c>
      <c r="G58" s="112">
        <v>-5.3965869238232198</v>
      </c>
      <c r="H58" s="112">
        <v>-3.33297455375827</v>
      </c>
      <c r="I58" s="112">
        <v>0</v>
      </c>
      <c r="J58" s="112">
        <v>1</v>
      </c>
      <c r="K58" s="112" t="s">
        <v>1749</v>
      </c>
      <c r="L58" s="112">
        <v>1.46446078742276E-2</v>
      </c>
      <c r="M58" s="229">
        <v>7.8682651955828303E-4</v>
      </c>
      <c r="N58" s="112" t="s">
        <v>1792</v>
      </c>
      <c r="O58" s="112" t="s">
        <v>1715</v>
      </c>
      <c r="P58" s="112" t="s">
        <v>1767</v>
      </c>
      <c r="Q58" s="112" t="s">
        <v>1793</v>
      </c>
    </row>
    <row r="59" spans="1:18">
      <c r="A59" s="112" t="s">
        <v>1727</v>
      </c>
      <c r="B59" s="112" t="s">
        <v>1748</v>
      </c>
      <c r="C59" s="112" t="s">
        <v>1706</v>
      </c>
      <c r="D59" s="112">
        <v>80</v>
      </c>
      <c r="E59" s="112" t="s">
        <v>1707</v>
      </c>
      <c r="F59" s="112" t="s">
        <v>440</v>
      </c>
      <c r="G59" s="112">
        <v>-5.9161349248217698</v>
      </c>
      <c r="H59" s="112">
        <v>-3.3986582818960001</v>
      </c>
      <c r="I59" s="112">
        <v>0</v>
      </c>
      <c r="J59" s="112">
        <v>1</v>
      </c>
      <c r="K59" s="112" t="s">
        <v>1749</v>
      </c>
      <c r="L59" s="112">
        <v>1.5252308981769399E-2</v>
      </c>
      <c r="M59" s="229">
        <v>8.2815443497247395E-4</v>
      </c>
      <c r="N59" s="112" t="s">
        <v>1727</v>
      </c>
      <c r="O59" s="112" t="s">
        <v>1715</v>
      </c>
      <c r="P59" s="112" t="s">
        <v>1715</v>
      </c>
      <c r="Q59" s="112" t="s">
        <v>1728</v>
      </c>
      <c r="R59" s="112" t="s">
        <v>1729</v>
      </c>
    </row>
    <row r="60" spans="1:18">
      <c r="A60" s="112" t="s">
        <v>1794</v>
      </c>
      <c r="B60" s="112" t="s">
        <v>1762</v>
      </c>
      <c r="C60" s="112" t="s">
        <v>1706</v>
      </c>
      <c r="D60" s="112">
        <v>55</v>
      </c>
      <c r="E60" s="112" t="s">
        <v>1707</v>
      </c>
      <c r="F60" s="112" t="s">
        <v>1708</v>
      </c>
      <c r="G60" s="112">
        <v>2.8977498628109202</v>
      </c>
      <c r="H60" s="112">
        <v>2.0406612431862099</v>
      </c>
      <c r="I60" s="112">
        <v>1.1845700705945099</v>
      </c>
      <c r="J60" s="112" t="s">
        <v>848</v>
      </c>
      <c r="K60" s="112" t="s">
        <v>1763</v>
      </c>
      <c r="L60" s="112">
        <v>1.6075647977437098E-2</v>
      </c>
      <c r="M60" s="229">
        <v>4.7240559149109402E-4</v>
      </c>
      <c r="N60" s="112" t="s">
        <v>1794</v>
      </c>
      <c r="O60" s="112" t="s">
        <v>1715</v>
      </c>
      <c r="P60" s="112" t="s">
        <v>1715</v>
      </c>
      <c r="Q60" s="112" t="s">
        <v>1795</v>
      </c>
      <c r="R60" s="112" t="s">
        <v>1752</v>
      </c>
    </row>
    <row r="61" spans="1:18">
      <c r="A61" s="112" t="s">
        <v>1794</v>
      </c>
      <c r="B61" s="112" t="s">
        <v>1748</v>
      </c>
      <c r="C61" s="112" t="s">
        <v>1706</v>
      </c>
      <c r="D61" s="112">
        <v>80</v>
      </c>
      <c r="E61" s="112" t="s">
        <v>1707</v>
      </c>
      <c r="F61" s="112" t="s">
        <v>440</v>
      </c>
      <c r="G61" s="112">
        <v>-5.3288122572237304</v>
      </c>
      <c r="H61" s="112">
        <v>-3.2557845652349302</v>
      </c>
      <c r="I61" s="112">
        <v>0</v>
      </c>
      <c r="J61" s="112">
        <v>1</v>
      </c>
      <c r="K61" s="112" t="s">
        <v>1749</v>
      </c>
      <c r="L61" s="112">
        <v>1.6403589198404601E-2</v>
      </c>
      <c r="M61" s="229">
        <v>9.2629917074324496E-4</v>
      </c>
      <c r="N61" s="112" t="s">
        <v>1794</v>
      </c>
      <c r="O61" s="112" t="s">
        <v>1715</v>
      </c>
      <c r="P61" s="112" t="s">
        <v>1715</v>
      </c>
      <c r="Q61" s="112" t="s">
        <v>1795</v>
      </c>
      <c r="R61" s="112" t="s">
        <v>1752</v>
      </c>
    </row>
    <row r="62" spans="1:18">
      <c r="A62" s="112" t="s">
        <v>1737</v>
      </c>
      <c r="B62" s="112" t="s">
        <v>1796</v>
      </c>
      <c r="C62" s="112" t="s">
        <v>1706</v>
      </c>
      <c r="D62" s="112">
        <v>80</v>
      </c>
      <c r="E62" s="112" t="s">
        <v>1707</v>
      </c>
      <c r="F62" s="112" t="s">
        <v>1721</v>
      </c>
      <c r="G62" s="112">
        <v>-4.2418292538882199</v>
      </c>
      <c r="H62" s="112">
        <v>-2.68094512657993</v>
      </c>
      <c r="I62" s="112">
        <v>-7.8523031817783098</v>
      </c>
      <c r="J62" s="112" t="s">
        <v>848</v>
      </c>
      <c r="K62" s="112" t="s">
        <v>1797</v>
      </c>
      <c r="L62" s="112">
        <v>1.70099789794796E-2</v>
      </c>
      <c r="M62" s="229">
        <v>5.6616054295605296E-4</v>
      </c>
      <c r="N62" s="112" t="s">
        <v>1737</v>
      </c>
      <c r="O62" s="112" t="s">
        <v>1715</v>
      </c>
      <c r="P62" s="112" t="s">
        <v>1715</v>
      </c>
      <c r="Q62" s="112" t="s">
        <v>1738</v>
      </c>
      <c r="R62" s="112" t="s">
        <v>1739</v>
      </c>
    </row>
    <row r="63" spans="1:18">
      <c r="A63" s="112" t="s">
        <v>1798</v>
      </c>
      <c r="B63" s="112" t="s">
        <v>1705</v>
      </c>
      <c r="C63" s="112" t="s">
        <v>1706</v>
      </c>
      <c r="D63" s="112">
        <v>80</v>
      </c>
      <c r="E63" s="112" t="s">
        <v>1707</v>
      </c>
      <c r="F63" s="112" t="s">
        <v>1708</v>
      </c>
      <c r="G63" s="112">
        <v>-4.11826247323578</v>
      </c>
      <c r="H63" s="112">
        <v>-2.5758402437463799</v>
      </c>
      <c r="I63" s="112">
        <v>-7.1109051095178604</v>
      </c>
      <c r="J63" s="112" t="s">
        <v>848</v>
      </c>
      <c r="K63" s="112" t="s">
        <v>1709</v>
      </c>
      <c r="L63" s="112">
        <v>1.7126676827078101E-2</v>
      </c>
      <c r="M63" s="112">
        <v>1.5680674507248E-3</v>
      </c>
      <c r="N63" s="112" t="s">
        <v>1798</v>
      </c>
      <c r="O63" s="112" t="s">
        <v>1715</v>
      </c>
      <c r="P63" s="112" t="s">
        <v>1715</v>
      </c>
      <c r="Q63" s="112" t="s">
        <v>1799</v>
      </c>
      <c r="R63" s="112" t="s">
        <v>1734</v>
      </c>
    </row>
    <row r="64" spans="1:18">
      <c r="A64" s="112" t="s">
        <v>1800</v>
      </c>
      <c r="B64" s="112" t="s">
        <v>1705</v>
      </c>
      <c r="C64" s="112" t="s">
        <v>1706</v>
      </c>
      <c r="D64" s="112">
        <v>80</v>
      </c>
      <c r="E64" s="112" t="s">
        <v>1707</v>
      </c>
      <c r="F64" s="112" t="s">
        <v>1708</v>
      </c>
      <c r="G64" s="112">
        <v>4.7173633461456399</v>
      </c>
      <c r="H64" s="112">
        <v>2.6708682913761299</v>
      </c>
      <c r="I64" s="112">
        <v>2.5121689126343298</v>
      </c>
      <c r="J64" s="112" t="s">
        <v>848</v>
      </c>
      <c r="K64" s="112" t="s">
        <v>1709</v>
      </c>
      <c r="L64" s="112">
        <v>1.73641270787422E-2</v>
      </c>
      <c r="M64" s="112">
        <v>1.61165249393773E-3</v>
      </c>
      <c r="N64" s="112" t="s">
        <v>1800</v>
      </c>
      <c r="O64" s="112" t="s">
        <v>1715</v>
      </c>
      <c r="P64" s="112" t="s">
        <v>1767</v>
      </c>
      <c r="Q64" s="112" t="s">
        <v>1801</v>
      </c>
    </row>
    <row r="65" spans="1:18">
      <c r="A65" s="112" t="s">
        <v>1802</v>
      </c>
      <c r="B65" s="112" t="s">
        <v>1731</v>
      </c>
      <c r="C65" s="112" t="s">
        <v>1706</v>
      </c>
      <c r="D65" s="112">
        <v>30</v>
      </c>
      <c r="E65" s="112" t="s">
        <v>1707</v>
      </c>
      <c r="F65" s="112" t="s">
        <v>1708</v>
      </c>
      <c r="G65" s="112">
        <v>-1.1886056925859201</v>
      </c>
      <c r="H65" s="112">
        <v>-0.96338314629555699</v>
      </c>
      <c r="I65" s="112">
        <v>-1.40439747373559</v>
      </c>
      <c r="J65" s="112" t="s">
        <v>848</v>
      </c>
      <c r="K65" s="112" t="s">
        <v>1732</v>
      </c>
      <c r="L65" s="112">
        <v>2.1221311164416098E-2</v>
      </c>
      <c r="M65" s="112">
        <v>1.63630141728805E-3</v>
      </c>
      <c r="N65" s="112" t="s">
        <v>1802</v>
      </c>
      <c r="O65" s="112" t="s">
        <v>1715</v>
      </c>
      <c r="P65" s="112" t="s">
        <v>1715</v>
      </c>
      <c r="Q65" s="112" t="s">
        <v>1803</v>
      </c>
      <c r="R65" s="112" t="s">
        <v>1734</v>
      </c>
    </row>
    <row r="66" spans="1:18">
      <c r="A66" s="112" t="s">
        <v>1804</v>
      </c>
      <c r="B66" s="112" t="s">
        <v>1796</v>
      </c>
      <c r="C66" s="112" t="s">
        <v>1706</v>
      </c>
      <c r="D66" s="112">
        <v>80</v>
      </c>
      <c r="E66" s="112" t="s">
        <v>1707</v>
      </c>
      <c r="F66" s="112" t="s">
        <v>1721</v>
      </c>
      <c r="G66" s="112">
        <v>2.0249458102831901</v>
      </c>
      <c r="H66" s="112">
        <v>1.3986854609614301</v>
      </c>
      <c r="I66" s="112">
        <v>1.63112790993694</v>
      </c>
      <c r="J66" s="112" t="s">
        <v>848</v>
      </c>
      <c r="K66" s="112" t="s">
        <v>1797</v>
      </c>
      <c r="L66" s="112">
        <v>2.53016659494524E-2</v>
      </c>
      <c r="M66" s="112">
        <v>1.1824526203852699E-3</v>
      </c>
      <c r="N66" s="112" t="s">
        <v>1804</v>
      </c>
      <c r="O66" s="112" t="s">
        <v>1715</v>
      </c>
      <c r="P66" s="112" t="s">
        <v>1715</v>
      </c>
      <c r="Q66" s="112" t="s">
        <v>1805</v>
      </c>
      <c r="R66" s="112" t="s">
        <v>1718</v>
      </c>
    </row>
    <row r="67" spans="1:18">
      <c r="A67" s="112" t="s">
        <v>1730</v>
      </c>
      <c r="B67" s="112" t="s">
        <v>1762</v>
      </c>
      <c r="C67" s="112" t="s">
        <v>1706</v>
      </c>
      <c r="D67" s="112">
        <v>55</v>
      </c>
      <c r="E67" s="112" t="s">
        <v>1707</v>
      </c>
      <c r="F67" s="112" t="s">
        <v>1708</v>
      </c>
      <c r="G67" s="112">
        <v>2.0688036904043701</v>
      </c>
      <c r="H67" s="112">
        <v>1.58304094609048</v>
      </c>
      <c r="I67" s="112">
        <v>-7.9938881205846996E-2</v>
      </c>
      <c r="J67" s="112" t="s">
        <v>848</v>
      </c>
      <c r="K67" s="112" t="s">
        <v>1763</v>
      </c>
      <c r="L67" s="112">
        <v>2.6499982168502301E-2</v>
      </c>
      <c r="M67" s="229">
        <v>8.7759681207377803E-4</v>
      </c>
      <c r="N67" s="112" t="s">
        <v>1730</v>
      </c>
      <c r="O67" s="112" t="s">
        <v>1715</v>
      </c>
      <c r="P67" s="112" t="s">
        <v>1715</v>
      </c>
      <c r="Q67" s="112" t="s">
        <v>1733</v>
      </c>
      <c r="R67" s="112" t="s">
        <v>1734</v>
      </c>
    </row>
    <row r="68" spans="1:18">
      <c r="A68" s="112" t="s">
        <v>1806</v>
      </c>
      <c r="B68" s="112" t="s">
        <v>1735</v>
      </c>
      <c r="C68" s="112" t="s">
        <v>1706</v>
      </c>
      <c r="D68" s="112">
        <v>30</v>
      </c>
      <c r="E68" s="112" t="s">
        <v>1707</v>
      </c>
      <c r="F68" s="112" t="s">
        <v>440</v>
      </c>
      <c r="G68" s="112">
        <v>4.4012866483154598</v>
      </c>
      <c r="H68" s="112">
        <v>2.2017835483668402</v>
      </c>
      <c r="I68" s="112">
        <v>2.0355353019745599</v>
      </c>
      <c r="J68" s="112" t="s">
        <v>848</v>
      </c>
      <c r="K68" s="112" t="s">
        <v>1736</v>
      </c>
      <c r="L68" s="112">
        <v>2.7556636046755501E-2</v>
      </c>
      <c r="M68" s="229">
        <v>6.4963560855838096E-4</v>
      </c>
      <c r="N68" s="112" t="s">
        <v>1806</v>
      </c>
      <c r="O68" s="112" t="s">
        <v>1715</v>
      </c>
      <c r="P68" s="112" t="s">
        <v>1715</v>
      </c>
      <c r="Q68" s="112" t="s">
        <v>1807</v>
      </c>
      <c r="R68" s="112" t="s">
        <v>1808</v>
      </c>
    </row>
    <row r="69" spans="1:18">
      <c r="A69" s="112" t="s">
        <v>1809</v>
      </c>
      <c r="B69" s="112" t="s">
        <v>1720</v>
      </c>
      <c r="C69" s="112" t="s">
        <v>1706</v>
      </c>
      <c r="D69" s="112">
        <v>55</v>
      </c>
      <c r="E69" s="112" t="s">
        <v>1707</v>
      </c>
      <c r="F69" s="112" t="s">
        <v>1721</v>
      </c>
      <c r="G69" s="112">
        <v>5.1649210854876797</v>
      </c>
      <c r="H69" s="112">
        <v>1.9298989933798201</v>
      </c>
      <c r="I69" s="112">
        <v>2.2934784651240401</v>
      </c>
      <c r="J69" s="112" t="s">
        <v>848</v>
      </c>
      <c r="K69" s="112" t="s">
        <v>1722</v>
      </c>
      <c r="L69" s="112">
        <v>3.05214676297072E-2</v>
      </c>
      <c r="M69" s="229">
        <v>9.5379586342834999E-4</v>
      </c>
      <c r="N69" s="112" t="s">
        <v>1809</v>
      </c>
      <c r="O69" s="112" t="s">
        <v>1715</v>
      </c>
      <c r="P69" s="112" t="s">
        <v>1767</v>
      </c>
      <c r="Q69" s="112" t="s">
        <v>1810</v>
      </c>
      <c r="R69" s="112" t="s">
        <v>1811</v>
      </c>
    </row>
    <row r="70" spans="1:18">
      <c r="A70" s="112" t="s">
        <v>1812</v>
      </c>
      <c r="B70" s="112" t="s">
        <v>1755</v>
      </c>
      <c r="C70" s="112" t="s">
        <v>1706</v>
      </c>
      <c r="D70" s="112">
        <v>30</v>
      </c>
      <c r="E70" s="112" t="s">
        <v>1707</v>
      </c>
      <c r="F70" s="112" t="s">
        <v>1721</v>
      </c>
      <c r="G70" s="112">
        <v>2.39872547811501</v>
      </c>
      <c r="H70" s="112">
        <v>1.7419541996880901</v>
      </c>
      <c r="I70" s="112">
        <v>1.82550039400068</v>
      </c>
      <c r="J70" s="112" t="s">
        <v>848</v>
      </c>
      <c r="K70" s="112" t="s">
        <v>1756</v>
      </c>
      <c r="L70" s="112">
        <v>3.14688812495603E-2</v>
      </c>
      <c r="M70" s="112">
        <v>2.3263958316447602E-3</v>
      </c>
      <c r="N70" s="112" t="s">
        <v>1812</v>
      </c>
      <c r="O70" s="112" t="s">
        <v>1715</v>
      </c>
      <c r="P70" s="112" t="s">
        <v>1715</v>
      </c>
      <c r="Q70" s="112" t="s">
        <v>1813</v>
      </c>
      <c r="R70" s="112" t="s">
        <v>1747</v>
      </c>
    </row>
    <row r="71" spans="1:18">
      <c r="A71" s="112" t="s">
        <v>1770</v>
      </c>
      <c r="B71" s="112" t="s">
        <v>1748</v>
      </c>
      <c r="C71" s="112" t="s">
        <v>1706</v>
      </c>
      <c r="D71" s="112">
        <v>80</v>
      </c>
      <c r="E71" s="112" t="s">
        <v>1707</v>
      </c>
      <c r="F71" s="112" t="s">
        <v>440</v>
      </c>
      <c r="G71" s="112">
        <v>-3.6790566302654701</v>
      </c>
      <c r="H71" s="112">
        <v>-2.4770366076095698</v>
      </c>
      <c r="I71" s="112">
        <v>-5.0370184993756704</v>
      </c>
      <c r="J71" s="112" t="s">
        <v>848</v>
      </c>
      <c r="K71" s="112" t="s">
        <v>1749</v>
      </c>
      <c r="L71" s="112">
        <v>3.1682776672981298E-2</v>
      </c>
      <c r="M71" s="112">
        <v>2.2717498890843101E-3</v>
      </c>
      <c r="N71" s="112" t="s">
        <v>1770</v>
      </c>
      <c r="O71" s="112" t="s">
        <v>1715</v>
      </c>
      <c r="P71" s="112" t="s">
        <v>1715</v>
      </c>
      <c r="Q71" s="112" t="s">
        <v>1771</v>
      </c>
      <c r="R71" s="112" t="s">
        <v>1742</v>
      </c>
    </row>
    <row r="72" spans="1:18">
      <c r="A72" s="112" t="s">
        <v>1770</v>
      </c>
      <c r="B72" s="112" t="s">
        <v>1796</v>
      </c>
      <c r="C72" s="112" t="s">
        <v>1706</v>
      </c>
      <c r="D72" s="112">
        <v>80</v>
      </c>
      <c r="E72" s="112" t="s">
        <v>1707</v>
      </c>
      <c r="F72" s="112" t="s">
        <v>1721</v>
      </c>
      <c r="G72" s="112">
        <v>-4.37948484156282</v>
      </c>
      <c r="H72" s="112">
        <v>-2.24509076925488</v>
      </c>
      <c r="I72" s="112">
        <v>0</v>
      </c>
      <c r="J72" s="112">
        <v>1</v>
      </c>
      <c r="K72" s="112" t="s">
        <v>1797</v>
      </c>
      <c r="L72" s="112">
        <v>3.31378491448319E-2</v>
      </c>
      <c r="M72" s="112">
        <v>1.7892477718733199E-3</v>
      </c>
      <c r="N72" s="112" t="s">
        <v>1770</v>
      </c>
      <c r="O72" s="112" t="s">
        <v>1715</v>
      </c>
      <c r="P72" s="112" t="s">
        <v>1715</v>
      </c>
      <c r="Q72" s="112" t="s">
        <v>1771</v>
      </c>
      <c r="R72" s="112" t="s">
        <v>1742</v>
      </c>
    </row>
    <row r="73" spans="1:18">
      <c r="A73" s="112" t="s">
        <v>1814</v>
      </c>
      <c r="B73" s="112" t="s">
        <v>1731</v>
      </c>
      <c r="C73" s="112" t="s">
        <v>1706</v>
      </c>
      <c r="D73" s="112">
        <v>30</v>
      </c>
      <c r="E73" s="112" t="s">
        <v>1707</v>
      </c>
      <c r="F73" s="112" t="s">
        <v>1708</v>
      </c>
      <c r="G73" s="112">
        <v>3.50860040069447</v>
      </c>
      <c r="H73" s="112">
        <v>1.60775982618546</v>
      </c>
      <c r="I73" s="112">
        <v>1.7606473822561599</v>
      </c>
      <c r="J73" s="112" t="s">
        <v>848</v>
      </c>
      <c r="K73" s="112" t="s">
        <v>1732</v>
      </c>
      <c r="L73" s="112">
        <v>3.6176948538137403E-2</v>
      </c>
      <c r="M73" s="112">
        <v>3.3646287591113499E-3</v>
      </c>
      <c r="N73" s="112" t="s">
        <v>1814</v>
      </c>
      <c r="O73" s="112" t="s">
        <v>1715</v>
      </c>
      <c r="P73" s="112" t="s">
        <v>1715</v>
      </c>
      <c r="Q73" s="112" t="s">
        <v>1815</v>
      </c>
    </row>
    <row r="74" spans="1:18">
      <c r="A74" s="112" t="s">
        <v>1745</v>
      </c>
      <c r="B74" s="112" t="s">
        <v>1720</v>
      </c>
      <c r="C74" s="112" t="s">
        <v>1706</v>
      </c>
      <c r="D74" s="112">
        <v>55</v>
      </c>
      <c r="E74" s="112" t="s">
        <v>1707</v>
      </c>
      <c r="F74" s="112" t="s">
        <v>1721</v>
      </c>
      <c r="G74" s="112">
        <v>2.5233138516279499</v>
      </c>
      <c r="H74" s="112">
        <v>1.7283507968380301</v>
      </c>
      <c r="I74" s="112">
        <v>0.93090389922458205</v>
      </c>
      <c r="J74" s="112" t="s">
        <v>848</v>
      </c>
      <c r="K74" s="112" t="s">
        <v>1722</v>
      </c>
      <c r="L74" s="112">
        <v>3.6841256155050399E-2</v>
      </c>
      <c r="M74" s="112">
        <v>1.2522795403580699E-3</v>
      </c>
      <c r="N74" s="112" t="s">
        <v>1745</v>
      </c>
      <c r="O74" s="112" t="s">
        <v>1715</v>
      </c>
      <c r="P74" s="112" t="s">
        <v>1715</v>
      </c>
      <c r="Q74" s="112" t="s">
        <v>1746</v>
      </c>
      <c r="R74" s="112" t="s">
        <v>1747</v>
      </c>
    </row>
    <row r="75" spans="1:18">
      <c r="A75" s="112" t="s">
        <v>1790</v>
      </c>
      <c r="B75" s="112" t="s">
        <v>1731</v>
      </c>
      <c r="C75" s="112" t="s">
        <v>1706</v>
      </c>
      <c r="D75" s="112">
        <v>30</v>
      </c>
      <c r="E75" s="112" t="s">
        <v>1707</v>
      </c>
      <c r="F75" s="112" t="s">
        <v>1708</v>
      </c>
      <c r="G75" s="112">
        <v>2.7969186938872999</v>
      </c>
      <c r="H75" s="112">
        <v>1.45833945198736</v>
      </c>
      <c r="I75" s="112">
        <v>1.03585325303888</v>
      </c>
      <c r="J75" s="112" t="s">
        <v>848</v>
      </c>
      <c r="K75" s="112" t="s">
        <v>1732</v>
      </c>
      <c r="L75" s="112">
        <v>4.1756398216289597E-2</v>
      </c>
      <c r="M75" s="112">
        <v>4.0818018600690996E-3</v>
      </c>
      <c r="N75" s="112" t="s">
        <v>1790</v>
      </c>
      <c r="O75" s="112" t="s">
        <v>1715</v>
      </c>
      <c r="P75" s="112" t="s">
        <v>1715</v>
      </c>
      <c r="Q75" s="112" t="s">
        <v>1791</v>
      </c>
      <c r="R75" s="112" t="s">
        <v>1752</v>
      </c>
    </row>
    <row r="76" spans="1:18">
      <c r="A76" s="112" t="s">
        <v>1781</v>
      </c>
      <c r="B76" s="112" t="s">
        <v>1796</v>
      </c>
      <c r="C76" s="112" t="s">
        <v>1706</v>
      </c>
      <c r="D76" s="112">
        <v>80</v>
      </c>
      <c r="E76" s="112" t="s">
        <v>1707</v>
      </c>
      <c r="F76" s="112" t="s">
        <v>1721</v>
      </c>
      <c r="G76" s="112">
        <v>3.9399663673358898</v>
      </c>
      <c r="H76" s="112">
        <v>2.0399877449137098</v>
      </c>
      <c r="I76" s="112">
        <v>1.7863199965407499</v>
      </c>
      <c r="J76" s="112" t="s">
        <v>848</v>
      </c>
      <c r="K76" s="112" t="s">
        <v>1797</v>
      </c>
      <c r="L76" s="112">
        <v>4.23140665469348E-2</v>
      </c>
      <c r="M76" s="112">
        <v>2.50379091993697E-3</v>
      </c>
      <c r="N76" s="112" t="s">
        <v>1781</v>
      </c>
      <c r="O76" s="112" t="s">
        <v>1715</v>
      </c>
      <c r="P76" s="112" t="s">
        <v>1767</v>
      </c>
      <c r="Q76" s="112" t="s">
        <v>1782</v>
      </c>
    </row>
    <row r="77" spans="1:18">
      <c r="A77" s="112" t="s">
        <v>1770</v>
      </c>
      <c r="B77" s="112" t="s">
        <v>1743</v>
      </c>
      <c r="C77" s="112" t="s">
        <v>1706</v>
      </c>
      <c r="D77" s="112">
        <v>55</v>
      </c>
      <c r="E77" s="112" t="s">
        <v>1707</v>
      </c>
      <c r="F77" s="112" t="s">
        <v>440</v>
      </c>
      <c r="G77" s="112">
        <v>3.1164906274900801</v>
      </c>
      <c r="H77" s="112">
        <v>1.9166730124598099</v>
      </c>
      <c r="I77" s="112">
        <v>1.96892146550808</v>
      </c>
      <c r="J77" s="112" t="s">
        <v>848</v>
      </c>
      <c r="K77" s="112" t="s">
        <v>1744</v>
      </c>
      <c r="L77" s="112">
        <v>4.3217211576482999E-2</v>
      </c>
      <c r="M77" s="112">
        <v>1.61280540783005E-3</v>
      </c>
      <c r="N77" s="112" t="s">
        <v>1770</v>
      </c>
      <c r="O77" s="112" t="s">
        <v>1715</v>
      </c>
      <c r="P77" s="112" t="s">
        <v>1715</v>
      </c>
      <c r="Q77" s="112" t="s">
        <v>1771</v>
      </c>
      <c r="R77" s="112" t="s">
        <v>1742</v>
      </c>
    </row>
    <row r="78" spans="1:18">
      <c r="A78" s="112" t="s">
        <v>1740</v>
      </c>
      <c r="B78" s="112" t="s">
        <v>1796</v>
      </c>
      <c r="C78" s="112" t="s">
        <v>1706</v>
      </c>
      <c r="D78" s="112">
        <v>80</v>
      </c>
      <c r="E78" s="112" t="s">
        <v>1707</v>
      </c>
      <c r="F78" s="112" t="s">
        <v>1721</v>
      </c>
      <c r="G78" s="112">
        <v>-3.71940198436906</v>
      </c>
      <c r="H78" s="112">
        <v>-1.9530915322782101</v>
      </c>
      <c r="I78" s="112">
        <v>0</v>
      </c>
      <c r="J78" s="112">
        <v>1</v>
      </c>
      <c r="K78" s="112" t="s">
        <v>1797</v>
      </c>
      <c r="L78" s="112">
        <v>4.5313182495470797E-2</v>
      </c>
      <c r="M78" s="112">
        <v>2.8153160722038102E-3</v>
      </c>
      <c r="N78" s="112" t="s">
        <v>1740</v>
      </c>
      <c r="O78" s="112" t="s">
        <v>1715</v>
      </c>
      <c r="P78" s="112" t="s">
        <v>1715</v>
      </c>
      <c r="Q78" s="112" t="s">
        <v>1741</v>
      </c>
      <c r="R78" s="112" t="s">
        <v>1742</v>
      </c>
    </row>
    <row r="79" spans="1:18">
      <c r="A79" s="112" t="s">
        <v>1730</v>
      </c>
      <c r="B79" s="112" t="s">
        <v>1796</v>
      </c>
      <c r="C79" s="112" t="s">
        <v>1706</v>
      </c>
      <c r="D79" s="112">
        <v>80</v>
      </c>
      <c r="E79" s="112" t="s">
        <v>1707</v>
      </c>
      <c r="F79" s="112" t="s">
        <v>1721</v>
      </c>
      <c r="G79" s="112">
        <v>-3.3098228569391299</v>
      </c>
      <c r="H79" s="112">
        <v>-1.8369733221109901</v>
      </c>
      <c r="I79" s="112">
        <v>-7.2901861610985197</v>
      </c>
      <c r="J79" s="112" t="s">
        <v>848</v>
      </c>
      <c r="K79" s="112" t="s">
        <v>1797</v>
      </c>
      <c r="L79" s="112">
        <v>4.5529344004529203E-2</v>
      </c>
      <c r="M79" s="112">
        <v>2.9598029238159201E-3</v>
      </c>
      <c r="N79" s="112" t="s">
        <v>1730</v>
      </c>
      <c r="O79" s="112" t="s">
        <v>1715</v>
      </c>
      <c r="P79" s="112" t="s">
        <v>1715</v>
      </c>
      <c r="Q79" s="112" t="s">
        <v>1733</v>
      </c>
      <c r="R79" s="112" t="s">
        <v>1734</v>
      </c>
    </row>
    <row r="80" spans="1:18">
      <c r="A80" s="112" t="s">
        <v>1779</v>
      </c>
      <c r="B80" s="112" t="s">
        <v>1796</v>
      </c>
      <c r="C80" s="112" t="s">
        <v>1706</v>
      </c>
      <c r="D80" s="112">
        <v>80</v>
      </c>
      <c r="E80" s="112" t="s">
        <v>1707</v>
      </c>
      <c r="F80" s="112" t="s">
        <v>1721</v>
      </c>
      <c r="G80" s="112">
        <v>-3.8817635464503399</v>
      </c>
      <c r="H80" s="112">
        <v>-1.94872236137581</v>
      </c>
      <c r="I80" s="112">
        <v>0</v>
      </c>
      <c r="J80" s="112">
        <v>1</v>
      </c>
      <c r="K80" s="112" t="s">
        <v>1797</v>
      </c>
      <c r="L80" s="112">
        <v>4.5529344004529203E-2</v>
      </c>
      <c r="M80" s="112">
        <v>3.0350223928538199E-3</v>
      </c>
      <c r="N80" s="112" t="s">
        <v>1779</v>
      </c>
      <c r="O80" s="112" t="s">
        <v>1715</v>
      </c>
      <c r="P80" s="112" t="s">
        <v>1715</v>
      </c>
      <c r="Q80" s="112" t="s">
        <v>1780</v>
      </c>
      <c r="R80" s="112" t="s">
        <v>1718</v>
      </c>
    </row>
    <row r="81" spans="1:18">
      <c r="A81" s="112" t="s">
        <v>1745</v>
      </c>
      <c r="B81" s="112" t="s">
        <v>1796</v>
      </c>
      <c r="C81" s="112" t="s">
        <v>1706</v>
      </c>
      <c r="D81" s="112">
        <v>80</v>
      </c>
      <c r="E81" s="112" t="s">
        <v>1707</v>
      </c>
      <c r="F81" s="112" t="s">
        <v>1721</v>
      </c>
      <c r="G81" s="112">
        <v>-3.75978134082166</v>
      </c>
      <c r="H81" s="112">
        <v>-1.8543851079563001</v>
      </c>
      <c r="I81" s="112">
        <v>-7.6138915435689896</v>
      </c>
      <c r="J81" s="112" t="s">
        <v>848</v>
      </c>
      <c r="K81" s="112" t="s">
        <v>1797</v>
      </c>
      <c r="L81" s="112">
        <v>4.9575276255635098E-2</v>
      </c>
      <c r="M81" s="112">
        <v>3.6301422701981302E-3</v>
      </c>
      <c r="N81" s="112" t="s">
        <v>1745</v>
      </c>
      <c r="O81" s="112" t="s">
        <v>1715</v>
      </c>
      <c r="P81" s="112" t="s">
        <v>1715</v>
      </c>
      <c r="Q81" s="112" t="s">
        <v>1746</v>
      </c>
      <c r="R81" s="112" t="s">
        <v>1747</v>
      </c>
    </row>
    <row r="82" spans="1:18">
      <c r="A82" s="112" t="s">
        <v>1816</v>
      </c>
      <c r="B82" s="112" t="s">
        <v>1755</v>
      </c>
      <c r="C82" s="112" t="s">
        <v>1706</v>
      </c>
      <c r="D82" s="112">
        <v>30</v>
      </c>
      <c r="E82" s="112" t="s">
        <v>1707</v>
      </c>
      <c r="F82" s="112" t="s">
        <v>1721</v>
      </c>
      <c r="G82" s="112">
        <v>5.4264096041085796</v>
      </c>
      <c r="H82" s="112">
        <v>3.8954562418724299</v>
      </c>
      <c r="I82" s="112">
        <v>3.35512931717455</v>
      </c>
      <c r="J82" s="112" t="s">
        <v>848</v>
      </c>
      <c r="K82" s="112" t="s">
        <v>1756</v>
      </c>
      <c r="L82" s="112">
        <v>3.20458102107175E-3</v>
      </c>
      <c r="M82" s="229">
        <v>7.3137873978687003E-5</v>
      </c>
      <c r="N82" s="112" t="s">
        <v>1816</v>
      </c>
      <c r="O82" s="112" t="s">
        <v>1817</v>
      </c>
      <c r="P82" s="112" t="s">
        <v>1818</v>
      </c>
      <c r="Q82" s="112" t="s">
        <v>1819</v>
      </c>
      <c r="R82" s="112" t="s">
        <v>1820</v>
      </c>
    </row>
    <row r="83" spans="1:18">
      <c r="A83" s="112" t="s">
        <v>1816</v>
      </c>
      <c r="B83" s="112" t="s">
        <v>1705</v>
      </c>
      <c r="C83" s="112" t="s">
        <v>1706</v>
      </c>
      <c r="D83" s="112">
        <v>80</v>
      </c>
      <c r="E83" s="112" t="s">
        <v>1707</v>
      </c>
      <c r="F83" s="112" t="s">
        <v>1708</v>
      </c>
      <c r="G83" s="112">
        <v>-3.5691729171002202</v>
      </c>
      <c r="H83" s="112">
        <v>-2.75177944364671</v>
      </c>
      <c r="I83" s="112">
        <v>-5.9292621005527</v>
      </c>
      <c r="J83" s="112" t="s">
        <v>848</v>
      </c>
      <c r="K83" s="112" t="s">
        <v>1709</v>
      </c>
      <c r="L83" s="112">
        <v>4.0938711252051698E-3</v>
      </c>
      <c r="M83" s="229">
        <v>2.1167017560326799E-4</v>
      </c>
      <c r="N83" s="112" t="s">
        <v>1816</v>
      </c>
      <c r="O83" s="112" t="s">
        <v>1817</v>
      </c>
      <c r="P83" s="112" t="s">
        <v>1818</v>
      </c>
      <c r="Q83" s="112" t="s">
        <v>1819</v>
      </c>
      <c r="R83" s="112" t="s">
        <v>1820</v>
      </c>
    </row>
    <row r="84" spans="1:18">
      <c r="A84" s="112" t="s">
        <v>1816</v>
      </c>
      <c r="B84" s="112" t="s">
        <v>1796</v>
      </c>
      <c r="C84" s="112" t="s">
        <v>1706</v>
      </c>
      <c r="D84" s="112">
        <v>80</v>
      </c>
      <c r="E84" s="112" t="s">
        <v>1707</v>
      </c>
      <c r="F84" s="112" t="s">
        <v>1721</v>
      </c>
      <c r="G84" s="112">
        <v>-4.9224920607573797</v>
      </c>
      <c r="H84" s="112">
        <v>-2.9845378545872201</v>
      </c>
      <c r="I84" s="112">
        <v>0</v>
      </c>
      <c r="J84" s="112">
        <v>1</v>
      </c>
      <c r="K84" s="112" t="s">
        <v>1797</v>
      </c>
      <c r="L84" s="112">
        <v>1.2732651303326299E-2</v>
      </c>
      <c r="M84" s="229">
        <v>3.6728801836518297E-4</v>
      </c>
      <c r="N84" s="112" t="s">
        <v>1816</v>
      </c>
      <c r="O84" s="112" t="s">
        <v>1817</v>
      </c>
      <c r="P84" s="112" t="s">
        <v>1818</v>
      </c>
      <c r="Q84" s="112" t="s">
        <v>1819</v>
      </c>
      <c r="R84" s="112" t="s">
        <v>1820</v>
      </c>
    </row>
    <row r="85" spans="1:18">
      <c r="A85" s="112" t="s">
        <v>1821</v>
      </c>
      <c r="B85" s="112" t="s">
        <v>1796</v>
      </c>
      <c r="C85" s="112" t="s">
        <v>1706</v>
      </c>
      <c r="D85" s="112">
        <v>80</v>
      </c>
      <c r="E85" s="112" t="s">
        <v>1707</v>
      </c>
      <c r="F85" s="112" t="s">
        <v>1721</v>
      </c>
      <c r="G85" s="112">
        <v>4.2901026683266101</v>
      </c>
      <c r="H85" s="112">
        <v>3.2145777247232599</v>
      </c>
      <c r="I85" s="112">
        <v>2.7974317952152599</v>
      </c>
      <c r="J85" s="112" t="s">
        <v>848</v>
      </c>
      <c r="K85" s="112" t="s">
        <v>1797</v>
      </c>
      <c r="L85" s="112">
        <v>3.7956536943194699E-3</v>
      </c>
      <c r="M85" s="229">
        <v>7.2805002664453895E-5</v>
      </c>
      <c r="N85" s="112" t="s">
        <v>1821</v>
      </c>
      <c r="O85" s="112" t="s">
        <v>1710</v>
      </c>
      <c r="P85" s="112" t="s">
        <v>1822</v>
      </c>
      <c r="Q85" s="112" t="s">
        <v>1823</v>
      </c>
    </row>
    <row r="86" spans="1:18">
      <c r="A86" s="112" t="s">
        <v>1824</v>
      </c>
      <c r="B86" s="112" t="s">
        <v>1705</v>
      </c>
      <c r="C86" s="112" t="s">
        <v>1706</v>
      </c>
      <c r="D86" s="112">
        <v>80</v>
      </c>
      <c r="E86" s="112" t="s">
        <v>1707</v>
      </c>
      <c r="F86" s="112" t="s">
        <v>1708</v>
      </c>
      <c r="G86" s="112">
        <v>2.8913496588152601</v>
      </c>
      <c r="H86" s="112">
        <v>2.0604005449354799</v>
      </c>
      <c r="I86" s="112">
        <v>1.82469494366966</v>
      </c>
      <c r="J86" s="112" t="s">
        <v>848</v>
      </c>
      <c r="K86" s="112" t="s">
        <v>1709</v>
      </c>
      <c r="L86" s="112">
        <v>2.4128956436283901E-2</v>
      </c>
      <c r="M86" s="112">
        <v>2.6854046910995801E-3</v>
      </c>
      <c r="N86" s="112" t="s">
        <v>1824</v>
      </c>
      <c r="O86" s="112" t="s">
        <v>1710</v>
      </c>
      <c r="P86" s="112" t="s">
        <v>1825</v>
      </c>
      <c r="Q86" s="112" t="s">
        <v>1826</v>
      </c>
    </row>
    <row r="87" spans="1:18">
      <c r="A87" s="112" t="s">
        <v>1827</v>
      </c>
      <c r="B87" s="112" t="s">
        <v>1705</v>
      </c>
      <c r="C87" s="112" t="s">
        <v>1706</v>
      </c>
      <c r="D87" s="112">
        <v>80</v>
      </c>
      <c r="E87" s="112" t="s">
        <v>1707</v>
      </c>
      <c r="F87" s="112" t="s">
        <v>1708</v>
      </c>
      <c r="G87" s="112">
        <v>-4.4347986765736804</v>
      </c>
      <c r="H87" s="112">
        <v>-3.1522916739284499</v>
      </c>
      <c r="I87" s="112">
        <v>0</v>
      </c>
      <c r="J87" s="112">
        <v>1</v>
      </c>
      <c r="K87" s="112" t="s">
        <v>1709</v>
      </c>
      <c r="L87" s="112">
        <v>3.3508330369516701E-3</v>
      </c>
      <c r="M87" s="229">
        <v>1.67174235944409E-4</v>
      </c>
      <c r="N87" s="112" t="s">
        <v>1827</v>
      </c>
      <c r="O87" s="112" t="s">
        <v>1817</v>
      </c>
      <c r="P87" s="112" t="s">
        <v>1828</v>
      </c>
      <c r="Q87" s="112" t="s">
        <v>1829</v>
      </c>
    </row>
    <row r="88" spans="1:18">
      <c r="A88" s="112" t="s">
        <v>1830</v>
      </c>
      <c r="B88" s="112" t="s">
        <v>1735</v>
      </c>
      <c r="C88" s="112" t="s">
        <v>1706</v>
      </c>
      <c r="D88" s="112">
        <v>30</v>
      </c>
      <c r="E88" s="112" t="s">
        <v>1707</v>
      </c>
      <c r="F88" s="112" t="s">
        <v>440</v>
      </c>
      <c r="G88" s="112">
        <v>4.8647749414748196</v>
      </c>
      <c r="H88" s="112">
        <v>3.7536423232977301</v>
      </c>
      <c r="I88" s="112">
        <v>2.0396885386173498</v>
      </c>
      <c r="J88" s="112" t="s">
        <v>848</v>
      </c>
      <c r="K88" s="112" t="s">
        <v>1736</v>
      </c>
      <c r="L88" s="229">
        <v>2.84926228302095E-5</v>
      </c>
      <c r="M88" s="229">
        <v>1.09346688493128E-7</v>
      </c>
      <c r="N88" s="112" t="s">
        <v>1830</v>
      </c>
      <c r="O88" s="112" t="s">
        <v>1710</v>
      </c>
      <c r="P88" s="112" t="s">
        <v>1831</v>
      </c>
      <c r="Q88" s="112" t="s">
        <v>1832</v>
      </c>
      <c r="R88" s="112" t="s">
        <v>1833</v>
      </c>
    </row>
    <row r="89" spans="1:18">
      <c r="A89" s="112" t="s">
        <v>1830</v>
      </c>
      <c r="B89" s="112" t="s">
        <v>1743</v>
      </c>
      <c r="C89" s="112" t="s">
        <v>1706</v>
      </c>
      <c r="D89" s="112">
        <v>55</v>
      </c>
      <c r="E89" s="112" t="s">
        <v>1707</v>
      </c>
      <c r="F89" s="112" t="s">
        <v>440</v>
      </c>
      <c r="G89" s="112">
        <v>4.1747067570016698</v>
      </c>
      <c r="H89" s="112">
        <v>3.2482743365167499</v>
      </c>
      <c r="I89" s="112">
        <v>1.71118992339148</v>
      </c>
      <c r="J89" s="112" t="s">
        <v>848</v>
      </c>
      <c r="K89" s="112" t="s">
        <v>1744</v>
      </c>
      <c r="L89" s="229">
        <v>2.7977868040254502E-4</v>
      </c>
      <c r="M89" s="229">
        <v>3.8670170062549498E-6</v>
      </c>
      <c r="N89" s="112" t="s">
        <v>1830</v>
      </c>
      <c r="O89" s="112" t="s">
        <v>1710</v>
      </c>
      <c r="P89" s="112" t="s">
        <v>1831</v>
      </c>
      <c r="Q89" s="112" t="s">
        <v>1832</v>
      </c>
      <c r="R89" s="112" t="s">
        <v>1833</v>
      </c>
    </row>
    <row r="90" spans="1:18">
      <c r="A90" s="112" t="s">
        <v>1830</v>
      </c>
      <c r="B90" s="112" t="s">
        <v>1762</v>
      </c>
      <c r="C90" s="112" t="s">
        <v>1706</v>
      </c>
      <c r="D90" s="112">
        <v>55</v>
      </c>
      <c r="E90" s="112" t="s">
        <v>1707</v>
      </c>
      <c r="F90" s="112" t="s">
        <v>1708</v>
      </c>
      <c r="G90" s="112">
        <v>3.0615916164956598</v>
      </c>
      <c r="H90" s="112">
        <v>2.3526125578244401</v>
      </c>
      <c r="I90" s="112">
        <v>0.118672745027032</v>
      </c>
      <c r="J90" s="112" t="s">
        <v>848</v>
      </c>
      <c r="K90" s="112" t="s">
        <v>1763</v>
      </c>
      <c r="L90" s="112">
        <v>4.7233529461191198E-3</v>
      </c>
      <c r="M90" s="229">
        <v>9.6774474118199797E-5</v>
      </c>
      <c r="N90" s="112" t="s">
        <v>1830</v>
      </c>
      <c r="O90" s="112" t="s">
        <v>1710</v>
      </c>
      <c r="P90" s="112" t="s">
        <v>1831</v>
      </c>
      <c r="Q90" s="112" t="s">
        <v>1832</v>
      </c>
      <c r="R90" s="112" t="s">
        <v>1833</v>
      </c>
    </row>
    <row r="91" spans="1:18">
      <c r="A91" s="112" t="s">
        <v>1834</v>
      </c>
      <c r="B91" s="112" t="s">
        <v>1705</v>
      </c>
      <c r="C91" s="112" t="s">
        <v>1706</v>
      </c>
      <c r="D91" s="112">
        <v>80</v>
      </c>
      <c r="E91" s="112" t="s">
        <v>1707</v>
      </c>
      <c r="F91" s="112" t="s">
        <v>1708</v>
      </c>
      <c r="G91" s="112">
        <v>1.73133080446057</v>
      </c>
      <c r="H91" s="112">
        <v>1.5221643262493501</v>
      </c>
      <c r="I91" s="112">
        <v>1.2012691299493901</v>
      </c>
      <c r="J91" s="112" t="s">
        <v>848</v>
      </c>
      <c r="K91" s="112" t="s">
        <v>1709</v>
      </c>
      <c r="L91" s="112">
        <v>5.1654603920443702E-3</v>
      </c>
      <c r="M91" s="229">
        <v>2.8602604144543897E-4</v>
      </c>
      <c r="N91" s="112" t="s">
        <v>1834</v>
      </c>
      <c r="O91" s="112" t="s">
        <v>1710</v>
      </c>
      <c r="P91" s="112" t="s">
        <v>1831</v>
      </c>
      <c r="Q91" s="112" t="s">
        <v>1835</v>
      </c>
      <c r="R91" s="112" t="s">
        <v>1836</v>
      </c>
    </row>
    <row r="92" spans="1:18">
      <c r="A92" s="112" t="s">
        <v>1837</v>
      </c>
      <c r="B92" s="112" t="s">
        <v>1705</v>
      </c>
      <c r="C92" s="112" t="s">
        <v>1706</v>
      </c>
      <c r="D92" s="112">
        <v>80</v>
      </c>
      <c r="E92" s="112" t="s">
        <v>1707</v>
      </c>
      <c r="F92" s="112" t="s">
        <v>1708</v>
      </c>
      <c r="G92" s="112">
        <v>-4.5272991320299303</v>
      </c>
      <c r="H92" s="112">
        <v>-3.04830985849995</v>
      </c>
      <c r="I92" s="112">
        <v>0</v>
      </c>
      <c r="J92" s="112">
        <v>1</v>
      </c>
      <c r="K92" s="112" t="s">
        <v>1709</v>
      </c>
      <c r="L92" s="112">
        <v>5.9716722611815798E-3</v>
      </c>
      <c r="M92" s="229">
        <v>3.4483964878185397E-4</v>
      </c>
      <c r="N92" s="112" t="s">
        <v>1837</v>
      </c>
      <c r="O92" s="112" t="s">
        <v>1710</v>
      </c>
      <c r="P92" s="112" t="s">
        <v>1831</v>
      </c>
      <c r="Q92" s="112" t="s">
        <v>1838</v>
      </c>
      <c r="R92" s="112" t="s">
        <v>1839</v>
      </c>
    </row>
    <row r="93" spans="1:18">
      <c r="A93" s="112" t="s">
        <v>1840</v>
      </c>
      <c r="B93" s="112" t="s">
        <v>1705</v>
      </c>
      <c r="C93" s="112" t="s">
        <v>1706</v>
      </c>
      <c r="D93" s="112">
        <v>80</v>
      </c>
      <c r="E93" s="112" t="s">
        <v>1707</v>
      </c>
      <c r="F93" s="112" t="s">
        <v>1708</v>
      </c>
      <c r="G93" s="112">
        <v>-4.5547797847859703</v>
      </c>
      <c r="H93" s="112">
        <v>-2.9021070160667701</v>
      </c>
      <c r="I93" s="112">
        <v>0</v>
      </c>
      <c r="J93" s="112">
        <v>1</v>
      </c>
      <c r="K93" s="112" t="s">
        <v>1709</v>
      </c>
      <c r="L93" s="112">
        <v>9.3779813882080999E-3</v>
      </c>
      <c r="M93" s="229">
        <v>6.6964079030598395E-4</v>
      </c>
      <c r="N93" s="112" t="s">
        <v>1840</v>
      </c>
      <c r="O93" s="112" t="s">
        <v>1710</v>
      </c>
      <c r="P93" s="112" t="s">
        <v>1831</v>
      </c>
      <c r="Q93" s="112" t="s">
        <v>1841</v>
      </c>
    </row>
    <row r="94" spans="1:18">
      <c r="A94" s="112" t="s">
        <v>1837</v>
      </c>
      <c r="B94" s="112" t="s">
        <v>1748</v>
      </c>
      <c r="C94" s="112" t="s">
        <v>1706</v>
      </c>
      <c r="D94" s="112">
        <v>80</v>
      </c>
      <c r="E94" s="112" t="s">
        <v>1707</v>
      </c>
      <c r="F94" s="112" t="s">
        <v>440</v>
      </c>
      <c r="G94" s="112">
        <v>-6.0105109213057002</v>
      </c>
      <c r="H94" s="112">
        <v>-3.68956879705611</v>
      </c>
      <c r="I94" s="112">
        <v>0</v>
      </c>
      <c r="J94" s="112">
        <v>1</v>
      </c>
      <c r="K94" s="112" t="s">
        <v>1749</v>
      </c>
      <c r="L94" s="112">
        <v>9.5544011820001395E-3</v>
      </c>
      <c r="M94" s="229">
        <v>4.2429084196382198E-4</v>
      </c>
      <c r="N94" s="112" t="s">
        <v>1837</v>
      </c>
      <c r="O94" s="112" t="s">
        <v>1710</v>
      </c>
      <c r="P94" s="112" t="s">
        <v>1831</v>
      </c>
      <c r="Q94" s="112" t="s">
        <v>1838</v>
      </c>
      <c r="R94" s="112" t="s">
        <v>1839</v>
      </c>
    </row>
    <row r="95" spans="1:18">
      <c r="A95" s="112" t="s">
        <v>1842</v>
      </c>
      <c r="B95" s="112" t="s">
        <v>1748</v>
      </c>
      <c r="C95" s="112" t="s">
        <v>1706</v>
      </c>
      <c r="D95" s="112">
        <v>80</v>
      </c>
      <c r="E95" s="112" t="s">
        <v>1707</v>
      </c>
      <c r="F95" s="112" t="s">
        <v>440</v>
      </c>
      <c r="G95" s="112">
        <v>2.4851334767384001</v>
      </c>
      <c r="H95" s="112">
        <v>2.06843250013603</v>
      </c>
      <c r="I95" s="112">
        <v>1.9425658824961201</v>
      </c>
      <c r="J95" s="112" t="s">
        <v>848</v>
      </c>
      <c r="K95" s="112" t="s">
        <v>1749</v>
      </c>
      <c r="L95" s="112">
        <v>1.0220463513626101E-2</v>
      </c>
      <c r="M95" s="229">
        <v>4.6507591646434898E-4</v>
      </c>
      <c r="N95" s="112" t="s">
        <v>1842</v>
      </c>
      <c r="O95" s="112" t="s">
        <v>1710</v>
      </c>
      <c r="P95" s="112" t="s">
        <v>1831</v>
      </c>
      <c r="Q95" s="112" t="s">
        <v>1843</v>
      </c>
    </row>
    <row r="96" spans="1:18">
      <c r="A96" s="112" t="s">
        <v>1830</v>
      </c>
      <c r="B96" s="112" t="s">
        <v>1720</v>
      </c>
      <c r="C96" s="112" t="s">
        <v>1706</v>
      </c>
      <c r="D96" s="112">
        <v>55</v>
      </c>
      <c r="E96" s="112" t="s">
        <v>1707</v>
      </c>
      <c r="F96" s="112" t="s">
        <v>1721</v>
      </c>
      <c r="G96" s="112">
        <v>2.8688393648583901</v>
      </c>
      <c r="H96" s="112">
        <v>2.14125419554327</v>
      </c>
      <c r="I96" s="112">
        <v>-0.11789186655845101</v>
      </c>
      <c r="J96" s="112" t="s">
        <v>848</v>
      </c>
      <c r="K96" s="112" t="s">
        <v>1722</v>
      </c>
      <c r="L96" s="112">
        <v>1.1296257116913301E-2</v>
      </c>
      <c r="M96" s="229">
        <v>2.6011118361313602E-4</v>
      </c>
      <c r="N96" s="112" t="s">
        <v>1830</v>
      </c>
      <c r="O96" s="112" t="s">
        <v>1710</v>
      </c>
      <c r="P96" s="112" t="s">
        <v>1831</v>
      </c>
      <c r="Q96" s="112" t="s">
        <v>1832</v>
      </c>
      <c r="R96" s="112" t="s">
        <v>1833</v>
      </c>
    </row>
    <row r="97" spans="1:18">
      <c r="A97" s="112" t="s">
        <v>1830</v>
      </c>
      <c r="B97" s="112" t="s">
        <v>1705</v>
      </c>
      <c r="C97" s="112" t="s">
        <v>1706</v>
      </c>
      <c r="D97" s="112">
        <v>80</v>
      </c>
      <c r="E97" s="112" t="s">
        <v>1707</v>
      </c>
      <c r="F97" s="112" t="s">
        <v>1708</v>
      </c>
      <c r="G97" s="112">
        <v>-3.8325818268264298</v>
      </c>
      <c r="H97" s="112">
        <v>-2.6255552933258701</v>
      </c>
      <c r="I97" s="112">
        <v>0</v>
      </c>
      <c r="J97" s="112">
        <v>1</v>
      </c>
      <c r="K97" s="112" t="s">
        <v>1709</v>
      </c>
      <c r="L97" s="112">
        <v>1.1697552716799399E-2</v>
      </c>
      <c r="M97" s="229">
        <v>9.2356220537513102E-4</v>
      </c>
      <c r="N97" s="112" t="s">
        <v>1830</v>
      </c>
      <c r="O97" s="112" t="s">
        <v>1710</v>
      </c>
      <c r="P97" s="112" t="s">
        <v>1831</v>
      </c>
      <c r="Q97" s="112" t="s">
        <v>1832</v>
      </c>
      <c r="R97" s="112" t="s">
        <v>1833</v>
      </c>
    </row>
    <row r="98" spans="1:18">
      <c r="A98" s="112" t="s">
        <v>1837</v>
      </c>
      <c r="B98" s="112" t="s">
        <v>1731</v>
      </c>
      <c r="C98" s="112" t="s">
        <v>1706</v>
      </c>
      <c r="D98" s="112">
        <v>30</v>
      </c>
      <c r="E98" s="112" t="s">
        <v>1707</v>
      </c>
      <c r="F98" s="112" t="s">
        <v>1708</v>
      </c>
      <c r="G98" s="112">
        <v>3.0284249898853499</v>
      </c>
      <c r="H98" s="112">
        <v>1.8802362401111901</v>
      </c>
      <c r="I98" s="112">
        <v>0.93785526423082999</v>
      </c>
      <c r="J98" s="112" t="s">
        <v>848</v>
      </c>
      <c r="K98" s="112" t="s">
        <v>1732</v>
      </c>
      <c r="L98" s="112">
        <v>1.1814027923593901E-2</v>
      </c>
      <c r="M98" s="229">
        <v>7.9824512997256401E-4</v>
      </c>
      <c r="N98" s="112" t="s">
        <v>1837</v>
      </c>
      <c r="O98" s="112" t="s">
        <v>1710</v>
      </c>
      <c r="P98" s="112" t="s">
        <v>1831</v>
      </c>
      <c r="Q98" s="112" t="s">
        <v>1838</v>
      </c>
      <c r="R98" s="112" t="s">
        <v>1839</v>
      </c>
    </row>
    <row r="99" spans="1:18">
      <c r="A99" s="112" t="s">
        <v>1840</v>
      </c>
      <c r="B99" s="112" t="s">
        <v>1748</v>
      </c>
      <c r="C99" s="112" t="s">
        <v>1706</v>
      </c>
      <c r="D99" s="112">
        <v>80</v>
      </c>
      <c r="E99" s="112" t="s">
        <v>1707</v>
      </c>
      <c r="F99" s="112" t="s">
        <v>440</v>
      </c>
      <c r="G99" s="112">
        <v>-6.0667906833968104</v>
      </c>
      <c r="H99" s="112">
        <v>-3.4805955898254699</v>
      </c>
      <c r="I99" s="112">
        <v>0</v>
      </c>
      <c r="J99" s="112">
        <v>1</v>
      </c>
      <c r="K99" s="112" t="s">
        <v>1749</v>
      </c>
      <c r="L99" s="112">
        <v>1.35345078189529E-2</v>
      </c>
      <c r="M99" s="229">
        <v>7.1976275133686098E-4</v>
      </c>
      <c r="N99" s="112" t="s">
        <v>1840</v>
      </c>
      <c r="O99" s="112" t="s">
        <v>1710</v>
      </c>
      <c r="P99" s="112" t="s">
        <v>1831</v>
      </c>
      <c r="Q99" s="112" t="s">
        <v>1841</v>
      </c>
    </row>
    <row r="100" spans="1:18">
      <c r="A100" s="112" t="s">
        <v>1830</v>
      </c>
      <c r="B100" s="112" t="s">
        <v>1748</v>
      </c>
      <c r="C100" s="112" t="s">
        <v>1706</v>
      </c>
      <c r="D100" s="112">
        <v>80</v>
      </c>
      <c r="E100" s="112" t="s">
        <v>1707</v>
      </c>
      <c r="F100" s="112" t="s">
        <v>440</v>
      </c>
      <c r="G100" s="112">
        <v>-5.2656010519205703</v>
      </c>
      <c r="H100" s="112">
        <v>-3.2819694876143402</v>
      </c>
      <c r="I100" s="112">
        <v>0</v>
      </c>
      <c r="J100" s="112">
        <v>1</v>
      </c>
      <c r="K100" s="112" t="s">
        <v>1749</v>
      </c>
      <c r="L100" s="112">
        <v>1.5252308981769399E-2</v>
      </c>
      <c r="M100" s="229">
        <v>8.3634240155774301E-4</v>
      </c>
      <c r="N100" s="112" t="s">
        <v>1830</v>
      </c>
      <c r="O100" s="112" t="s">
        <v>1710</v>
      </c>
      <c r="P100" s="112" t="s">
        <v>1831</v>
      </c>
      <c r="Q100" s="112" t="s">
        <v>1832</v>
      </c>
      <c r="R100" s="112" t="s">
        <v>1833</v>
      </c>
    </row>
    <row r="101" spans="1:18">
      <c r="A101" s="112" t="s">
        <v>1844</v>
      </c>
      <c r="B101" s="112" t="s">
        <v>1748</v>
      </c>
      <c r="C101" s="112" t="s">
        <v>1706</v>
      </c>
      <c r="D101" s="112">
        <v>80</v>
      </c>
      <c r="E101" s="112" t="s">
        <v>1707</v>
      </c>
      <c r="F101" s="112" t="s">
        <v>440</v>
      </c>
      <c r="G101" s="112">
        <v>3.1384039743202599</v>
      </c>
      <c r="H101" s="112">
        <v>2.3279271629958602</v>
      </c>
      <c r="I101" s="112">
        <v>2.2385621827172</v>
      </c>
      <c r="J101" s="112" t="s">
        <v>848</v>
      </c>
      <c r="K101" s="112" t="s">
        <v>1749</v>
      </c>
      <c r="L101" s="112">
        <v>2.5003462167012099E-2</v>
      </c>
      <c r="M101" s="112">
        <v>1.5322325490215599E-3</v>
      </c>
      <c r="N101" s="112" t="s">
        <v>1844</v>
      </c>
      <c r="O101" s="112" t="s">
        <v>1710</v>
      </c>
      <c r="P101" s="112" t="s">
        <v>1831</v>
      </c>
      <c r="Q101" s="112" t="s">
        <v>1845</v>
      </c>
      <c r="R101" s="112" t="s">
        <v>1846</v>
      </c>
    </row>
    <row r="102" spans="1:18">
      <c r="A102" s="112" t="s">
        <v>1844</v>
      </c>
      <c r="B102" s="112" t="s">
        <v>1755</v>
      </c>
      <c r="C102" s="112" t="s">
        <v>1706</v>
      </c>
      <c r="D102" s="112">
        <v>30</v>
      </c>
      <c r="E102" s="112" t="s">
        <v>1707</v>
      </c>
      <c r="F102" s="112" t="s">
        <v>1721</v>
      </c>
      <c r="G102" s="112">
        <v>-7.4320990102216298</v>
      </c>
      <c r="H102" s="112">
        <v>-2.9907806281489702</v>
      </c>
      <c r="I102" s="112">
        <v>0</v>
      </c>
      <c r="J102" s="112">
        <v>1</v>
      </c>
      <c r="K102" s="112" t="s">
        <v>1756</v>
      </c>
      <c r="L102" s="112">
        <v>2.8376655356969201E-2</v>
      </c>
      <c r="M102" s="112">
        <v>1.9850124574032498E-3</v>
      </c>
      <c r="N102" s="112" t="s">
        <v>1844</v>
      </c>
      <c r="O102" s="112" t="s">
        <v>1710</v>
      </c>
      <c r="P102" s="112" t="s">
        <v>1831</v>
      </c>
      <c r="Q102" s="112" t="s">
        <v>1845</v>
      </c>
      <c r="R102" s="112" t="s">
        <v>1846</v>
      </c>
    </row>
    <row r="103" spans="1:18">
      <c r="A103" s="112" t="s">
        <v>1840</v>
      </c>
      <c r="B103" s="112" t="s">
        <v>1731</v>
      </c>
      <c r="C103" s="112" t="s">
        <v>1706</v>
      </c>
      <c r="D103" s="112">
        <v>30</v>
      </c>
      <c r="E103" s="112" t="s">
        <v>1707</v>
      </c>
      <c r="F103" s="112" t="s">
        <v>1708</v>
      </c>
      <c r="G103" s="112">
        <v>2.9691525150710198</v>
      </c>
      <c r="H103" s="112">
        <v>1.55635838254306</v>
      </c>
      <c r="I103" s="112">
        <v>0.97408850051874496</v>
      </c>
      <c r="J103" s="112" t="s">
        <v>848</v>
      </c>
      <c r="K103" s="112" t="s">
        <v>1732</v>
      </c>
      <c r="L103" s="112">
        <v>3.4181703988062001E-2</v>
      </c>
      <c r="M103" s="112">
        <v>3.1247185680660801E-3</v>
      </c>
      <c r="N103" s="112" t="s">
        <v>1840</v>
      </c>
      <c r="O103" s="112" t="s">
        <v>1710</v>
      </c>
      <c r="P103" s="112" t="s">
        <v>1831</v>
      </c>
      <c r="Q103" s="112" t="s">
        <v>1841</v>
      </c>
    </row>
    <row r="104" spans="1:18">
      <c r="A104" s="112" t="s">
        <v>1847</v>
      </c>
      <c r="B104" s="112" t="s">
        <v>1731</v>
      </c>
      <c r="C104" s="112" t="s">
        <v>1706</v>
      </c>
      <c r="D104" s="112">
        <v>30</v>
      </c>
      <c r="E104" s="112" t="s">
        <v>1707</v>
      </c>
      <c r="F104" s="112" t="s">
        <v>1708</v>
      </c>
      <c r="G104" s="112">
        <v>-15.8273014355018</v>
      </c>
      <c r="H104" s="112">
        <v>-14.084290718163301</v>
      </c>
      <c r="I104" s="112">
        <v>0</v>
      </c>
      <c r="J104" s="112">
        <v>1</v>
      </c>
      <c r="K104" s="112" t="s">
        <v>1732</v>
      </c>
      <c r="L104" s="229">
        <v>4.9017236971845701E-6</v>
      </c>
      <c r="M104" s="229">
        <v>5.0653742498727701E-8</v>
      </c>
      <c r="N104" s="112" t="s">
        <v>1847</v>
      </c>
      <c r="O104" s="112" t="s">
        <v>1848</v>
      </c>
      <c r="P104" s="112" t="s">
        <v>1849</v>
      </c>
      <c r="Q104" s="112" t="s">
        <v>1850</v>
      </c>
      <c r="R104" s="112" t="s">
        <v>1851</v>
      </c>
    </row>
    <row r="105" spans="1:18">
      <c r="A105" s="112" t="s">
        <v>1852</v>
      </c>
      <c r="B105" s="112" t="s">
        <v>1731</v>
      </c>
      <c r="C105" s="112" t="s">
        <v>1706</v>
      </c>
      <c r="D105" s="112">
        <v>30</v>
      </c>
      <c r="E105" s="112" t="s">
        <v>1707</v>
      </c>
      <c r="F105" s="112" t="s">
        <v>1708</v>
      </c>
      <c r="G105" s="112">
        <v>1.7004514489278</v>
      </c>
      <c r="H105" s="112">
        <v>1.5222412556682501</v>
      </c>
      <c r="I105" s="112">
        <v>1.33647520545999</v>
      </c>
      <c r="J105" s="112" t="s">
        <v>848</v>
      </c>
      <c r="K105" s="112" t="s">
        <v>1732</v>
      </c>
      <c r="L105" s="229">
        <v>1.33382247888458E-5</v>
      </c>
      <c r="M105" s="229">
        <v>1.6964355852268099E-7</v>
      </c>
      <c r="N105" s="112" t="s">
        <v>1852</v>
      </c>
      <c r="O105" s="112" t="s">
        <v>1848</v>
      </c>
      <c r="P105" s="112" t="s">
        <v>1849</v>
      </c>
      <c r="Q105" s="112" t="s">
        <v>1853</v>
      </c>
      <c r="R105" s="112" t="s">
        <v>1851</v>
      </c>
    </row>
    <row r="106" spans="1:18">
      <c r="A106" s="112" t="s">
        <v>1854</v>
      </c>
      <c r="B106" s="112" t="s">
        <v>1748</v>
      </c>
      <c r="C106" s="112" t="s">
        <v>1706</v>
      </c>
      <c r="D106" s="112">
        <v>80</v>
      </c>
      <c r="E106" s="112" t="s">
        <v>1707</v>
      </c>
      <c r="F106" s="112" t="s">
        <v>440</v>
      </c>
      <c r="G106" s="112">
        <v>-6.3808644374514403</v>
      </c>
      <c r="H106" s="112">
        <v>-4.5351548514374196</v>
      </c>
      <c r="I106" s="112">
        <v>0</v>
      </c>
      <c r="J106" s="112">
        <v>1</v>
      </c>
      <c r="K106" s="112" t="s">
        <v>1749</v>
      </c>
      <c r="L106" s="112">
        <v>1.5815429980478E-3</v>
      </c>
      <c r="M106" s="229">
        <v>2.8655227900239502E-5</v>
      </c>
      <c r="N106" s="112" t="s">
        <v>1854</v>
      </c>
      <c r="O106" s="112" t="s">
        <v>1848</v>
      </c>
      <c r="P106" s="112" t="s">
        <v>1849</v>
      </c>
      <c r="Q106" s="112" t="s">
        <v>1855</v>
      </c>
      <c r="R106" s="112" t="s">
        <v>1856</v>
      </c>
    </row>
    <row r="107" spans="1:18">
      <c r="A107" s="112" t="s">
        <v>1847</v>
      </c>
      <c r="B107" s="112" t="s">
        <v>1743</v>
      </c>
      <c r="C107" s="112" t="s">
        <v>1706</v>
      </c>
      <c r="D107" s="112">
        <v>55</v>
      </c>
      <c r="E107" s="112" t="s">
        <v>1707</v>
      </c>
      <c r="F107" s="112" t="s">
        <v>440</v>
      </c>
      <c r="G107" s="112">
        <v>-15.207291985379101</v>
      </c>
      <c r="H107" s="112">
        <v>-11.0352377677569</v>
      </c>
      <c r="I107" s="112">
        <v>0</v>
      </c>
      <c r="J107" s="112">
        <v>1</v>
      </c>
      <c r="K107" s="112" t="s">
        <v>1744</v>
      </c>
      <c r="L107" s="112">
        <v>1.59632774731723E-3</v>
      </c>
      <c r="M107" s="229">
        <v>3.30959450031216E-5</v>
      </c>
      <c r="N107" s="112" t="s">
        <v>1847</v>
      </c>
      <c r="O107" s="112" t="s">
        <v>1848</v>
      </c>
      <c r="P107" s="112" t="s">
        <v>1849</v>
      </c>
      <c r="Q107" s="112" t="s">
        <v>1850</v>
      </c>
      <c r="R107" s="112" t="s">
        <v>1851</v>
      </c>
    </row>
    <row r="108" spans="1:18">
      <c r="A108" s="112" t="s">
        <v>1854</v>
      </c>
      <c r="B108" s="112" t="s">
        <v>1755</v>
      </c>
      <c r="C108" s="112" t="s">
        <v>1706</v>
      </c>
      <c r="D108" s="112">
        <v>30</v>
      </c>
      <c r="E108" s="112" t="s">
        <v>1707</v>
      </c>
      <c r="F108" s="112" t="s">
        <v>1721</v>
      </c>
      <c r="G108" s="112">
        <v>4.7792986347762199</v>
      </c>
      <c r="H108" s="112">
        <v>3.70533569202941</v>
      </c>
      <c r="I108" s="112">
        <v>2.3420217926281</v>
      </c>
      <c r="J108" s="112" t="s">
        <v>848</v>
      </c>
      <c r="K108" s="112" t="s">
        <v>1756</v>
      </c>
      <c r="L108" s="112">
        <v>1.64498439835848E-3</v>
      </c>
      <c r="M108" s="229">
        <v>2.6152375172630799E-5</v>
      </c>
      <c r="N108" s="112" t="s">
        <v>1854</v>
      </c>
      <c r="O108" s="112" t="s">
        <v>1848</v>
      </c>
      <c r="P108" s="112" t="s">
        <v>1849</v>
      </c>
      <c r="Q108" s="112" t="s">
        <v>1855</v>
      </c>
      <c r="R108" s="112" t="s">
        <v>1856</v>
      </c>
    </row>
    <row r="109" spans="1:18">
      <c r="A109" s="112" t="s">
        <v>1854</v>
      </c>
      <c r="B109" s="112" t="s">
        <v>1731</v>
      </c>
      <c r="C109" s="112" t="s">
        <v>1706</v>
      </c>
      <c r="D109" s="112">
        <v>30</v>
      </c>
      <c r="E109" s="112" t="s">
        <v>1707</v>
      </c>
      <c r="F109" s="112" t="s">
        <v>1708</v>
      </c>
      <c r="G109" s="112">
        <v>2.6361564673476101</v>
      </c>
      <c r="H109" s="112">
        <v>2.0055022255503898</v>
      </c>
      <c r="I109" s="112">
        <v>0.67943281132213396</v>
      </c>
      <c r="J109" s="112" t="s">
        <v>848</v>
      </c>
      <c r="K109" s="112" t="s">
        <v>1732</v>
      </c>
      <c r="L109" s="112">
        <v>2.1264023078446698E-3</v>
      </c>
      <c r="M109" s="229">
        <v>7.4373371657524297E-5</v>
      </c>
      <c r="N109" s="112" t="s">
        <v>1854</v>
      </c>
      <c r="O109" s="112" t="s">
        <v>1848</v>
      </c>
      <c r="P109" s="112" t="s">
        <v>1849</v>
      </c>
      <c r="Q109" s="112" t="s">
        <v>1855</v>
      </c>
      <c r="R109" s="112" t="s">
        <v>1856</v>
      </c>
    </row>
    <row r="110" spans="1:18">
      <c r="A110" s="112" t="s">
        <v>1857</v>
      </c>
      <c r="B110" s="112" t="s">
        <v>1705</v>
      </c>
      <c r="C110" s="112" t="s">
        <v>1706</v>
      </c>
      <c r="D110" s="112">
        <v>80</v>
      </c>
      <c r="E110" s="112" t="s">
        <v>1707</v>
      </c>
      <c r="F110" s="112" t="s">
        <v>1708</v>
      </c>
      <c r="G110" s="112">
        <v>2.0289426915987598</v>
      </c>
      <c r="H110" s="112">
        <v>1.8058063407150799</v>
      </c>
      <c r="I110" s="112">
        <v>1.0651861307428601</v>
      </c>
      <c r="J110" s="112" t="s">
        <v>848</v>
      </c>
      <c r="K110" s="112" t="s">
        <v>1709</v>
      </c>
      <c r="L110" s="112">
        <v>2.2700317098906199E-3</v>
      </c>
      <c r="M110" s="229">
        <v>9.4584654578776098E-5</v>
      </c>
      <c r="N110" s="112" t="s">
        <v>1857</v>
      </c>
      <c r="O110" s="112" t="s">
        <v>1848</v>
      </c>
      <c r="P110" s="112" t="s">
        <v>1849</v>
      </c>
      <c r="Q110" s="112" t="s">
        <v>1858</v>
      </c>
      <c r="R110" s="112" t="s">
        <v>1859</v>
      </c>
    </row>
    <row r="111" spans="1:18">
      <c r="A111" s="112" t="s">
        <v>1854</v>
      </c>
      <c r="B111" s="112" t="s">
        <v>1705</v>
      </c>
      <c r="C111" s="112" t="s">
        <v>1706</v>
      </c>
      <c r="D111" s="112">
        <v>80</v>
      </c>
      <c r="E111" s="112" t="s">
        <v>1707</v>
      </c>
      <c r="F111" s="112" t="s">
        <v>1708</v>
      </c>
      <c r="G111" s="112">
        <v>-3.8250361040148002</v>
      </c>
      <c r="H111" s="112">
        <v>-2.9360133511123601</v>
      </c>
      <c r="I111" s="112">
        <v>-7.2332465400456298</v>
      </c>
      <c r="J111" s="112" t="s">
        <v>848</v>
      </c>
      <c r="K111" s="112" t="s">
        <v>1709</v>
      </c>
      <c r="L111" s="112">
        <v>2.7546337992691099E-3</v>
      </c>
      <c r="M111" s="229">
        <v>1.2534791959393401E-4</v>
      </c>
      <c r="N111" s="112" t="s">
        <v>1854</v>
      </c>
      <c r="O111" s="112" t="s">
        <v>1848</v>
      </c>
      <c r="P111" s="112" t="s">
        <v>1849</v>
      </c>
      <c r="Q111" s="112" t="s">
        <v>1855</v>
      </c>
      <c r="R111" s="112" t="s">
        <v>1856</v>
      </c>
    </row>
    <row r="112" spans="1:18">
      <c r="A112" s="112" t="s">
        <v>1860</v>
      </c>
      <c r="B112" s="112" t="s">
        <v>1731</v>
      </c>
      <c r="C112" s="112" t="s">
        <v>1706</v>
      </c>
      <c r="D112" s="112">
        <v>30</v>
      </c>
      <c r="E112" s="112" t="s">
        <v>1707</v>
      </c>
      <c r="F112" s="112" t="s">
        <v>1708</v>
      </c>
      <c r="G112" s="112">
        <v>-4.0729922388010902</v>
      </c>
      <c r="H112" s="112">
        <v>-2.5922838285886098</v>
      </c>
      <c r="I112" s="112">
        <v>-6.6484189698595602</v>
      </c>
      <c r="J112" s="112" t="s">
        <v>848</v>
      </c>
      <c r="K112" s="112" t="s">
        <v>1732</v>
      </c>
      <c r="L112" s="112">
        <v>3.8458112011501601E-3</v>
      </c>
      <c r="M112" s="229">
        <v>1.6202543216292401E-4</v>
      </c>
      <c r="N112" s="112" t="s">
        <v>1860</v>
      </c>
      <c r="O112" s="112" t="s">
        <v>1848</v>
      </c>
      <c r="P112" s="112" t="s">
        <v>1849</v>
      </c>
      <c r="Q112" s="112" t="s">
        <v>1861</v>
      </c>
      <c r="R112" s="112" t="s">
        <v>1862</v>
      </c>
    </row>
    <row r="113" spans="1:18">
      <c r="A113" s="112" t="s">
        <v>1857</v>
      </c>
      <c r="B113" s="112" t="s">
        <v>1748</v>
      </c>
      <c r="C113" s="112" t="s">
        <v>1706</v>
      </c>
      <c r="D113" s="112">
        <v>80</v>
      </c>
      <c r="E113" s="112" t="s">
        <v>1707</v>
      </c>
      <c r="F113" s="112" t="s">
        <v>440</v>
      </c>
      <c r="G113" s="112">
        <v>2.4895696677967698</v>
      </c>
      <c r="H113" s="112">
        <v>2.1713212893264999</v>
      </c>
      <c r="I113" s="112">
        <v>1.5637337901009201</v>
      </c>
      <c r="J113" s="112" t="s">
        <v>848</v>
      </c>
      <c r="K113" s="112" t="s">
        <v>1749</v>
      </c>
      <c r="L113" s="112">
        <v>4.0247820763242501E-3</v>
      </c>
      <c r="M113" s="229">
        <v>1.05915317798006E-4</v>
      </c>
      <c r="N113" s="112" t="s">
        <v>1857</v>
      </c>
      <c r="O113" s="112" t="s">
        <v>1848</v>
      </c>
      <c r="P113" s="112" t="s">
        <v>1849</v>
      </c>
      <c r="Q113" s="112" t="s">
        <v>1858</v>
      </c>
      <c r="R113" s="112" t="s">
        <v>1859</v>
      </c>
    </row>
    <row r="114" spans="1:18">
      <c r="A114" s="112" t="s">
        <v>1863</v>
      </c>
      <c r="B114" s="112" t="s">
        <v>1748</v>
      </c>
      <c r="C114" s="112" t="s">
        <v>1706</v>
      </c>
      <c r="D114" s="112">
        <v>80</v>
      </c>
      <c r="E114" s="112" t="s">
        <v>1707</v>
      </c>
      <c r="F114" s="112" t="s">
        <v>440</v>
      </c>
      <c r="G114" s="112">
        <v>4.0110220939893404</v>
      </c>
      <c r="H114" s="112">
        <v>3.1942673189448199</v>
      </c>
      <c r="I114" s="112">
        <v>2.9306788412067699</v>
      </c>
      <c r="J114" s="112" t="s">
        <v>848</v>
      </c>
      <c r="K114" s="112" t="s">
        <v>1749</v>
      </c>
      <c r="L114" s="112">
        <v>4.6897991899919299E-3</v>
      </c>
      <c r="M114" s="229">
        <v>1.46556224687247E-4</v>
      </c>
      <c r="N114" s="112" t="s">
        <v>1863</v>
      </c>
      <c r="O114" s="112" t="s">
        <v>1848</v>
      </c>
      <c r="P114" s="112" t="s">
        <v>1849</v>
      </c>
      <c r="Q114" s="112" t="s">
        <v>1864</v>
      </c>
      <c r="R114" s="112" t="s">
        <v>1865</v>
      </c>
    </row>
    <row r="115" spans="1:18">
      <c r="A115" s="112" t="s">
        <v>1866</v>
      </c>
      <c r="B115" s="112" t="s">
        <v>1755</v>
      </c>
      <c r="C115" s="112" t="s">
        <v>1706</v>
      </c>
      <c r="D115" s="112">
        <v>30</v>
      </c>
      <c r="E115" s="112" t="s">
        <v>1707</v>
      </c>
      <c r="F115" s="112" t="s">
        <v>1721</v>
      </c>
      <c r="G115" s="112">
        <v>2.2803173257815601</v>
      </c>
      <c r="H115" s="112">
        <v>1.8658580104425899</v>
      </c>
      <c r="I115" s="112">
        <v>1.6946257634276001</v>
      </c>
      <c r="J115" s="112" t="s">
        <v>848</v>
      </c>
      <c r="K115" s="112" t="s">
        <v>1756</v>
      </c>
      <c r="L115" s="112">
        <v>5.17068399036594E-3</v>
      </c>
      <c r="M115" s="229">
        <v>1.5342274741379601E-4</v>
      </c>
      <c r="N115" s="112" t="s">
        <v>1866</v>
      </c>
      <c r="O115" s="112" t="s">
        <v>1848</v>
      </c>
      <c r="P115" s="112" t="s">
        <v>1849</v>
      </c>
      <c r="Q115" s="112" t="s">
        <v>1867</v>
      </c>
      <c r="R115" s="112" t="s">
        <v>1868</v>
      </c>
    </row>
    <row r="116" spans="1:18">
      <c r="A116" s="112" t="s">
        <v>1869</v>
      </c>
      <c r="B116" s="112" t="s">
        <v>1731</v>
      </c>
      <c r="C116" s="112" t="s">
        <v>1706</v>
      </c>
      <c r="D116" s="112">
        <v>30</v>
      </c>
      <c r="E116" s="112" t="s">
        <v>1707</v>
      </c>
      <c r="F116" s="112" t="s">
        <v>1708</v>
      </c>
      <c r="G116" s="112">
        <v>2.78423090369711</v>
      </c>
      <c r="H116" s="112">
        <v>1.9609610903977099</v>
      </c>
      <c r="I116" s="112">
        <v>1.4174322573773901</v>
      </c>
      <c r="J116" s="112" t="s">
        <v>848</v>
      </c>
      <c r="K116" s="112" t="s">
        <v>1732</v>
      </c>
      <c r="L116" s="112">
        <v>5.4766091774607903E-3</v>
      </c>
      <c r="M116" s="229">
        <v>2.5249867431854201E-4</v>
      </c>
      <c r="N116" s="112" t="s">
        <v>1869</v>
      </c>
      <c r="O116" s="112" t="s">
        <v>1848</v>
      </c>
      <c r="P116" s="112" t="s">
        <v>1849</v>
      </c>
      <c r="Q116" s="112" t="s">
        <v>1870</v>
      </c>
      <c r="R116" s="112" t="s">
        <v>1865</v>
      </c>
    </row>
    <row r="117" spans="1:18">
      <c r="A117" s="112" t="s">
        <v>1852</v>
      </c>
      <c r="B117" s="112" t="s">
        <v>1748</v>
      </c>
      <c r="C117" s="112" t="s">
        <v>1706</v>
      </c>
      <c r="D117" s="112">
        <v>80</v>
      </c>
      <c r="E117" s="112" t="s">
        <v>1707</v>
      </c>
      <c r="F117" s="112" t="s">
        <v>440</v>
      </c>
      <c r="G117" s="112">
        <v>-1.5529646526124301</v>
      </c>
      <c r="H117" s="112">
        <v>-1.3610772278818</v>
      </c>
      <c r="I117" s="112">
        <v>-1.81574634140042</v>
      </c>
      <c r="J117" s="112" t="s">
        <v>848</v>
      </c>
      <c r="K117" s="112" t="s">
        <v>1749</v>
      </c>
      <c r="L117" s="112">
        <v>6.7558707696735096E-3</v>
      </c>
      <c r="M117" s="229">
        <v>2.40751973699988E-4</v>
      </c>
      <c r="N117" s="112" t="s">
        <v>1852</v>
      </c>
      <c r="O117" s="112" t="s">
        <v>1848</v>
      </c>
      <c r="P117" s="112" t="s">
        <v>1849</v>
      </c>
      <c r="Q117" s="112" t="s">
        <v>1853</v>
      </c>
      <c r="R117" s="112" t="s">
        <v>1851</v>
      </c>
    </row>
    <row r="118" spans="1:18">
      <c r="A118" s="112" t="s">
        <v>1854</v>
      </c>
      <c r="B118" s="112" t="s">
        <v>1743</v>
      </c>
      <c r="C118" s="112" t="s">
        <v>1706</v>
      </c>
      <c r="D118" s="112">
        <v>55</v>
      </c>
      <c r="E118" s="112" t="s">
        <v>1707</v>
      </c>
      <c r="F118" s="112" t="s">
        <v>440</v>
      </c>
      <c r="G118" s="112">
        <v>3.0493627433244899</v>
      </c>
      <c r="H118" s="112">
        <v>2.3668547637148798</v>
      </c>
      <c r="I118" s="112">
        <v>1.41949961881138</v>
      </c>
      <c r="J118" s="112" t="s">
        <v>848</v>
      </c>
      <c r="K118" s="112" t="s">
        <v>1744</v>
      </c>
      <c r="L118" s="112">
        <v>7.0142110986796697E-3</v>
      </c>
      <c r="M118" s="229">
        <v>1.7115011126132401E-4</v>
      </c>
      <c r="N118" s="112" t="s">
        <v>1854</v>
      </c>
      <c r="O118" s="112" t="s">
        <v>1848</v>
      </c>
      <c r="P118" s="112" t="s">
        <v>1849</v>
      </c>
      <c r="Q118" s="112" t="s">
        <v>1855</v>
      </c>
      <c r="R118" s="112" t="s">
        <v>1856</v>
      </c>
    </row>
    <row r="119" spans="1:18">
      <c r="A119" s="112" t="s">
        <v>1857</v>
      </c>
      <c r="B119" s="112" t="s">
        <v>1720</v>
      </c>
      <c r="C119" s="112" t="s">
        <v>1706</v>
      </c>
      <c r="D119" s="112">
        <v>55</v>
      </c>
      <c r="E119" s="112" t="s">
        <v>1707</v>
      </c>
      <c r="F119" s="112" t="s">
        <v>1721</v>
      </c>
      <c r="G119" s="112">
        <v>-2.4126048520615799</v>
      </c>
      <c r="H119" s="112">
        <v>-1.96105489959151</v>
      </c>
      <c r="I119" s="112">
        <v>-3.3731894233537298</v>
      </c>
      <c r="J119" s="112" t="s">
        <v>848</v>
      </c>
      <c r="K119" s="112" t="s">
        <v>1722</v>
      </c>
      <c r="L119" s="112">
        <v>8.6669749700908003E-3</v>
      </c>
      <c r="M119" s="229">
        <v>1.84987535588823E-4</v>
      </c>
      <c r="N119" s="112" t="s">
        <v>1857</v>
      </c>
      <c r="O119" s="112" t="s">
        <v>1848</v>
      </c>
      <c r="P119" s="112" t="s">
        <v>1849</v>
      </c>
      <c r="Q119" s="112" t="s">
        <v>1858</v>
      </c>
      <c r="R119" s="112" t="s">
        <v>1859</v>
      </c>
    </row>
    <row r="120" spans="1:18">
      <c r="A120" s="112" t="s">
        <v>1871</v>
      </c>
      <c r="B120" s="112" t="s">
        <v>1720</v>
      </c>
      <c r="C120" s="112" t="s">
        <v>1706</v>
      </c>
      <c r="D120" s="112">
        <v>55</v>
      </c>
      <c r="E120" s="112" t="s">
        <v>1707</v>
      </c>
      <c r="F120" s="112" t="s">
        <v>1721</v>
      </c>
      <c r="G120" s="112">
        <v>3.2574305635577598</v>
      </c>
      <c r="H120" s="112">
        <v>2.3361603679840202</v>
      </c>
      <c r="I120" s="112">
        <v>1.9254935231593</v>
      </c>
      <c r="J120" s="112" t="s">
        <v>848</v>
      </c>
      <c r="K120" s="112" t="s">
        <v>1722</v>
      </c>
      <c r="L120" s="112">
        <v>8.6669749700908003E-3</v>
      </c>
      <c r="M120" s="229">
        <v>1.85313609557862E-4</v>
      </c>
      <c r="N120" s="112" t="s">
        <v>1871</v>
      </c>
      <c r="O120" s="112" t="s">
        <v>1848</v>
      </c>
      <c r="P120" s="112" t="s">
        <v>1849</v>
      </c>
      <c r="Q120" s="112" t="s">
        <v>1872</v>
      </c>
    </row>
    <row r="121" spans="1:18">
      <c r="A121" s="112" t="s">
        <v>1873</v>
      </c>
      <c r="B121" s="112" t="s">
        <v>1755</v>
      </c>
      <c r="C121" s="112" t="s">
        <v>1706</v>
      </c>
      <c r="D121" s="112">
        <v>30</v>
      </c>
      <c r="E121" s="112" t="s">
        <v>1707</v>
      </c>
      <c r="F121" s="112" t="s">
        <v>1721</v>
      </c>
      <c r="G121" s="112">
        <v>2.5258451437828402</v>
      </c>
      <c r="H121" s="112">
        <v>1.96667432249895</v>
      </c>
      <c r="I121" s="112">
        <v>1.8486869770391099</v>
      </c>
      <c r="J121" s="112" t="s">
        <v>848</v>
      </c>
      <c r="K121" s="112" t="s">
        <v>1756</v>
      </c>
      <c r="L121" s="112">
        <v>9.2736952925776099E-3</v>
      </c>
      <c r="M121" s="229">
        <v>3.6858884310721798E-4</v>
      </c>
      <c r="N121" s="112" t="s">
        <v>1873</v>
      </c>
      <c r="O121" s="112" t="s">
        <v>1848</v>
      </c>
      <c r="P121" s="112" t="s">
        <v>1849</v>
      </c>
      <c r="Q121" s="112" t="s">
        <v>1874</v>
      </c>
      <c r="R121" s="112" t="s">
        <v>1875</v>
      </c>
    </row>
    <row r="122" spans="1:18">
      <c r="A122" s="112" t="s">
        <v>1876</v>
      </c>
      <c r="B122" s="112" t="s">
        <v>1748</v>
      </c>
      <c r="C122" s="112" t="s">
        <v>1706</v>
      </c>
      <c r="D122" s="112">
        <v>80</v>
      </c>
      <c r="E122" s="112" t="s">
        <v>1707</v>
      </c>
      <c r="F122" s="112" t="s">
        <v>440</v>
      </c>
      <c r="G122" s="112">
        <v>4.0141977648505502</v>
      </c>
      <c r="H122" s="112">
        <v>3.0344558323298698</v>
      </c>
      <c r="I122" s="112">
        <v>2.4093144695123798</v>
      </c>
      <c r="J122" s="112" t="s">
        <v>848</v>
      </c>
      <c r="K122" s="112" t="s">
        <v>1749</v>
      </c>
      <c r="L122" s="112">
        <v>9.3726772903995701E-3</v>
      </c>
      <c r="M122" s="229">
        <v>4.1108233729822598E-4</v>
      </c>
      <c r="N122" s="112" t="s">
        <v>1876</v>
      </c>
      <c r="O122" s="112" t="s">
        <v>1848</v>
      </c>
      <c r="P122" s="112" t="s">
        <v>1849</v>
      </c>
      <c r="Q122" s="112" t="s">
        <v>1877</v>
      </c>
      <c r="R122" s="112" t="s">
        <v>1851</v>
      </c>
    </row>
    <row r="123" spans="1:18">
      <c r="A123" s="112" t="s">
        <v>1857</v>
      </c>
      <c r="B123" s="112" t="s">
        <v>1796</v>
      </c>
      <c r="C123" s="112" t="s">
        <v>1706</v>
      </c>
      <c r="D123" s="112">
        <v>80</v>
      </c>
      <c r="E123" s="112" t="s">
        <v>1707</v>
      </c>
      <c r="F123" s="112" t="s">
        <v>1721</v>
      </c>
      <c r="G123" s="112">
        <v>2.3280791791359898</v>
      </c>
      <c r="H123" s="112">
        <v>1.7497262868168399</v>
      </c>
      <c r="I123" s="112">
        <v>1.2322283371154299</v>
      </c>
      <c r="J123" s="112" t="s">
        <v>848</v>
      </c>
      <c r="K123" s="112" t="s">
        <v>1797</v>
      </c>
      <c r="L123" s="112">
        <v>1.3594433944348E-2</v>
      </c>
      <c r="M123" s="229">
        <v>4.2120057393986102E-4</v>
      </c>
      <c r="N123" s="112" t="s">
        <v>1857</v>
      </c>
      <c r="O123" s="112" t="s">
        <v>1848</v>
      </c>
      <c r="P123" s="112" t="s">
        <v>1849</v>
      </c>
      <c r="Q123" s="112" t="s">
        <v>1858</v>
      </c>
      <c r="R123" s="112" t="s">
        <v>1859</v>
      </c>
    </row>
    <row r="124" spans="1:18">
      <c r="A124" s="112" t="s">
        <v>1878</v>
      </c>
      <c r="B124" s="112" t="s">
        <v>1705</v>
      </c>
      <c r="C124" s="112" t="s">
        <v>1706</v>
      </c>
      <c r="D124" s="112">
        <v>80</v>
      </c>
      <c r="E124" s="112" t="s">
        <v>1707</v>
      </c>
      <c r="F124" s="112" t="s">
        <v>1708</v>
      </c>
      <c r="G124" s="112">
        <v>-1.9035234168464199</v>
      </c>
      <c r="H124" s="112">
        <v>-1.5804587603270699</v>
      </c>
      <c r="I124" s="112">
        <v>-2.3772921502339002</v>
      </c>
      <c r="J124" s="112" t="s">
        <v>848</v>
      </c>
      <c r="K124" s="112" t="s">
        <v>1709</v>
      </c>
      <c r="L124" s="112">
        <v>1.4828394632867E-2</v>
      </c>
      <c r="M124" s="112">
        <v>1.2600883597008699E-3</v>
      </c>
      <c r="N124" s="112" t="s">
        <v>1878</v>
      </c>
      <c r="O124" s="112" t="s">
        <v>1848</v>
      </c>
      <c r="P124" s="112" t="s">
        <v>1849</v>
      </c>
      <c r="Q124" s="112" t="s">
        <v>1879</v>
      </c>
      <c r="R124" s="112" t="s">
        <v>1851</v>
      </c>
    </row>
    <row r="125" spans="1:18">
      <c r="A125" s="112" t="s">
        <v>1860</v>
      </c>
      <c r="B125" s="112" t="s">
        <v>1705</v>
      </c>
      <c r="C125" s="112" t="s">
        <v>1706</v>
      </c>
      <c r="D125" s="112">
        <v>80</v>
      </c>
      <c r="E125" s="112" t="s">
        <v>1707</v>
      </c>
      <c r="F125" s="112" t="s">
        <v>1708</v>
      </c>
      <c r="G125" s="112">
        <v>2.3679666011562599</v>
      </c>
      <c r="H125" s="112">
        <v>1.8667851393120001</v>
      </c>
      <c r="I125" s="112">
        <v>1.16788754791461</v>
      </c>
      <c r="J125" s="112" t="s">
        <v>848</v>
      </c>
      <c r="K125" s="112" t="s">
        <v>1709</v>
      </c>
      <c r="L125" s="112">
        <v>1.73641270787422E-2</v>
      </c>
      <c r="M125" s="112">
        <v>1.61836710711961E-3</v>
      </c>
      <c r="N125" s="112" t="s">
        <v>1860</v>
      </c>
      <c r="O125" s="112" t="s">
        <v>1848</v>
      </c>
      <c r="P125" s="112" t="s">
        <v>1849</v>
      </c>
      <c r="Q125" s="112" t="s">
        <v>1861</v>
      </c>
      <c r="R125" s="112" t="s">
        <v>1862</v>
      </c>
    </row>
    <row r="126" spans="1:18">
      <c r="A126" s="112" t="s">
        <v>1847</v>
      </c>
      <c r="B126" s="112" t="s">
        <v>1796</v>
      </c>
      <c r="C126" s="112" t="s">
        <v>1706</v>
      </c>
      <c r="D126" s="112">
        <v>80</v>
      </c>
      <c r="E126" s="112" t="s">
        <v>1707</v>
      </c>
      <c r="F126" s="112" t="s">
        <v>1721</v>
      </c>
      <c r="G126" s="112">
        <v>11.6482364675115</v>
      </c>
      <c r="H126" s="112">
        <v>2.1805899422124901</v>
      </c>
      <c r="I126" s="112">
        <v>3.0758939529004001</v>
      </c>
      <c r="J126" s="112" t="s">
        <v>848</v>
      </c>
      <c r="K126" s="112" t="s">
        <v>1797</v>
      </c>
      <c r="L126" s="112">
        <v>1.9139004682111702E-2</v>
      </c>
      <c r="M126" s="229">
        <v>6.7949129048917498E-4</v>
      </c>
      <c r="N126" s="112" t="s">
        <v>1847</v>
      </c>
      <c r="O126" s="112" t="s">
        <v>1848</v>
      </c>
      <c r="P126" s="112" t="s">
        <v>1849</v>
      </c>
      <c r="Q126" s="112" t="s">
        <v>1850</v>
      </c>
      <c r="R126" s="112" t="s">
        <v>1851</v>
      </c>
    </row>
    <row r="127" spans="1:18">
      <c r="A127" s="112" t="s">
        <v>1847</v>
      </c>
      <c r="B127" s="112" t="s">
        <v>1705</v>
      </c>
      <c r="C127" s="112" t="s">
        <v>1706</v>
      </c>
      <c r="D127" s="112">
        <v>80</v>
      </c>
      <c r="E127" s="112" t="s">
        <v>1707</v>
      </c>
      <c r="F127" s="112" t="s">
        <v>1708</v>
      </c>
      <c r="G127" s="112">
        <v>8.4427081905880694</v>
      </c>
      <c r="H127" s="112">
        <v>2.4367421928469502</v>
      </c>
      <c r="I127" s="112">
        <v>-0.25185083971244498</v>
      </c>
      <c r="J127" s="112" t="s">
        <v>848</v>
      </c>
      <c r="K127" s="112" t="s">
        <v>1709</v>
      </c>
      <c r="L127" s="112">
        <v>2.02339103162406E-2</v>
      </c>
      <c r="M127" s="112">
        <v>2.0221577702692999E-3</v>
      </c>
      <c r="N127" s="112" t="s">
        <v>1847</v>
      </c>
      <c r="O127" s="112" t="s">
        <v>1848</v>
      </c>
      <c r="P127" s="112" t="s">
        <v>1849</v>
      </c>
      <c r="Q127" s="112" t="s">
        <v>1850</v>
      </c>
      <c r="R127" s="112" t="s">
        <v>1851</v>
      </c>
    </row>
    <row r="128" spans="1:18">
      <c r="A128" s="112" t="s">
        <v>1860</v>
      </c>
      <c r="B128" s="112" t="s">
        <v>1755</v>
      </c>
      <c r="C128" s="112" t="s">
        <v>1706</v>
      </c>
      <c r="D128" s="112">
        <v>30</v>
      </c>
      <c r="E128" s="112" t="s">
        <v>1707</v>
      </c>
      <c r="F128" s="112" t="s">
        <v>1721</v>
      </c>
      <c r="G128" s="112">
        <v>-7.4747575750364001</v>
      </c>
      <c r="H128" s="112">
        <v>-3.23535190514108</v>
      </c>
      <c r="I128" s="112">
        <v>0</v>
      </c>
      <c r="J128" s="112">
        <v>1</v>
      </c>
      <c r="K128" s="112" t="s">
        <v>1756</v>
      </c>
      <c r="L128" s="112">
        <v>2.30215867936274E-2</v>
      </c>
      <c r="M128" s="112">
        <v>1.35421098786043E-3</v>
      </c>
      <c r="N128" s="112" t="s">
        <v>1860</v>
      </c>
      <c r="O128" s="112" t="s">
        <v>1848</v>
      </c>
      <c r="P128" s="112" t="s">
        <v>1849</v>
      </c>
      <c r="Q128" s="112" t="s">
        <v>1861</v>
      </c>
      <c r="R128" s="112" t="s">
        <v>1862</v>
      </c>
    </row>
    <row r="129" spans="1:18">
      <c r="A129" s="112" t="s">
        <v>1876</v>
      </c>
      <c r="B129" s="112" t="s">
        <v>1705</v>
      </c>
      <c r="C129" s="112" t="s">
        <v>1706</v>
      </c>
      <c r="D129" s="112">
        <v>80</v>
      </c>
      <c r="E129" s="112" t="s">
        <v>1707</v>
      </c>
      <c r="F129" s="112" t="s">
        <v>1708</v>
      </c>
      <c r="G129" s="112">
        <v>2.8724367296895399</v>
      </c>
      <c r="H129" s="112">
        <v>2.0272537376667299</v>
      </c>
      <c r="I129" s="112">
        <v>1.1340681219806701</v>
      </c>
      <c r="J129" s="112" t="s">
        <v>848</v>
      </c>
      <c r="K129" s="112" t="s">
        <v>1709</v>
      </c>
      <c r="L129" s="112">
        <v>2.6602836556440999E-2</v>
      </c>
      <c r="M129" s="112">
        <v>3.0628265772218301E-3</v>
      </c>
      <c r="N129" s="112" t="s">
        <v>1876</v>
      </c>
      <c r="O129" s="112" t="s">
        <v>1848</v>
      </c>
      <c r="P129" s="112" t="s">
        <v>1849</v>
      </c>
      <c r="Q129" s="112" t="s">
        <v>1877</v>
      </c>
      <c r="R129" s="112" t="s">
        <v>1851</v>
      </c>
    </row>
    <row r="130" spans="1:18">
      <c r="A130" s="112" t="s">
        <v>1869</v>
      </c>
      <c r="B130" s="112" t="s">
        <v>1705</v>
      </c>
      <c r="C130" s="112" t="s">
        <v>1706</v>
      </c>
      <c r="D130" s="112">
        <v>80</v>
      </c>
      <c r="E130" s="112" t="s">
        <v>1707</v>
      </c>
      <c r="F130" s="112" t="s">
        <v>1708</v>
      </c>
      <c r="G130" s="112">
        <v>2.2842070202949301</v>
      </c>
      <c r="H130" s="112">
        <v>1.7240388700881999</v>
      </c>
      <c r="I130" s="112">
        <v>0.80938276460109204</v>
      </c>
      <c r="J130" s="112" t="s">
        <v>848</v>
      </c>
      <c r="K130" s="112" t="s">
        <v>1709</v>
      </c>
      <c r="L130" s="112">
        <v>2.86426002592584E-2</v>
      </c>
      <c r="M130" s="112">
        <v>3.4232932327403101E-3</v>
      </c>
      <c r="N130" s="112" t="s">
        <v>1869</v>
      </c>
      <c r="O130" s="112" t="s">
        <v>1848</v>
      </c>
      <c r="P130" s="112" t="s">
        <v>1849</v>
      </c>
      <c r="Q130" s="112" t="s">
        <v>1870</v>
      </c>
      <c r="R130" s="112" t="s">
        <v>1865</v>
      </c>
    </row>
    <row r="131" spans="1:18">
      <c r="A131" s="112" t="s">
        <v>1871</v>
      </c>
      <c r="B131" s="112" t="s">
        <v>1705</v>
      </c>
      <c r="C131" s="112" t="s">
        <v>1706</v>
      </c>
      <c r="D131" s="112">
        <v>80</v>
      </c>
      <c r="E131" s="112" t="s">
        <v>1707</v>
      </c>
      <c r="F131" s="112" t="s">
        <v>1708</v>
      </c>
      <c r="G131" s="112">
        <v>-3.4688434149195801</v>
      </c>
      <c r="H131" s="112">
        <v>-2.1380048808537402</v>
      </c>
      <c r="I131" s="112">
        <v>0</v>
      </c>
      <c r="J131" s="112">
        <v>1</v>
      </c>
      <c r="K131" s="112" t="s">
        <v>1709</v>
      </c>
      <c r="L131" s="112">
        <v>3.4030016932823703E-2</v>
      </c>
      <c r="M131" s="112">
        <v>4.3283793467188102E-3</v>
      </c>
      <c r="N131" s="112" t="s">
        <v>1871</v>
      </c>
      <c r="O131" s="112" t="s">
        <v>1848</v>
      </c>
      <c r="P131" s="112" t="s">
        <v>1849</v>
      </c>
      <c r="Q131" s="112" t="s">
        <v>1872</v>
      </c>
    </row>
    <row r="132" spans="1:18">
      <c r="A132" s="112" t="s">
        <v>1880</v>
      </c>
      <c r="B132" s="112" t="s">
        <v>1705</v>
      </c>
      <c r="C132" s="112" t="s">
        <v>1706</v>
      </c>
      <c r="D132" s="112">
        <v>80</v>
      </c>
      <c r="E132" s="112" t="s">
        <v>1707</v>
      </c>
      <c r="F132" s="112" t="s">
        <v>1708</v>
      </c>
      <c r="G132" s="112">
        <v>-3.5291736219774599</v>
      </c>
      <c r="H132" s="112">
        <v>-2.1496323284050298</v>
      </c>
      <c r="I132" s="112">
        <v>0</v>
      </c>
      <c r="J132" s="112">
        <v>1</v>
      </c>
      <c r="K132" s="112" t="s">
        <v>1709</v>
      </c>
      <c r="L132" s="112">
        <v>3.4157186606246698E-2</v>
      </c>
      <c r="M132" s="112">
        <v>4.3632809645040996E-3</v>
      </c>
      <c r="N132" s="112" t="s">
        <v>1880</v>
      </c>
      <c r="O132" s="112" t="s">
        <v>1848</v>
      </c>
      <c r="P132" s="112" t="s">
        <v>1849</v>
      </c>
      <c r="Q132" s="112" t="s">
        <v>1881</v>
      </c>
      <c r="R132" s="112" t="s">
        <v>1882</v>
      </c>
    </row>
    <row r="133" spans="1:18">
      <c r="A133" s="112" t="s">
        <v>1852</v>
      </c>
      <c r="B133" s="112" t="s">
        <v>1705</v>
      </c>
      <c r="C133" s="112" t="s">
        <v>1706</v>
      </c>
      <c r="D133" s="112">
        <v>80</v>
      </c>
      <c r="E133" s="112" t="s">
        <v>1707</v>
      </c>
      <c r="F133" s="112" t="s">
        <v>1708</v>
      </c>
      <c r="G133" s="112">
        <v>-1.0405574295658999</v>
      </c>
      <c r="H133" s="112">
        <v>-0.86365155380101999</v>
      </c>
      <c r="I133" s="112">
        <v>-1.5220316322019001</v>
      </c>
      <c r="J133" s="112" t="s">
        <v>848</v>
      </c>
      <c r="K133" s="112" t="s">
        <v>1709</v>
      </c>
      <c r="L133" s="112">
        <v>3.4941567918163698E-2</v>
      </c>
      <c r="M133" s="112">
        <v>4.4826353579223198E-3</v>
      </c>
      <c r="N133" s="112" t="s">
        <v>1852</v>
      </c>
      <c r="O133" s="112" t="s">
        <v>1848</v>
      </c>
      <c r="P133" s="112" t="s">
        <v>1849</v>
      </c>
      <c r="Q133" s="112" t="s">
        <v>1853</v>
      </c>
      <c r="R133" s="112" t="s">
        <v>1851</v>
      </c>
    </row>
    <row r="134" spans="1:18">
      <c r="A134" s="112" t="s">
        <v>1854</v>
      </c>
      <c r="B134" s="112" t="s">
        <v>1796</v>
      </c>
      <c r="C134" s="112" t="s">
        <v>1706</v>
      </c>
      <c r="D134" s="112">
        <v>80</v>
      </c>
      <c r="E134" s="112" t="s">
        <v>1707</v>
      </c>
      <c r="F134" s="112" t="s">
        <v>1721</v>
      </c>
      <c r="G134" s="112">
        <v>-3.9817217234005899</v>
      </c>
      <c r="H134" s="112">
        <v>-2.1294470987983498</v>
      </c>
      <c r="I134" s="112">
        <v>0</v>
      </c>
      <c r="J134" s="112">
        <v>1</v>
      </c>
      <c r="K134" s="112" t="s">
        <v>1797</v>
      </c>
      <c r="L134" s="112">
        <v>3.6168528888981102E-2</v>
      </c>
      <c r="M134" s="112">
        <v>2.0598940269611998E-3</v>
      </c>
      <c r="N134" s="112" t="s">
        <v>1854</v>
      </c>
      <c r="O134" s="112" t="s">
        <v>1848</v>
      </c>
      <c r="P134" s="112" t="s">
        <v>1849</v>
      </c>
      <c r="Q134" s="112" t="s">
        <v>1855</v>
      </c>
      <c r="R134" s="112" t="s">
        <v>1856</v>
      </c>
    </row>
    <row r="135" spans="1:18">
      <c r="A135" s="112" t="s">
        <v>1869</v>
      </c>
      <c r="B135" s="112" t="s">
        <v>1755</v>
      </c>
      <c r="C135" s="112" t="s">
        <v>1706</v>
      </c>
      <c r="D135" s="112">
        <v>30</v>
      </c>
      <c r="E135" s="112" t="s">
        <v>1707</v>
      </c>
      <c r="F135" s="112" t="s">
        <v>1721</v>
      </c>
      <c r="G135" s="112">
        <v>3.8187726477087001</v>
      </c>
      <c r="H135" s="112">
        <v>2.25589344341271</v>
      </c>
      <c r="I135" s="112">
        <v>1.96873323059448</v>
      </c>
      <c r="J135" s="112" t="s">
        <v>848</v>
      </c>
      <c r="K135" s="112" t="s">
        <v>1756</v>
      </c>
      <c r="L135" s="112">
        <v>3.79527964598175E-2</v>
      </c>
      <c r="M135" s="112">
        <v>3.1530688128007201E-3</v>
      </c>
      <c r="N135" s="112" t="s">
        <v>1869</v>
      </c>
      <c r="O135" s="112" t="s">
        <v>1848</v>
      </c>
      <c r="P135" s="112" t="s">
        <v>1849</v>
      </c>
      <c r="Q135" s="112" t="s">
        <v>1870</v>
      </c>
      <c r="R135" s="112" t="s">
        <v>1865</v>
      </c>
    </row>
    <row r="136" spans="1:18">
      <c r="A136" s="112" t="s">
        <v>1883</v>
      </c>
      <c r="B136" s="112" t="s">
        <v>1748</v>
      </c>
      <c r="C136" s="112" t="s">
        <v>1706</v>
      </c>
      <c r="D136" s="112">
        <v>80</v>
      </c>
      <c r="E136" s="112" t="s">
        <v>1707</v>
      </c>
      <c r="F136" s="112" t="s">
        <v>440</v>
      </c>
      <c r="G136" s="112">
        <v>-1.84841862260489</v>
      </c>
      <c r="H136" s="112">
        <v>-1.43068878944996</v>
      </c>
      <c r="I136" s="112">
        <v>-2.1111688518268901</v>
      </c>
      <c r="J136" s="112" t="s">
        <v>848</v>
      </c>
      <c r="K136" s="112" t="s">
        <v>1749</v>
      </c>
      <c r="L136" s="112">
        <v>3.8247370640888602E-2</v>
      </c>
      <c r="M136" s="112">
        <v>2.9146844951115801E-3</v>
      </c>
      <c r="N136" s="112" t="s">
        <v>1883</v>
      </c>
      <c r="O136" s="112" t="s">
        <v>1848</v>
      </c>
      <c r="P136" s="112" t="s">
        <v>1849</v>
      </c>
      <c r="Q136" s="112" t="s">
        <v>1884</v>
      </c>
      <c r="R136" s="112" t="s">
        <v>1851</v>
      </c>
    </row>
    <row r="137" spans="1:18">
      <c r="A137" s="112" t="s">
        <v>1885</v>
      </c>
      <c r="B137" s="112" t="s">
        <v>1705</v>
      </c>
      <c r="C137" s="112" t="s">
        <v>1706</v>
      </c>
      <c r="D137" s="112">
        <v>80</v>
      </c>
      <c r="E137" s="112" t="s">
        <v>1707</v>
      </c>
      <c r="F137" s="112" t="s">
        <v>1708</v>
      </c>
      <c r="G137" s="112">
        <v>-3.4939927607816599</v>
      </c>
      <c r="H137" s="112">
        <v>-2.0009034153423202</v>
      </c>
      <c r="I137" s="112">
        <v>0</v>
      </c>
      <c r="J137" s="112">
        <v>1</v>
      </c>
      <c r="K137" s="112" t="s">
        <v>1709</v>
      </c>
      <c r="L137" s="112">
        <v>4.6121731033931197E-2</v>
      </c>
      <c r="M137" s="112">
        <v>6.8525159595369299E-3</v>
      </c>
      <c r="N137" s="112" t="s">
        <v>1885</v>
      </c>
      <c r="O137" s="112" t="s">
        <v>1848</v>
      </c>
      <c r="P137" s="112" t="s">
        <v>1849</v>
      </c>
      <c r="Q137" s="112" t="s">
        <v>1886</v>
      </c>
      <c r="R137" s="112" t="s">
        <v>1887</v>
      </c>
    </row>
    <row r="138" spans="1:18">
      <c r="A138" s="112" t="s">
        <v>1888</v>
      </c>
      <c r="B138" s="112" t="s">
        <v>1705</v>
      </c>
      <c r="C138" s="112" t="s">
        <v>1706</v>
      </c>
      <c r="D138" s="112">
        <v>80</v>
      </c>
      <c r="E138" s="112" t="s">
        <v>1707</v>
      </c>
      <c r="F138" s="112" t="s">
        <v>1708</v>
      </c>
      <c r="G138" s="112">
        <v>-7.5820085139244497</v>
      </c>
      <c r="H138" s="112">
        <v>-6.4945547485775501</v>
      </c>
      <c r="I138" s="112">
        <v>-11.7370313947476</v>
      </c>
      <c r="J138" s="112" t="s">
        <v>848</v>
      </c>
      <c r="K138" s="112" t="s">
        <v>1709</v>
      </c>
      <c r="L138" s="229">
        <v>8.0777387607289905E-10</v>
      </c>
      <c r="M138" s="229">
        <v>2.65715090813453E-12</v>
      </c>
      <c r="N138" s="112" t="s">
        <v>1888</v>
      </c>
      <c r="O138" s="112" t="s">
        <v>1889</v>
      </c>
      <c r="P138" s="112" t="s">
        <v>1597</v>
      </c>
      <c r="Q138" s="112" t="s">
        <v>1890</v>
      </c>
    </row>
    <row r="139" spans="1:18">
      <c r="A139" s="112" t="s">
        <v>1891</v>
      </c>
      <c r="B139" s="112" t="s">
        <v>1705</v>
      </c>
      <c r="C139" s="112" t="s">
        <v>1706</v>
      </c>
      <c r="D139" s="112">
        <v>80</v>
      </c>
      <c r="E139" s="112" t="s">
        <v>1707</v>
      </c>
      <c r="F139" s="112" t="s">
        <v>1708</v>
      </c>
      <c r="G139" s="112">
        <v>5.4696675469871403</v>
      </c>
      <c r="H139" s="112">
        <v>4.6329562791300001</v>
      </c>
      <c r="I139" s="112">
        <v>1.73476793041346</v>
      </c>
      <c r="J139" s="112" t="s">
        <v>848</v>
      </c>
      <c r="K139" s="112" t="s">
        <v>1709</v>
      </c>
      <c r="L139" s="229">
        <v>1.18901743932514E-7</v>
      </c>
      <c r="M139" s="229">
        <v>8.4743567495761298E-10</v>
      </c>
      <c r="N139" s="112" t="s">
        <v>1891</v>
      </c>
      <c r="O139" s="112" t="s">
        <v>1889</v>
      </c>
      <c r="P139" s="112" t="s">
        <v>1597</v>
      </c>
      <c r="Q139" s="112" t="s">
        <v>1892</v>
      </c>
    </row>
    <row r="140" spans="1:18">
      <c r="A140" s="112" t="s">
        <v>1888</v>
      </c>
      <c r="B140" s="112" t="s">
        <v>1748</v>
      </c>
      <c r="C140" s="112" t="s">
        <v>1706</v>
      </c>
      <c r="D140" s="112">
        <v>80</v>
      </c>
      <c r="E140" s="112" t="s">
        <v>1707</v>
      </c>
      <c r="F140" s="112" t="s">
        <v>440</v>
      </c>
      <c r="G140" s="112">
        <v>-5.9453091305735404</v>
      </c>
      <c r="H140" s="112">
        <v>-5.0342404767670601</v>
      </c>
      <c r="I140" s="112">
        <v>-8.0516543079508498</v>
      </c>
      <c r="J140" s="112" t="s">
        <v>848</v>
      </c>
      <c r="K140" s="112" t="s">
        <v>1749</v>
      </c>
      <c r="L140" s="229">
        <v>5.49133366708596E-6</v>
      </c>
      <c r="M140" s="229">
        <v>1.80635975890985E-8</v>
      </c>
      <c r="N140" s="112" t="s">
        <v>1888</v>
      </c>
      <c r="O140" s="112" t="s">
        <v>1889</v>
      </c>
      <c r="P140" s="112" t="s">
        <v>1597</v>
      </c>
      <c r="Q140" s="112" t="s">
        <v>1890</v>
      </c>
    </row>
    <row r="141" spans="1:18">
      <c r="A141" s="112" t="s">
        <v>1893</v>
      </c>
      <c r="B141" s="112" t="s">
        <v>1705</v>
      </c>
      <c r="C141" s="112" t="s">
        <v>1706</v>
      </c>
      <c r="D141" s="112">
        <v>80</v>
      </c>
      <c r="E141" s="112" t="s">
        <v>1707</v>
      </c>
      <c r="F141" s="112" t="s">
        <v>1708</v>
      </c>
      <c r="G141" s="112">
        <v>17.833416765849801</v>
      </c>
      <c r="H141" s="112">
        <v>14.3634659994679</v>
      </c>
      <c r="I141" s="112">
        <v>2.7702373443974899</v>
      </c>
      <c r="J141" s="112" t="s">
        <v>848</v>
      </c>
      <c r="K141" s="112" t="s">
        <v>1709</v>
      </c>
      <c r="L141" s="229">
        <v>4.0158248961334103E-5</v>
      </c>
      <c r="M141" s="229">
        <v>5.28398012649133E-7</v>
      </c>
      <c r="N141" s="112" t="s">
        <v>1893</v>
      </c>
      <c r="O141" s="112" t="s">
        <v>1889</v>
      </c>
      <c r="P141" s="112" t="s">
        <v>1597</v>
      </c>
      <c r="Q141" s="112" t="s">
        <v>1894</v>
      </c>
      <c r="R141" s="112" t="s">
        <v>1895</v>
      </c>
    </row>
    <row r="142" spans="1:18">
      <c r="A142" s="112" t="s">
        <v>1896</v>
      </c>
      <c r="B142" s="112" t="s">
        <v>1755</v>
      </c>
      <c r="C142" s="112" t="s">
        <v>1706</v>
      </c>
      <c r="D142" s="112">
        <v>30</v>
      </c>
      <c r="E142" s="112" t="s">
        <v>1707</v>
      </c>
      <c r="F142" s="112" t="s">
        <v>1721</v>
      </c>
      <c r="G142" s="112">
        <v>-5.2134599628007896</v>
      </c>
      <c r="H142" s="112">
        <v>-4.4682624724212996</v>
      </c>
      <c r="I142" s="112">
        <v>-6.2084073106550601</v>
      </c>
      <c r="J142" s="112" t="s">
        <v>848</v>
      </c>
      <c r="K142" s="112" t="s">
        <v>1756</v>
      </c>
      <c r="L142" s="229">
        <v>5.0030503865847497E-5</v>
      </c>
      <c r="M142" s="229">
        <v>2.4140040806118598E-7</v>
      </c>
      <c r="N142" s="112" t="s">
        <v>1896</v>
      </c>
      <c r="O142" s="112" t="s">
        <v>1889</v>
      </c>
      <c r="P142" s="112" t="s">
        <v>1597</v>
      </c>
      <c r="Q142" s="112" t="s">
        <v>1897</v>
      </c>
      <c r="R142" s="112" t="s">
        <v>1898</v>
      </c>
    </row>
    <row r="143" spans="1:18">
      <c r="A143" s="112" t="s">
        <v>1891</v>
      </c>
      <c r="B143" s="112" t="s">
        <v>1796</v>
      </c>
      <c r="C143" s="112" t="s">
        <v>1706</v>
      </c>
      <c r="D143" s="112">
        <v>80</v>
      </c>
      <c r="E143" s="112" t="s">
        <v>1707</v>
      </c>
      <c r="F143" s="112" t="s">
        <v>1721</v>
      </c>
      <c r="G143" s="112">
        <v>5.4878255982950996</v>
      </c>
      <c r="H143" s="112">
        <v>4.2983103166410901</v>
      </c>
      <c r="I143" s="112">
        <v>1.6706957867241701</v>
      </c>
      <c r="J143" s="112" t="s">
        <v>848</v>
      </c>
      <c r="K143" s="112" t="s">
        <v>1797</v>
      </c>
      <c r="L143" s="229">
        <v>1.03078219349973E-4</v>
      </c>
      <c r="M143" s="229">
        <v>7.6241286501459403E-7</v>
      </c>
      <c r="N143" s="112" t="s">
        <v>1891</v>
      </c>
      <c r="O143" s="112" t="s">
        <v>1889</v>
      </c>
      <c r="P143" s="112" t="s">
        <v>1597</v>
      </c>
      <c r="Q143" s="112" t="s">
        <v>1892</v>
      </c>
    </row>
    <row r="144" spans="1:18">
      <c r="A144" s="112" t="s">
        <v>1888</v>
      </c>
      <c r="B144" s="112" t="s">
        <v>1731</v>
      </c>
      <c r="C144" s="112" t="s">
        <v>1706</v>
      </c>
      <c r="D144" s="112">
        <v>30</v>
      </c>
      <c r="E144" s="112" t="s">
        <v>1707</v>
      </c>
      <c r="F144" s="112" t="s">
        <v>1708</v>
      </c>
      <c r="G144" s="112">
        <v>3.19372211851611</v>
      </c>
      <c r="H144" s="112">
        <v>2.5673617119238501</v>
      </c>
      <c r="I144" s="112">
        <v>0.95358483785793902</v>
      </c>
      <c r="J144" s="112" t="s">
        <v>848</v>
      </c>
      <c r="K144" s="112" t="s">
        <v>1732</v>
      </c>
      <c r="L144" s="229">
        <v>2.7118557489148301E-4</v>
      </c>
      <c r="M144" s="229">
        <v>5.6903005277091896E-6</v>
      </c>
      <c r="N144" s="112" t="s">
        <v>1888</v>
      </c>
      <c r="O144" s="112" t="s">
        <v>1889</v>
      </c>
      <c r="P144" s="112" t="s">
        <v>1597</v>
      </c>
      <c r="Q144" s="112" t="s">
        <v>1890</v>
      </c>
    </row>
    <row r="145" spans="1:18">
      <c r="A145" s="112" t="s">
        <v>1602</v>
      </c>
      <c r="B145" s="112" t="s">
        <v>1743</v>
      </c>
      <c r="C145" s="112" t="s">
        <v>1706</v>
      </c>
      <c r="D145" s="112">
        <v>55</v>
      </c>
      <c r="E145" s="112" t="s">
        <v>1707</v>
      </c>
      <c r="F145" s="112" t="s">
        <v>440</v>
      </c>
      <c r="G145" s="112">
        <v>-16.680756125911898</v>
      </c>
      <c r="H145" s="112">
        <v>-13.810612729950901</v>
      </c>
      <c r="I145" s="112">
        <v>0</v>
      </c>
      <c r="J145" s="112">
        <v>1</v>
      </c>
      <c r="K145" s="112" t="s">
        <v>1744</v>
      </c>
      <c r="L145" s="229">
        <v>7.4523122200055895E-4</v>
      </c>
      <c r="M145" s="229">
        <v>1.1845416797520901E-5</v>
      </c>
      <c r="N145" s="112" t="s">
        <v>1602</v>
      </c>
      <c r="O145" s="112" t="s">
        <v>1889</v>
      </c>
      <c r="P145" s="112" t="s">
        <v>1597</v>
      </c>
      <c r="Q145" s="112" t="s">
        <v>1603</v>
      </c>
    </row>
    <row r="146" spans="1:18">
      <c r="A146" s="112" t="s">
        <v>1891</v>
      </c>
      <c r="B146" s="112" t="s">
        <v>1748</v>
      </c>
      <c r="C146" s="112" t="s">
        <v>1706</v>
      </c>
      <c r="D146" s="112">
        <v>80</v>
      </c>
      <c r="E146" s="112" t="s">
        <v>1707</v>
      </c>
      <c r="F146" s="112" t="s">
        <v>440</v>
      </c>
      <c r="G146" s="112">
        <v>4.6892978715972102</v>
      </c>
      <c r="H146" s="112">
        <v>3.7880791150565001</v>
      </c>
      <c r="I146" s="112">
        <v>1.01347894677835</v>
      </c>
      <c r="J146" s="112" t="s">
        <v>848</v>
      </c>
      <c r="K146" s="112" t="s">
        <v>1749</v>
      </c>
      <c r="L146" s="112">
        <v>1.35781435747099E-3</v>
      </c>
      <c r="M146" s="229">
        <v>2.2332472984720301E-5</v>
      </c>
      <c r="N146" s="112" t="s">
        <v>1891</v>
      </c>
      <c r="O146" s="112" t="s">
        <v>1889</v>
      </c>
      <c r="P146" s="112" t="s">
        <v>1597</v>
      </c>
      <c r="Q146" s="112" t="s">
        <v>1892</v>
      </c>
    </row>
    <row r="147" spans="1:18">
      <c r="A147" s="112" t="s">
        <v>1899</v>
      </c>
      <c r="B147" s="112" t="s">
        <v>1705</v>
      </c>
      <c r="C147" s="112" t="s">
        <v>1706</v>
      </c>
      <c r="D147" s="112">
        <v>80</v>
      </c>
      <c r="E147" s="112" t="s">
        <v>1707</v>
      </c>
      <c r="F147" s="112" t="s">
        <v>1708</v>
      </c>
      <c r="G147" s="112">
        <v>2.38788096224593</v>
      </c>
      <c r="H147" s="112">
        <v>2.1123765133200201</v>
      </c>
      <c r="I147" s="112">
        <v>1.8377376727697701</v>
      </c>
      <c r="J147" s="112" t="s">
        <v>848</v>
      </c>
      <c r="K147" s="112" t="s">
        <v>1709</v>
      </c>
      <c r="L147" s="112">
        <v>1.3718229312973901E-3</v>
      </c>
      <c r="M147" s="229">
        <v>4.87043030590515E-5</v>
      </c>
      <c r="N147" s="112" t="s">
        <v>1899</v>
      </c>
      <c r="O147" s="112" t="s">
        <v>1889</v>
      </c>
      <c r="P147" s="112" t="s">
        <v>1597</v>
      </c>
      <c r="Q147" s="112" t="s">
        <v>1900</v>
      </c>
      <c r="R147" s="112" t="s">
        <v>1898</v>
      </c>
    </row>
    <row r="148" spans="1:18">
      <c r="A148" s="112" t="s">
        <v>1901</v>
      </c>
      <c r="B148" s="112" t="s">
        <v>1705</v>
      </c>
      <c r="C148" s="112" t="s">
        <v>1706</v>
      </c>
      <c r="D148" s="112">
        <v>80</v>
      </c>
      <c r="E148" s="112" t="s">
        <v>1707</v>
      </c>
      <c r="F148" s="112" t="s">
        <v>1708</v>
      </c>
      <c r="G148" s="112">
        <v>-1.5864137052862199</v>
      </c>
      <c r="H148" s="112">
        <v>-1.43845023240068</v>
      </c>
      <c r="I148" s="112">
        <v>-2.01955923446019</v>
      </c>
      <c r="J148" s="112" t="s">
        <v>848</v>
      </c>
      <c r="K148" s="112" t="s">
        <v>1709</v>
      </c>
      <c r="L148" s="112">
        <v>1.7152041508151101E-3</v>
      </c>
      <c r="M148" s="229">
        <v>6.4884367547282402E-5</v>
      </c>
      <c r="N148" s="112" t="s">
        <v>1901</v>
      </c>
      <c r="O148" s="112" t="s">
        <v>1889</v>
      </c>
      <c r="P148" s="112" t="s">
        <v>1597</v>
      </c>
      <c r="Q148" s="112" t="s">
        <v>1902</v>
      </c>
      <c r="R148" s="112" t="s">
        <v>1903</v>
      </c>
    </row>
    <row r="149" spans="1:18">
      <c r="A149" s="112" t="s">
        <v>1904</v>
      </c>
      <c r="B149" s="112" t="s">
        <v>1731</v>
      </c>
      <c r="C149" s="112" t="s">
        <v>1706</v>
      </c>
      <c r="D149" s="112">
        <v>30</v>
      </c>
      <c r="E149" s="112" t="s">
        <v>1707</v>
      </c>
      <c r="F149" s="112" t="s">
        <v>1708</v>
      </c>
      <c r="G149" s="112">
        <v>-4.6012645907714802</v>
      </c>
      <c r="H149" s="112">
        <v>-2.9628912237816198</v>
      </c>
      <c r="I149" s="112">
        <v>0</v>
      </c>
      <c r="J149" s="112">
        <v>1</v>
      </c>
      <c r="K149" s="112" t="s">
        <v>1732</v>
      </c>
      <c r="L149" s="112">
        <v>2.2146510449541899E-3</v>
      </c>
      <c r="M149" s="229">
        <v>8.0980880817084906E-5</v>
      </c>
      <c r="N149" s="112" t="s">
        <v>1904</v>
      </c>
      <c r="O149" s="112" t="s">
        <v>1889</v>
      </c>
      <c r="P149" s="112" t="s">
        <v>1597</v>
      </c>
      <c r="Q149" s="112" t="s">
        <v>1905</v>
      </c>
    </row>
    <row r="150" spans="1:18">
      <c r="A150" s="112" t="s">
        <v>1904</v>
      </c>
      <c r="B150" s="112" t="s">
        <v>1705</v>
      </c>
      <c r="C150" s="112" t="s">
        <v>1706</v>
      </c>
      <c r="D150" s="112">
        <v>80</v>
      </c>
      <c r="E150" s="112" t="s">
        <v>1707</v>
      </c>
      <c r="F150" s="112" t="s">
        <v>1708</v>
      </c>
      <c r="G150" s="112">
        <v>2.83246563750262</v>
      </c>
      <c r="H150" s="112">
        <v>2.3749786180146799</v>
      </c>
      <c r="I150" s="112">
        <v>1.28935325486445</v>
      </c>
      <c r="J150" s="112" t="s">
        <v>848</v>
      </c>
      <c r="K150" s="112" t="s">
        <v>1709</v>
      </c>
      <c r="L150" s="112">
        <v>2.9257371763799999E-3</v>
      </c>
      <c r="M150" s="229">
        <v>1.3473789628065799E-4</v>
      </c>
      <c r="N150" s="112" t="s">
        <v>1904</v>
      </c>
      <c r="O150" s="112" t="s">
        <v>1889</v>
      </c>
      <c r="P150" s="112" t="s">
        <v>1597</v>
      </c>
      <c r="Q150" s="112" t="s">
        <v>1905</v>
      </c>
    </row>
    <row r="151" spans="1:18">
      <c r="A151" s="112" t="s">
        <v>1906</v>
      </c>
      <c r="B151" s="112" t="s">
        <v>1731</v>
      </c>
      <c r="C151" s="112" t="s">
        <v>1706</v>
      </c>
      <c r="D151" s="112">
        <v>30</v>
      </c>
      <c r="E151" s="112" t="s">
        <v>1707</v>
      </c>
      <c r="F151" s="112" t="s">
        <v>1708</v>
      </c>
      <c r="G151" s="112">
        <v>1.90399074486271</v>
      </c>
      <c r="H151" s="112">
        <v>1.4411696188716601</v>
      </c>
      <c r="I151" s="112">
        <v>1.30175474372648</v>
      </c>
      <c r="J151" s="112" t="s">
        <v>848</v>
      </c>
      <c r="K151" s="112" t="s">
        <v>1732</v>
      </c>
      <c r="L151" s="112">
        <v>7.5581884455118101E-3</v>
      </c>
      <c r="M151" s="229">
        <v>4.0855072678442202E-4</v>
      </c>
      <c r="N151" s="112" t="s">
        <v>1906</v>
      </c>
      <c r="O151" s="112" t="s">
        <v>1889</v>
      </c>
      <c r="P151" s="112" t="s">
        <v>1597</v>
      </c>
      <c r="Q151" s="112" t="s">
        <v>1907</v>
      </c>
      <c r="R151" s="112" t="s">
        <v>1903</v>
      </c>
    </row>
    <row r="152" spans="1:18">
      <c r="A152" s="112" t="s">
        <v>1888</v>
      </c>
      <c r="B152" s="112" t="s">
        <v>1755</v>
      </c>
      <c r="C152" s="112" t="s">
        <v>1706</v>
      </c>
      <c r="D152" s="112">
        <v>30</v>
      </c>
      <c r="E152" s="112" t="s">
        <v>1707</v>
      </c>
      <c r="F152" s="112" t="s">
        <v>1721</v>
      </c>
      <c r="G152" s="112">
        <v>4.5631442064078396</v>
      </c>
      <c r="H152" s="112">
        <v>3.1436395120289502</v>
      </c>
      <c r="I152" s="112">
        <v>1.91816048222305</v>
      </c>
      <c r="J152" s="112" t="s">
        <v>848</v>
      </c>
      <c r="K152" s="112" t="s">
        <v>1756</v>
      </c>
      <c r="L152" s="112">
        <v>8.1794385796012201E-3</v>
      </c>
      <c r="M152" s="229">
        <v>2.92587230589869E-4</v>
      </c>
      <c r="N152" s="112" t="s">
        <v>1888</v>
      </c>
      <c r="O152" s="112" t="s">
        <v>1889</v>
      </c>
      <c r="P152" s="112" t="s">
        <v>1597</v>
      </c>
      <c r="Q152" s="112" t="s">
        <v>1890</v>
      </c>
    </row>
    <row r="153" spans="1:18">
      <c r="A153" s="112" t="s">
        <v>1891</v>
      </c>
      <c r="B153" s="112" t="s">
        <v>1731</v>
      </c>
      <c r="C153" s="112" t="s">
        <v>1706</v>
      </c>
      <c r="D153" s="112">
        <v>30</v>
      </c>
      <c r="E153" s="112" t="s">
        <v>1707</v>
      </c>
      <c r="F153" s="112" t="s">
        <v>1708</v>
      </c>
      <c r="G153" s="112">
        <v>-3.8614204402167198</v>
      </c>
      <c r="H153" s="112">
        <v>-2.1215140831019199</v>
      </c>
      <c r="I153" s="112">
        <v>-8.3810389890497792</v>
      </c>
      <c r="J153" s="112" t="s">
        <v>848</v>
      </c>
      <c r="K153" s="112" t="s">
        <v>1732</v>
      </c>
      <c r="L153" s="112">
        <v>1.1695472286050401E-2</v>
      </c>
      <c r="M153" s="229">
        <v>7.6234398048977299E-4</v>
      </c>
      <c r="N153" s="112" t="s">
        <v>1891</v>
      </c>
      <c r="O153" s="112" t="s">
        <v>1889</v>
      </c>
      <c r="P153" s="112" t="s">
        <v>1597</v>
      </c>
      <c r="Q153" s="112" t="s">
        <v>1892</v>
      </c>
    </row>
    <row r="154" spans="1:18">
      <c r="A154" s="112" t="s">
        <v>1904</v>
      </c>
      <c r="B154" s="112" t="s">
        <v>1748</v>
      </c>
      <c r="C154" s="112" t="s">
        <v>1706</v>
      </c>
      <c r="D154" s="112">
        <v>80</v>
      </c>
      <c r="E154" s="112" t="s">
        <v>1707</v>
      </c>
      <c r="F154" s="112" t="s">
        <v>440</v>
      </c>
      <c r="G154" s="112">
        <v>3.04070786936339</v>
      </c>
      <c r="H154" s="112">
        <v>2.41757610080515</v>
      </c>
      <c r="I154" s="112">
        <v>1.6538833450132699</v>
      </c>
      <c r="J154" s="112" t="s">
        <v>848</v>
      </c>
      <c r="K154" s="112" t="s">
        <v>1749</v>
      </c>
      <c r="L154" s="112">
        <v>1.2832908804204899E-2</v>
      </c>
      <c r="M154" s="229">
        <v>6.4023832301680298E-4</v>
      </c>
      <c r="N154" s="112" t="s">
        <v>1904</v>
      </c>
      <c r="O154" s="112" t="s">
        <v>1889</v>
      </c>
      <c r="P154" s="112" t="s">
        <v>1597</v>
      </c>
      <c r="Q154" s="112" t="s">
        <v>1905</v>
      </c>
    </row>
    <row r="155" spans="1:18">
      <c r="A155" s="112" t="s">
        <v>1908</v>
      </c>
      <c r="B155" s="112" t="s">
        <v>1731</v>
      </c>
      <c r="C155" s="112" t="s">
        <v>1706</v>
      </c>
      <c r="D155" s="112">
        <v>30</v>
      </c>
      <c r="E155" s="112" t="s">
        <v>1707</v>
      </c>
      <c r="F155" s="112" t="s">
        <v>1708</v>
      </c>
      <c r="G155" s="112">
        <v>0.95577524688944404</v>
      </c>
      <c r="H155" s="112">
        <v>0.82849368243015897</v>
      </c>
      <c r="I155" s="112">
        <v>0.80255234002293796</v>
      </c>
      <c r="J155" s="112" t="s">
        <v>848</v>
      </c>
      <c r="K155" s="112" t="s">
        <v>1732</v>
      </c>
      <c r="L155" s="112">
        <v>1.50025723244042E-2</v>
      </c>
      <c r="M155" s="112">
        <v>1.0852417182200199E-3</v>
      </c>
      <c r="N155" s="112" t="s">
        <v>1908</v>
      </c>
      <c r="O155" s="112" t="s">
        <v>1889</v>
      </c>
      <c r="P155" s="112" t="s">
        <v>1597</v>
      </c>
      <c r="Q155" s="112" t="s">
        <v>1909</v>
      </c>
      <c r="R155" s="112" t="s">
        <v>1903</v>
      </c>
    </row>
    <row r="156" spans="1:18">
      <c r="A156" s="112" t="s">
        <v>1910</v>
      </c>
      <c r="B156" s="112" t="s">
        <v>1731</v>
      </c>
      <c r="C156" s="112" t="s">
        <v>1706</v>
      </c>
      <c r="D156" s="112">
        <v>30</v>
      </c>
      <c r="E156" s="112" t="s">
        <v>1707</v>
      </c>
      <c r="F156" s="112" t="s">
        <v>1708</v>
      </c>
      <c r="G156" s="112">
        <v>1.7143235219186801</v>
      </c>
      <c r="H156" s="112">
        <v>1.26377352283579</v>
      </c>
      <c r="I156" s="112">
        <v>1.2077289885817599</v>
      </c>
      <c r="J156" s="112" t="s">
        <v>848</v>
      </c>
      <c r="K156" s="112" t="s">
        <v>1732</v>
      </c>
      <c r="L156" s="112">
        <v>1.6076707398708399E-2</v>
      </c>
      <c r="M156" s="112">
        <v>1.2012802030831301E-3</v>
      </c>
      <c r="N156" s="112" t="s">
        <v>1910</v>
      </c>
      <c r="O156" s="112" t="s">
        <v>1889</v>
      </c>
      <c r="P156" s="112" t="s">
        <v>1597</v>
      </c>
      <c r="Q156" s="112" t="s">
        <v>1911</v>
      </c>
    </row>
    <row r="157" spans="1:18">
      <c r="A157" s="112" t="s">
        <v>1602</v>
      </c>
      <c r="B157" s="112" t="s">
        <v>1755</v>
      </c>
      <c r="C157" s="112" t="s">
        <v>1706</v>
      </c>
      <c r="D157" s="112">
        <v>30</v>
      </c>
      <c r="E157" s="112" t="s">
        <v>1707</v>
      </c>
      <c r="F157" s="112" t="s">
        <v>1721</v>
      </c>
      <c r="G157" s="112">
        <v>-18.313958317977399</v>
      </c>
      <c r="H157" s="112">
        <v>-3.78987880970561</v>
      </c>
      <c r="I157" s="112">
        <v>0</v>
      </c>
      <c r="J157" s="112">
        <v>1</v>
      </c>
      <c r="K157" s="112" t="s">
        <v>1756</v>
      </c>
      <c r="L157" s="112">
        <v>1.73804438917502E-2</v>
      </c>
      <c r="M157" s="229">
        <v>9.3948345360812097E-4</v>
      </c>
      <c r="N157" s="112" t="s">
        <v>1602</v>
      </c>
      <c r="O157" s="112" t="s">
        <v>1889</v>
      </c>
      <c r="P157" s="112" t="s">
        <v>1597</v>
      </c>
      <c r="Q157" s="112" t="s">
        <v>1603</v>
      </c>
    </row>
    <row r="158" spans="1:18">
      <c r="A158" s="112" t="s">
        <v>1912</v>
      </c>
      <c r="B158" s="112" t="s">
        <v>1762</v>
      </c>
      <c r="C158" s="112" t="s">
        <v>1706</v>
      </c>
      <c r="D158" s="112">
        <v>55</v>
      </c>
      <c r="E158" s="112" t="s">
        <v>1707</v>
      </c>
      <c r="F158" s="112" t="s">
        <v>1708</v>
      </c>
      <c r="G158" s="112">
        <v>2.61591550658681</v>
      </c>
      <c r="H158" s="112">
        <v>1.8814691667607499</v>
      </c>
      <c r="I158" s="112">
        <v>1.63814125795543</v>
      </c>
      <c r="J158" s="112" t="s">
        <v>848</v>
      </c>
      <c r="K158" s="112" t="s">
        <v>1763</v>
      </c>
      <c r="L158" s="112">
        <v>2.0811141654150302E-2</v>
      </c>
      <c r="M158" s="229">
        <v>6.3514523230199203E-4</v>
      </c>
      <c r="N158" s="112" t="s">
        <v>1912</v>
      </c>
      <c r="O158" s="112" t="s">
        <v>1889</v>
      </c>
      <c r="P158" s="112" t="s">
        <v>1597</v>
      </c>
      <c r="Q158" s="112" t="s">
        <v>1913</v>
      </c>
    </row>
    <row r="159" spans="1:18">
      <c r="A159" s="112" t="s">
        <v>1912</v>
      </c>
      <c r="B159" s="112" t="s">
        <v>1796</v>
      </c>
      <c r="C159" s="112" t="s">
        <v>1706</v>
      </c>
      <c r="D159" s="112">
        <v>80</v>
      </c>
      <c r="E159" s="112" t="s">
        <v>1707</v>
      </c>
      <c r="F159" s="112" t="s">
        <v>1721</v>
      </c>
      <c r="G159" s="112">
        <v>-4.5602759667421502</v>
      </c>
      <c r="H159" s="112">
        <v>-2.6138440127001199</v>
      </c>
      <c r="I159" s="112">
        <v>0</v>
      </c>
      <c r="J159" s="112">
        <v>1</v>
      </c>
      <c r="K159" s="112" t="s">
        <v>1797</v>
      </c>
      <c r="L159" s="112">
        <v>2.1083716024667701E-2</v>
      </c>
      <c r="M159" s="229">
        <v>8.1091215479491105E-4</v>
      </c>
      <c r="N159" s="112" t="s">
        <v>1912</v>
      </c>
      <c r="O159" s="112" t="s">
        <v>1889</v>
      </c>
      <c r="P159" s="112" t="s">
        <v>1597</v>
      </c>
      <c r="Q159" s="112" t="s">
        <v>1913</v>
      </c>
    </row>
    <row r="160" spans="1:18">
      <c r="A160" s="112" t="s">
        <v>1912</v>
      </c>
      <c r="B160" s="112" t="s">
        <v>1705</v>
      </c>
      <c r="C160" s="112" t="s">
        <v>1706</v>
      </c>
      <c r="D160" s="112">
        <v>80</v>
      </c>
      <c r="E160" s="112" t="s">
        <v>1707</v>
      </c>
      <c r="F160" s="112" t="s">
        <v>1708</v>
      </c>
      <c r="G160" s="112">
        <v>-2.73902702163404</v>
      </c>
      <c r="H160" s="112">
        <v>-1.9896778856311399</v>
      </c>
      <c r="I160" s="112">
        <v>-4.32157390874222</v>
      </c>
      <c r="J160" s="112" t="s">
        <v>848</v>
      </c>
      <c r="K160" s="112" t="s">
        <v>1709</v>
      </c>
      <c r="L160" s="112">
        <v>2.4444831582557999E-2</v>
      </c>
      <c r="M160" s="112">
        <v>2.7353257631160901E-3</v>
      </c>
      <c r="N160" s="112" t="s">
        <v>1912</v>
      </c>
      <c r="O160" s="112" t="s">
        <v>1889</v>
      </c>
      <c r="P160" s="112" t="s">
        <v>1597</v>
      </c>
      <c r="Q160" s="112" t="s">
        <v>1913</v>
      </c>
    </row>
    <row r="161" spans="1:18">
      <c r="A161" s="112" t="s">
        <v>1908</v>
      </c>
      <c r="B161" s="112" t="s">
        <v>1705</v>
      </c>
      <c r="C161" s="112" t="s">
        <v>1706</v>
      </c>
      <c r="D161" s="112">
        <v>80</v>
      </c>
      <c r="E161" s="112" t="s">
        <v>1707</v>
      </c>
      <c r="F161" s="112" t="s">
        <v>1708</v>
      </c>
      <c r="G161" s="112">
        <v>-0.89306215274554901</v>
      </c>
      <c r="H161" s="112">
        <v>-0.76696496100363099</v>
      </c>
      <c r="I161" s="112">
        <v>-1.0475038731272299</v>
      </c>
      <c r="J161" s="112" t="s">
        <v>848</v>
      </c>
      <c r="K161" s="112" t="s">
        <v>1709</v>
      </c>
      <c r="L161" s="112">
        <v>2.66749926754353E-2</v>
      </c>
      <c r="M161" s="112">
        <v>3.08575847287109E-3</v>
      </c>
      <c r="N161" s="112" t="s">
        <v>1908</v>
      </c>
      <c r="O161" s="112" t="s">
        <v>1889</v>
      </c>
      <c r="P161" s="112" t="s">
        <v>1597</v>
      </c>
      <c r="Q161" s="112" t="s">
        <v>1909</v>
      </c>
      <c r="R161" s="112" t="s">
        <v>1903</v>
      </c>
    </row>
    <row r="162" spans="1:18">
      <c r="A162" s="112" t="s">
        <v>1906</v>
      </c>
      <c r="B162" s="112" t="s">
        <v>1755</v>
      </c>
      <c r="C162" s="112" t="s">
        <v>1706</v>
      </c>
      <c r="D162" s="112">
        <v>30</v>
      </c>
      <c r="E162" s="112" t="s">
        <v>1707</v>
      </c>
      <c r="F162" s="112" t="s">
        <v>1721</v>
      </c>
      <c r="G162" s="112">
        <v>3.0149960636642299</v>
      </c>
      <c r="H162" s="112">
        <v>2.0551818058898301</v>
      </c>
      <c r="I162" s="112">
        <v>1.9966711636459999</v>
      </c>
      <c r="J162" s="112" t="s">
        <v>848</v>
      </c>
      <c r="K162" s="112" t="s">
        <v>1756</v>
      </c>
      <c r="L162" s="112">
        <v>2.7229477105395101E-2</v>
      </c>
      <c r="M162" s="112">
        <v>1.83982953414832E-3</v>
      </c>
      <c r="N162" s="112" t="s">
        <v>1906</v>
      </c>
      <c r="O162" s="112" t="s">
        <v>1889</v>
      </c>
      <c r="P162" s="112" t="s">
        <v>1597</v>
      </c>
      <c r="Q162" s="112" t="s">
        <v>1907</v>
      </c>
      <c r="R162" s="112" t="s">
        <v>1903</v>
      </c>
    </row>
    <row r="163" spans="1:18">
      <c r="A163" s="112" t="s">
        <v>1910</v>
      </c>
      <c r="B163" s="112" t="s">
        <v>1705</v>
      </c>
      <c r="C163" s="112" t="s">
        <v>1706</v>
      </c>
      <c r="D163" s="112">
        <v>80</v>
      </c>
      <c r="E163" s="112" t="s">
        <v>1707</v>
      </c>
      <c r="F163" s="112" t="s">
        <v>1708</v>
      </c>
      <c r="G163" s="112">
        <v>-1.6064036222720099</v>
      </c>
      <c r="H163" s="112">
        <v>-1.29389063409172</v>
      </c>
      <c r="I163" s="112">
        <v>-2.1878732010606501</v>
      </c>
      <c r="J163" s="112" t="s">
        <v>848</v>
      </c>
      <c r="K163" s="112" t="s">
        <v>1709</v>
      </c>
      <c r="L163" s="112">
        <v>2.8314888448032201E-2</v>
      </c>
      <c r="M163" s="112">
        <v>3.3395768376528702E-3</v>
      </c>
      <c r="N163" s="112" t="s">
        <v>1910</v>
      </c>
      <c r="O163" s="112" t="s">
        <v>1889</v>
      </c>
      <c r="P163" s="112" t="s">
        <v>1597</v>
      </c>
      <c r="Q163" s="112" t="s">
        <v>1911</v>
      </c>
    </row>
    <row r="164" spans="1:18">
      <c r="A164" s="112" t="s">
        <v>1910</v>
      </c>
      <c r="B164" s="112" t="s">
        <v>1796</v>
      </c>
      <c r="C164" s="112" t="s">
        <v>1706</v>
      </c>
      <c r="D164" s="112">
        <v>80</v>
      </c>
      <c r="E164" s="112" t="s">
        <v>1707</v>
      </c>
      <c r="F164" s="112" t="s">
        <v>1721</v>
      </c>
      <c r="G164" s="112">
        <v>-2.3725360572389498</v>
      </c>
      <c r="H164" s="112">
        <v>-1.57480132250903</v>
      </c>
      <c r="I164" s="112">
        <v>-3.2522754542074299</v>
      </c>
      <c r="J164" s="112" t="s">
        <v>848</v>
      </c>
      <c r="K164" s="112" t="s">
        <v>1797</v>
      </c>
      <c r="L164" s="112">
        <v>3.1316942690129801E-2</v>
      </c>
      <c r="M164" s="112">
        <v>1.6214393404653E-3</v>
      </c>
      <c r="N164" s="112" t="s">
        <v>1910</v>
      </c>
      <c r="O164" s="112" t="s">
        <v>1889</v>
      </c>
      <c r="P164" s="112" t="s">
        <v>1597</v>
      </c>
      <c r="Q164" s="112" t="s">
        <v>1911</v>
      </c>
    </row>
    <row r="165" spans="1:18">
      <c r="A165" s="112" t="s">
        <v>1914</v>
      </c>
      <c r="B165" s="112" t="s">
        <v>1705</v>
      </c>
      <c r="C165" s="112" t="s">
        <v>1706</v>
      </c>
      <c r="D165" s="112">
        <v>80</v>
      </c>
      <c r="E165" s="112" t="s">
        <v>1707</v>
      </c>
      <c r="F165" s="112" t="s">
        <v>1708</v>
      </c>
      <c r="G165" s="112">
        <v>-1.41022080674994</v>
      </c>
      <c r="H165" s="112">
        <v>-1.13084997958608</v>
      </c>
      <c r="I165" s="112">
        <v>-2.0069267061903799</v>
      </c>
      <c r="J165" s="112" t="s">
        <v>848</v>
      </c>
      <c r="K165" s="112" t="s">
        <v>1709</v>
      </c>
      <c r="L165" s="112">
        <v>3.5215587375788601E-2</v>
      </c>
      <c r="M165" s="112">
        <v>4.5757095438935897E-3</v>
      </c>
      <c r="N165" s="112" t="s">
        <v>1914</v>
      </c>
      <c r="O165" s="112" t="s">
        <v>1889</v>
      </c>
      <c r="P165" s="112" t="s">
        <v>1597</v>
      </c>
      <c r="Q165" s="112" t="s">
        <v>1915</v>
      </c>
      <c r="R165" s="112" t="s">
        <v>1903</v>
      </c>
    </row>
    <row r="166" spans="1:18">
      <c r="A166" s="112" t="s">
        <v>1891</v>
      </c>
      <c r="B166" s="112" t="s">
        <v>1720</v>
      </c>
      <c r="C166" s="112" t="s">
        <v>1706</v>
      </c>
      <c r="D166" s="112">
        <v>55</v>
      </c>
      <c r="E166" s="112" t="s">
        <v>1707</v>
      </c>
      <c r="F166" s="112" t="s">
        <v>1721</v>
      </c>
      <c r="G166" s="112">
        <v>-4.0565296879909498</v>
      </c>
      <c r="H166" s="112">
        <v>-1.8935237011705599</v>
      </c>
      <c r="I166" s="112">
        <v>-9.5009756248291701</v>
      </c>
      <c r="J166" s="112" t="s">
        <v>848</v>
      </c>
      <c r="K166" s="112" t="s">
        <v>1722</v>
      </c>
      <c r="L166" s="112">
        <v>3.7288551251164398E-2</v>
      </c>
      <c r="M166" s="112">
        <v>1.3083702193390999E-3</v>
      </c>
      <c r="N166" s="112" t="s">
        <v>1891</v>
      </c>
      <c r="O166" s="112" t="s">
        <v>1889</v>
      </c>
      <c r="P166" s="112" t="s">
        <v>1597</v>
      </c>
      <c r="Q166" s="112" t="s">
        <v>1892</v>
      </c>
    </row>
    <row r="167" spans="1:18">
      <c r="A167" s="112" t="s">
        <v>1906</v>
      </c>
      <c r="B167" s="112" t="s">
        <v>1748</v>
      </c>
      <c r="C167" s="112" t="s">
        <v>1706</v>
      </c>
      <c r="D167" s="112">
        <v>80</v>
      </c>
      <c r="E167" s="112" t="s">
        <v>1707</v>
      </c>
      <c r="F167" s="112" t="s">
        <v>440</v>
      </c>
      <c r="G167" s="112">
        <v>-2.0365326996024602</v>
      </c>
      <c r="H167" s="112">
        <v>-1.5375392658944</v>
      </c>
      <c r="I167" s="112">
        <v>-2.5524849135310399</v>
      </c>
      <c r="J167" s="112" t="s">
        <v>848</v>
      </c>
      <c r="K167" s="112" t="s">
        <v>1749</v>
      </c>
      <c r="L167" s="112">
        <v>4.15858128770163E-2</v>
      </c>
      <c r="M167" s="112">
        <v>3.3286889693225699E-3</v>
      </c>
      <c r="N167" s="112" t="s">
        <v>1906</v>
      </c>
      <c r="O167" s="112" t="s">
        <v>1889</v>
      </c>
      <c r="P167" s="112" t="s">
        <v>1597</v>
      </c>
      <c r="Q167" s="112" t="s">
        <v>1907</v>
      </c>
      <c r="R167" s="112" t="s">
        <v>1903</v>
      </c>
    </row>
    <row r="168" spans="1:18">
      <c r="A168" s="112" t="s">
        <v>1888</v>
      </c>
      <c r="B168" s="112" t="s">
        <v>1735</v>
      </c>
      <c r="C168" s="112" t="s">
        <v>1706</v>
      </c>
      <c r="D168" s="112">
        <v>30</v>
      </c>
      <c r="E168" s="112" t="s">
        <v>1707</v>
      </c>
      <c r="F168" s="112" t="s">
        <v>440</v>
      </c>
      <c r="G168" s="112">
        <v>2.8365787241407299</v>
      </c>
      <c r="H168" s="112">
        <v>1.8264028309034599</v>
      </c>
      <c r="I168" s="112">
        <v>0.64220664469687205</v>
      </c>
      <c r="J168" s="112" t="s">
        <v>848</v>
      </c>
      <c r="K168" s="112" t="s">
        <v>1736</v>
      </c>
      <c r="L168" s="112">
        <v>4.7340455961506898E-2</v>
      </c>
      <c r="M168" s="112">
        <v>1.27175567001855E-3</v>
      </c>
      <c r="N168" s="112" t="s">
        <v>1888</v>
      </c>
      <c r="O168" s="112" t="s">
        <v>1889</v>
      </c>
      <c r="P168" s="112" t="s">
        <v>1597</v>
      </c>
      <c r="Q168" s="112" t="s">
        <v>1890</v>
      </c>
    </row>
    <row r="169" spans="1:18">
      <c r="A169" s="112" t="s">
        <v>1916</v>
      </c>
      <c r="B169" s="112" t="s">
        <v>1731</v>
      </c>
      <c r="C169" s="112" t="s">
        <v>1706</v>
      </c>
      <c r="D169" s="112">
        <v>30</v>
      </c>
      <c r="E169" s="112" t="s">
        <v>1707</v>
      </c>
      <c r="F169" s="112" t="s">
        <v>1708</v>
      </c>
      <c r="G169" s="112">
        <v>4.0882987740715597</v>
      </c>
      <c r="H169" s="112">
        <v>3.8933026391893599</v>
      </c>
      <c r="I169" s="112">
        <v>1.26993654922684</v>
      </c>
      <c r="J169" s="112" t="s">
        <v>848</v>
      </c>
      <c r="K169" s="112" t="s">
        <v>1732</v>
      </c>
      <c r="L169" s="229">
        <v>2.2079391719138101E-19</v>
      </c>
      <c r="M169" s="229">
        <v>3.5102371572556598E-22</v>
      </c>
      <c r="N169" s="112" t="s">
        <v>1916</v>
      </c>
      <c r="O169" s="112" t="s">
        <v>1817</v>
      </c>
      <c r="P169" s="112" t="s">
        <v>1597</v>
      </c>
      <c r="Q169" s="112" t="s">
        <v>1917</v>
      </c>
    </row>
    <row r="170" spans="1:18">
      <c r="A170" s="112" t="s">
        <v>1916</v>
      </c>
      <c r="B170" s="112" t="s">
        <v>1720</v>
      </c>
      <c r="C170" s="112" t="s">
        <v>1706</v>
      </c>
      <c r="D170" s="112">
        <v>55</v>
      </c>
      <c r="E170" s="112" t="s">
        <v>1707</v>
      </c>
      <c r="F170" s="112" t="s">
        <v>1721</v>
      </c>
      <c r="G170" s="112">
        <v>3.3440317712285901</v>
      </c>
      <c r="H170" s="112">
        <v>3.1001697905388701</v>
      </c>
      <c r="I170" s="112">
        <v>0.456304979726394</v>
      </c>
      <c r="J170" s="112" t="s">
        <v>848</v>
      </c>
      <c r="K170" s="112" t="s">
        <v>1722</v>
      </c>
      <c r="L170" s="229">
        <v>4.8766986075324303E-12</v>
      </c>
      <c r="M170" s="229">
        <v>8.0208858676520297E-15</v>
      </c>
      <c r="N170" s="112" t="s">
        <v>1916</v>
      </c>
      <c r="O170" s="112" t="s">
        <v>1817</v>
      </c>
      <c r="P170" s="112" t="s">
        <v>1597</v>
      </c>
      <c r="Q170" s="112" t="s">
        <v>1917</v>
      </c>
    </row>
    <row r="171" spans="1:18">
      <c r="A171" s="112" t="s">
        <v>1916</v>
      </c>
      <c r="B171" s="112" t="s">
        <v>1705</v>
      </c>
      <c r="C171" s="112" t="s">
        <v>1706</v>
      </c>
      <c r="D171" s="112">
        <v>80</v>
      </c>
      <c r="E171" s="112" t="s">
        <v>1707</v>
      </c>
      <c r="F171" s="112" t="s">
        <v>1708</v>
      </c>
      <c r="G171" s="112">
        <v>-6.8312055273012202</v>
      </c>
      <c r="H171" s="112">
        <v>-5.8087925960103499</v>
      </c>
      <c r="I171" s="112">
        <v>0</v>
      </c>
      <c r="J171" s="112">
        <v>1</v>
      </c>
      <c r="K171" s="112" t="s">
        <v>1709</v>
      </c>
      <c r="L171" s="229">
        <v>1.6352813646709299E-9</v>
      </c>
      <c r="M171" s="229">
        <v>6.2757508512590798E-12</v>
      </c>
      <c r="N171" s="112" t="s">
        <v>1916</v>
      </c>
      <c r="O171" s="112" t="s">
        <v>1817</v>
      </c>
      <c r="P171" s="112" t="s">
        <v>1597</v>
      </c>
      <c r="Q171" s="112" t="s">
        <v>1917</v>
      </c>
    </row>
    <row r="172" spans="1:18">
      <c r="A172" s="112" t="s">
        <v>1916</v>
      </c>
      <c r="B172" s="112" t="s">
        <v>1735</v>
      </c>
      <c r="C172" s="112" t="s">
        <v>1706</v>
      </c>
      <c r="D172" s="112">
        <v>30</v>
      </c>
      <c r="E172" s="112" t="s">
        <v>1707</v>
      </c>
      <c r="F172" s="112" t="s">
        <v>440</v>
      </c>
      <c r="G172" s="112">
        <v>3.2378270731396901</v>
      </c>
      <c r="H172" s="112">
        <v>2.9211703851062598</v>
      </c>
      <c r="I172" s="112">
        <v>0.43062034765093099</v>
      </c>
      <c r="J172" s="112" t="s">
        <v>848</v>
      </c>
      <c r="K172" s="112" t="s">
        <v>1736</v>
      </c>
      <c r="L172" s="229">
        <v>1.3105769165107301E-7</v>
      </c>
      <c r="M172" s="229">
        <v>3.04171226546488E-10</v>
      </c>
      <c r="N172" s="112" t="s">
        <v>1916</v>
      </c>
      <c r="O172" s="112" t="s">
        <v>1817</v>
      </c>
      <c r="P172" s="112" t="s">
        <v>1597</v>
      </c>
      <c r="Q172" s="112" t="s">
        <v>1917</v>
      </c>
    </row>
    <row r="173" spans="1:18">
      <c r="A173" s="112" t="s">
        <v>1916</v>
      </c>
      <c r="B173" s="112" t="s">
        <v>1743</v>
      </c>
      <c r="C173" s="112" t="s">
        <v>1706</v>
      </c>
      <c r="D173" s="112">
        <v>55</v>
      </c>
      <c r="E173" s="112" t="s">
        <v>1707</v>
      </c>
      <c r="F173" s="112" t="s">
        <v>440</v>
      </c>
      <c r="G173" s="112">
        <v>3.1132941855742802</v>
      </c>
      <c r="H173" s="112">
        <v>2.84509333489058</v>
      </c>
      <c r="I173" s="112">
        <v>0.62531204462046297</v>
      </c>
      <c r="J173" s="112" t="s">
        <v>848</v>
      </c>
      <c r="K173" s="112" t="s">
        <v>1744</v>
      </c>
      <c r="L173" s="229">
        <v>1.7565857682852501E-7</v>
      </c>
      <c r="M173" s="229">
        <v>6.0697504087258304E-10</v>
      </c>
      <c r="N173" s="112" t="s">
        <v>1916</v>
      </c>
      <c r="O173" s="112" t="s">
        <v>1817</v>
      </c>
      <c r="P173" s="112" t="s">
        <v>1597</v>
      </c>
      <c r="Q173" s="112" t="s">
        <v>1917</v>
      </c>
    </row>
    <row r="174" spans="1:18">
      <c r="A174" s="112" t="s">
        <v>1916</v>
      </c>
      <c r="B174" s="112" t="s">
        <v>1762</v>
      </c>
      <c r="C174" s="112" t="s">
        <v>1706</v>
      </c>
      <c r="D174" s="112">
        <v>55</v>
      </c>
      <c r="E174" s="112" t="s">
        <v>1707</v>
      </c>
      <c r="F174" s="112" t="s">
        <v>1708</v>
      </c>
      <c r="G174" s="112">
        <v>2.76957592579965</v>
      </c>
      <c r="H174" s="112">
        <v>2.5545082719150098</v>
      </c>
      <c r="I174" s="112">
        <v>0.102010701112815</v>
      </c>
      <c r="J174" s="112" t="s">
        <v>848</v>
      </c>
      <c r="K174" s="112" t="s">
        <v>1763</v>
      </c>
      <c r="L174" s="229">
        <v>3.97321963027876E-7</v>
      </c>
      <c r="M174" s="229">
        <v>2.5800127469342498E-10</v>
      </c>
      <c r="N174" s="112" t="s">
        <v>1916</v>
      </c>
      <c r="O174" s="112" t="s">
        <v>1817</v>
      </c>
      <c r="P174" s="112" t="s">
        <v>1597</v>
      </c>
      <c r="Q174" s="112" t="s">
        <v>1917</v>
      </c>
    </row>
    <row r="175" spans="1:18">
      <c r="A175" s="112" t="s">
        <v>1918</v>
      </c>
      <c r="B175" s="112" t="s">
        <v>1731</v>
      </c>
      <c r="C175" s="112" t="s">
        <v>1706</v>
      </c>
      <c r="D175" s="112">
        <v>30</v>
      </c>
      <c r="E175" s="112" t="s">
        <v>1707</v>
      </c>
      <c r="F175" s="112" t="s">
        <v>1708</v>
      </c>
      <c r="G175" s="112">
        <v>-5.8286056372859196</v>
      </c>
      <c r="H175" s="112">
        <v>-4.7911864948513898</v>
      </c>
      <c r="I175" s="112">
        <v>-9.2240704310854404</v>
      </c>
      <c r="J175" s="112" t="s">
        <v>848</v>
      </c>
      <c r="K175" s="112" t="s">
        <v>1732</v>
      </c>
      <c r="L175" s="229">
        <v>1.18668349490231E-5</v>
      </c>
      <c r="M175" s="229">
        <v>1.41496442158463E-7</v>
      </c>
      <c r="N175" s="112" t="s">
        <v>1918</v>
      </c>
      <c r="O175" s="112" t="s">
        <v>1817</v>
      </c>
      <c r="P175" s="112" t="s">
        <v>1597</v>
      </c>
      <c r="Q175" s="112" t="s">
        <v>1919</v>
      </c>
      <c r="R175" s="112" t="s">
        <v>1920</v>
      </c>
    </row>
    <row r="176" spans="1:18">
      <c r="A176" s="112" t="s">
        <v>1921</v>
      </c>
      <c r="B176" s="112" t="s">
        <v>1705</v>
      </c>
      <c r="C176" s="112" t="s">
        <v>1706</v>
      </c>
      <c r="D176" s="112">
        <v>80</v>
      </c>
      <c r="E176" s="112" t="s">
        <v>1707</v>
      </c>
      <c r="F176" s="112" t="s">
        <v>1708</v>
      </c>
      <c r="G176" s="112">
        <v>-5.4434539450018802</v>
      </c>
      <c r="H176" s="112">
        <v>-4.2575537050394896</v>
      </c>
      <c r="I176" s="112">
        <v>0</v>
      </c>
      <c r="J176" s="112">
        <v>1</v>
      </c>
      <c r="K176" s="112" t="s">
        <v>1709</v>
      </c>
      <c r="L176" s="229">
        <v>3.8215158354115701E-5</v>
      </c>
      <c r="M176" s="229">
        <v>4.8187973801790604E-7</v>
      </c>
      <c r="N176" s="112" t="s">
        <v>1921</v>
      </c>
      <c r="O176" s="112" t="s">
        <v>1817</v>
      </c>
      <c r="P176" s="112" t="s">
        <v>1597</v>
      </c>
      <c r="Q176" s="112" t="s">
        <v>1922</v>
      </c>
      <c r="R176" s="112" t="s">
        <v>1923</v>
      </c>
    </row>
    <row r="177" spans="1:18">
      <c r="A177" s="112" t="s">
        <v>1916</v>
      </c>
      <c r="B177" s="112" t="s">
        <v>1796</v>
      </c>
      <c r="C177" s="112" t="s">
        <v>1706</v>
      </c>
      <c r="D177" s="112">
        <v>80</v>
      </c>
      <c r="E177" s="112" t="s">
        <v>1707</v>
      </c>
      <c r="F177" s="112" t="s">
        <v>1721</v>
      </c>
      <c r="G177" s="112">
        <v>-5.9680377091375902</v>
      </c>
      <c r="H177" s="112">
        <v>-4.63128181628666</v>
      </c>
      <c r="I177" s="112">
        <v>0</v>
      </c>
      <c r="J177" s="112">
        <v>1</v>
      </c>
      <c r="K177" s="112" t="s">
        <v>1797</v>
      </c>
      <c r="L177" s="229">
        <v>4.11787326631214E-5</v>
      </c>
      <c r="M177" s="229">
        <v>2.13203497516161E-7</v>
      </c>
      <c r="N177" s="112" t="s">
        <v>1916</v>
      </c>
      <c r="O177" s="112" t="s">
        <v>1817</v>
      </c>
      <c r="P177" s="112" t="s">
        <v>1597</v>
      </c>
      <c r="Q177" s="112" t="s">
        <v>1917</v>
      </c>
    </row>
    <row r="178" spans="1:18">
      <c r="A178" s="112" t="s">
        <v>1916</v>
      </c>
      <c r="B178" s="112" t="s">
        <v>1748</v>
      </c>
      <c r="C178" s="112" t="s">
        <v>1706</v>
      </c>
      <c r="D178" s="112">
        <v>80</v>
      </c>
      <c r="E178" s="112" t="s">
        <v>1707</v>
      </c>
      <c r="F178" s="112" t="s">
        <v>440</v>
      </c>
      <c r="G178" s="112">
        <v>-6.7360981527633497</v>
      </c>
      <c r="H178" s="112">
        <v>-5.3047935187684603</v>
      </c>
      <c r="I178" s="112">
        <v>-9.1635690089698691</v>
      </c>
      <c r="J178" s="112" t="s">
        <v>848</v>
      </c>
      <c r="K178" s="112" t="s">
        <v>1749</v>
      </c>
      <c r="L178" s="229">
        <v>7.0748622901524693E-5</v>
      </c>
      <c r="M178" s="229">
        <v>3.1030097763826602E-7</v>
      </c>
      <c r="N178" s="112" t="s">
        <v>1916</v>
      </c>
      <c r="O178" s="112" t="s">
        <v>1817</v>
      </c>
      <c r="P178" s="112" t="s">
        <v>1597</v>
      </c>
      <c r="Q178" s="112" t="s">
        <v>1917</v>
      </c>
    </row>
    <row r="179" spans="1:18">
      <c r="A179" s="112" t="s">
        <v>1924</v>
      </c>
      <c r="B179" s="112" t="s">
        <v>1762</v>
      </c>
      <c r="C179" s="112" t="s">
        <v>1706</v>
      </c>
      <c r="D179" s="112">
        <v>55</v>
      </c>
      <c r="E179" s="112" t="s">
        <v>1707</v>
      </c>
      <c r="F179" s="112" t="s">
        <v>1708</v>
      </c>
      <c r="G179" s="112">
        <v>4.3024625751190397</v>
      </c>
      <c r="H179" s="112">
        <v>3.3109722501557401</v>
      </c>
      <c r="I179" s="112">
        <v>1.8333010549045801</v>
      </c>
      <c r="J179" s="112" t="s">
        <v>848</v>
      </c>
      <c r="K179" s="112" t="s">
        <v>1763</v>
      </c>
      <c r="L179" s="229">
        <v>1.5855462132672901E-4</v>
      </c>
      <c r="M179" s="229">
        <v>9.2913026494998802E-7</v>
      </c>
      <c r="N179" s="112" t="s">
        <v>1924</v>
      </c>
      <c r="O179" s="112" t="s">
        <v>1817</v>
      </c>
      <c r="P179" s="112" t="s">
        <v>1597</v>
      </c>
      <c r="Q179" s="112" t="s">
        <v>1925</v>
      </c>
      <c r="R179" s="112" t="s">
        <v>1920</v>
      </c>
    </row>
    <row r="180" spans="1:18">
      <c r="A180" s="112" t="s">
        <v>1921</v>
      </c>
      <c r="B180" s="112" t="s">
        <v>1720</v>
      </c>
      <c r="C180" s="112" t="s">
        <v>1706</v>
      </c>
      <c r="D180" s="112">
        <v>55</v>
      </c>
      <c r="E180" s="112" t="s">
        <v>1707</v>
      </c>
      <c r="F180" s="112" t="s">
        <v>1721</v>
      </c>
      <c r="G180" s="112">
        <v>3.0364217154765498</v>
      </c>
      <c r="H180" s="112">
        <v>2.5854087714829301</v>
      </c>
      <c r="I180" s="112">
        <v>0.87095573042500196</v>
      </c>
      <c r="J180" s="112" t="s">
        <v>848</v>
      </c>
      <c r="K180" s="112" t="s">
        <v>1722</v>
      </c>
      <c r="L180" s="229">
        <v>1.6313604432542501E-4</v>
      </c>
      <c r="M180" s="229">
        <v>1.1627020703018201E-6</v>
      </c>
      <c r="N180" s="112" t="s">
        <v>1921</v>
      </c>
      <c r="O180" s="112" t="s">
        <v>1817</v>
      </c>
      <c r="P180" s="112" t="s">
        <v>1597</v>
      </c>
      <c r="Q180" s="112" t="s">
        <v>1922</v>
      </c>
      <c r="R180" s="112" t="s">
        <v>1923</v>
      </c>
    </row>
    <row r="181" spans="1:18">
      <c r="A181" s="112" t="s">
        <v>1926</v>
      </c>
      <c r="B181" s="112" t="s">
        <v>1731</v>
      </c>
      <c r="C181" s="112" t="s">
        <v>1706</v>
      </c>
      <c r="D181" s="112">
        <v>30</v>
      </c>
      <c r="E181" s="112" t="s">
        <v>1707</v>
      </c>
      <c r="F181" s="112" t="s">
        <v>1708</v>
      </c>
      <c r="G181" s="112">
        <v>4.9449827233861496</v>
      </c>
      <c r="H181" s="112">
        <v>3.6247799187550198</v>
      </c>
      <c r="I181" s="112">
        <v>1.4607583516993301</v>
      </c>
      <c r="J181" s="112" t="s">
        <v>848</v>
      </c>
      <c r="K181" s="112" t="s">
        <v>1732</v>
      </c>
      <c r="L181" s="229">
        <v>2.8978364545201101E-4</v>
      </c>
      <c r="M181" s="229">
        <v>7.1409324395964697E-6</v>
      </c>
      <c r="N181" s="112" t="s">
        <v>1926</v>
      </c>
      <c r="O181" s="112" t="s">
        <v>1817</v>
      </c>
      <c r="P181" s="112" t="s">
        <v>1597</v>
      </c>
      <c r="Q181" s="112" t="s">
        <v>1927</v>
      </c>
    </row>
    <row r="182" spans="1:18">
      <c r="A182" s="112" t="s">
        <v>1928</v>
      </c>
      <c r="B182" s="112" t="s">
        <v>1743</v>
      </c>
      <c r="C182" s="112" t="s">
        <v>1706</v>
      </c>
      <c r="D182" s="112">
        <v>55</v>
      </c>
      <c r="E182" s="112" t="s">
        <v>1707</v>
      </c>
      <c r="F182" s="112" t="s">
        <v>440</v>
      </c>
      <c r="G182" s="112">
        <v>3.48568628785711</v>
      </c>
      <c r="H182" s="112">
        <v>2.86114818989217</v>
      </c>
      <c r="I182" s="112">
        <v>2.44305444875849</v>
      </c>
      <c r="J182" s="112" t="s">
        <v>848</v>
      </c>
      <c r="K182" s="112" t="s">
        <v>1744</v>
      </c>
      <c r="L182" s="229">
        <v>3.8180728351617003E-4</v>
      </c>
      <c r="M182" s="229">
        <v>5.5410870448096502E-6</v>
      </c>
      <c r="N182" s="112" t="s">
        <v>1928</v>
      </c>
      <c r="O182" s="112" t="s">
        <v>1817</v>
      </c>
      <c r="P182" s="112" t="s">
        <v>1597</v>
      </c>
      <c r="Q182" s="112" t="s">
        <v>1929</v>
      </c>
      <c r="R182" s="112" t="s">
        <v>1930</v>
      </c>
    </row>
    <row r="183" spans="1:18">
      <c r="A183" s="112" t="s">
        <v>1921</v>
      </c>
      <c r="B183" s="112" t="s">
        <v>1762</v>
      </c>
      <c r="C183" s="112" t="s">
        <v>1706</v>
      </c>
      <c r="D183" s="112">
        <v>55</v>
      </c>
      <c r="E183" s="112" t="s">
        <v>1707</v>
      </c>
      <c r="F183" s="112" t="s">
        <v>1708</v>
      </c>
      <c r="G183" s="112">
        <v>2.8424735933615102</v>
      </c>
      <c r="H183" s="112">
        <v>2.4116145486388598</v>
      </c>
      <c r="I183" s="112">
        <v>1.1127117777784501</v>
      </c>
      <c r="J183" s="112" t="s">
        <v>848</v>
      </c>
      <c r="K183" s="112" t="s">
        <v>1763</v>
      </c>
      <c r="L183" s="229">
        <v>6.3393207108877097E-4</v>
      </c>
      <c r="M183" s="229">
        <v>6.9979514340968196E-6</v>
      </c>
      <c r="N183" s="112" t="s">
        <v>1921</v>
      </c>
      <c r="O183" s="112" t="s">
        <v>1817</v>
      </c>
      <c r="P183" s="112" t="s">
        <v>1597</v>
      </c>
      <c r="Q183" s="112" t="s">
        <v>1922</v>
      </c>
      <c r="R183" s="112" t="s">
        <v>1923</v>
      </c>
    </row>
    <row r="184" spans="1:18">
      <c r="A184" s="112" t="s">
        <v>1931</v>
      </c>
      <c r="B184" s="112" t="s">
        <v>1705</v>
      </c>
      <c r="C184" s="112" t="s">
        <v>1706</v>
      </c>
      <c r="D184" s="112">
        <v>80</v>
      </c>
      <c r="E184" s="112" t="s">
        <v>1707</v>
      </c>
      <c r="F184" s="112" t="s">
        <v>1708</v>
      </c>
      <c r="G184" s="112">
        <v>2.9290664543004401</v>
      </c>
      <c r="H184" s="112">
        <v>2.4991247938472498</v>
      </c>
      <c r="I184" s="112">
        <v>1.81365713298972</v>
      </c>
      <c r="J184" s="112" t="s">
        <v>848</v>
      </c>
      <c r="K184" s="112" t="s">
        <v>1709</v>
      </c>
      <c r="L184" s="112">
        <v>1.3718229312973901E-3</v>
      </c>
      <c r="M184" s="229">
        <v>4.8886233845575898E-5</v>
      </c>
      <c r="N184" s="112" t="s">
        <v>1931</v>
      </c>
      <c r="O184" s="112" t="s">
        <v>1817</v>
      </c>
      <c r="P184" s="112" t="s">
        <v>1597</v>
      </c>
      <c r="Q184" s="112" t="s">
        <v>1932</v>
      </c>
      <c r="R184" s="112" t="s">
        <v>1933</v>
      </c>
    </row>
    <row r="185" spans="1:18">
      <c r="A185" s="112" t="s">
        <v>1934</v>
      </c>
      <c r="B185" s="112" t="s">
        <v>1796</v>
      </c>
      <c r="C185" s="112" t="s">
        <v>1706</v>
      </c>
      <c r="D185" s="112">
        <v>80</v>
      </c>
      <c r="E185" s="112" t="s">
        <v>1707</v>
      </c>
      <c r="F185" s="112" t="s">
        <v>1721</v>
      </c>
      <c r="G185" s="112">
        <v>-5.78767864124063</v>
      </c>
      <c r="H185" s="112">
        <v>-3.9700015164796301</v>
      </c>
      <c r="I185" s="112">
        <v>0</v>
      </c>
      <c r="J185" s="112">
        <v>1</v>
      </c>
      <c r="K185" s="112" t="s">
        <v>1797</v>
      </c>
      <c r="L185" s="112">
        <v>1.71512528259097E-3</v>
      </c>
      <c r="M185" s="229">
        <v>2.2834508200175602E-5</v>
      </c>
      <c r="N185" s="112" t="s">
        <v>1934</v>
      </c>
      <c r="O185" s="112" t="s">
        <v>1817</v>
      </c>
      <c r="P185" s="112" t="s">
        <v>1597</v>
      </c>
      <c r="Q185" s="112" t="s">
        <v>1935</v>
      </c>
      <c r="R185" s="112" t="s">
        <v>1920</v>
      </c>
    </row>
    <row r="186" spans="1:18">
      <c r="A186" s="112" t="s">
        <v>1921</v>
      </c>
      <c r="B186" s="112" t="s">
        <v>1731</v>
      </c>
      <c r="C186" s="112" t="s">
        <v>1706</v>
      </c>
      <c r="D186" s="112">
        <v>30</v>
      </c>
      <c r="E186" s="112" t="s">
        <v>1707</v>
      </c>
      <c r="F186" s="112" t="s">
        <v>1708</v>
      </c>
      <c r="G186" s="112">
        <v>2.4610239056952499</v>
      </c>
      <c r="H186" s="112">
        <v>1.9102735630104399</v>
      </c>
      <c r="I186" s="112">
        <v>0.22055140734912301</v>
      </c>
      <c r="J186" s="112" t="s">
        <v>848</v>
      </c>
      <c r="K186" s="112" t="s">
        <v>1732</v>
      </c>
      <c r="L186" s="112">
        <v>1.79604255698178E-3</v>
      </c>
      <c r="M186" s="229">
        <v>6.1192044946091695E-5</v>
      </c>
      <c r="N186" s="112" t="s">
        <v>1921</v>
      </c>
      <c r="O186" s="112" t="s">
        <v>1817</v>
      </c>
      <c r="P186" s="112" t="s">
        <v>1597</v>
      </c>
      <c r="Q186" s="112" t="s">
        <v>1922</v>
      </c>
      <c r="R186" s="112" t="s">
        <v>1923</v>
      </c>
    </row>
    <row r="187" spans="1:18">
      <c r="A187" s="112" t="s">
        <v>1934</v>
      </c>
      <c r="B187" s="112" t="s">
        <v>1748</v>
      </c>
      <c r="C187" s="112" t="s">
        <v>1706</v>
      </c>
      <c r="D187" s="112">
        <v>80</v>
      </c>
      <c r="E187" s="112" t="s">
        <v>1707</v>
      </c>
      <c r="F187" s="112" t="s">
        <v>440</v>
      </c>
      <c r="G187" s="112">
        <v>-4.4202318807777203</v>
      </c>
      <c r="H187" s="112">
        <v>-3.5619981189868999</v>
      </c>
      <c r="I187" s="112">
        <v>-5.9300575723942597</v>
      </c>
      <c r="J187" s="112" t="s">
        <v>848</v>
      </c>
      <c r="K187" s="112" t="s">
        <v>1749</v>
      </c>
      <c r="L187" s="112">
        <v>2.1470581833869999E-3</v>
      </c>
      <c r="M187" s="229">
        <v>4.5907494052682601E-5</v>
      </c>
      <c r="N187" s="112" t="s">
        <v>1934</v>
      </c>
      <c r="O187" s="112" t="s">
        <v>1817</v>
      </c>
      <c r="P187" s="112" t="s">
        <v>1597</v>
      </c>
      <c r="Q187" s="112" t="s">
        <v>1935</v>
      </c>
      <c r="R187" s="112" t="s">
        <v>1920</v>
      </c>
    </row>
    <row r="188" spans="1:18">
      <c r="A188" s="112" t="s">
        <v>1936</v>
      </c>
      <c r="B188" s="112" t="s">
        <v>1796</v>
      </c>
      <c r="C188" s="112" t="s">
        <v>1706</v>
      </c>
      <c r="D188" s="112">
        <v>80</v>
      </c>
      <c r="E188" s="112" t="s">
        <v>1707</v>
      </c>
      <c r="F188" s="112" t="s">
        <v>1721</v>
      </c>
      <c r="G188" s="112">
        <v>6.5888308480128002</v>
      </c>
      <c r="H188" s="112">
        <v>4.0803819563368702</v>
      </c>
      <c r="I188" s="112">
        <v>2.5794988664398</v>
      </c>
      <c r="J188" s="112" t="s">
        <v>848</v>
      </c>
      <c r="K188" s="112" t="s">
        <v>1797</v>
      </c>
      <c r="L188" s="112">
        <v>2.2812113314694999E-3</v>
      </c>
      <c r="M188" s="229">
        <v>3.2058443267692697E-5</v>
      </c>
      <c r="N188" s="112" t="s">
        <v>1936</v>
      </c>
      <c r="O188" s="112" t="s">
        <v>1817</v>
      </c>
      <c r="P188" s="112" t="s">
        <v>1597</v>
      </c>
      <c r="Q188" s="112" t="s">
        <v>1937</v>
      </c>
    </row>
    <row r="189" spans="1:18">
      <c r="A189" s="112" t="s">
        <v>1924</v>
      </c>
      <c r="B189" s="112" t="s">
        <v>1705</v>
      </c>
      <c r="C189" s="112" t="s">
        <v>1706</v>
      </c>
      <c r="D189" s="112">
        <v>80</v>
      </c>
      <c r="E189" s="112" t="s">
        <v>1707</v>
      </c>
      <c r="F189" s="112" t="s">
        <v>1708</v>
      </c>
      <c r="G189" s="112">
        <v>-4.8264068273467799</v>
      </c>
      <c r="H189" s="112">
        <v>-3.3696109188122398</v>
      </c>
      <c r="I189" s="112">
        <v>0</v>
      </c>
      <c r="J189" s="112">
        <v>1</v>
      </c>
      <c r="K189" s="112" t="s">
        <v>1709</v>
      </c>
      <c r="L189" s="112">
        <v>2.4745532435100702E-3</v>
      </c>
      <c r="M189" s="229">
        <v>1.0446304810870299E-4</v>
      </c>
      <c r="N189" s="112" t="s">
        <v>1924</v>
      </c>
      <c r="O189" s="112" t="s">
        <v>1817</v>
      </c>
      <c r="P189" s="112" t="s">
        <v>1597</v>
      </c>
      <c r="Q189" s="112" t="s">
        <v>1925</v>
      </c>
      <c r="R189" s="112" t="s">
        <v>1920</v>
      </c>
    </row>
    <row r="190" spans="1:18">
      <c r="A190" s="112" t="s">
        <v>1938</v>
      </c>
      <c r="B190" s="112" t="s">
        <v>1755</v>
      </c>
      <c r="C190" s="112" t="s">
        <v>1706</v>
      </c>
      <c r="D190" s="112">
        <v>30</v>
      </c>
      <c r="E190" s="112" t="s">
        <v>1707</v>
      </c>
      <c r="F190" s="112" t="s">
        <v>1721</v>
      </c>
      <c r="G190" s="112">
        <v>-9.3110715817172203</v>
      </c>
      <c r="H190" s="112">
        <v>-5.5753025338603202</v>
      </c>
      <c r="I190" s="112">
        <v>0</v>
      </c>
      <c r="J190" s="112">
        <v>1</v>
      </c>
      <c r="K190" s="112" t="s">
        <v>1756</v>
      </c>
      <c r="L190" s="112">
        <v>2.6331400362178499E-3</v>
      </c>
      <c r="M190" s="229">
        <v>5.2327902150593198E-5</v>
      </c>
      <c r="N190" s="112" t="s">
        <v>1938</v>
      </c>
      <c r="O190" s="112" t="s">
        <v>1817</v>
      </c>
      <c r="P190" s="112" t="s">
        <v>1597</v>
      </c>
      <c r="Q190" s="112" t="s">
        <v>1939</v>
      </c>
      <c r="R190" s="112" t="s">
        <v>1940</v>
      </c>
    </row>
    <row r="191" spans="1:18">
      <c r="A191" s="112" t="s">
        <v>1936</v>
      </c>
      <c r="B191" s="112" t="s">
        <v>1705</v>
      </c>
      <c r="C191" s="112" t="s">
        <v>1706</v>
      </c>
      <c r="D191" s="112">
        <v>80</v>
      </c>
      <c r="E191" s="112" t="s">
        <v>1707</v>
      </c>
      <c r="F191" s="112" t="s">
        <v>1708</v>
      </c>
      <c r="G191" s="112">
        <v>4.8323108971102702</v>
      </c>
      <c r="H191" s="112">
        <v>3.3103976448881798</v>
      </c>
      <c r="I191" s="112">
        <v>1.03985822783267</v>
      </c>
      <c r="J191" s="112" t="s">
        <v>848</v>
      </c>
      <c r="K191" s="112" t="s">
        <v>1709</v>
      </c>
      <c r="L191" s="112">
        <v>3.07377005119332E-3</v>
      </c>
      <c r="M191" s="229">
        <v>1.47135454935207E-4</v>
      </c>
      <c r="N191" s="112" t="s">
        <v>1936</v>
      </c>
      <c r="O191" s="112" t="s">
        <v>1817</v>
      </c>
      <c r="P191" s="112" t="s">
        <v>1597</v>
      </c>
      <c r="Q191" s="112" t="s">
        <v>1937</v>
      </c>
    </row>
    <row r="192" spans="1:18">
      <c r="A192" s="112" t="s">
        <v>1941</v>
      </c>
      <c r="B192" s="112" t="s">
        <v>1796</v>
      </c>
      <c r="C192" s="112" t="s">
        <v>1706</v>
      </c>
      <c r="D192" s="112">
        <v>80</v>
      </c>
      <c r="E192" s="112" t="s">
        <v>1707</v>
      </c>
      <c r="F192" s="112" t="s">
        <v>1721</v>
      </c>
      <c r="G192" s="112">
        <v>3.9569426404897601</v>
      </c>
      <c r="H192" s="112">
        <v>3.1072984895733802</v>
      </c>
      <c r="I192" s="112">
        <v>2.6221441583342102</v>
      </c>
      <c r="J192" s="112" t="s">
        <v>848</v>
      </c>
      <c r="K192" s="112" t="s">
        <v>1797</v>
      </c>
      <c r="L192" s="112">
        <v>3.1588688653730801E-3</v>
      </c>
      <c r="M192" s="229">
        <v>5.14017123063667E-5</v>
      </c>
      <c r="N192" s="112" t="s">
        <v>1941</v>
      </c>
      <c r="O192" s="112" t="s">
        <v>1817</v>
      </c>
      <c r="P192" s="112" t="s">
        <v>1597</v>
      </c>
      <c r="Q192" s="112" t="s">
        <v>1942</v>
      </c>
      <c r="R192" s="112" t="s">
        <v>1933</v>
      </c>
    </row>
    <row r="193" spans="1:18">
      <c r="A193" s="112" t="s">
        <v>1943</v>
      </c>
      <c r="B193" s="112" t="s">
        <v>1748</v>
      </c>
      <c r="C193" s="112" t="s">
        <v>1706</v>
      </c>
      <c r="D193" s="112">
        <v>80</v>
      </c>
      <c r="E193" s="112" t="s">
        <v>1707</v>
      </c>
      <c r="F193" s="112" t="s">
        <v>440</v>
      </c>
      <c r="G193" s="112">
        <v>-5.3123637639241199</v>
      </c>
      <c r="H193" s="112">
        <v>-3.8601044650704002</v>
      </c>
      <c r="I193" s="112">
        <v>-6.6875274610733104</v>
      </c>
      <c r="J193" s="112" t="s">
        <v>848</v>
      </c>
      <c r="K193" s="112" t="s">
        <v>1749</v>
      </c>
      <c r="L193" s="112">
        <v>4.1179300983651898E-3</v>
      </c>
      <c r="M193" s="229">
        <v>1.10624218651258E-4</v>
      </c>
      <c r="N193" s="112" t="s">
        <v>1943</v>
      </c>
      <c r="O193" s="112" t="s">
        <v>1817</v>
      </c>
      <c r="P193" s="112" t="s">
        <v>1597</v>
      </c>
      <c r="Q193" s="112" t="s">
        <v>1944</v>
      </c>
    </row>
    <row r="194" spans="1:18">
      <c r="A194" s="112" t="s">
        <v>1924</v>
      </c>
      <c r="B194" s="112" t="s">
        <v>1720</v>
      </c>
      <c r="C194" s="112" t="s">
        <v>1706</v>
      </c>
      <c r="D194" s="112">
        <v>55</v>
      </c>
      <c r="E194" s="112" t="s">
        <v>1707</v>
      </c>
      <c r="F194" s="112" t="s">
        <v>1721</v>
      </c>
      <c r="G194" s="112">
        <v>3.47723201728751</v>
      </c>
      <c r="H194" s="112">
        <v>2.5342556289037601</v>
      </c>
      <c r="I194" s="112">
        <v>0.32767990479134801</v>
      </c>
      <c r="J194" s="112" t="s">
        <v>848</v>
      </c>
      <c r="K194" s="112" t="s">
        <v>1722</v>
      </c>
      <c r="L194" s="112">
        <v>4.64946002904795E-3</v>
      </c>
      <c r="M194" s="229">
        <v>7.9020428125266805E-5</v>
      </c>
      <c r="N194" s="112" t="s">
        <v>1924</v>
      </c>
      <c r="O194" s="112" t="s">
        <v>1817</v>
      </c>
      <c r="P194" s="112" t="s">
        <v>1597</v>
      </c>
      <c r="Q194" s="112" t="s">
        <v>1925</v>
      </c>
      <c r="R194" s="112" t="s">
        <v>1920</v>
      </c>
    </row>
    <row r="195" spans="1:18">
      <c r="A195" s="112" t="s">
        <v>1921</v>
      </c>
      <c r="B195" s="112" t="s">
        <v>1748</v>
      </c>
      <c r="C195" s="112" t="s">
        <v>1706</v>
      </c>
      <c r="D195" s="112">
        <v>80</v>
      </c>
      <c r="E195" s="112" t="s">
        <v>1707</v>
      </c>
      <c r="F195" s="112" t="s">
        <v>440</v>
      </c>
      <c r="G195" s="112">
        <v>-5.4422332633272799</v>
      </c>
      <c r="H195" s="112">
        <v>-3.8511520316580898</v>
      </c>
      <c r="I195" s="112">
        <v>-7.7477615952910899</v>
      </c>
      <c r="J195" s="112" t="s">
        <v>848</v>
      </c>
      <c r="K195" s="112" t="s">
        <v>1749</v>
      </c>
      <c r="L195" s="112">
        <v>4.6897991899919299E-3</v>
      </c>
      <c r="M195" s="229">
        <v>1.45346187031204E-4</v>
      </c>
      <c r="N195" s="112" t="s">
        <v>1921</v>
      </c>
      <c r="O195" s="112" t="s">
        <v>1817</v>
      </c>
      <c r="P195" s="112" t="s">
        <v>1597</v>
      </c>
      <c r="Q195" s="112" t="s">
        <v>1922</v>
      </c>
      <c r="R195" s="112" t="s">
        <v>1923</v>
      </c>
    </row>
    <row r="196" spans="1:18">
      <c r="A196" s="112" t="s">
        <v>1945</v>
      </c>
      <c r="B196" s="112" t="s">
        <v>1755</v>
      </c>
      <c r="C196" s="112" t="s">
        <v>1706</v>
      </c>
      <c r="D196" s="112">
        <v>30</v>
      </c>
      <c r="E196" s="112" t="s">
        <v>1707</v>
      </c>
      <c r="F196" s="112" t="s">
        <v>1721</v>
      </c>
      <c r="G196" s="112">
        <v>-10.1924338228935</v>
      </c>
      <c r="H196" s="112">
        <v>-5.2242272251284501</v>
      </c>
      <c r="I196" s="112">
        <v>0</v>
      </c>
      <c r="J196" s="112">
        <v>1</v>
      </c>
      <c r="K196" s="112" t="s">
        <v>1756</v>
      </c>
      <c r="L196" s="112">
        <v>5.0709662476202599E-3</v>
      </c>
      <c r="M196" s="229">
        <v>1.3705314182757401E-4</v>
      </c>
      <c r="N196" s="112" t="s">
        <v>1945</v>
      </c>
      <c r="O196" s="112" t="s">
        <v>1817</v>
      </c>
      <c r="P196" s="112" t="s">
        <v>1597</v>
      </c>
      <c r="Q196" s="112" t="s">
        <v>1946</v>
      </c>
      <c r="R196" s="112" t="s">
        <v>1940</v>
      </c>
    </row>
    <row r="197" spans="1:18">
      <c r="A197" s="112" t="s">
        <v>1918</v>
      </c>
      <c r="B197" s="112" t="s">
        <v>1755</v>
      </c>
      <c r="C197" s="112" t="s">
        <v>1706</v>
      </c>
      <c r="D197" s="112">
        <v>30</v>
      </c>
      <c r="E197" s="112" t="s">
        <v>1707</v>
      </c>
      <c r="F197" s="112" t="s">
        <v>1721</v>
      </c>
      <c r="G197" s="112">
        <v>-8.7600062765418301</v>
      </c>
      <c r="H197" s="112">
        <v>-4.73614984006766</v>
      </c>
      <c r="I197" s="112">
        <v>0</v>
      </c>
      <c r="J197" s="112">
        <v>1</v>
      </c>
      <c r="K197" s="112" t="s">
        <v>1756</v>
      </c>
      <c r="L197" s="112">
        <v>5.17068399036594E-3</v>
      </c>
      <c r="M197" s="229">
        <v>1.6440966583039499E-4</v>
      </c>
      <c r="N197" s="112" t="s">
        <v>1918</v>
      </c>
      <c r="O197" s="112" t="s">
        <v>1817</v>
      </c>
      <c r="P197" s="112" t="s">
        <v>1597</v>
      </c>
      <c r="Q197" s="112" t="s">
        <v>1919</v>
      </c>
      <c r="R197" s="112" t="s">
        <v>1920</v>
      </c>
    </row>
    <row r="198" spans="1:18">
      <c r="A198" s="112" t="s">
        <v>1916</v>
      </c>
      <c r="B198" s="112" t="s">
        <v>1755</v>
      </c>
      <c r="C198" s="112" t="s">
        <v>1706</v>
      </c>
      <c r="D198" s="112">
        <v>30</v>
      </c>
      <c r="E198" s="112" t="s">
        <v>1707</v>
      </c>
      <c r="F198" s="112" t="s">
        <v>1721</v>
      </c>
      <c r="G198" s="112">
        <v>2.5939263749781998</v>
      </c>
      <c r="H198" s="112">
        <v>2.0689270520394198</v>
      </c>
      <c r="I198" s="112">
        <v>-0.631747554644841</v>
      </c>
      <c r="J198" s="112" t="s">
        <v>848</v>
      </c>
      <c r="K198" s="112" t="s">
        <v>1756</v>
      </c>
      <c r="L198" s="112">
        <v>5.17068399036594E-3</v>
      </c>
      <c r="M198" s="229">
        <v>1.4818579102328101E-4</v>
      </c>
      <c r="N198" s="112" t="s">
        <v>1916</v>
      </c>
      <c r="O198" s="112" t="s">
        <v>1817</v>
      </c>
      <c r="P198" s="112" t="s">
        <v>1597</v>
      </c>
      <c r="Q198" s="112" t="s">
        <v>1917</v>
      </c>
    </row>
    <row r="199" spans="1:18" ht="15.75" customHeight="1">
      <c r="A199" s="112" t="s">
        <v>1926</v>
      </c>
      <c r="B199" s="112" t="s">
        <v>1755</v>
      </c>
      <c r="C199" s="112" t="s">
        <v>1706</v>
      </c>
      <c r="D199" s="112">
        <v>30</v>
      </c>
      <c r="E199" s="112" t="s">
        <v>1707</v>
      </c>
      <c r="F199" s="112" t="s">
        <v>1721</v>
      </c>
      <c r="G199" s="112">
        <v>7.4087767066052601</v>
      </c>
      <c r="H199" s="112">
        <v>4.4283894297583801</v>
      </c>
      <c r="I199" s="112">
        <v>3.5400826285281801</v>
      </c>
      <c r="J199" s="112" t="s">
        <v>848</v>
      </c>
      <c r="K199" s="112" t="s">
        <v>1756</v>
      </c>
      <c r="L199" s="112">
        <v>5.17068399036594E-3</v>
      </c>
      <c r="M199" s="229">
        <v>1.53602016672549E-4</v>
      </c>
      <c r="N199" s="112" t="s">
        <v>1926</v>
      </c>
      <c r="O199" s="112" t="s">
        <v>1817</v>
      </c>
      <c r="P199" s="112" t="s">
        <v>1597</v>
      </c>
      <c r="Q199" s="112" t="s">
        <v>1927</v>
      </c>
    </row>
    <row r="200" spans="1:18">
      <c r="A200" s="112" t="s">
        <v>1924</v>
      </c>
      <c r="B200" s="112" t="s">
        <v>1748</v>
      </c>
      <c r="C200" s="112" t="s">
        <v>1706</v>
      </c>
      <c r="D200" s="112">
        <v>80</v>
      </c>
      <c r="E200" s="112" t="s">
        <v>1707</v>
      </c>
      <c r="F200" s="112" t="s">
        <v>440</v>
      </c>
      <c r="G200" s="112">
        <v>-6.3012471502268301</v>
      </c>
      <c r="H200" s="112">
        <v>-4.0542437245845004</v>
      </c>
      <c r="I200" s="112">
        <v>0</v>
      </c>
      <c r="J200" s="112">
        <v>1</v>
      </c>
      <c r="K200" s="112" t="s">
        <v>1749</v>
      </c>
      <c r="L200" s="112">
        <v>5.1777644609039197E-3</v>
      </c>
      <c r="M200" s="229">
        <v>1.77654506395279E-4</v>
      </c>
      <c r="N200" s="112" t="s">
        <v>1924</v>
      </c>
      <c r="O200" s="112" t="s">
        <v>1817</v>
      </c>
      <c r="P200" s="112" t="s">
        <v>1597</v>
      </c>
      <c r="Q200" s="112" t="s">
        <v>1925</v>
      </c>
      <c r="R200" s="112" t="s">
        <v>1920</v>
      </c>
    </row>
    <row r="201" spans="1:18">
      <c r="A201" s="112" t="s">
        <v>1947</v>
      </c>
      <c r="B201" s="112" t="s">
        <v>1731</v>
      </c>
      <c r="C201" s="112" t="s">
        <v>1706</v>
      </c>
      <c r="D201" s="112">
        <v>30</v>
      </c>
      <c r="E201" s="112" t="s">
        <v>1707</v>
      </c>
      <c r="F201" s="112" t="s">
        <v>1708</v>
      </c>
      <c r="G201" s="112">
        <v>3.56230509270405</v>
      </c>
      <c r="H201" s="112">
        <v>2.29414170904889</v>
      </c>
      <c r="I201" s="112">
        <v>1.66937840749751</v>
      </c>
      <c r="J201" s="112" t="s">
        <v>848</v>
      </c>
      <c r="K201" s="112" t="s">
        <v>1732</v>
      </c>
      <c r="L201" s="112">
        <v>5.5315166133228797E-3</v>
      </c>
      <c r="M201" s="229">
        <v>2.65972286666648E-4</v>
      </c>
      <c r="N201" s="112" t="s">
        <v>1947</v>
      </c>
      <c r="O201" s="112" t="s">
        <v>1817</v>
      </c>
      <c r="P201" s="112" t="s">
        <v>1597</v>
      </c>
      <c r="Q201" s="112" t="s">
        <v>1948</v>
      </c>
      <c r="R201" s="112" t="s">
        <v>1949</v>
      </c>
    </row>
    <row r="202" spans="1:18">
      <c r="A202" s="112" t="s">
        <v>1928</v>
      </c>
      <c r="B202" s="112" t="s">
        <v>1705</v>
      </c>
      <c r="C202" s="112" t="s">
        <v>1706</v>
      </c>
      <c r="D202" s="112">
        <v>80</v>
      </c>
      <c r="E202" s="112" t="s">
        <v>1707</v>
      </c>
      <c r="F202" s="112" t="s">
        <v>1708</v>
      </c>
      <c r="G202" s="112">
        <v>-3.7756462038519101</v>
      </c>
      <c r="H202" s="112">
        <v>-2.7157396438853798</v>
      </c>
      <c r="I202" s="112">
        <v>0</v>
      </c>
      <c r="J202" s="112">
        <v>1</v>
      </c>
      <c r="K202" s="112" t="s">
        <v>1709</v>
      </c>
      <c r="L202" s="112">
        <v>7.8541615846955404E-3</v>
      </c>
      <c r="M202" s="229">
        <v>5.1595020172768799E-4</v>
      </c>
      <c r="N202" s="112" t="s">
        <v>1928</v>
      </c>
      <c r="O202" s="112" t="s">
        <v>1817</v>
      </c>
      <c r="P202" s="112" t="s">
        <v>1597</v>
      </c>
      <c r="Q202" s="112" t="s">
        <v>1929</v>
      </c>
      <c r="R202" s="112" t="s">
        <v>1930</v>
      </c>
    </row>
    <row r="203" spans="1:18">
      <c r="A203" s="112" t="s">
        <v>1950</v>
      </c>
      <c r="B203" s="112" t="s">
        <v>1755</v>
      </c>
      <c r="C203" s="112" t="s">
        <v>1706</v>
      </c>
      <c r="D203" s="112">
        <v>30</v>
      </c>
      <c r="E203" s="112" t="s">
        <v>1707</v>
      </c>
      <c r="F203" s="112" t="s">
        <v>1721</v>
      </c>
      <c r="G203" s="112">
        <v>-8.2666219754825008</v>
      </c>
      <c r="H203" s="112">
        <v>-4.3184501428895103</v>
      </c>
      <c r="I203" s="112">
        <v>0</v>
      </c>
      <c r="J203" s="112">
        <v>1</v>
      </c>
      <c r="K203" s="112" t="s">
        <v>1756</v>
      </c>
      <c r="L203" s="112">
        <v>7.8734834772322005E-3</v>
      </c>
      <c r="M203" s="229">
        <v>2.7538415977600698E-4</v>
      </c>
      <c r="N203" s="112" t="s">
        <v>1950</v>
      </c>
      <c r="O203" s="112" t="s">
        <v>1817</v>
      </c>
      <c r="P203" s="112" t="s">
        <v>1597</v>
      </c>
      <c r="Q203" s="112" t="s">
        <v>1951</v>
      </c>
      <c r="R203" s="112" t="s">
        <v>1952</v>
      </c>
    </row>
    <row r="204" spans="1:18">
      <c r="A204" s="112" t="s">
        <v>1953</v>
      </c>
      <c r="B204" s="112" t="s">
        <v>1748</v>
      </c>
      <c r="C204" s="112" t="s">
        <v>1706</v>
      </c>
      <c r="D204" s="112">
        <v>80</v>
      </c>
      <c r="E204" s="112" t="s">
        <v>1707</v>
      </c>
      <c r="F204" s="112" t="s">
        <v>440</v>
      </c>
      <c r="G204" s="112">
        <v>-1.9409228361799999</v>
      </c>
      <c r="H204" s="112">
        <v>-1.65762902094473</v>
      </c>
      <c r="I204" s="112">
        <v>-2.1917320806462399</v>
      </c>
      <c r="J204" s="112" t="s">
        <v>848</v>
      </c>
      <c r="K204" s="112" t="s">
        <v>1749</v>
      </c>
      <c r="L204" s="112">
        <v>9.0202914770580907E-3</v>
      </c>
      <c r="M204" s="229">
        <v>3.7584547821075401E-4</v>
      </c>
      <c r="N204" s="112" t="s">
        <v>1953</v>
      </c>
      <c r="O204" s="112" t="s">
        <v>1817</v>
      </c>
      <c r="P204" s="112" t="s">
        <v>1597</v>
      </c>
      <c r="Q204" s="112" t="s">
        <v>1954</v>
      </c>
    </row>
    <row r="205" spans="1:18">
      <c r="A205" s="112" t="s">
        <v>1955</v>
      </c>
      <c r="B205" s="112" t="s">
        <v>1705</v>
      </c>
      <c r="C205" s="112" t="s">
        <v>1706</v>
      </c>
      <c r="D205" s="112">
        <v>80</v>
      </c>
      <c r="E205" s="112" t="s">
        <v>1707</v>
      </c>
      <c r="F205" s="112" t="s">
        <v>1708</v>
      </c>
      <c r="G205" s="112">
        <v>4.8146997269479996</v>
      </c>
      <c r="H205" s="112">
        <v>2.8955057573172698</v>
      </c>
      <c r="I205" s="112">
        <v>1.9085025864059599</v>
      </c>
      <c r="J205" s="112" t="s">
        <v>848</v>
      </c>
      <c r="K205" s="112" t="s">
        <v>1709</v>
      </c>
      <c r="L205" s="112">
        <v>1.0682590533747101E-2</v>
      </c>
      <c r="M205" s="229">
        <v>8.3231075843473597E-4</v>
      </c>
      <c r="N205" s="112" t="s">
        <v>1955</v>
      </c>
      <c r="O205" s="112" t="s">
        <v>1817</v>
      </c>
      <c r="P205" s="112" t="s">
        <v>1597</v>
      </c>
      <c r="Q205" s="112" t="s">
        <v>1956</v>
      </c>
      <c r="R205" s="112" t="s">
        <v>1920</v>
      </c>
    </row>
    <row r="206" spans="1:18">
      <c r="A206" s="112" t="s">
        <v>1957</v>
      </c>
      <c r="B206" s="112" t="s">
        <v>1796</v>
      </c>
      <c r="C206" s="112" t="s">
        <v>1706</v>
      </c>
      <c r="D206" s="112">
        <v>80</v>
      </c>
      <c r="E206" s="112" t="s">
        <v>1707</v>
      </c>
      <c r="F206" s="112" t="s">
        <v>1721</v>
      </c>
      <c r="G206" s="112">
        <v>5.1016421304414701</v>
      </c>
      <c r="H206" s="112">
        <v>3.0763437366710402</v>
      </c>
      <c r="I206" s="112">
        <v>2.5817378645979998</v>
      </c>
      <c r="J206" s="112" t="s">
        <v>848</v>
      </c>
      <c r="K206" s="112" t="s">
        <v>1797</v>
      </c>
      <c r="L206" s="112">
        <v>1.1626171228547699E-2</v>
      </c>
      <c r="M206" s="229">
        <v>3.1122151146768801E-4</v>
      </c>
      <c r="N206" s="112" t="s">
        <v>1957</v>
      </c>
      <c r="O206" s="112" t="s">
        <v>1817</v>
      </c>
      <c r="P206" s="112" t="s">
        <v>1597</v>
      </c>
      <c r="Q206" s="112" t="s">
        <v>1958</v>
      </c>
    </row>
    <row r="207" spans="1:18">
      <c r="A207" s="112" t="s">
        <v>1959</v>
      </c>
      <c r="B207" s="112" t="s">
        <v>1705</v>
      </c>
      <c r="C207" s="112" t="s">
        <v>1706</v>
      </c>
      <c r="D207" s="112">
        <v>80</v>
      </c>
      <c r="E207" s="112" t="s">
        <v>1707</v>
      </c>
      <c r="F207" s="112" t="s">
        <v>1708</v>
      </c>
      <c r="G207" s="112">
        <v>-3.8572752204288001</v>
      </c>
      <c r="H207" s="112">
        <v>-2.6165185121516101</v>
      </c>
      <c r="I207" s="112">
        <v>0</v>
      </c>
      <c r="J207" s="112">
        <v>1</v>
      </c>
      <c r="K207" s="112" t="s">
        <v>1709</v>
      </c>
      <c r="L207" s="112">
        <v>1.24054524660687E-2</v>
      </c>
      <c r="M207" s="229">
        <v>9.9978153098251592E-4</v>
      </c>
      <c r="N207" s="112" t="s">
        <v>1959</v>
      </c>
      <c r="O207" s="112" t="s">
        <v>1817</v>
      </c>
      <c r="P207" s="112" t="s">
        <v>1597</v>
      </c>
      <c r="Q207" s="112" t="s">
        <v>1960</v>
      </c>
      <c r="R207" s="112" t="s">
        <v>1961</v>
      </c>
    </row>
    <row r="208" spans="1:18">
      <c r="A208" s="112" t="s">
        <v>1921</v>
      </c>
      <c r="B208" s="112" t="s">
        <v>1796</v>
      </c>
      <c r="C208" s="112" t="s">
        <v>1706</v>
      </c>
      <c r="D208" s="112">
        <v>80</v>
      </c>
      <c r="E208" s="112" t="s">
        <v>1707</v>
      </c>
      <c r="F208" s="112" t="s">
        <v>1721</v>
      </c>
      <c r="G208" s="112">
        <v>-4.4888527228310098</v>
      </c>
      <c r="H208" s="112">
        <v>-2.9001397011110499</v>
      </c>
      <c r="I208" s="112">
        <v>0</v>
      </c>
      <c r="J208" s="112">
        <v>1</v>
      </c>
      <c r="K208" s="112" t="s">
        <v>1797</v>
      </c>
      <c r="L208" s="112">
        <v>1.26631555858394E-2</v>
      </c>
      <c r="M208" s="229">
        <v>3.55917094868268E-4</v>
      </c>
      <c r="N208" s="112" t="s">
        <v>1921</v>
      </c>
      <c r="O208" s="112" t="s">
        <v>1817</v>
      </c>
      <c r="P208" s="112" t="s">
        <v>1597</v>
      </c>
      <c r="Q208" s="112" t="s">
        <v>1922</v>
      </c>
      <c r="R208" s="112" t="s">
        <v>1923</v>
      </c>
    </row>
    <row r="209" spans="1:18">
      <c r="A209" s="112" t="s">
        <v>1962</v>
      </c>
      <c r="B209" s="112" t="s">
        <v>1705</v>
      </c>
      <c r="C209" s="112" t="s">
        <v>1706</v>
      </c>
      <c r="D209" s="112">
        <v>80</v>
      </c>
      <c r="E209" s="112" t="s">
        <v>1707</v>
      </c>
      <c r="F209" s="112" t="s">
        <v>1708</v>
      </c>
      <c r="G209" s="112">
        <v>3.34533389741744</v>
      </c>
      <c r="H209" s="112">
        <v>2.4023807169744398</v>
      </c>
      <c r="I209" s="112">
        <v>1.4740450212282401</v>
      </c>
      <c r="J209" s="112" t="s">
        <v>848</v>
      </c>
      <c r="K209" s="112" t="s">
        <v>1709</v>
      </c>
      <c r="L209" s="112">
        <v>1.38921270774093E-2</v>
      </c>
      <c r="M209" s="112">
        <v>1.1652935541905799E-3</v>
      </c>
      <c r="N209" s="112" t="s">
        <v>1962</v>
      </c>
      <c r="O209" s="112" t="s">
        <v>1817</v>
      </c>
      <c r="P209" s="112" t="s">
        <v>1597</v>
      </c>
      <c r="Q209" s="112" t="s">
        <v>1963</v>
      </c>
      <c r="R209" s="112" t="s">
        <v>1964</v>
      </c>
    </row>
    <row r="210" spans="1:18">
      <c r="A210" s="112" t="s">
        <v>1924</v>
      </c>
      <c r="B210" s="112" t="s">
        <v>1743</v>
      </c>
      <c r="C210" s="112" t="s">
        <v>1706</v>
      </c>
      <c r="D210" s="112">
        <v>55</v>
      </c>
      <c r="E210" s="112" t="s">
        <v>1707</v>
      </c>
      <c r="F210" s="112" t="s">
        <v>440</v>
      </c>
      <c r="G210" s="112">
        <v>3.7617254132381599</v>
      </c>
      <c r="H210" s="112">
        <v>2.4252232558745099</v>
      </c>
      <c r="I210" s="112">
        <v>0.98472151482857995</v>
      </c>
      <c r="J210" s="112" t="s">
        <v>848</v>
      </c>
      <c r="K210" s="112" t="s">
        <v>1744</v>
      </c>
      <c r="L210" s="112">
        <v>1.5713403787857599E-2</v>
      </c>
      <c r="M210" s="229">
        <v>4.5609050386318097E-4</v>
      </c>
      <c r="N210" s="112" t="s">
        <v>1924</v>
      </c>
      <c r="O210" s="112" t="s">
        <v>1817</v>
      </c>
      <c r="P210" s="112" t="s">
        <v>1597</v>
      </c>
      <c r="Q210" s="112" t="s">
        <v>1925</v>
      </c>
      <c r="R210" s="112" t="s">
        <v>1920</v>
      </c>
    </row>
    <row r="211" spans="1:18">
      <c r="A211" s="112" t="s">
        <v>1953</v>
      </c>
      <c r="B211" s="112" t="s">
        <v>1731</v>
      </c>
      <c r="C211" s="112" t="s">
        <v>1706</v>
      </c>
      <c r="D211" s="112">
        <v>30</v>
      </c>
      <c r="E211" s="112" t="s">
        <v>1707</v>
      </c>
      <c r="F211" s="112" t="s">
        <v>1708</v>
      </c>
      <c r="G211" s="112">
        <v>1.31935851844428</v>
      </c>
      <c r="H211" s="112">
        <v>1.0343276289079</v>
      </c>
      <c r="I211" s="112">
        <v>1.0205804107176599</v>
      </c>
      <c r="J211" s="112" t="s">
        <v>848</v>
      </c>
      <c r="K211" s="112" t="s">
        <v>1732</v>
      </c>
      <c r="L211" s="112">
        <v>2.1982290161899301E-2</v>
      </c>
      <c r="M211" s="112">
        <v>1.7473998538870699E-3</v>
      </c>
      <c r="N211" s="112" t="s">
        <v>1953</v>
      </c>
      <c r="O211" s="112" t="s">
        <v>1817</v>
      </c>
      <c r="P211" s="112" t="s">
        <v>1597</v>
      </c>
      <c r="Q211" s="112" t="s">
        <v>1954</v>
      </c>
    </row>
    <row r="212" spans="1:18">
      <c r="A212" s="112" t="s">
        <v>1934</v>
      </c>
      <c r="B212" s="112" t="s">
        <v>1743</v>
      </c>
      <c r="C212" s="112" t="s">
        <v>1706</v>
      </c>
      <c r="D212" s="112">
        <v>55</v>
      </c>
      <c r="E212" s="112" t="s">
        <v>1707</v>
      </c>
      <c r="F212" s="112" t="s">
        <v>440</v>
      </c>
      <c r="G212" s="112">
        <v>3.14100066528079</v>
      </c>
      <c r="H212" s="112">
        <v>2.1489576492971398</v>
      </c>
      <c r="I212" s="112">
        <v>1.8149160880833399</v>
      </c>
      <c r="J212" s="112" t="s">
        <v>848</v>
      </c>
      <c r="K212" s="112" t="s">
        <v>1744</v>
      </c>
      <c r="L212" s="112">
        <v>2.29201427645436E-2</v>
      </c>
      <c r="M212" s="229">
        <v>7.2862927931513998E-4</v>
      </c>
      <c r="N212" s="112" t="s">
        <v>1934</v>
      </c>
      <c r="O212" s="112" t="s">
        <v>1817</v>
      </c>
      <c r="P212" s="112" t="s">
        <v>1597</v>
      </c>
      <c r="Q212" s="112" t="s">
        <v>1935</v>
      </c>
      <c r="R212" s="112" t="s">
        <v>1920</v>
      </c>
    </row>
    <row r="213" spans="1:18">
      <c r="A213" s="112" t="s">
        <v>1934</v>
      </c>
      <c r="B213" s="112" t="s">
        <v>1705</v>
      </c>
      <c r="C213" s="112" t="s">
        <v>1706</v>
      </c>
      <c r="D213" s="112">
        <v>80</v>
      </c>
      <c r="E213" s="112" t="s">
        <v>1707</v>
      </c>
      <c r="F213" s="112" t="s">
        <v>1708</v>
      </c>
      <c r="G213" s="112">
        <v>-2.6140042845845399</v>
      </c>
      <c r="H213" s="112">
        <v>-1.9472705057140101</v>
      </c>
      <c r="I213" s="112">
        <v>-4.3248140596739404</v>
      </c>
      <c r="J213" s="112" t="s">
        <v>848</v>
      </c>
      <c r="K213" s="112" t="s">
        <v>1709</v>
      </c>
      <c r="L213" s="112">
        <v>2.2960028206188601E-2</v>
      </c>
      <c r="M213" s="112">
        <v>2.4546082786221302E-3</v>
      </c>
      <c r="N213" s="112" t="s">
        <v>1934</v>
      </c>
      <c r="O213" s="112" t="s">
        <v>1817</v>
      </c>
      <c r="P213" s="112" t="s">
        <v>1597</v>
      </c>
      <c r="Q213" s="112" t="s">
        <v>1935</v>
      </c>
      <c r="R213" s="112" t="s">
        <v>1920</v>
      </c>
    </row>
    <row r="214" spans="1:18">
      <c r="A214" s="112" t="s">
        <v>1965</v>
      </c>
      <c r="B214" s="112" t="s">
        <v>1762</v>
      </c>
      <c r="C214" s="112" t="s">
        <v>1706</v>
      </c>
      <c r="D214" s="112">
        <v>55</v>
      </c>
      <c r="E214" s="112" t="s">
        <v>1707</v>
      </c>
      <c r="F214" s="112" t="s">
        <v>1708</v>
      </c>
      <c r="G214" s="112">
        <v>2.8263312914928602</v>
      </c>
      <c r="H214" s="112">
        <v>1.9053326114901601</v>
      </c>
      <c r="I214" s="112">
        <v>1.51033239157004</v>
      </c>
      <c r="J214" s="112" t="s">
        <v>848</v>
      </c>
      <c r="K214" s="112" t="s">
        <v>1763</v>
      </c>
      <c r="L214" s="112">
        <v>2.3802868417383601E-2</v>
      </c>
      <c r="M214" s="229">
        <v>7.7282040316180799E-4</v>
      </c>
      <c r="N214" s="112" t="s">
        <v>1965</v>
      </c>
      <c r="O214" s="112" t="s">
        <v>1817</v>
      </c>
      <c r="P214" s="112" t="s">
        <v>1597</v>
      </c>
      <c r="Q214" s="112" t="s">
        <v>1966</v>
      </c>
      <c r="R214" s="112" t="s">
        <v>1933</v>
      </c>
    </row>
    <row r="215" spans="1:18">
      <c r="A215" s="112" t="s">
        <v>1967</v>
      </c>
      <c r="B215" s="112" t="s">
        <v>1755</v>
      </c>
      <c r="C215" s="112" t="s">
        <v>1706</v>
      </c>
      <c r="D215" s="112">
        <v>30</v>
      </c>
      <c r="E215" s="112" t="s">
        <v>1707</v>
      </c>
      <c r="F215" s="112" t="s">
        <v>1721</v>
      </c>
      <c r="G215" s="112">
        <v>-8.1166808463797206</v>
      </c>
      <c r="H215" s="112">
        <v>-3.2122172028789402</v>
      </c>
      <c r="I215" s="112">
        <v>0</v>
      </c>
      <c r="J215" s="112">
        <v>1</v>
      </c>
      <c r="K215" s="112" t="s">
        <v>1756</v>
      </c>
      <c r="L215" s="112">
        <v>2.38915846169107E-2</v>
      </c>
      <c r="M215" s="112">
        <v>1.44337077176885E-3</v>
      </c>
      <c r="N215" s="112" t="s">
        <v>1967</v>
      </c>
      <c r="O215" s="112" t="s">
        <v>1817</v>
      </c>
      <c r="P215" s="112" t="s">
        <v>1597</v>
      </c>
      <c r="Q215" s="112" t="s">
        <v>1968</v>
      </c>
      <c r="R215" s="112" t="s">
        <v>1964</v>
      </c>
    </row>
    <row r="216" spans="1:18">
      <c r="A216" s="112" t="s">
        <v>1965</v>
      </c>
      <c r="B216" s="112" t="s">
        <v>1705</v>
      </c>
      <c r="C216" s="112" t="s">
        <v>1706</v>
      </c>
      <c r="D216" s="112">
        <v>80</v>
      </c>
      <c r="E216" s="112" t="s">
        <v>1707</v>
      </c>
      <c r="F216" s="112" t="s">
        <v>1708</v>
      </c>
      <c r="G216" s="112">
        <v>-3.5434267926403802</v>
      </c>
      <c r="H216" s="112">
        <v>-2.2821200159114299</v>
      </c>
      <c r="I216" s="112">
        <v>0</v>
      </c>
      <c r="J216" s="112">
        <v>1</v>
      </c>
      <c r="K216" s="112" t="s">
        <v>1709</v>
      </c>
      <c r="L216" s="112">
        <v>2.4444831582557999E-2</v>
      </c>
      <c r="M216" s="112">
        <v>2.7473631986975901E-3</v>
      </c>
      <c r="N216" s="112" t="s">
        <v>1965</v>
      </c>
      <c r="O216" s="112" t="s">
        <v>1817</v>
      </c>
      <c r="P216" s="112" t="s">
        <v>1597</v>
      </c>
      <c r="Q216" s="112" t="s">
        <v>1966</v>
      </c>
      <c r="R216" s="112" t="s">
        <v>1933</v>
      </c>
    </row>
    <row r="217" spans="1:18">
      <c r="A217" s="112" t="s">
        <v>1943</v>
      </c>
      <c r="B217" s="112" t="s">
        <v>1796</v>
      </c>
      <c r="C217" s="112" t="s">
        <v>1706</v>
      </c>
      <c r="D217" s="112">
        <v>80</v>
      </c>
      <c r="E217" s="112" t="s">
        <v>1707</v>
      </c>
      <c r="F217" s="112" t="s">
        <v>1721</v>
      </c>
      <c r="G217" s="112">
        <v>-4.5851327665161401</v>
      </c>
      <c r="H217" s="112">
        <v>-2.5296823325208702</v>
      </c>
      <c r="I217" s="112">
        <v>-8.4076938220959399</v>
      </c>
      <c r="J217" s="112" t="s">
        <v>848</v>
      </c>
      <c r="K217" s="112" t="s">
        <v>1797</v>
      </c>
      <c r="L217" s="112">
        <v>2.4455794360203301E-2</v>
      </c>
      <c r="M217" s="229">
        <v>9.9798719799676101E-4</v>
      </c>
      <c r="N217" s="112" t="s">
        <v>1943</v>
      </c>
      <c r="O217" s="112" t="s">
        <v>1817</v>
      </c>
      <c r="P217" s="112" t="s">
        <v>1597</v>
      </c>
      <c r="Q217" s="112" t="s">
        <v>1944</v>
      </c>
    </row>
    <row r="218" spans="1:18">
      <c r="A218" s="112" t="s">
        <v>1967</v>
      </c>
      <c r="B218" s="112" t="s">
        <v>1731</v>
      </c>
      <c r="C218" s="112" t="s">
        <v>1706</v>
      </c>
      <c r="D218" s="112">
        <v>30</v>
      </c>
      <c r="E218" s="112" t="s">
        <v>1707</v>
      </c>
      <c r="F218" s="112" t="s">
        <v>1708</v>
      </c>
      <c r="G218" s="112">
        <v>-3.6156788801761399</v>
      </c>
      <c r="H218" s="112">
        <v>-1.7729239188278101</v>
      </c>
      <c r="I218" s="112">
        <v>-4.5954311611394099</v>
      </c>
      <c r="J218" s="112" t="s">
        <v>848</v>
      </c>
      <c r="K218" s="112" t="s">
        <v>1732</v>
      </c>
      <c r="L218" s="112">
        <v>2.4882092688740601E-2</v>
      </c>
      <c r="M218" s="112">
        <v>2.0768042387263601E-3</v>
      </c>
      <c r="N218" s="112" t="s">
        <v>1967</v>
      </c>
      <c r="O218" s="112" t="s">
        <v>1817</v>
      </c>
      <c r="P218" s="112" t="s">
        <v>1597</v>
      </c>
      <c r="Q218" s="112" t="s">
        <v>1968</v>
      </c>
      <c r="R218" s="112" t="s">
        <v>1964</v>
      </c>
    </row>
    <row r="219" spans="1:18">
      <c r="A219" s="112" t="s">
        <v>1969</v>
      </c>
      <c r="B219" s="112" t="s">
        <v>1748</v>
      </c>
      <c r="C219" s="112" t="s">
        <v>1706</v>
      </c>
      <c r="D219" s="112">
        <v>80</v>
      </c>
      <c r="E219" s="112" t="s">
        <v>1707</v>
      </c>
      <c r="F219" s="112" t="s">
        <v>440</v>
      </c>
      <c r="G219" s="112">
        <v>-1.8131792272493801</v>
      </c>
      <c r="H219" s="112">
        <v>-1.4657237407668899</v>
      </c>
      <c r="I219" s="112">
        <v>-2.0463132299156199</v>
      </c>
      <c r="J219" s="112" t="s">
        <v>848</v>
      </c>
      <c r="K219" s="112" t="s">
        <v>1749</v>
      </c>
      <c r="L219" s="112">
        <v>2.5095421698608102E-2</v>
      </c>
      <c r="M219" s="112">
        <v>1.56846385616301E-3</v>
      </c>
      <c r="N219" s="112" t="s">
        <v>1969</v>
      </c>
      <c r="O219" s="112" t="s">
        <v>1817</v>
      </c>
      <c r="P219" s="112" t="s">
        <v>1597</v>
      </c>
      <c r="Q219" s="112" t="s">
        <v>1970</v>
      </c>
      <c r="R219" s="112" t="s">
        <v>1971</v>
      </c>
    </row>
    <row r="220" spans="1:18">
      <c r="A220" s="112" t="s">
        <v>1947</v>
      </c>
      <c r="B220" s="112" t="s">
        <v>1705</v>
      </c>
      <c r="C220" s="112" t="s">
        <v>1706</v>
      </c>
      <c r="D220" s="112">
        <v>80</v>
      </c>
      <c r="E220" s="112" t="s">
        <v>1707</v>
      </c>
      <c r="F220" s="112" t="s">
        <v>1708</v>
      </c>
      <c r="G220" s="112">
        <v>-3.8854926329302399</v>
      </c>
      <c r="H220" s="112">
        <v>-2.31804096540723</v>
      </c>
      <c r="I220" s="112">
        <v>0</v>
      </c>
      <c r="J220" s="112">
        <v>1</v>
      </c>
      <c r="K220" s="112" t="s">
        <v>1709</v>
      </c>
      <c r="L220" s="112">
        <v>2.73793597532535E-2</v>
      </c>
      <c r="M220" s="112">
        <v>3.1972607606595401E-3</v>
      </c>
      <c r="N220" s="112" t="s">
        <v>1947</v>
      </c>
      <c r="O220" s="112" t="s">
        <v>1817</v>
      </c>
      <c r="P220" s="112" t="s">
        <v>1597</v>
      </c>
      <c r="Q220" s="112" t="s">
        <v>1948</v>
      </c>
      <c r="R220" s="112" t="s">
        <v>1949</v>
      </c>
    </row>
    <row r="221" spans="1:18">
      <c r="A221" s="112" t="s">
        <v>1972</v>
      </c>
      <c r="B221" s="112" t="s">
        <v>1705</v>
      </c>
      <c r="C221" s="112" t="s">
        <v>1706</v>
      </c>
      <c r="D221" s="112">
        <v>80</v>
      </c>
      <c r="E221" s="112" t="s">
        <v>1707</v>
      </c>
      <c r="F221" s="112" t="s">
        <v>1708</v>
      </c>
      <c r="G221" s="112">
        <v>-5.0339070359142504</v>
      </c>
      <c r="H221" s="112">
        <v>-2.3978305320135598</v>
      </c>
      <c r="I221" s="112">
        <v>0</v>
      </c>
      <c r="J221" s="112">
        <v>1</v>
      </c>
      <c r="K221" s="112" t="s">
        <v>1709</v>
      </c>
      <c r="L221" s="112">
        <v>2.8673397709848902E-2</v>
      </c>
      <c r="M221" s="112">
        <v>3.4426941329259398E-3</v>
      </c>
      <c r="N221" s="112" t="s">
        <v>1972</v>
      </c>
      <c r="O221" s="112" t="s">
        <v>1817</v>
      </c>
      <c r="P221" s="112" t="s">
        <v>1597</v>
      </c>
      <c r="Q221" s="112" t="s">
        <v>1973</v>
      </c>
    </row>
    <row r="222" spans="1:18">
      <c r="A222" s="112" t="s">
        <v>1947</v>
      </c>
      <c r="B222" s="112" t="s">
        <v>1748</v>
      </c>
      <c r="C222" s="112" t="s">
        <v>1706</v>
      </c>
      <c r="D222" s="112">
        <v>80</v>
      </c>
      <c r="E222" s="112" t="s">
        <v>1707</v>
      </c>
      <c r="F222" s="112" t="s">
        <v>440</v>
      </c>
      <c r="G222" s="112">
        <v>-5.3882615701759597</v>
      </c>
      <c r="H222" s="112">
        <v>-2.8541739826525299</v>
      </c>
      <c r="I222" s="112">
        <v>0</v>
      </c>
      <c r="J222" s="112">
        <v>1</v>
      </c>
      <c r="K222" s="112" t="s">
        <v>1749</v>
      </c>
      <c r="L222" s="112">
        <v>3.1682776672981298E-2</v>
      </c>
      <c r="M222" s="112">
        <v>2.2928325223867999E-3</v>
      </c>
      <c r="N222" s="112" t="s">
        <v>1947</v>
      </c>
      <c r="O222" s="112" t="s">
        <v>1817</v>
      </c>
      <c r="P222" s="112" t="s">
        <v>1597</v>
      </c>
      <c r="Q222" s="112" t="s">
        <v>1948</v>
      </c>
      <c r="R222" s="112" t="s">
        <v>1949</v>
      </c>
    </row>
    <row r="223" spans="1:18">
      <c r="A223" s="112" t="s">
        <v>1974</v>
      </c>
      <c r="B223" s="112" t="s">
        <v>1705</v>
      </c>
      <c r="C223" s="112" t="s">
        <v>1706</v>
      </c>
      <c r="D223" s="112">
        <v>80</v>
      </c>
      <c r="E223" s="112" t="s">
        <v>1707</v>
      </c>
      <c r="F223" s="112" t="s">
        <v>1708</v>
      </c>
      <c r="G223" s="112">
        <v>5.4873537107283799</v>
      </c>
      <c r="H223" s="112">
        <v>2.2533665944352199</v>
      </c>
      <c r="I223" s="112">
        <v>1.60490612368019</v>
      </c>
      <c r="J223" s="112" t="s">
        <v>848</v>
      </c>
      <c r="K223" s="112" t="s">
        <v>1709</v>
      </c>
      <c r="L223" s="112">
        <v>3.5346056558423197E-2</v>
      </c>
      <c r="M223" s="112">
        <v>4.6120402746188099E-3</v>
      </c>
      <c r="N223" s="112" t="s">
        <v>1974</v>
      </c>
      <c r="O223" s="112" t="s">
        <v>1817</v>
      </c>
      <c r="P223" s="112" t="s">
        <v>1597</v>
      </c>
      <c r="Q223" s="112" t="s">
        <v>1975</v>
      </c>
    </row>
    <row r="224" spans="1:18">
      <c r="A224" s="112" t="s">
        <v>1924</v>
      </c>
      <c r="B224" s="112" t="s">
        <v>1755</v>
      </c>
      <c r="C224" s="112" t="s">
        <v>1706</v>
      </c>
      <c r="D224" s="112">
        <v>30</v>
      </c>
      <c r="E224" s="112" t="s">
        <v>1707</v>
      </c>
      <c r="F224" s="112" t="s">
        <v>1721</v>
      </c>
      <c r="G224" s="112">
        <v>-7.2094483256234199</v>
      </c>
      <c r="H224" s="112">
        <v>-2.6323309063307199</v>
      </c>
      <c r="I224" s="112">
        <v>0</v>
      </c>
      <c r="J224" s="112">
        <v>1</v>
      </c>
      <c r="K224" s="112" t="s">
        <v>1756</v>
      </c>
      <c r="L224" s="112">
        <v>4.0385184138481099E-2</v>
      </c>
      <c r="M224" s="112">
        <v>3.4946968459995602E-3</v>
      </c>
      <c r="N224" s="112" t="s">
        <v>1924</v>
      </c>
      <c r="O224" s="112" t="s">
        <v>1817</v>
      </c>
      <c r="P224" s="112" t="s">
        <v>1597</v>
      </c>
      <c r="Q224" s="112" t="s">
        <v>1925</v>
      </c>
      <c r="R224" s="112" t="s">
        <v>1920</v>
      </c>
    </row>
    <row r="225" spans="1:18">
      <c r="A225" s="112" t="s">
        <v>1976</v>
      </c>
      <c r="B225" s="112" t="s">
        <v>1705</v>
      </c>
      <c r="C225" s="112" t="s">
        <v>1706</v>
      </c>
      <c r="D225" s="112">
        <v>80</v>
      </c>
      <c r="E225" s="112" t="s">
        <v>1707</v>
      </c>
      <c r="F225" s="112" t="s">
        <v>1708</v>
      </c>
      <c r="G225" s="112">
        <v>-3.12313908864814</v>
      </c>
      <c r="H225" s="112">
        <v>-1.9300992291318799</v>
      </c>
      <c r="I225" s="112">
        <v>0</v>
      </c>
      <c r="J225" s="112">
        <v>1</v>
      </c>
      <c r="K225" s="112" t="s">
        <v>1709</v>
      </c>
      <c r="L225" s="112">
        <v>4.4995955211459299E-2</v>
      </c>
      <c r="M225" s="112">
        <v>6.6112478051924897E-3</v>
      </c>
      <c r="N225" s="112" t="s">
        <v>1976</v>
      </c>
      <c r="O225" s="112" t="s">
        <v>1817</v>
      </c>
      <c r="P225" s="112" t="s">
        <v>1597</v>
      </c>
      <c r="Q225" s="112" t="s">
        <v>1977</v>
      </c>
    </row>
    <row r="226" spans="1:18">
      <c r="A226" s="112" t="s">
        <v>1976</v>
      </c>
      <c r="B226" s="112" t="s">
        <v>1748</v>
      </c>
      <c r="C226" s="112" t="s">
        <v>1706</v>
      </c>
      <c r="D226" s="112">
        <v>80</v>
      </c>
      <c r="E226" s="112" t="s">
        <v>1707</v>
      </c>
      <c r="F226" s="112" t="s">
        <v>440</v>
      </c>
      <c r="G226" s="112">
        <v>-4.55232557320344</v>
      </c>
      <c r="H226" s="112">
        <v>-2.5232653289335301</v>
      </c>
      <c r="I226" s="112">
        <v>0</v>
      </c>
      <c r="J226" s="112">
        <v>1</v>
      </c>
      <c r="K226" s="112" t="s">
        <v>1749</v>
      </c>
      <c r="L226" s="112">
        <v>4.5161426254520201E-2</v>
      </c>
      <c r="M226" s="112">
        <v>3.68917352627386E-3</v>
      </c>
      <c r="N226" s="112" t="s">
        <v>1976</v>
      </c>
      <c r="O226" s="112" t="s">
        <v>1817</v>
      </c>
      <c r="P226" s="112" t="s">
        <v>1597</v>
      </c>
      <c r="Q226" s="112" t="s">
        <v>1977</v>
      </c>
    </row>
    <row r="227" spans="1:18">
      <c r="A227" s="112" t="s">
        <v>1936</v>
      </c>
      <c r="B227" s="112" t="s">
        <v>1731</v>
      </c>
      <c r="C227" s="112" t="s">
        <v>1706</v>
      </c>
      <c r="D227" s="112">
        <v>30</v>
      </c>
      <c r="E227" s="112" t="s">
        <v>1707</v>
      </c>
      <c r="F227" s="112" t="s">
        <v>1708</v>
      </c>
      <c r="G227" s="112">
        <v>-4.41608214269593</v>
      </c>
      <c r="H227" s="112">
        <v>-1.50028356423868</v>
      </c>
      <c r="I227" s="112">
        <v>0</v>
      </c>
      <c r="J227" s="112">
        <v>1</v>
      </c>
      <c r="K227" s="112" t="s">
        <v>1732</v>
      </c>
      <c r="L227" s="112">
        <v>4.7872724496758702E-2</v>
      </c>
      <c r="M227" s="112">
        <v>4.794883375669E-3</v>
      </c>
      <c r="N227" s="112" t="s">
        <v>1936</v>
      </c>
      <c r="O227" s="112" t="s">
        <v>1817</v>
      </c>
      <c r="P227" s="112" t="s">
        <v>1597</v>
      </c>
      <c r="Q227" s="112" t="s">
        <v>1937</v>
      </c>
    </row>
    <row r="228" spans="1:18">
      <c r="A228" s="112" t="s">
        <v>1978</v>
      </c>
      <c r="B228" s="112" t="s">
        <v>1735</v>
      </c>
      <c r="C228" s="112" t="s">
        <v>1706</v>
      </c>
      <c r="D228" s="112">
        <v>30</v>
      </c>
      <c r="E228" s="112" t="s">
        <v>1707</v>
      </c>
      <c r="F228" s="112" t="s">
        <v>440</v>
      </c>
      <c r="G228" s="112">
        <v>2.2303850891603099</v>
      </c>
      <c r="H228" s="112">
        <v>1.58180018018017</v>
      </c>
      <c r="I228" s="112">
        <v>1.7708632021850499</v>
      </c>
      <c r="J228" s="112" t="s">
        <v>848</v>
      </c>
      <c r="K228" s="112" t="s">
        <v>1736</v>
      </c>
      <c r="L228" s="112">
        <v>4.9948686719749398E-2</v>
      </c>
      <c r="M228" s="112">
        <v>1.54905353051991E-3</v>
      </c>
      <c r="N228" s="112" t="s">
        <v>1978</v>
      </c>
      <c r="O228" s="112" t="s">
        <v>1817</v>
      </c>
      <c r="P228" s="112" t="s">
        <v>1597</v>
      </c>
      <c r="Q228" s="112" t="s">
        <v>1979</v>
      </c>
      <c r="R228" s="112" t="s">
        <v>1964</v>
      </c>
    </row>
    <row r="229" spans="1:18">
      <c r="A229" s="112" t="s">
        <v>1980</v>
      </c>
      <c r="B229" s="112" t="s">
        <v>1705</v>
      </c>
      <c r="C229" s="112" t="s">
        <v>1706</v>
      </c>
      <c r="D229" s="112">
        <v>80</v>
      </c>
      <c r="E229" s="112" t="s">
        <v>1707</v>
      </c>
      <c r="F229" s="112" t="s">
        <v>1708</v>
      </c>
      <c r="G229" s="112">
        <v>1.9587180136898199</v>
      </c>
      <c r="H229" s="112">
        <v>1.5755376302231601</v>
      </c>
      <c r="I229" s="112">
        <v>1.49727640368301</v>
      </c>
      <c r="J229" s="112" t="s">
        <v>848</v>
      </c>
      <c r="K229" s="112" t="s">
        <v>1709</v>
      </c>
      <c r="L229" s="112">
        <v>2.1243929927685999E-2</v>
      </c>
      <c r="M229" s="112">
        <v>2.1663218018363999E-3</v>
      </c>
      <c r="N229" s="112" t="s">
        <v>1980</v>
      </c>
      <c r="O229" s="112" t="s">
        <v>1710</v>
      </c>
      <c r="P229" s="112" t="s">
        <v>1981</v>
      </c>
      <c r="Q229" s="112" t="s">
        <v>1982</v>
      </c>
      <c r="R229" s="112" t="s">
        <v>1724</v>
      </c>
    </row>
    <row r="230" spans="1:18">
      <c r="A230" s="112" t="s">
        <v>1983</v>
      </c>
      <c r="B230" s="112" t="s">
        <v>1762</v>
      </c>
      <c r="C230" s="112" t="s">
        <v>1706</v>
      </c>
      <c r="D230" s="112">
        <v>55</v>
      </c>
      <c r="E230" s="112" t="s">
        <v>1707</v>
      </c>
      <c r="F230" s="112" t="s">
        <v>1708</v>
      </c>
      <c r="G230" s="112">
        <v>3.5164936091537502</v>
      </c>
      <c r="H230" s="112">
        <v>2.1849260726994499</v>
      </c>
      <c r="I230" s="112">
        <v>2.0404364704626698</v>
      </c>
      <c r="J230" s="112" t="s">
        <v>848</v>
      </c>
      <c r="K230" s="112" t="s">
        <v>1763</v>
      </c>
      <c r="L230" s="112">
        <v>1.6075647977437098E-2</v>
      </c>
      <c r="M230" s="229">
        <v>4.8018169283253802E-4</v>
      </c>
      <c r="N230" s="112" t="s">
        <v>1983</v>
      </c>
      <c r="O230" s="112" t="s">
        <v>1710</v>
      </c>
      <c r="P230" s="112" t="s">
        <v>1984</v>
      </c>
      <c r="Q230" s="112" t="s">
        <v>1985</v>
      </c>
    </row>
    <row r="231" spans="1:18">
      <c r="A231" s="112" t="s">
        <v>1983</v>
      </c>
      <c r="B231" s="112" t="s">
        <v>1705</v>
      </c>
      <c r="C231" s="112" t="s">
        <v>1706</v>
      </c>
      <c r="D231" s="112">
        <v>80</v>
      </c>
      <c r="E231" s="112" t="s">
        <v>1707</v>
      </c>
      <c r="F231" s="112" t="s">
        <v>1708</v>
      </c>
      <c r="G231" s="112">
        <v>-4.0737688487761696</v>
      </c>
      <c r="H231" s="112">
        <v>-2.4848534860554499</v>
      </c>
      <c r="I231" s="112">
        <v>0</v>
      </c>
      <c r="J231" s="112">
        <v>1</v>
      </c>
      <c r="K231" s="112" t="s">
        <v>1709</v>
      </c>
      <c r="L231" s="112">
        <v>2.0549415332495501E-2</v>
      </c>
      <c r="M231" s="112">
        <v>2.0842334629998199E-3</v>
      </c>
      <c r="N231" s="112" t="s">
        <v>1983</v>
      </c>
      <c r="O231" s="112" t="s">
        <v>1710</v>
      </c>
      <c r="P231" s="112" t="s">
        <v>1984</v>
      </c>
      <c r="Q231" s="112" t="s">
        <v>1985</v>
      </c>
    </row>
    <row r="232" spans="1:18">
      <c r="A232" s="112" t="s">
        <v>1983</v>
      </c>
      <c r="B232" s="112" t="s">
        <v>1748</v>
      </c>
      <c r="C232" s="112" t="s">
        <v>1706</v>
      </c>
      <c r="D232" s="112">
        <v>80</v>
      </c>
      <c r="E232" s="112" t="s">
        <v>1707</v>
      </c>
      <c r="F232" s="112" t="s">
        <v>440</v>
      </c>
      <c r="G232" s="112">
        <v>-5.5796472810154203</v>
      </c>
      <c r="H232" s="112">
        <v>-3.0310949116396899</v>
      </c>
      <c r="I232" s="112">
        <v>0</v>
      </c>
      <c r="J232" s="112">
        <v>1</v>
      </c>
      <c r="K232" s="112" t="s">
        <v>1749</v>
      </c>
      <c r="L232" s="112">
        <v>2.6229526049176399E-2</v>
      </c>
      <c r="M232" s="112">
        <v>1.6681058233028801E-3</v>
      </c>
      <c r="N232" s="112" t="s">
        <v>1983</v>
      </c>
      <c r="O232" s="112" t="s">
        <v>1710</v>
      </c>
      <c r="P232" s="112" t="s">
        <v>1984</v>
      </c>
      <c r="Q232" s="112" t="s">
        <v>1985</v>
      </c>
    </row>
    <row r="233" spans="1:18">
      <c r="A233" s="112" t="s">
        <v>1986</v>
      </c>
      <c r="B233" s="112" t="s">
        <v>1731</v>
      </c>
      <c r="C233" s="112" t="s">
        <v>1706</v>
      </c>
      <c r="D233" s="112">
        <v>30</v>
      </c>
      <c r="E233" s="112" t="s">
        <v>1707</v>
      </c>
      <c r="F233" s="112" t="s">
        <v>1708</v>
      </c>
      <c r="G233" s="112">
        <v>5.5438101919572498</v>
      </c>
      <c r="H233" s="112">
        <v>4.5406901546734204</v>
      </c>
      <c r="I233" s="112">
        <v>1.82061307714946</v>
      </c>
      <c r="J233" s="112" t="s">
        <v>848</v>
      </c>
      <c r="K233" s="112" t="s">
        <v>1732</v>
      </c>
      <c r="L233" s="229">
        <v>1.18668349490231E-5</v>
      </c>
      <c r="M233" s="229">
        <v>1.3302649229370799E-7</v>
      </c>
      <c r="N233" s="112" t="s">
        <v>1986</v>
      </c>
      <c r="O233" s="112" t="s">
        <v>1987</v>
      </c>
      <c r="P233" s="112" t="s">
        <v>1987</v>
      </c>
      <c r="Q233" s="112" t="s">
        <v>1988</v>
      </c>
    </row>
    <row r="234" spans="1:18">
      <c r="A234" s="112" t="s">
        <v>1989</v>
      </c>
      <c r="B234" s="112" t="s">
        <v>1762</v>
      </c>
      <c r="C234" s="112" t="s">
        <v>1706</v>
      </c>
      <c r="D234" s="112">
        <v>55</v>
      </c>
      <c r="E234" s="112" t="s">
        <v>1707</v>
      </c>
      <c r="F234" s="112" t="s">
        <v>1708</v>
      </c>
      <c r="G234" s="112">
        <v>3.8467942220622899</v>
      </c>
      <c r="H234" s="112">
        <v>3.1985481718690498</v>
      </c>
      <c r="I234" s="112">
        <v>1.85090193408546</v>
      </c>
      <c r="J234" s="112" t="s">
        <v>848</v>
      </c>
      <c r="K234" s="112" t="s">
        <v>1763</v>
      </c>
      <c r="L234" s="229">
        <v>2.1188040667011701E-5</v>
      </c>
      <c r="M234" s="229">
        <v>6.8792339827960303E-8</v>
      </c>
      <c r="N234" s="112" t="s">
        <v>1989</v>
      </c>
      <c r="O234" s="112" t="s">
        <v>1987</v>
      </c>
      <c r="P234" s="112" t="s">
        <v>1987</v>
      </c>
      <c r="Q234" s="112" t="s">
        <v>1990</v>
      </c>
    </row>
    <row r="235" spans="1:18">
      <c r="A235" s="112" t="s">
        <v>1991</v>
      </c>
      <c r="B235" s="112" t="s">
        <v>1731</v>
      </c>
      <c r="C235" s="112" t="s">
        <v>1706</v>
      </c>
      <c r="D235" s="112">
        <v>30</v>
      </c>
      <c r="E235" s="112" t="s">
        <v>1707</v>
      </c>
      <c r="F235" s="112" t="s">
        <v>1708</v>
      </c>
      <c r="G235" s="112">
        <v>3.1658048181775702</v>
      </c>
      <c r="H235" s="112">
        <v>2.6289967884170302</v>
      </c>
      <c r="I235" s="112">
        <v>1.32719922340591</v>
      </c>
      <c r="J235" s="112" t="s">
        <v>848</v>
      </c>
      <c r="K235" s="112" t="s">
        <v>1732</v>
      </c>
      <c r="L235" s="229">
        <v>8.8965684655972297E-5</v>
      </c>
      <c r="M235" s="229">
        <v>1.4851187422698001E-6</v>
      </c>
      <c r="N235" s="112" t="s">
        <v>1991</v>
      </c>
      <c r="O235" s="112" t="s">
        <v>1987</v>
      </c>
      <c r="P235" s="112" t="s">
        <v>1987</v>
      </c>
      <c r="Q235" s="112" t="s">
        <v>1992</v>
      </c>
    </row>
    <row r="236" spans="1:18">
      <c r="A236" s="112" t="s">
        <v>1989</v>
      </c>
      <c r="B236" s="112" t="s">
        <v>1720</v>
      </c>
      <c r="C236" s="112" t="s">
        <v>1706</v>
      </c>
      <c r="D236" s="112">
        <v>55</v>
      </c>
      <c r="E236" s="112" t="s">
        <v>1707</v>
      </c>
      <c r="F236" s="112" t="s">
        <v>1721</v>
      </c>
      <c r="G236" s="112">
        <v>3.4625218833982498</v>
      </c>
      <c r="H236" s="112">
        <v>2.8327403198418599</v>
      </c>
      <c r="I236" s="112">
        <v>0.72108870516078405</v>
      </c>
      <c r="J236" s="112" t="s">
        <v>848</v>
      </c>
      <c r="K236" s="112" t="s">
        <v>1722</v>
      </c>
      <c r="L236" s="229">
        <v>1.7201581632964399E-4</v>
      </c>
      <c r="M236" s="229">
        <v>1.3202968358635001E-6</v>
      </c>
      <c r="N236" s="112" t="s">
        <v>1989</v>
      </c>
      <c r="O236" s="112" t="s">
        <v>1987</v>
      </c>
      <c r="P236" s="112" t="s">
        <v>1987</v>
      </c>
      <c r="Q236" s="112" t="s">
        <v>1990</v>
      </c>
    </row>
    <row r="237" spans="1:18">
      <c r="A237" s="112" t="s">
        <v>1993</v>
      </c>
      <c r="B237" s="112" t="s">
        <v>1748</v>
      </c>
      <c r="C237" s="112" t="s">
        <v>1706</v>
      </c>
      <c r="D237" s="112">
        <v>80</v>
      </c>
      <c r="E237" s="112" t="s">
        <v>1707</v>
      </c>
      <c r="F237" s="112" t="s">
        <v>440</v>
      </c>
      <c r="G237" s="112">
        <v>-2.6330813509467399</v>
      </c>
      <c r="H237" s="112">
        <v>-2.4190432903849501</v>
      </c>
      <c r="I237" s="112">
        <v>-3.0731328304918502</v>
      </c>
      <c r="J237" s="112" t="s">
        <v>848</v>
      </c>
      <c r="K237" s="112" t="s">
        <v>1749</v>
      </c>
      <c r="L237" s="229">
        <v>3.1325314252407901E-4</v>
      </c>
      <c r="M237" s="229">
        <v>2.57609492207302E-6</v>
      </c>
      <c r="N237" s="112" t="s">
        <v>1993</v>
      </c>
      <c r="O237" s="112" t="s">
        <v>1987</v>
      </c>
      <c r="P237" s="112" t="s">
        <v>1987</v>
      </c>
      <c r="Q237" s="112" t="s">
        <v>1994</v>
      </c>
    </row>
    <row r="238" spans="1:18">
      <c r="A238" s="112" t="s">
        <v>1995</v>
      </c>
      <c r="B238" s="112" t="s">
        <v>1748</v>
      </c>
      <c r="C238" s="112" t="s">
        <v>1706</v>
      </c>
      <c r="D238" s="112">
        <v>80</v>
      </c>
      <c r="E238" s="112" t="s">
        <v>1707</v>
      </c>
      <c r="F238" s="112" t="s">
        <v>440</v>
      </c>
      <c r="G238" s="112">
        <v>3.8147261645278099</v>
      </c>
      <c r="H238" s="112">
        <v>3.1845034618150301</v>
      </c>
      <c r="I238" s="112">
        <v>2.7388769826224402</v>
      </c>
      <c r="J238" s="112" t="s">
        <v>848</v>
      </c>
      <c r="K238" s="112" t="s">
        <v>1749</v>
      </c>
      <c r="L238" s="112">
        <v>2.4083596035018601E-3</v>
      </c>
      <c r="M238" s="229">
        <v>5.2814903585567202E-5</v>
      </c>
      <c r="N238" s="112" t="s">
        <v>1995</v>
      </c>
      <c r="O238" s="112" t="s">
        <v>1987</v>
      </c>
      <c r="P238" s="112" t="s">
        <v>1987</v>
      </c>
      <c r="Q238" s="112" t="s">
        <v>1996</v>
      </c>
    </row>
    <row r="239" spans="1:18">
      <c r="A239" s="112" t="s">
        <v>1991</v>
      </c>
      <c r="B239" s="112" t="s">
        <v>1705</v>
      </c>
      <c r="C239" s="112" t="s">
        <v>1706</v>
      </c>
      <c r="D239" s="112">
        <v>80</v>
      </c>
      <c r="E239" s="112" t="s">
        <v>1707</v>
      </c>
      <c r="F239" s="112" t="s">
        <v>1708</v>
      </c>
      <c r="G239" s="112">
        <v>-4.1869380436386896</v>
      </c>
      <c r="H239" s="112">
        <v>-3.0747229941077099</v>
      </c>
      <c r="I239" s="112">
        <v>0</v>
      </c>
      <c r="J239" s="112">
        <v>1</v>
      </c>
      <c r="K239" s="112" t="s">
        <v>1709</v>
      </c>
      <c r="L239" s="112">
        <v>3.07377005119332E-3</v>
      </c>
      <c r="M239" s="229">
        <v>1.48295923522485E-4</v>
      </c>
      <c r="N239" s="112" t="s">
        <v>1991</v>
      </c>
      <c r="O239" s="112" t="s">
        <v>1987</v>
      </c>
      <c r="P239" s="112" t="s">
        <v>1987</v>
      </c>
      <c r="Q239" s="112" t="s">
        <v>1992</v>
      </c>
    </row>
    <row r="240" spans="1:18">
      <c r="A240" s="112" t="s">
        <v>1991</v>
      </c>
      <c r="B240" s="112" t="s">
        <v>1755</v>
      </c>
      <c r="C240" s="112" t="s">
        <v>1706</v>
      </c>
      <c r="D240" s="112">
        <v>30</v>
      </c>
      <c r="E240" s="112" t="s">
        <v>1707</v>
      </c>
      <c r="F240" s="112" t="s">
        <v>1721</v>
      </c>
      <c r="G240" s="112">
        <v>4.3316384250312598</v>
      </c>
      <c r="H240" s="112">
        <v>3.2358132469330498</v>
      </c>
      <c r="I240" s="112">
        <v>2.1133764024514701</v>
      </c>
      <c r="J240" s="112" t="s">
        <v>848</v>
      </c>
      <c r="K240" s="112" t="s">
        <v>1756</v>
      </c>
      <c r="L240" s="112">
        <v>3.7072715429002099E-3</v>
      </c>
      <c r="M240" s="229">
        <v>9.0846101571197705E-5</v>
      </c>
      <c r="N240" s="112" t="s">
        <v>1991</v>
      </c>
      <c r="O240" s="112" t="s">
        <v>1987</v>
      </c>
      <c r="P240" s="112" t="s">
        <v>1987</v>
      </c>
      <c r="Q240" s="112" t="s">
        <v>1992</v>
      </c>
    </row>
    <row r="241" spans="1:18">
      <c r="A241" s="112" t="s">
        <v>1986</v>
      </c>
      <c r="B241" s="112" t="s">
        <v>1762</v>
      </c>
      <c r="C241" s="112" t="s">
        <v>1706</v>
      </c>
      <c r="D241" s="112">
        <v>55</v>
      </c>
      <c r="E241" s="112" t="s">
        <v>1707</v>
      </c>
      <c r="F241" s="112" t="s">
        <v>1708</v>
      </c>
      <c r="G241" s="112">
        <v>-5.4189319298249403</v>
      </c>
      <c r="H241" s="112">
        <v>-2.8562666069390898</v>
      </c>
      <c r="I241" s="112">
        <v>0</v>
      </c>
      <c r="J241" s="112">
        <v>1</v>
      </c>
      <c r="K241" s="112" t="s">
        <v>1763</v>
      </c>
      <c r="L241" s="112">
        <v>4.5940866926048804E-3</v>
      </c>
      <c r="M241" s="229">
        <v>8.7145518104969998E-5</v>
      </c>
      <c r="N241" s="112" t="s">
        <v>1986</v>
      </c>
      <c r="O241" s="112" t="s">
        <v>1987</v>
      </c>
      <c r="P241" s="112" t="s">
        <v>1987</v>
      </c>
      <c r="Q241" s="112" t="s">
        <v>1988</v>
      </c>
    </row>
    <row r="242" spans="1:18">
      <c r="A242" s="112" t="s">
        <v>1997</v>
      </c>
      <c r="B242" s="112" t="s">
        <v>1705</v>
      </c>
      <c r="C242" s="112" t="s">
        <v>1706</v>
      </c>
      <c r="D242" s="112">
        <v>80</v>
      </c>
      <c r="E242" s="112" t="s">
        <v>1707</v>
      </c>
      <c r="F242" s="112" t="s">
        <v>1708</v>
      </c>
      <c r="G242" s="112">
        <v>-2.5412118962558798</v>
      </c>
      <c r="H242" s="112">
        <v>-2.1358342171289499</v>
      </c>
      <c r="I242" s="112">
        <v>-3.83234967495464</v>
      </c>
      <c r="J242" s="112" t="s">
        <v>848</v>
      </c>
      <c r="K242" s="112" t="s">
        <v>1709</v>
      </c>
      <c r="L242" s="112">
        <v>5.0104273009415204E-3</v>
      </c>
      <c r="M242" s="229">
        <v>2.7060284245017803E-4</v>
      </c>
      <c r="N242" s="112" t="s">
        <v>1997</v>
      </c>
      <c r="O242" s="112" t="s">
        <v>1987</v>
      </c>
      <c r="P242" s="112" t="s">
        <v>1987</v>
      </c>
      <c r="Q242" s="112" t="s">
        <v>1998</v>
      </c>
    </row>
    <row r="243" spans="1:18">
      <c r="A243" s="112" t="s">
        <v>1997</v>
      </c>
      <c r="B243" s="112" t="s">
        <v>1720</v>
      </c>
      <c r="C243" s="112" t="s">
        <v>1706</v>
      </c>
      <c r="D243" s="112">
        <v>55</v>
      </c>
      <c r="E243" s="112" t="s">
        <v>1707</v>
      </c>
      <c r="F243" s="112" t="s">
        <v>1721</v>
      </c>
      <c r="G243" s="112">
        <v>2.2477992310670301</v>
      </c>
      <c r="H243" s="112">
        <v>1.9016098938095101</v>
      </c>
      <c r="I243" s="112">
        <v>1.2887731649151</v>
      </c>
      <c r="J243" s="112" t="s">
        <v>848</v>
      </c>
      <c r="K243" s="112" t="s">
        <v>1722</v>
      </c>
      <c r="L243" s="112">
        <v>5.9469231349048701E-3</v>
      </c>
      <c r="M243" s="229">
        <v>1.1085273387432299E-4</v>
      </c>
      <c r="N243" s="112" t="s">
        <v>1997</v>
      </c>
      <c r="O243" s="112" t="s">
        <v>1987</v>
      </c>
      <c r="P243" s="112" t="s">
        <v>1987</v>
      </c>
      <c r="Q243" s="112" t="s">
        <v>1998</v>
      </c>
    </row>
    <row r="244" spans="1:18">
      <c r="A244" s="112" t="s">
        <v>1993</v>
      </c>
      <c r="B244" s="112" t="s">
        <v>1755</v>
      </c>
      <c r="C244" s="112" t="s">
        <v>1706</v>
      </c>
      <c r="D244" s="112">
        <v>30</v>
      </c>
      <c r="E244" s="112" t="s">
        <v>1707</v>
      </c>
      <c r="F244" s="112" t="s">
        <v>1721</v>
      </c>
      <c r="G244" s="112">
        <v>2.8957958514191602</v>
      </c>
      <c r="H244" s="112">
        <v>2.2369148448703502</v>
      </c>
      <c r="I244" s="112">
        <v>1.92589551963453</v>
      </c>
      <c r="J244" s="112" t="s">
        <v>848</v>
      </c>
      <c r="K244" s="112" t="s">
        <v>1756</v>
      </c>
      <c r="L244" s="112">
        <v>5.9575704344487302E-3</v>
      </c>
      <c r="M244" s="229">
        <v>2.0363714521565599E-4</v>
      </c>
      <c r="N244" s="112" t="s">
        <v>1993</v>
      </c>
      <c r="O244" s="112" t="s">
        <v>1987</v>
      </c>
      <c r="P244" s="112" t="s">
        <v>1987</v>
      </c>
      <c r="Q244" s="112" t="s">
        <v>1994</v>
      </c>
    </row>
    <row r="245" spans="1:18">
      <c r="A245" s="112" t="s">
        <v>1991</v>
      </c>
      <c r="B245" s="112" t="s">
        <v>1748</v>
      </c>
      <c r="C245" s="112" t="s">
        <v>1706</v>
      </c>
      <c r="D245" s="112">
        <v>80</v>
      </c>
      <c r="E245" s="112" t="s">
        <v>1707</v>
      </c>
      <c r="F245" s="112" t="s">
        <v>440</v>
      </c>
      <c r="G245" s="112">
        <v>-5.5951354820184598</v>
      </c>
      <c r="H245" s="112">
        <v>-3.7943636568739398</v>
      </c>
      <c r="I245" s="112">
        <v>0</v>
      </c>
      <c r="J245" s="112">
        <v>1</v>
      </c>
      <c r="K245" s="112" t="s">
        <v>1749</v>
      </c>
      <c r="L245" s="112">
        <v>6.3726110979247597E-3</v>
      </c>
      <c r="M245" s="229">
        <v>2.2360038940086801E-4</v>
      </c>
      <c r="N245" s="112" t="s">
        <v>1991</v>
      </c>
      <c r="O245" s="112" t="s">
        <v>1987</v>
      </c>
      <c r="P245" s="112" t="s">
        <v>1987</v>
      </c>
      <c r="Q245" s="112" t="s">
        <v>1992</v>
      </c>
    </row>
    <row r="246" spans="1:18">
      <c r="A246" s="112" t="s">
        <v>1986</v>
      </c>
      <c r="B246" s="112" t="s">
        <v>1755</v>
      </c>
      <c r="C246" s="112" t="s">
        <v>1706</v>
      </c>
      <c r="D246" s="112">
        <v>30</v>
      </c>
      <c r="E246" s="112" t="s">
        <v>1707</v>
      </c>
      <c r="F246" s="112" t="s">
        <v>1721</v>
      </c>
      <c r="G246" s="112">
        <v>6.7711102069948303</v>
      </c>
      <c r="H246" s="112">
        <v>3.9533866144365399</v>
      </c>
      <c r="I246" s="112">
        <v>2.5744336224536202</v>
      </c>
      <c r="J246" s="112" t="s">
        <v>848</v>
      </c>
      <c r="K246" s="112" t="s">
        <v>1756</v>
      </c>
      <c r="L246" s="112">
        <v>8.2039443247667494E-3</v>
      </c>
      <c r="M246" s="229">
        <v>2.9998524557970599E-4</v>
      </c>
      <c r="N246" s="112" t="s">
        <v>1986</v>
      </c>
      <c r="O246" s="112" t="s">
        <v>1987</v>
      </c>
      <c r="P246" s="112" t="s">
        <v>1987</v>
      </c>
      <c r="Q246" s="112" t="s">
        <v>1988</v>
      </c>
    </row>
    <row r="247" spans="1:18">
      <c r="A247" s="112" t="s">
        <v>1989</v>
      </c>
      <c r="B247" s="112" t="s">
        <v>1705</v>
      </c>
      <c r="C247" s="112" t="s">
        <v>1706</v>
      </c>
      <c r="D247" s="112">
        <v>80</v>
      </c>
      <c r="E247" s="112" t="s">
        <v>1707</v>
      </c>
      <c r="F247" s="112" t="s">
        <v>1708</v>
      </c>
      <c r="G247" s="112">
        <v>-3.8058756487872598</v>
      </c>
      <c r="H247" s="112">
        <v>-2.6729967607056402</v>
      </c>
      <c r="I247" s="112">
        <v>0</v>
      </c>
      <c r="J247" s="112">
        <v>1</v>
      </c>
      <c r="K247" s="112" t="s">
        <v>1709</v>
      </c>
      <c r="L247" s="112">
        <v>9.4052863317448995E-3</v>
      </c>
      <c r="M247" s="229">
        <v>6.9611494231664503E-4</v>
      </c>
      <c r="N247" s="112" t="s">
        <v>1989</v>
      </c>
      <c r="O247" s="112" t="s">
        <v>1987</v>
      </c>
      <c r="P247" s="112" t="s">
        <v>1987</v>
      </c>
      <c r="Q247" s="112" t="s">
        <v>1990</v>
      </c>
    </row>
    <row r="248" spans="1:18">
      <c r="A248" s="112" t="s">
        <v>1999</v>
      </c>
      <c r="B248" s="112" t="s">
        <v>1705</v>
      </c>
      <c r="C248" s="112" t="s">
        <v>1706</v>
      </c>
      <c r="D248" s="112">
        <v>80</v>
      </c>
      <c r="E248" s="112" t="s">
        <v>1707</v>
      </c>
      <c r="F248" s="112" t="s">
        <v>1708</v>
      </c>
      <c r="G248" s="112">
        <v>-2.8205329650522701</v>
      </c>
      <c r="H248" s="112">
        <v>-2.17617891207184</v>
      </c>
      <c r="I248" s="112">
        <v>-3.7983325197215101</v>
      </c>
      <c r="J248" s="112" t="s">
        <v>848</v>
      </c>
      <c r="K248" s="112" t="s">
        <v>1709</v>
      </c>
      <c r="L248" s="112">
        <v>1.25587868289399E-2</v>
      </c>
      <c r="M248" s="112">
        <v>1.0366755001573399E-3</v>
      </c>
      <c r="N248" s="112" t="s">
        <v>1999</v>
      </c>
      <c r="O248" s="112" t="s">
        <v>1987</v>
      </c>
      <c r="P248" s="112" t="s">
        <v>1987</v>
      </c>
      <c r="Q248" s="112" t="s">
        <v>2000</v>
      </c>
      <c r="R248" s="112" t="s">
        <v>2001</v>
      </c>
    </row>
    <row r="249" spans="1:18">
      <c r="A249" s="112" t="s">
        <v>1989</v>
      </c>
      <c r="B249" s="112" t="s">
        <v>1748</v>
      </c>
      <c r="C249" s="112" t="s">
        <v>1706</v>
      </c>
      <c r="D249" s="112">
        <v>80</v>
      </c>
      <c r="E249" s="112" t="s">
        <v>1707</v>
      </c>
      <c r="F249" s="112" t="s">
        <v>440</v>
      </c>
      <c r="G249" s="112">
        <v>-5.2223531720193703</v>
      </c>
      <c r="H249" s="112">
        <v>-3.3481880041425098</v>
      </c>
      <c r="I249" s="112">
        <v>0</v>
      </c>
      <c r="J249" s="112">
        <v>1</v>
      </c>
      <c r="K249" s="112" t="s">
        <v>1749</v>
      </c>
      <c r="L249" s="112">
        <v>1.30006696603823E-2</v>
      </c>
      <c r="M249" s="229">
        <v>6.7711821147824701E-4</v>
      </c>
      <c r="N249" s="112" t="s">
        <v>1989</v>
      </c>
      <c r="O249" s="112" t="s">
        <v>1987</v>
      </c>
      <c r="P249" s="112" t="s">
        <v>1987</v>
      </c>
      <c r="Q249" s="112" t="s">
        <v>1990</v>
      </c>
    </row>
    <row r="250" spans="1:18">
      <c r="A250" s="112" t="s">
        <v>1986</v>
      </c>
      <c r="B250" s="112" t="s">
        <v>1743</v>
      </c>
      <c r="C250" s="112" t="s">
        <v>1706</v>
      </c>
      <c r="D250" s="112">
        <v>55</v>
      </c>
      <c r="E250" s="112" t="s">
        <v>1707</v>
      </c>
      <c r="F250" s="112" t="s">
        <v>440</v>
      </c>
      <c r="G250" s="112">
        <v>-6.56532843336438</v>
      </c>
      <c r="H250" s="112">
        <v>-2.71755437069262</v>
      </c>
      <c r="I250" s="112">
        <v>0</v>
      </c>
      <c r="J250" s="112">
        <v>1</v>
      </c>
      <c r="K250" s="112" t="s">
        <v>1744</v>
      </c>
      <c r="L250" s="112">
        <v>1.3443348007313199E-2</v>
      </c>
      <c r="M250" s="229">
        <v>3.6232935195937499E-4</v>
      </c>
      <c r="N250" s="112" t="s">
        <v>1986</v>
      </c>
      <c r="O250" s="112" t="s">
        <v>1987</v>
      </c>
      <c r="P250" s="112" t="s">
        <v>1987</v>
      </c>
      <c r="Q250" s="112" t="s">
        <v>1988</v>
      </c>
    </row>
    <row r="251" spans="1:18">
      <c r="A251" s="112" t="s">
        <v>1989</v>
      </c>
      <c r="B251" s="112" t="s">
        <v>1743</v>
      </c>
      <c r="C251" s="112" t="s">
        <v>1706</v>
      </c>
      <c r="D251" s="112">
        <v>55</v>
      </c>
      <c r="E251" s="112" t="s">
        <v>1707</v>
      </c>
      <c r="F251" s="112" t="s">
        <v>440</v>
      </c>
      <c r="G251" s="112">
        <v>2.9515657915823801</v>
      </c>
      <c r="H251" s="112">
        <v>2.1680481395553</v>
      </c>
      <c r="I251" s="112">
        <v>0.58686222453201697</v>
      </c>
      <c r="J251" s="112" t="s">
        <v>848</v>
      </c>
      <c r="K251" s="112" t="s">
        <v>1744</v>
      </c>
      <c r="L251" s="112">
        <v>1.6480758801807199E-2</v>
      </c>
      <c r="M251" s="229">
        <v>4.8975302590028398E-4</v>
      </c>
      <c r="N251" s="112" t="s">
        <v>1989</v>
      </c>
      <c r="O251" s="112" t="s">
        <v>1987</v>
      </c>
      <c r="P251" s="112" t="s">
        <v>1987</v>
      </c>
      <c r="Q251" s="112" t="s">
        <v>1990</v>
      </c>
    </row>
    <row r="252" spans="1:18">
      <c r="A252" s="112" t="s">
        <v>2002</v>
      </c>
      <c r="B252" s="112" t="s">
        <v>1705</v>
      </c>
      <c r="C252" s="112" t="s">
        <v>1706</v>
      </c>
      <c r="D252" s="112">
        <v>80</v>
      </c>
      <c r="E252" s="112" t="s">
        <v>1707</v>
      </c>
      <c r="F252" s="112" t="s">
        <v>1708</v>
      </c>
      <c r="G252" s="112">
        <v>-1.8954252055069101</v>
      </c>
      <c r="H252" s="112">
        <v>-1.5274652553569501</v>
      </c>
      <c r="I252" s="112">
        <v>-2.3246434851265199</v>
      </c>
      <c r="J252" s="112" t="s">
        <v>848</v>
      </c>
      <c r="K252" s="112" t="s">
        <v>1709</v>
      </c>
      <c r="L252" s="112">
        <v>2.1983374961885498E-2</v>
      </c>
      <c r="M252" s="112">
        <v>2.2899348918630699E-3</v>
      </c>
      <c r="N252" s="112" t="s">
        <v>2002</v>
      </c>
      <c r="O252" s="112" t="s">
        <v>1987</v>
      </c>
      <c r="P252" s="112" t="s">
        <v>1987</v>
      </c>
      <c r="Q252" s="112" t="s">
        <v>2003</v>
      </c>
      <c r="R252" s="112" t="s">
        <v>2001</v>
      </c>
    </row>
    <row r="253" spans="1:18">
      <c r="A253" s="112" t="s">
        <v>2004</v>
      </c>
      <c r="B253" s="112" t="s">
        <v>1748</v>
      </c>
      <c r="C253" s="112" t="s">
        <v>1706</v>
      </c>
      <c r="D253" s="112">
        <v>80</v>
      </c>
      <c r="E253" s="112" t="s">
        <v>1707</v>
      </c>
      <c r="F253" s="112" t="s">
        <v>440</v>
      </c>
      <c r="G253" s="112">
        <v>-4.97481462617292</v>
      </c>
      <c r="H253" s="112">
        <v>-3.0317153822170901</v>
      </c>
      <c r="I253" s="112">
        <v>-5.6454756040649796</v>
      </c>
      <c r="J253" s="112" t="s">
        <v>848</v>
      </c>
      <c r="K253" s="112" t="s">
        <v>1749</v>
      </c>
      <c r="L253" s="112">
        <v>2.27457918903635E-2</v>
      </c>
      <c r="M253" s="112">
        <v>1.35926058993948E-3</v>
      </c>
      <c r="N253" s="112" t="s">
        <v>2004</v>
      </c>
      <c r="O253" s="112" t="s">
        <v>1987</v>
      </c>
      <c r="P253" s="112" t="s">
        <v>1987</v>
      </c>
      <c r="Q253" s="112" t="s">
        <v>2005</v>
      </c>
    </row>
    <row r="254" spans="1:18">
      <c r="A254" s="112" t="s">
        <v>1997</v>
      </c>
      <c r="B254" s="112" t="s">
        <v>1755</v>
      </c>
      <c r="C254" s="112" t="s">
        <v>1706</v>
      </c>
      <c r="D254" s="112">
        <v>30</v>
      </c>
      <c r="E254" s="112" t="s">
        <v>1707</v>
      </c>
      <c r="F254" s="112" t="s">
        <v>1721</v>
      </c>
      <c r="G254" s="112">
        <v>3.2026915829031299</v>
      </c>
      <c r="H254" s="112">
        <v>2.1683170077604901</v>
      </c>
      <c r="I254" s="112">
        <v>1.7575037923833701</v>
      </c>
      <c r="J254" s="112" t="s">
        <v>848</v>
      </c>
      <c r="K254" s="112" t="s">
        <v>1756</v>
      </c>
      <c r="L254" s="112">
        <v>2.44012074787926E-2</v>
      </c>
      <c r="M254" s="112">
        <v>1.5323492772850601E-3</v>
      </c>
      <c r="N254" s="112" t="s">
        <v>1997</v>
      </c>
      <c r="O254" s="112" t="s">
        <v>1987</v>
      </c>
      <c r="P254" s="112" t="s">
        <v>1987</v>
      </c>
      <c r="Q254" s="112" t="s">
        <v>1998</v>
      </c>
    </row>
    <row r="255" spans="1:18">
      <c r="A255" s="112" t="s">
        <v>1986</v>
      </c>
      <c r="B255" s="112" t="s">
        <v>1720</v>
      </c>
      <c r="C255" s="112" t="s">
        <v>1706</v>
      </c>
      <c r="D255" s="112">
        <v>55</v>
      </c>
      <c r="E255" s="112" t="s">
        <v>1707</v>
      </c>
      <c r="F255" s="112" t="s">
        <v>1721</v>
      </c>
      <c r="G255" s="112">
        <v>-4.8790662923394201</v>
      </c>
      <c r="H255" s="112">
        <v>-2.10451752562052</v>
      </c>
      <c r="I255" s="112">
        <v>0</v>
      </c>
      <c r="J255" s="112">
        <v>1</v>
      </c>
      <c r="K255" s="112" t="s">
        <v>1722</v>
      </c>
      <c r="L255" s="112">
        <v>2.4743572735191701E-2</v>
      </c>
      <c r="M255" s="229">
        <v>7.0540887183660696E-4</v>
      </c>
      <c r="N255" s="112" t="s">
        <v>1986</v>
      </c>
      <c r="O255" s="112" t="s">
        <v>1987</v>
      </c>
      <c r="P255" s="112" t="s">
        <v>1987</v>
      </c>
      <c r="Q255" s="112" t="s">
        <v>1988</v>
      </c>
    </row>
    <row r="256" spans="1:18">
      <c r="A256" s="112" t="s">
        <v>2006</v>
      </c>
      <c r="B256" s="112" t="s">
        <v>1705</v>
      </c>
      <c r="C256" s="112" t="s">
        <v>1706</v>
      </c>
      <c r="D256" s="112">
        <v>80</v>
      </c>
      <c r="E256" s="112" t="s">
        <v>1707</v>
      </c>
      <c r="F256" s="112" t="s">
        <v>1708</v>
      </c>
      <c r="G256" s="112">
        <v>-3.2161188229854001</v>
      </c>
      <c r="H256" s="112">
        <v>-2.1462794657604798</v>
      </c>
      <c r="I256" s="112">
        <v>-5.3458610089285301</v>
      </c>
      <c r="J256" s="112" t="s">
        <v>848</v>
      </c>
      <c r="K256" s="112" t="s">
        <v>1709</v>
      </c>
      <c r="L256" s="112">
        <v>2.73793597532535E-2</v>
      </c>
      <c r="M256" s="112">
        <v>3.190438512395E-3</v>
      </c>
      <c r="N256" s="112" t="s">
        <v>2006</v>
      </c>
      <c r="O256" s="112" t="s">
        <v>1987</v>
      </c>
      <c r="P256" s="112" t="s">
        <v>1987</v>
      </c>
      <c r="Q256" s="112" t="s">
        <v>2007</v>
      </c>
      <c r="R256" s="112" t="s">
        <v>2008</v>
      </c>
    </row>
    <row r="257" spans="1:17">
      <c r="A257" s="112" t="s">
        <v>2009</v>
      </c>
      <c r="B257" s="112" t="s">
        <v>1705</v>
      </c>
      <c r="C257" s="112" t="s">
        <v>1706</v>
      </c>
      <c r="D257" s="112">
        <v>80</v>
      </c>
      <c r="E257" s="112" t="s">
        <v>1707</v>
      </c>
      <c r="F257" s="112" t="s">
        <v>1708</v>
      </c>
      <c r="G257" s="112">
        <v>-1.71834670430702</v>
      </c>
      <c r="H257" s="112">
        <v>-1.35240755406057</v>
      </c>
      <c r="I257" s="112">
        <v>-2.20629715872365</v>
      </c>
      <c r="J257" s="112" t="s">
        <v>848</v>
      </c>
      <c r="K257" s="112" t="s">
        <v>1709</v>
      </c>
      <c r="L257" s="112">
        <v>3.3303703763048101E-2</v>
      </c>
      <c r="M257" s="112">
        <v>4.18122157990023E-3</v>
      </c>
      <c r="N257" s="112" t="s">
        <v>2009</v>
      </c>
      <c r="O257" s="112" t="s">
        <v>1987</v>
      </c>
      <c r="P257" s="112" t="s">
        <v>1987</v>
      </c>
      <c r="Q257" s="112" t="s">
        <v>2010</v>
      </c>
    </row>
    <row r="258" spans="1:17">
      <c r="A258" s="112" t="s">
        <v>2011</v>
      </c>
      <c r="B258" s="112" t="s">
        <v>1705</v>
      </c>
      <c r="C258" s="112" t="s">
        <v>1706</v>
      </c>
      <c r="D258" s="112">
        <v>80</v>
      </c>
      <c r="E258" s="112" t="s">
        <v>1707</v>
      </c>
      <c r="F258" s="112" t="s">
        <v>1708</v>
      </c>
      <c r="G258" s="112">
        <v>-3.7075375112034199</v>
      </c>
      <c r="H258" s="112">
        <v>-2.1405595934122701</v>
      </c>
      <c r="I258" s="112">
        <v>0</v>
      </c>
      <c r="J258" s="112">
        <v>1</v>
      </c>
      <c r="K258" s="112" t="s">
        <v>1709</v>
      </c>
      <c r="L258" s="112">
        <v>3.6988855923769E-2</v>
      </c>
      <c r="M258" s="112">
        <v>5.0291865510387604E-3</v>
      </c>
      <c r="N258" s="112" t="s">
        <v>2011</v>
      </c>
      <c r="O258" s="112" t="s">
        <v>1987</v>
      </c>
      <c r="P258" s="112" t="s">
        <v>1987</v>
      </c>
      <c r="Q258" s="112" t="s">
        <v>2012</v>
      </c>
    </row>
    <row r="259" spans="1:17">
      <c r="A259" s="112" t="s">
        <v>2011</v>
      </c>
      <c r="B259" s="112" t="s">
        <v>1748</v>
      </c>
      <c r="C259" s="112" t="s">
        <v>1706</v>
      </c>
      <c r="D259" s="112">
        <v>80</v>
      </c>
      <c r="E259" s="112" t="s">
        <v>1707</v>
      </c>
      <c r="F259" s="112" t="s">
        <v>440</v>
      </c>
      <c r="G259" s="112">
        <v>-5.2103651918479201</v>
      </c>
      <c r="H259" s="112">
        <v>-2.6610598444037699</v>
      </c>
      <c r="I259" s="112">
        <v>0</v>
      </c>
      <c r="J259" s="112">
        <v>1</v>
      </c>
      <c r="K259" s="112" t="s">
        <v>1749</v>
      </c>
      <c r="L259" s="112">
        <v>4.1253272914878E-2</v>
      </c>
      <c r="M259" s="112">
        <v>3.2400456662948899E-3</v>
      </c>
      <c r="N259" s="112" t="s">
        <v>2011</v>
      </c>
      <c r="O259" s="112" t="s">
        <v>1987</v>
      </c>
      <c r="P259" s="112" t="s">
        <v>1987</v>
      </c>
      <c r="Q259" s="112" t="s">
        <v>2012</v>
      </c>
    </row>
    <row r="260" spans="1:17">
      <c r="A260" s="112" t="s">
        <v>2009</v>
      </c>
      <c r="B260" s="112" t="s">
        <v>1748</v>
      </c>
      <c r="C260" s="112" t="s">
        <v>1706</v>
      </c>
      <c r="D260" s="112">
        <v>80</v>
      </c>
      <c r="E260" s="112" t="s">
        <v>1707</v>
      </c>
      <c r="F260" s="112" t="s">
        <v>440</v>
      </c>
      <c r="G260" s="112">
        <v>-2.1980064676217701</v>
      </c>
      <c r="H260" s="112">
        <v>-1.6371572841456701</v>
      </c>
      <c r="I260" s="112">
        <v>-2.6208205767847499</v>
      </c>
      <c r="J260" s="112" t="s">
        <v>848</v>
      </c>
      <c r="K260" s="112" t="s">
        <v>1749</v>
      </c>
      <c r="L260" s="112">
        <v>4.1639791366222402E-2</v>
      </c>
      <c r="M260" s="112">
        <v>3.37866728190839E-3</v>
      </c>
      <c r="N260" s="112" t="s">
        <v>2009</v>
      </c>
      <c r="O260" s="112" t="s">
        <v>1987</v>
      </c>
      <c r="P260" s="112" t="s">
        <v>1987</v>
      </c>
      <c r="Q260" s="112" t="s">
        <v>2010</v>
      </c>
    </row>
    <row r="261" spans="1:17">
      <c r="A261" s="112" t="s">
        <v>1986</v>
      </c>
      <c r="B261" s="112" t="s">
        <v>1705</v>
      </c>
      <c r="C261" s="112" t="s">
        <v>1706</v>
      </c>
      <c r="D261" s="112">
        <v>80</v>
      </c>
      <c r="E261" s="112" t="s">
        <v>1707</v>
      </c>
      <c r="F261" s="112" t="s">
        <v>1708</v>
      </c>
      <c r="G261" s="112">
        <v>2.8948674365889699</v>
      </c>
      <c r="H261" s="112">
        <v>1.88173195850233</v>
      </c>
      <c r="I261" s="112">
        <v>-0.931084039431885</v>
      </c>
      <c r="J261" s="112" t="s">
        <v>848</v>
      </c>
      <c r="K261" s="112" t="s">
        <v>1709</v>
      </c>
      <c r="L261" s="112">
        <v>4.2977382843528103E-2</v>
      </c>
      <c r="M261" s="112">
        <v>6.14972418978116E-3</v>
      </c>
      <c r="N261" s="112" t="s">
        <v>1986</v>
      </c>
      <c r="O261" s="112" t="s">
        <v>1987</v>
      </c>
      <c r="P261" s="112" t="s">
        <v>1987</v>
      </c>
      <c r="Q261" s="112" t="s">
        <v>1988</v>
      </c>
    </row>
    <row r="262" spans="1:17">
      <c r="A262" s="112" t="s">
        <v>2011</v>
      </c>
      <c r="B262" s="112" t="s">
        <v>1755</v>
      </c>
      <c r="C262" s="112" t="s">
        <v>1706</v>
      </c>
      <c r="D262" s="112">
        <v>30</v>
      </c>
      <c r="E262" s="112" t="s">
        <v>1707</v>
      </c>
      <c r="F262" s="112" t="s">
        <v>1721</v>
      </c>
      <c r="G262" s="112">
        <v>4.92770280561236</v>
      </c>
      <c r="H262" s="112">
        <v>2.41698174819971</v>
      </c>
      <c r="I262" s="112">
        <v>2.34292894651279</v>
      </c>
      <c r="J262" s="112" t="s">
        <v>848</v>
      </c>
      <c r="K262" s="112" t="s">
        <v>1756</v>
      </c>
      <c r="L262" s="112">
        <v>4.4621187023174198E-2</v>
      </c>
      <c r="M262" s="112">
        <v>4.17236108610404E-3</v>
      </c>
      <c r="N262" s="112" t="s">
        <v>2011</v>
      </c>
      <c r="O262" s="112" t="s">
        <v>1987</v>
      </c>
      <c r="P262" s="112" t="s">
        <v>1987</v>
      </c>
      <c r="Q262" s="112" t="s">
        <v>2012</v>
      </c>
    </row>
    <row r="263" spans="1:17">
      <c r="A263" s="112" t="s">
        <v>1986</v>
      </c>
      <c r="B263" s="112" t="s">
        <v>1748</v>
      </c>
      <c r="C263" s="112" t="s">
        <v>1706</v>
      </c>
      <c r="D263" s="112">
        <v>80</v>
      </c>
      <c r="E263" s="112" t="s">
        <v>1707</v>
      </c>
      <c r="F263" s="112" t="s">
        <v>440</v>
      </c>
      <c r="G263" s="112">
        <v>3.7666682953177402</v>
      </c>
      <c r="H263" s="112">
        <v>2.32313847753151</v>
      </c>
      <c r="I263" s="112">
        <v>0.179937729888444</v>
      </c>
      <c r="J263" s="112" t="s">
        <v>848</v>
      </c>
      <c r="K263" s="112" t="s">
        <v>1749</v>
      </c>
      <c r="L263" s="112">
        <v>4.6895189558218003E-2</v>
      </c>
      <c r="M263" s="112">
        <v>3.9336425451794704E-3</v>
      </c>
      <c r="N263" s="112" t="s">
        <v>1986</v>
      </c>
      <c r="O263" s="112" t="s">
        <v>1987</v>
      </c>
      <c r="P263" s="112" t="s">
        <v>1987</v>
      </c>
      <c r="Q263" s="112" t="s">
        <v>1988</v>
      </c>
    </row>
    <row r="264" spans="1:17">
      <c r="A264" s="112" t="s">
        <v>2013</v>
      </c>
      <c r="B264" s="112" t="s">
        <v>1731</v>
      </c>
      <c r="C264" s="112" t="s">
        <v>1706</v>
      </c>
      <c r="D264" s="112">
        <v>30</v>
      </c>
      <c r="E264" s="112" t="s">
        <v>1707</v>
      </c>
      <c r="F264" s="112" t="s">
        <v>1708</v>
      </c>
      <c r="G264" s="112">
        <v>3.45441015567194</v>
      </c>
      <c r="H264" s="112">
        <v>2.4330850475548398</v>
      </c>
      <c r="I264" s="112">
        <v>1.1991544084960899</v>
      </c>
      <c r="J264" s="112" t="s">
        <v>848</v>
      </c>
      <c r="K264" s="112" t="s">
        <v>1732</v>
      </c>
      <c r="L264" s="112">
        <v>2.4778363688997E-3</v>
      </c>
      <c r="M264" s="229">
        <v>9.2574172764933393E-5</v>
      </c>
      <c r="N264" s="112" t="s">
        <v>2013</v>
      </c>
      <c r="O264" s="112" t="s">
        <v>1710</v>
      </c>
      <c r="P264" s="112" t="s">
        <v>2014</v>
      </c>
      <c r="Q264" s="112" t="s">
        <v>2015</v>
      </c>
    </row>
    <row r="265" spans="1:17">
      <c r="A265" s="112" t="s">
        <v>2013</v>
      </c>
      <c r="B265" s="112" t="s">
        <v>1705</v>
      </c>
      <c r="C265" s="112" t="s">
        <v>1706</v>
      </c>
      <c r="D265" s="112">
        <v>80</v>
      </c>
      <c r="E265" s="112" t="s">
        <v>1707</v>
      </c>
      <c r="F265" s="112" t="s">
        <v>1708</v>
      </c>
      <c r="G265" s="112">
        <v>-4.3166601204627701</v>
      </c>
      <c r="H265" s="112">
        <v>-3.0687558081480799</v>
      </c>
      <c r="I265" s="112">
        <v>-4.7255910657778797</v>
      </c>
      <c r="J265" s="112" t="s">
        <v>848</v>
      </c>
      <c r="K265" s="112" t="s">
        <v>1709</v>
      </c>
      <c r="L265" s="112">
        <v>4.0938711252051698E-3</v>
      </c>
      <c r="M265" s="229">
        <v>2.1322245443776899E-4</v>
      </c>
      <c r="N265" s="112" t="s">
        <v>2013</v>
      </c>
      <c r="O265" s="112" t="s">
        <v>1710</v>
      </c>
      <c r="P265" s="112" t="s">
        <v>2014</v>
      </c>
      <c r="Q265" s="112" t="s">
        <v>2015</v>
      </c>
    </row>
    <row r="266" spans="1:17">
      <c r="A266" s="112" t="s">
        <v>2016</v>
      </c>
      <c r="B266" s="112" t="s">
        <v>1705</v>
      </c>
      <c r="C266" s="112" t="s">
        <v>1706</v>
      </c>
      <c r="D266" s="112">
        <v>80</v>
      </c>
      <c r="E266" s="112" t="s">
        <v>1707</v>
      </c>
      <c r="F266" s="112" t="s">
        <v>1708</v>
      </c>
      <c r="G266" s="112">
        <v>-2.7372826194651401</v>
      </c>
      <c r="H266" s="112">
        <v>-2.2524937537635199</v>
      </c>
      <c r="I266" s="112">
        <v>-3.5317852486918202</v>
      </c>
      <c r="J266" s="112" t="s">
        <v>848</v>
      </c>
      <c r="K266" s="112" t="s">
        <v>1709</v>
      </c>
      <c r="L266" s="112">
        <v>5.5696115246633704E-3</v>
      </c>
      <c r="M266" s="229">
        <v>3.1145853920814902E-4</v>
      </c>
      <c r="N266" s="112" t="s">
        <v>2016</v>
      </c>
      <c r="O266" s="112" t="s">
        <v>1710</v>
      </c>
      <c r="P266" s="112" t="s">
        <v>2014</v>
      </c>
      <c r="Q266" s="112" t="s">
        <v>2017</v>
      </c>
    </row>
    <row r="267" spans="1:17">
      <c r="A267" s="112" t="s">
        <v>2018</v>
      </c>
      <c r="B267" s="112" t="s">
        <v>1748</v>
      </c>
      <c r="C267" s="112" t="s">
        <v>1706</v>
      </c>
      <c r="D267" s="112">
        <v>80</v>
      </c>
      <c r="E267" s="112" t="s">
        <v>1707</v>
      </c>
      <c r="F267" s="112" t="s">
        <v>440</v>
      </c>
      <c r="G267" s="112">
        <v>-3.5229223716198499</v>
      </c>
      <c r="H267" s="112">
        <v>-2.79567284080587</v>
      </c>
      <c r="I267" s="112">
        <v>-4.2153886948536199</v>
      </c>
      <c r="J267" s="112" t="s">
        <v>848</v>
      </c>
      <c r="K267" s="112" t="s">
        <v>1749</v>
      </c>
      <c r="L267" s="112">
        <v>8.5331214507503896E-3</v>
      </c>
      <c r="M267" s="229">
        <v>3.50868480705197E-4</v>
      </c>
      <c r="N267" s="112" t="s">
        <v>2018</v>
      </c>
      <c r="O267" s="112" t="s">
        <v>1710</v>
      </c>
      <c r="P267" s="112" t="s">
        <v>2014</v>
      </c>
      <c r="Q267" s="112" t="s">
        <v>2019</v>
      </c>
    </row>
    <row r="268" spans="1:17">
      <c r="A268" s="112" t="s">
        <v>2020</v>
      </c>
      <c r="B268" s="112" t="s">
        <v>1705</v>
      </c>
      <c r="C268" s="112" t="s">
        <v>1706</v>
      </c>
      <c r="D268" s="112">
        <v>80</v>
      </c>
      <c r="E268" s="112" t="s">
        <v>1707</v>
      </c>
      <c r="F268" s="112" t="s">
        <v>1708</v>
      </c>
      <c r="G268" s="112">
        <v>-2.5271146262014001</v>
      </c>
      <c r="H268" s="112">
        <v>-2.04482718018498</v>
      </c>
      <c r="I268" s="112">
        <v>-3.3495863043082799</v>
      </c>
      <c r="J268" s="112" t="s">
        <v>848</v>
      </c>
      <c r="K268" s="112" t="s">
        <v>1709</v>
      </c>
      <c r="L268" s="112">
        <v>9.83248254988465E-3</v>
      </c>
      <c r="M268" s="229">
        <v>7.4323330567905102E-4</v>
      </c>
      <c r="N268" s="112" t="s">
        <v>2020</v>
      </c>
      <c r="O268" s="112" t="s">
        <v>1710</v>
      </c>
      <c r="P268" s="112" t="s">
        <v>2014</v>
      </c>
      <c r="Q268" s="112" t="s">
        <v>2021</v>
      </c>
    </row>
    <row r="269" spans="1:17">
      <c r="A269" s="112" t="s">
        <v>2013</v>
      </c>
      <c r="B269" s="112" t="s">
        <v>1755</v>
      </c>
      <c r="C269" s="112" t="s">
        <v>1706</v>
      </c>
      <c r="D269" s="112">
        <v>30</v>
      </c>
      <c r="E269" s="112" t="s">
        <v>1707</v>
      </c>
      <c r="F269" s="112" t="s">
        <v>1721</v>
      </c>
      <c r="G269" s="112">
        <v>5.3817342988676096</v>
      </c>
      <c r="H269" s="112">
        <v>3.25799327523923</v>
      </c>
      <c r="I269" s="112">
        <v>2.7137405938041201</v>
      </c>
      <c r="J269" s="112" t="s">
        <v>848</v>
      </c>
      <c r="K269" s="112" t="s">
        <v>1756</v>
      </c>
      <c r="L269" s="112">
        <v>1.34490541233505E-2</v>
      </c>
      <c r="M269" s="229">
        <v>6.3075850022073303E-4</v>
      </c>
      <c r="N269" s="112" t="s">
        <v>2013</v>
      </c>
      <c r="O269" s="112" t="s">
        <v>1710</v>
      </c>
      <c r="P269" s="112" t="s">
        <v>2014</v>
      </c>
      <c r="Q269" s="112" t="s">
        <v>2015</v>
      </c>
    </row>
    <row r="270" spans="1:17">
      <c r="A270" s="112" t="s">
        <v>2022</v>
      </c>
      <c r="B270" s="112" t="s">
        <v>1705</v>
      </c>
      <c r="C270" s="112" t="s">
        <v>1706</v>
      </c>
      <c r="D270" s="112">
        <v>80</v>
      </c>
      <c r="E270" s="112" t="s">
        <v>1707</v>
      </c>
      <c r="F270" s="112" t="s">
        <v>1708</v>
      </c>
      <c r="G270" s="112">
        <v>-4.8276966361980502</v>
      </c>
      <c r="H270" s="112">
        <v>-2.7321726875313601</v>
      </c>
      <c r="I270" s="112">
        <v>0</v>
      </c>
      <c r="J270" s="112">
        <v>1</v>
      </c>
      <c r="K270" s="112" t="s">
        <v>1709</v>
      </c>
      <c r="L270" s="112">
        <v>1.55817034594948E-2</v>
      </c>
      <c r="M270" s="112">
        <v>1.4009864952615901E-3</v>
      </c>
      <c r="N270" s="112" t="s">
        <v>2022</v>
      </c>
      <c r="O270" s="112" t="s">
        <v>1710</v>
      </c>
      <c r="P270" s="112" t="s">
        <v>2014</v>
      </c>
      <c r="Q270" s="112" t="s">
        <v>2023</v>
      </c>
    </row>
    <row r="271" spans="1:17">
      <c r="A271" s="112" t="s">
        <v>2024</v>
      </c>
      <c r="B271" s="112" t="s">
        <v>1720</v>
      </c>
      <c r="C271" s="112" t="s">
        <v>1706</v>
      </c>
      <c r="D271" s="112">
        <v>55</v>
      </c>
      <c r="E271" s="112" t="s">
        <v>1707</v>
      </c>
      <c r="F271" s="112" t="s">
        <v>1721</v>
      </c>
      <c r="G271" s="112">
        <v>3.13810135848628</v>
      </c>
      <c r="H271" s="112">
        <v>2.1401329977832302</v>
      </c>
      <c r="I271" s="112">
        <v>1.4352449146636199</v>
      </c>
      <c r="J271" s="112" t="s">
        <v>848</v>
      </c>
      <c r="K271" s="112" t="s">
        <v>1722</v>
      </c>
      <c r="L271" s="112">
        <v>1.83840336388537E-2</v>
      </c>
      <c r="M271" s="229">
        <v>4.4568804081507698E-4</v>
      </c>
      <c r="N271" s="112" t="s">
        <v>2024</v>
      </c>
      <c r="O271" s="112" t="s">
        <v>1710</v>
      </c>
      <c r="P271" s="112" t="s">
        <v>2014</v>
      </c>
      <c r="Q271" s="112" t="s">
        <v>2025</v>
      </c>
    </row>
    <row r="272" spans="1:17">
      <c r="A272" s="112" t="s">
        <v>2026</v>
      </c>
      <c r="B272" s="112" t="s">
        <v>1705</v>
      </c>
      <c r="C272" s="112" t="s">
        <v>1706</v>
      </c>
      <c r="D272" s="112">
        <v>80</v>
      </c>
      <c r="E272" s="112" t="s">
        <v>1707</v>
      </c>
      <c r="F272" s="112" t="s">
        <v>1708</v>
      </c>
      <c r="G272" s="112">
        <v>-2.2489071764431698</v>
      </c>
      <c r="H272" s="112">
        <v>-1.7725709715209299</v>
      </c>
      <c r="I272" s="112">
        <v>-3.0546544731624001</v>
      </c>
      <c r="J272" s="112" t="s">
        <v>848</v>
      </c>
      <c r="K272" s="112" t="s">
        <v>1709</v>
      </c>
      <c r="L272" s="112">
        <v>2.01233935868428E-2</v>
      </c>
      <c r="M272" s="112">
        <v>1.96764877682462E-3</v>
      </c>
      <c r="N272" s="112" t="s">
        <v>2026</v>
      </c>
      <c r="O272" s="112" t="s">
        <v>1710</v>
      </c>
      <c r="P272" s="112" t="s">
        <v>2014</v>
      </c>
      <c r="Q272" s="112" t="s">
        <v>2027</v>
      </c>
    </row>
    <row r="273" spans="1:18">
      <c r="A273" s="112" t="s">
        <v>2022</v>
      </c>
      <c r="B273" s="112" t="s">
        <v>1748</v>
      </c>
      <c r="C273" s="112" t="s">
        <v>1706</v>
      </c>
      <c r="D273" s="112">
        <v>80</v>
      </c>
      <c r="E273" s="112" t="s">
        <v>1707</v>
      </c>
      <c r="F273" s="112" t="s">
        <v>440</v>
      </c>
      <c r="G273" s="112">
        <v>-6.3914235072423304</v>
      </c>
      <c r="H273" s="112">
        <v>-3.1761026453336099</v>
      </c>
      <c r="I273" s="112">
        <v>0</v>
      </c>
      <c r="J273" s="112">
        <v>1</v>
      </c>
      <c r="K273" s="112" t="s">
        <v>1749</v>
      </c>
      <c r="L273" s="112">
        <v>2.2873054937822698E-2</v>
      </c>
      <c r="M273" s="112">
        <v>1.3794057254169301E-3</v>
      </c>
      <c r="N273" s="112" t="s">
        <v>2022</v>
      </c>
      <c r="O273" s="112" t="s">
        <v>1710</v>
      </c>
      <c r="P273" s="112" t="s">
        <v>2014</v>
      </c>
      <c r="Q273" s="112" t="s">
        <v>2023</v>
      </c>
    </row>
    <row r="274" spans="1:18">
      <c r="A274" s="112" t="s">
        <v>2013</v>
      </c>
      <c r="B274" s="112" t="s">
        <v>1748</v>
      </c>
      <c r="C274" s="112" t="s">
        <v>1706</v>
      </c>
      <c r="D274" s="112">
        <v>80</v>
      </c>
      <c r="E274" s="112" t="s">
        <v>1707</v>
      </c>
      <c r="F274" s="112" t="s">
        <v>440</v>
      </c>
      <c r="G274" s="112">
        <v>-4.3113953714331403</v>
      </c>
      <c r="H274" s="112">
        <v>-2.7326497211490399</v>
      </c>
      <c r="I274" s="112">
        <v>-6.3773376470495799</v>
      </c>
      <c r="J274" s="112" t="s">
        <v>848</v>
      </c>
      <c r="K274" s="112" t="s">
        <v>1749</v>
      </c>
      <c r="L274" s="112">
        <v>2.9059072482725299E-2</v>
      </c>
      <c r="M274" s="112">
        <v>1.9590524269099199E-3</v>
      </c>
      <c r="N274" s="112" t="s">
        <v>2013</v>
      </c>
      <c r="O274" s="112" t="s">
        <v>1710</v>
      </c>
      <c r="P274" s="112" t="s">
        <v>2014</v>
      </c>
      <c r="Q274" s="112" t="s">
        <v>2015</v>
      </c>
    </row>
    <row r="275" spans="1:18">
      <c r="A275" s="112" t="s">
        <v>2028</v>
      </c>
      <c r="B275" s="112" t="s">
        <v>1705</v>
      </c>
      <c r="C275" s="112" t="s">
        <v>1706</v>
      </c>
      <c r="D275" s="112">
        <v>80</v>
      </c>
      <c r="E275" s="112" t="s">
        <v>1707</v>
      </c>
      <c r="F275" s="112" t="s">
        <v>1708</v>
      </c>
      <c r="G275" s="112">
        <v>-3.1778930292052801</v>
      </c>
      <c r="H275" s="112">
        <v>-2.0855423329629201</v>
      </c>
      <c r="I275" s="112">
        <v>-4.8727669666518896</v>
      </c>
      <c r="J275" s="112" t="s">
        <v>848</v>
      </c>
      <c r="K275" s="112" t="s">
        <v>1709</v>
      </c>
      <c r="L275" s="112">
        <v>3.17515049885626E-2</v>
      </c>
      <c r="M275" s="112">
        <v>3.8993076301743501E-3</v>
      </c>
      <c r="N275" s="112" t="s">
        <v>2028</v>
      </c>
      <c r="O275" s="112" t="s">
        <v>1710</v>
      </c>
      <c r="P275" s="112" t="s">
        <v>2014</v>
      </c>
      <c r="Q275" s="112" t="s">
        <v>2029</v>
      </c>
    </row>
    <row r="276" spans="1:18">
      <c r="A276" s="112" t="s">
        <v>2024</v>
      </c>
      <c r="B276" s="112" t="s">
        <v>1762</v>
      </c>
      <c r="C276" s="112" t="s">
        <v>1706</v>
      </c>
      <c r="D276" s="112">
        <v>55</v>
      </c>
      <c r="E276" s="112" t="s">
        <v>1707</v>
      </c>
      <c r="F276" s="112" t="s">
        <v>1708</v>
      </c>
      <c r="G276" s="112">
        <v>2.8699336947951499</v>
      </c>
      <c r="H276" s="112">
        <v>1.74731447014198</v>
      </c>
      <c r="I276" s="112">
        <v>1.7705591679363899</v>
      </c>
      <c r="J276" s="112" t="s">
        <v>848</v>
      </c>
      <c r="K276" s="112" t="s">
        <v>1763</v>
      </c>
      <c r="L276" s="112">
        <v>3.9596520456928602E-2</v>
      </c>
      <c r="M276" s="112">
        <v>1.3884494186195699E-3</v>
      </c>
      <c r="N276" s="112" t="s">
        <v>2024</v>
      </c>
      <c r="O276" s="112" t="s">
        <v>1710</v>
      </c>
      <c r="P276" s="112" t="s">
        <v>2014</v>
      </c>
      <c r="Q276" s="112" t="s">
        <v>2025</v>
      </c>
    </row>
    <row r="277" spans="1:18">
      <c r="A277" s="112" t="s">
        <v>2016</v>
      </c>
      <c r="B277" s="112" t="s">
        <v>1720</v>
      </c>
      <c r="C277" s="112" t="s">
        <v>1706</v>
      </c>
      <c r="D277" s="112">
        <v>55</v>
      </c>
      <c r="E277" s="112" t="s">
        <v>1707</v>
      </c>
      <c r="F277" s="112" t="s">
        <v>1721</v>
      </c>
      <c r="G277" s="112">
        <v>2.2189649895192698</v>
      </c>
      <c r="H277" s="112">
        <v>1.5793281892461</v>
      </c>
      <c r="I277" s="112">
        <v>1.50806972455157</v>
      </c>
      <c r="J277" s="112" t="s">
        <v>848</v>
      </c>
      <c r="K277" s="112" t="s">
        <v>1722</v>
      </c>
      <c r="L277" s="112">
        <v>4.0247458831254697E-2</v>
      </c>
      <c r="M277" s="112">
        <v>1.4783880162796399E-3</v>
      </c>
      <c r="N277" s="112" t="s">
        <v>2016</v>
      </c>
      <c r="O277" s="112" t="s">
        <v>1710</v>
      </c>
      <c r="P277" s="112" t="s">
        <v>2014</v>
      </c>
      <c r="Q277" s="112" t="s">
        <v>2017</v>
      </c>
    </row>
    <row r="278" spans="1:18">
      <c r="A278" s="112" t="s">
        <v>2030</v>
      </c>
      <c r="B278" s="112" t="s">
        <v>1720</v>
      </c>
      <c r="C278" s="112" t="s">
        <v>1706</v>
      </c>
      <c r="D278" s="112">
        <v>55</v>
      </c>
      <c r="E278" s="112" t="s">
        <v>1707</v>
      </c>
      <c r="F278" s="112" t="s">
        <v>1721</v>
      </c>
      <c r="G278" s="112">
        <v>2.1749911804834601</v>
      </c>
      <c r="H278" s="112">
        <v>1.5515621597549101</v>
      </c>
      <c r="I278" s="112">
        <v>1.6970057912099801</v>
      </c>
      <c r="J278" s="112" t="s">
        <v>848</v>
      </c>
      <c r="K278" s="112" t="s">
        <v>1722</v>
      </c>
      <c r="L278" s="112">
        <v>4.1532099539577198E-2</v>
      </c>
      <c r="M278" s="112">
        <v>1.5483458161684499E-3</v>
      </c>
      <c r="N278" s="112" t="s">
        <v>2030</v>
      </c>
      <c r="O278" s="112" t="s">
        <v>1710</v>
      </c>
      <c r="P278" s="112" t="s">
        <v>2014</v>
      </c>
      <c r="Q278" s="112" t="s">
        <v>2031</v>
      </c>
    </row>
    <row r="279" spans="1:18">
      <c r="A279" s="112" t="s">
        <v>2030</v>
      </c>
      <c r="B279" s="112" t="s">
        <v>1705</v>
      </c>
      <c r="C279" s="112" t="s">
        <v>1706</v>
      </c>
      <c r="D279" s="112">
        <v>80</v>
      </c>
      <c r="E279" s="112" t="s">
        <v>1707</v>
      </c>
      <c r="F279" s="112" t="s">
        <v>1708</v>
      </c>
      <c r="G279" s="112">
        <v>-2.1977194097768402</v>
      </c>
      <c r="H279" s="112">
        <v>-1.5744610209439001</v>
      </c>
      <c r="I279" s="112">
        <v>-3.262724471152</v>
      </c>
      <c r="J279" s="112" t="s">
        <v>848</v>
      </c>
      <c r="K279" s="112" t="s">
        <v>1709</v>
      </c>
      <c r="L279" s="112">
        <v>4.55948010178319E-2</v>
      </c>
      <c r="M279" s="112">
        <v>6.7378199827366897E-3</v>
      </c>
      <c r="N279" s="112" t="s">
        <v>2030</v>
      </c>
      <c r="O279" s="112" t="s">
        <v>1710</v>
      </c>
      <c r="P279" s="112" t="s">
        <v>2014</v>
      </c>
      <c r="Q279" s="112" t="s">
        <v>2031</v>
      </c>
    </row>
    <row r="280" spans="1:18">
      <c r="A280" s="112" t="s">
        <v>2013</v>
      </c>
      <c r="B280" s="112" t="s">
        <v>1796</v>
      </c>
      <c r="C280" s="112" t="s">
        <v>1706</v>
      </c>
      <c r="D280" s="112">
        <v>80</v>
      </c>
      <c r="E280" s="112" t="s">
        <v>1707</v>
      </c>
      <c r="F280" s="112" t="s">
        <v>1721</v>
      </c>
      <c r="G280" s="112">
        <v>-4.3261829741633298</v>
      </c>
      <c r="H280" s="112">
        <v>-1.9298452789635701</v>
      </c>
      <c r="I280" s="112">
        <v>0</v>
      </c>
      <c r="J280" s="112">
        <v>1</v>
      </c>
      <c r="K280" s="112" t="s">
        <v>1797</v>
      </c>
      <c r="L280" s="112">
        <v>4.8739030462605602E-2</v>
      </c>
      <c r="M280" s="112">
        <v>3.4488799851864899E-3</v>
      </c>
      <c r="N280" s="112" t="s">
        <v>2013</v>
      </c>
      <c r="O280" s="112" t="s">
        <v>1710</v>
      </c>
      <c r="P280" s="112" t="s">
        <v>2014</v>
      </c>
      <c r="Q280" s="112" t="s">
        <v>2015</v>
      </c>
    </row>
    <row r="281" spans="1:18">
      <c r="A281" s="112" t="s">
        <v>2032</v>
      </c>
      <c r="B281" s="112" t="s">
        <v>1705</v>
      </c>
      <c r="C281" s="112" t="s">
        <v>1706</v>
      </c>
      <c r="D281" s="112">
        <v>80</v>
      </c>
      <c r="E281" s="112" t="s">
        <v>1707</v>
      </c>
      <c r="F281" s="112" t="s">
        <v>1708</v>
      </c>
      <c r="G281" s="112">
        <v>3.18365719280572</v>
      </c>
      <c r="H281" s="112">
        <v>2.72226820176965</v>
      </c>
      <c r="I281" s="112">
        <v>2.0806742675312799</v>
      </c>
      <c r="J281" s="112" t="s">
        <v>848</v>
      </c>
      <c r="K281" s="112" t="s">
        <v>1709</v>
      </c>
      <c r="L281" s="229">
        <v>6.0275881244454405E-4</v>
      </c>
      <c r="M281" s="229">
        <v>1.68534536374297E-5</v>
      </c>
      <c r="N281" s="112" t="s">
        <v>2032</v>
      </c>
      <c r="O281" s="112" t="s">
        <v>2033</v>
      </c>
      <c r="P281" s="112" t="s">
        <v>2034</v>
      </c>
      <c r="Q281" s="112" t="s">
        <v>2035</v>
      </c>
      <c r="R281" s="112" t="s">
        <v>2036</v>
      </c>
    </row>
    <row r="282" spans="1:18">
      <c r="A282" s="112" t="s">
        <v>2037</v>
      </c>
      <c r="B282" s="112" t="s">
        <v>1705</v>
      </c>
      <c r="C282" s="112" t="s">
        <v>1706</v>
      </c>
      <c r="D282" s="112">
        <v>80</v>
      </c>
      <c r="E282" s="112" t="s">
        <v>1707</v>
      </c>
      <c r="F282" s="112" t="s">
        <v>1708</v>
      </c>
      <c r="G282" s="112">
        <v>4.7791837519859302</v>
      </c>
      <c r="H282" s="112">
        <v>3.4021548425661998</v>
      </c>
      <c r="I282" s="112">
        <v>1.6406294346446999</v>
      </c>
      <c r="J282" s="112" t="s">
        <v>848</v>
      </c>
      <c r="K282" s="112" t="s">
        <v>1709</v>
      </c>
      <c r="L282" s="112">
        <v>1.92766540138454E-3</v>
      </c>
      <c r="M282" s="229">
        <v>7.7148889419447299E-5</v>
      </c>
      <c r="N282" s="112" t="s">
        <v>2037</v>
      </c>
      <c r="O282" s="112" t="s">
        <v>2033</v>
      </c>
      <c r="P282" s="112" t="s">
        <v>2034</v>
      </c>
      <c r="Q282" s="112" t="s">
        <v>2038</v>
      </c>
    </row>
    <row r="283" spans="1:18">
      <c r="A283" s="112" t="s">
        <v>2037</v>
      </c>
      <c r="B283" s="112" t="s">
        <v>1748</v>
      </c>
      <c r="C283" s="112" t="s">
        <v>1706</v>
      </c>
      <c r="D283" s="112">
        <v>80</v>
      </c>
      <c r="E283" s="112" t="s">
        <v>1707</v>
      </c>
      <c r="F283" s="112" t="s">
        <v>440</v>
      </c>
      <c r="G283" s="112">
        <v>5.1891709230280902</v>
      </c>
      <c r="H283" s="112">
        <v>3.4277145633628701</v>
      </c>
      <c r="I283" s="112">
        <v>2.2266660796864501</v>
      </c>
      <c r="J283" s="112" t="s">
        <v>848</v>
      </c>
      <c r="K283" s="112" t="s">
        <v>1749</v>
      </c>
      <c r="L283" s="112">
        <v>1.12604489321155E-2</v>
      </c>
      <c r="M283" s="229">
        <v>5.1857330608426799E-4</v>
      </c>
      <c r="N283" s="112" t="s">
        <v>2037</v>
      </c>
      <c r="O283" s="112" t="s">
        <v>2033</v>
      </c>
      <c r="P283" s="112" t="s">
        <v>2034</v>
      </c>
      <c r="Q283" s="112" t="s">
        <v>2038</v>
      </c>
    </row>
    <row r="284" spans="1:18">
      <c r="A284" s="112" t="s">
        <v>2039</v>
      </c>
      <c r="B284" s="112" t="s">
        <v>1748</v>
      </c>
      <c r="C284" s="112" t="s">
        <v>1706</v>
      </c>
      <c r="D284" s="112">
        <v>80</v>
      </c>
      <c r="E284" s="112" t="s">
        <v>1707</v>
      </c>
      <c r="F284" s="112" t="s">
        <v>440</v>
      </c>
      <c r="G284" s="112">
        <v>-3.8297886822975999</v>
      </c>
      <c r="H284" s="112">
        <v>-2.8943186568471901</v>
      </c>
      <c r="I284" s="112">
        <v>-5.1560209109140898</v>
      </c>
      <c r="J284" s="112" t="s">
        <v>848</v>
      </c>
      <c r="K284" s="112" t="s">
        <v>1749</v>
      </c>
      <c r="L284" s="112">
        <v>1.12938702399505E-2</v>
      </c>
      <c r="M284" s="229">
        <v>5.32496074909951E-4</v>
      </c>
      <c r="N284" s="112" t="s">
        <v>2039</v>
      </c>
      <c r="O284" s="112" t="s">
        <v>2033</v>
      </c>
      <c r="P284" s="112" t="s">
        <v>2034</v>
      </c>
      <c r="Q284" s="112" t="s">
        <v>2040</v>
      </c>
      <c r="R284" s="112" t="s">
        <v>2041</v>
      </c>
    </row>
    <row r="285" spans="1:18">
      <c r="A285" s="112" t="s">
        <v>2039</v>
      </c>
      <c r="B285" s="112" t="s">
        <v>1796</v>
      </c>
      <c r="C285" s="112" t="s">
        <v>1706</v>
      </c>
      <c r="D285" s="112">
        <v>80</v>
      </c>
      <c r="E285" s="112" t="s">
        <v>1707</v>
      </c>
      <c r="F285" s="112" t="s">
        <v>1721</v>
      </c>
      <c r="G285" s="112">
        <v>-4.8763618000620301</v>
      </c>
      <c r="H285" s="112">
        <v>-3.0276672741239401</v>
      </c>
      <c r="I285" s="112">
        <v>0</v>
      </c>
      <c r="J285" s="112">
        <v>1</v>
      </c>
      <c r="K285" s="112" t="s">
        <v>1797</v>
      </c>
      <c r="L285" s="112">
        <v>1.1626171228547699E-2</v>
      </c>
      <c r="M285" s="229">
        <v>3.1817184575167498E-4</v>
      </c>
      <c r="N285" s="112" t="s">
        <v>2039</v>
      </c>
      <c r="O285" s="112" t="s">
        <v>2033</v>
      </c>
      <c r="P285" s="112" t="s">
        <v>2034</v>
      </c>
      <c r="Q285" s="112" t="s">
        <v>2040</v>
      </c>
      <c r="R285" s="112" t="s">
        <v>2041</v>
      </c>
    </row>
    <row r="286" spans="1:18">
      <c r="A286" s="112" t="s">
        <v>2039</v>
      </c>
      <c r="B286" s="112" t="s">
        <v>1705</v>
      </c>
      <c r="C286" s="112" t="s">
        <v>1706</v>
      </c>
      <c r="D286" s="112">
        <v>80</v>
      </c>
      <c r="E286" s="112" t="s">
        <v>1707</v>
      </c>
      <c r="F286" s="112" t="s">
        <v>1708</v>
      </c>
      <c r="G286" s="112">
        <v>-2.74825636365104</v>
      </c>
      <c r="H286" s="112">
        <v>-2.0433508511886598</v>
      </c>
      <c r="I286" s="112">
        <v>-4.3008970814028196</v>
      </c>
      <c r="J286" s="112" t="s">
        <v>848</v>
      </c>
      <c r="K286" s="112" t="s">
        <v>1709</v>
      </c>
      <c r="L286" s="112">
        <v>2.02339103162406E-2</v>
      </c>
      <c r="M286" s="112">
        <v>2.0300469231754499E-3</v>
      </c>
      <c r="N286" s="112" t="s">
        <v>2039</v>
      </c>
      <c r="O286" s="112" t="s">
        <v>2033</v>
      </c>
      <c r="P286" s="112" t="s">
        <v>2034</v>
      </c>
      <c r="Q286" s="112" t="s">
        <v>2040</v>
      </c>
      <c r="R286" s="112" t="s">
        <v>2041</v>
      </c>
    </row>
    <row r="287" spans="1:18">
      <c r="A287" s="112" t="s">
        <v>2042</v>
      </c>
      <c r="B287" s="112" t="s">
        <v>1748</v>
      </c>
      <c r="C287" s="112" t="s">
        <v>1706</v>
      </c>
      <c r="D287" s="112">
        <v>80</v>
      </c>
      <c r="E287" s="112" t="s">
        <v>1707</v>
      </c>
      <c r="F287" s="112" t="s">
        <v>440</v>
      </c>
      <c r="G287" s="112">
        <v>-6.7087078578478101</v>
      </c>
      <c r="H287" s="112">
        <v>-2.8678309176826602</v>
      </c>
      <c r="I287" s="112">
        <v>0</v>
      </c>
      <c r="J287" s="112">
        <v>1</v>
      </c>
      <c r="K287" s="112" t="s">
        <v>1749</v>
      </c>
      <c r="L287" s="112">
        <v>3.1682776672981298E-2</v>
      </c>
      <c r="M287" s="112">
        <v>2.2814602019666998E-3</v>
      </c>
      <c r="N287" s="112" t="s">
        <v>2042</v>
      </c>
      <c r="O287" s="112" t="s">
        <v>2033</v>
      </c>
      <c r="P287" s="112" t="s">
        <v>2034</v>
      </c>
      <c r="Q287" s="112" t="s">
        <v>2043</v>
      </c>
    </row>
    <row r="288" spans="1:18">
      <c r="A288" s="112" t="s">
        <v>2044</v>
      </c>
      <c r="B288" s="112" t="s">
        <v>1755</v>
      </c>
      <c r="C288" s="112" t="s">
        <v>1706</v>
      </c>
      <c r="D288" s="112">
        <v>30</v>
      </c>
      <c r="E288" s="112" t="s">
        <v>1707</v>
      </c>
      <c r="F288" s="112" t="s">
        <v>1721</v>
      </c>
      <c r="G288" s="112">
        <v>-9.4714560227829505</v>
      </c>
      <c r="H288" s="112">
        <v>-6.2867422857098401</v>
      </c>
      <c r="I288" s="112">
        <v>0</v>
      </c>
      <c r="J288" s="112">
        <v>1</v>
      </c>
      <c r="K288" s="112" t="s">
        <v>1756</v>
      </c>
      <c r="L288" s="112">
        <v>1.1917573569409799E-3</v>
      </c>
      <c r="M288" s="229">
        <v>1.4210143365750901E-5</v>
      </c>
      <c r="N288" s="112" t="s">
        <v>2044</v>
      </c>
      <c r="O288" s="112" t="s">
        <v>1710</v>
      </c>
      <c r="P288" s="112" t="s">
        <v>2045</v>
      </c>
      <c r="Q288" s="112" t="s">
        <v>2046</v>
      </c>
    </row>
    <row r="289" spans="1:18">
      <c r="A289" s="112" t="s">
        <v>2047</v>
      </c>
      <c r="B289" s="112" t="s">
        <v>1755</v>
      </c>
      <c r="C289" s="112" t="s">
        <v>1706</v>
      </c>
      <c r="D289" s="112">
        <v>30</v>
      </c>
      <c r="E289" s="112" t="s">
        <v>1707</v>
      </c>
      <c r="F289" s="112" t="s">
        <v>1721</v>
      </c>
      <c r="G289" s="112">
        <v>-20.814221061925899</v>
      </c>
      <c r="H289" s="112">
        <v>-16.563673089915799</v>
      </c>
      <c r="I289" s="112">
        <v>0</v>
      </c>
      <c r="J289" s="112">
        <v>1</v>
      </c>
      <c r="K289" s="112" t="s">
        <v>1756</v>
      </c>
      <c r="L289" s="229">
        <v>4.2976859076847502E-4</v>
      </c>
      <c r="M289" s="229">
        <v>3.4894970371652599E-6</v>
      </c>
      <c r="N289" s="112" t="s">
        <v>2047</v>
      </c>
      <c r="O289" s="112" t="s">
        <v>1710</v>
      </c>
      <c r="P289" s="112" t="s">
        <v>2048</v>
      </c>
      <c r="Q289" s="112" t="s">
        <v>2049</v>
      </c>
      <c r="R289" s="112" t="s">
        <v>2050</v>
      </c>
    </row>
    <row r="290" spans="1:18">
      <c r="A290" s="112" t="s">
        <v>2047</v>
      </c>
      <c r="B290" s="112" t="s">
        <v>1735</v>
      </c>
      <c r="C290" s="112" t="s">
        <v>1706</v>
      </c>
      <c r="D290" s="112">
        <v>30</v>
      </c>
      <c r="E290" s="112" t="s">
        <v>1707</v>
      </c>
      <c r="F290" s="112" t="s">
        <v>440</v>
      </c>
      <c r="G290" s="112">
        <v>-14.0850969572203</v>
      </c>
      <c r="H290" s="112">
        <v>-11.655799234435101</v>
      </c>
      <c r="I290" s="112">
        <v>0</v>
      </c>
      <c r="J290" s="112">
        <v>1</v>
      </c>
      <c r="K290" s="112" t="s">
        <v>1736</v>
      </c>
      <c r="L290" s="229">
        <v>4.8742356751881798E-4</v>
      </c>
      <c r="M290" s="229">
        <v>4.8101009952514902E-6</v>
      </c>
      <c r="N290" s="112" t="s">
        <v>2047</v>
      </c>
      <c r="O290" s="112" t="s">
        <v>1710</v>
      </c>
      <c r="P290" s="112" t="s">
        <v>2048</v>
      </c>
      <c r="Q290" s="112" t="s">
        <v>2049</v>
      </c>
      <c r="R290" s="112" t="s">
        <v>2050</v>
      </c>
    </row>
    <row r="291" spans="1:18">
      <c r="A291" s="112" t="s">
        <v>2051</v>
      </c>
      <c r="B291" s="112" t="s">
        <v>1705</v>
      </c>
      <c r="C291" s="112" t="s">
        <v>1706</v>
      </c>
      <c r="D291" s="112">
        <v>80</v>
      </c>
      <c r="E291" s="112" t="s">
        <v>1707</v>
      </c>
      <c r="F291" s="112" t="s">
        <v>1708</v>
      </c>
      <c r="G291" s="112">
        <v>-5.8147037608285297</v>
      </c>
      <c r="H291" s="112">
        <v>-3.95405530481451</v>
      </c>
      <c r="I291" s="112">
        <v>0</v>
      </c>
      <c r="J291" s="112">
        <v>1</v>
      </c>
      <c r="K291" s="112" t="s">
        <v>1709</v>
      </c>
      <c r="L291" s="229">
        <v>8.3386171242168597E-4</v>
      </c>
      <c r="M291" s="229">
        <v>2.4229534406989701E-5</v>
      </c>
      <c r="N291" s="112" t="s">
        <v>2051</v>
      </c>
      <c r="O291" s="112" t="s">
        <v>1710</v>
      </c>
      <c r="P291" s="112" t="s">
        <v>2048</v>
      </c>
      <c r="Q291" s="112" t="s">
        <v>2052</v>
      </c>
    </row>
    <row r="292" spans="1:18">
      <c r="A292" s="112" t="s">
        <v>2051</v>
      </c>
      <c r="B292" s="112" t="s">
        <v>1762</v>
      </c>
      <c r="C292" s="112" t="s">
        <v>1706</v>
      </c>
      <c r="D292" s="112">
        <v>55</v>
      </c>
      <c r="E292" s="112" t="s">
        <v>1707</v>
      </c>
      <c r="F292" s="112" t="s">
        <v>1708</v>
      </c>
      <c r="G292" s="112">
        <v>4.5556707584354497</v>
      </c>
      <c r="H292" s="112">
        <v>3.1387730010786998</v>
      </c>
      <c r="I292" s="112">
        <v>1.7805657604785099</v>
      </c>
      <c r="J292" s="112" t="s">
        <v>848</v>
      </c>
      <c r="K292" s="112" t="s">
        <v>1763</v>
      </c>
      <c r="L292" s="112">
        <v>1.1443789396787399E-3</v>
      </c>
      <c r="M292" s="229">
        <v>1.4862064151672001E-5</v>
      </c>
      <c r="N292" s="112" t="s">
        <v>2051</v>
      </c>
      <c r="O292" s="112" t="s">
        <v>1710</v>
      </c>
      <c r="P292" s="112" t="s">
        <v>2048</v>
      </c>
      <c r="Q292" s="112" t="s">
        <v>2052</v>
      </c>
    </row>
    <row r="293" spans="1:18">
      <c r="A293" s="112" t="s">
        <v>2051</v>
      </c>
      <c r="B293" s="112" t="s">
        <v>1720</v>
      </c>
      <c r="C293" s="112" t="s">
        <v>1706</v>
      </c>
      <c r="D293" s="112">
        <v>55</v>
      </c>
      <c r="E293" s="112" t="s">
        <v>1707</v>
      </c>
      <c r="F293" s="112" t="s">
        <v>1721</v>
      </c>
      <c r="G293" s="112">
        <v>4.3696554202585904</v>
      </c>
      <c r="H293" s="112">
        <v>2.9491364051572799</v>
      </c>
      <c r="I293" s="112">
        <v>0.89013843298551898</v>
      </c>
      <c r="J293" s="112" t="s">
        <v>848</v>
      </c>
      <c r="K293" s="112" t="s">
        <v>1722</v>
      </c>
      <c r="L293" s="112">
        <v>2.4345600645936999E-3</v>
      </c>
      <c r="M293" s="229">
        <v>3.2173218545191803E-5</v>
      </c>
      <c r="N293" s="112" t="s">
        <v>2051</v>
      </c>
      <c r="O293" s="112" t="s">
        <v>1710</v>
      </c>
      <c r="P293" s="112" t="s">
        <v>2048</v>
      </c>
      <c r="Q293" s="112" t="s">
        <v>2052</v>
      </c>
    </row>
    <row r="294" spans="1:18">
      <c r="A294" s="112" t="s">
        <v>2051</v>
      </c>
      <c r="B294" s="112" t="s">
        <v>1755</v>
      </c>
      <c r="C294" s="112" t="s">
        <v>1706</v>
      </c>
      <c r="D294" s="112">
        <v>30</v>
      </c>
      <c r="E294" s="112" t="s">
        <v>1707</v>
      </c>
      <c r="F294" s="112" t="s">
        <v>1721</v>
      </c>
      <c r="G294" s="112">
        <v>-8.2494164488166195</v>
      </c>
      <c r="H294" s="112">
        <v>-2.8974106495295402</v>
      </c>
      <c r="I294" s="112">
        <v>0</v>
      </c>
      <c r="J294" s="112">
        <v>1</v>
      </c>
      <c r="K294" s="112" t="s">
        <v>1756</v>
      </c>
      <c r="L294" s="112">
        <v>3.1289133899413103E-2</v>
      </c>
      <c r="M294" s="112">
        <v>2.2633634219766199E-3</v>
      </c>
      <c r="N294" s="112" t="s">
        <v>2051</v>
      </c>
      <c r="O294" s="112" t="s">
        <v>1710</v>
      </c>
      <c r="P294" s="112" t="s">
        <v>2048</v>
      </c>
      <c r="Q294" s="112" t="s">
        <v>2052</v>
      </c>
    </row>
    <row r="295" spans="1:18">
      <c r="A295" s="112" t="s">
        <v>2053</v>
      </c>
      <c r="B295" s="112" t="s">
        <v>1705</v>
      </c>
      <c r="C295" s="112" t="s">
        <v>1706</v>
      </c>
      <c r="D295" s="112">
        <v>80</v>
      </c>
      <c r="E295" s="112" t="s">
        <v>1707</v>
      </c>
      <c r="F295" s="112" t="s">
        <v>1708</v>
      </c>
      <c r="G295" s="112">
        <v>-3.3945799780473598</v>
      </c>
      <c r="H295" s="112">
        <v>-2.1545949427146098</v>
      </c>
      <c r="I295" s="112">
        <v>0</v>
      </c>
      <c r="J295" s="112">
        <v>1</v>
      </c>
      <c r="K295" s="112" t="s">
        <v>1709</v>
      </c>
      <c r="L295" s="112">
        <v>3.1329715504044897E-2</v>
      </c>
      <c r="M295" s="112">
        <v>3.81315616332126E-3</v>
      </c>
      <c r="N295" s="112" t="s">
        <v>2053</v>
      </c>
      <c r="O295" s="112" t="s">
        <v>1710</v>
      </c>
      <c r="P295" s="112" t="s">
        <v>2048</v>
      </c>
      <c r="Q295" s="112" t="s">
        <v>2054</v>
      </c>
    </row>
    <row r="296" spans="1:18">
      <c r="A296" s="112" t="s">
        <v>2053</v>
      </c>
      <c r="B296" s="112" t="s">
        <v>1748</v>
      </c>
      <c r="C296" s="112" t="s">
        <v>1706</v>
      </c>
      <c r="D296" s="112">
        <v>80</v>
      </c>
      <c r="E296" s="112" t="s">
        <v>1707</v>
      </c>
      <c r="F296" s="112" t="s">
        <v>440</v>
      </c>
      <c r="G296" s="112">
        <v>-4.8355150191552001</v>
      </c>
      <c r="H296" s="112">
        <v>-2.7570649530014499</v>
      </c>
      <c r="I296" s="112">
        <v>0</v>
      </c>
      <c r="J296" s="112">
        <v>1</v>
      </c>
      <c r="K296" s="112" t="s">
        <v>1749</v>
      </c>
      <c r="L296" s="112">
        <v>3.3463100874309197E-2</v>
      </c>
      <c r="M296" s="112">
        <v>2.44001777208505E-3</v>
      </c>
      <c r="N296" s="112" t="s">
        <v>2053</v>
      </c>
      <c r="O296" s="112" t="s">
        <v>1710</v>
      </c>
      <c r="P296" s="112" t="s">
        <v>2048</v>
      </c>
      <c r="Q296" s="112" t="s">
        <v>2054</v>
      </c>
    </row>
    <row r="297" spans="1:18">
      <c r="A297" s="112" t="s">
        <v>2051</v>
      </c>
      <c r="B297" s="112" t="s">
        <v>1735</v>
      </c>
      <c r="C297" s="112" t="s">
        <v>1706</v>
      </c>
      <c r="D297" s="112">
        <v>30</v>
      </c>
      <c r="E297" s="112" t="s">
        <v>1707</v>
      </c>
      <c r="F297" s="112" t="s">
        <v>440</v>
      </c>
      <c r="G297" s="112">
        <v>4.1558043280974699</v>
      </c>
      <c r="H297" s="112">
        <v>1.8360753584207301</v>
      </c>
      <c r="I297" s="112">
        <v>0.57679172056017503</v>
      </c>
      <c r="J297" s="112" t="s">
        <v>848</v>
      </c>
      <c r="K297" s="112" t="s">
        <v>1736</v>
      </c>
      <c r="L297" s="112">
        <v>4.9948686719749398E-2</v>
      </c>
      <c r="M297" s="112">
        <v>1.5343085832598201E-3</v>
      </c>
      <c r="N297" s="112" t="s">
        <v>2051</v>
      </c>
      <c r="O297" s="112" t="s">
        <v>1710</v>
      </c>
      <c r="P297" s="112" t="s">
        <v>2048</v>
      </c>
      <c r="Q297" s="112" t="s">
        <v>2052</v>
      </c>
    </row>
    <row r="298" spans="1:18">
      <c r="A298" s="112" t="s">
        <v>2055</v>
      </c>
      <c r="B298" s="112" t="s">
        <v>1755</v>
      </c>
      <c r="C298" s="112" t="s">
        <v>1706</v>
      </c>
      <c r="D298" s="112">
        <v>30</v>
      </c>
      <c r="E298" s="112" t="s">
        <v>1707</v>
      </c>
      <c r="F298" s="112" t="s">
        <v>1721</v>
      </c>
      <c r="G298" s="112">
        <v>2.1426207720325401</v>
      </c>
      <c r="H298" s="112">
        <v>1.70783030250676</v>
      </c>
      <c r="I298" s="112">
        <v>1.5444918591053101</v>
      </c>
      <c r="J298" s="112" t="s">
        <v>848</v>
      </c>
      <c r="K298" s="112" t="s">
        <v>1756</v>
      </c>
      <c r="L298" s="112">
        <v>1.34490541233505E-2</v>
      </c>
      <c r="M298" s="229">
        <v>6.2217507629715803E-4</v>
      </c>
      <c r="N298" s="112" t="s">
        <v>2055</v>
      </c>
      <c r="O298" s="112" t="s">
        <v>2056</v>
      </c>
      <c r="P298" s="112" t="s">
        <v>2057</v>
      </c>
      <c r="Q298" s="112" t="s">
        <v>2058</v>
      </c>
      <c r="R298" s="112" t="s">
        <v>2059</v>
      </c>
    </row>
    <row r="299" spans="1:18">
      <c r="A299" s="112" t="s">
        <v>2060</v>
      </c>
      <c r="B299" s="112" t="s">
        <v>1755</v>
      </c>
      <c r="C299" s="112" t="s">
        <v>1706</v>
      </c>
      <c r="D299" s="112">
        <v>30</v>
      </c>
      <c r="E299" s="112" t="s">
        <v>1707</v>
      </c>
      <c r="F299" s="112" t="s">
        <v>1721</v>
      </c>
      <c r="G299" s="112">
        <v>5.3838438342770401</v>
      </c>
      <c r="H299" s="112">
        <v>4.5852319158179098</v>
      </c>
      <c r="I299" s="112">
        <v>2.8920280329521599</v>
      </c>
      <c r="J299" s="112" t="s">
        <v>848</v>
      </c>
      <c r="K299" s="112" t="s">
        <v>1756</v>
      </c>
      <c r="L299" s="229">
        <v>5.0030503865847497E-5</v>
      </c>
      <c r="M299" s="229">
        <v>2.7838913120900799E-7</v>
      </c>
      <c r="N299" s="112" t="s">
        <v>2060</v>
      </c>
      <c r="O299" s="112" t="s">
        <v>2061</v>
      </c>
      <c r="P299" s="112" t="s">
        <v>2062</v>
      </c>
      <c r="Q299" s="112" t="s">
        <v>2063</v>
      </c>
    </row>
    <row r="300" spans="1:18">
      <c r="A300" s="112" t="s">
        <v>2060</v>
      </c>
      <c r="B300" s="112" t="s">
        <v>1731</v>
      </c>
      <c r="C300" s="112" t="s">
        <v>1706</v>
      </c>
      <c r="D300" s="112">
        <v>30</v>
      </c>
      <c r="E300" s="112" t="s">
        <v>1707</v>
      </c>
      <c r="F300" s="112" t="s">
        <v>1708</v>
      </c>
      <c r="G300" s="112">
        <v>2.6019651731125699</v>
      </c>
      <c r="H300" s="112">
        <v>2.0337602940363002</v>
      </c>
      <c r="I300" s="112">
        <v>0.51037746569673903</v>
      </c>
      <c r="J300" s="112" t="s">
        <v>848</v>
      </c>
      <c r="K300" s="112" t="s">
        <v>1732</v>
      </c>
      <c r="L300" s="112">
        <v>1.3232257274796099E-3</v>
      </c>
      <c r="M300" s="229">
        <v>3.9138263235557203E-5</v>
      </c>
      <c r="N300" s="112" t="s">
        <v>2060</v>
      </c>
      <c r="O300" s="112" t="s">
        <v>2061</v>
      </c>
      <c r="P300" s="112" t="s">
        <v>2062</v>
      </c>
      <c r="Q300" s="112" t="s">
        <v>2063</v>
      </c>
    </row>
    <row r="301" spans="1:18">
      <c r="A301" s="112" t="s">
        <v>2060</v>
      </c>
      <c r="B301" s="112" t="s">
        <v>1705</v>
      </c>
      <c r="C301" s="112" t="s">
        <v>1706</v>
      </c>
      <c r="D301" s="112">
        <v>80</v>
      </c>
      <c r="E301" s="112" t="s">
        <v>1707</v>
      </c>
      <c r="F301" s="112" t="s">
        <v>1708</v>
      </c>
      <c r="G301" s="112">
        <v>-4.3622974086272697</v>
      </c>
      <c r="H301" s="112">
        <v>-3.27040150642752</v>
      </c>
      <c r="I301" s="112">
        <v>0</v>
      </c>
      <c r="J301" s="112">
        <v>1</v>
      </c>
      <c r="K301" s="112" t="s">
        <v>1709</v>
      </c>
      <c r="L301" s="112">
        <v>1.58747427652255E-3</v>
      </c>
      <c r="M301" s="229">
        <v>5.9182155045796897E-5</v>
      </c>
      <c r="N301" s="112" t="s">
        <v>2060</v>
      </c>
      <c r="O301" s="112" t="s">
        <v>2061</v>
      </c>
      <c r="P301" s="112" t="s">
        <v>2062</v>
      </c>
      <c r="Q301" s="112" t="s">
        <v>2063</v>
      </c>
    </row>
    <row r="302" spans="1:18">
      <c r="A302" s="112" t="s">
        <v>2060</v>
      </c>
      <c r="B302" s="112" t="s">
        <v>1748</v>
      </c>
      <c r="C302" s="112" t="s">
        <v>1706</v>
      </c>
      <c r="D302" s="112">
        <v>80</v>
      </c>
      <c r="E302" s="112" t="s">
        <v>1707</v>
      </c>
      <c r="F302" s="112" t="s">
        <v>440</v>
      </c>
      <c r="G302" s="112">
        <v>-5.7616371459223696</v>
      </c>
      <c r="H302" s="112">
        <v>-4.0120099357491696</v>
      </c>
      <c r="I302" s="112">
        <v>0</v>
      </c>
      <c r="J302" s="112">
        <v>1</v>
      </c>
      <c r="K302" s="112" t="s">
        <v>1749</v>
      </c>
      <c r="L302" s="112">
        <v>4.2898104313312804E-3</v>
      </c>
      <c r="M302" s="229">
        <v>1.17593487700967E-4</v>
      </c>
      <c r="N302" s="112" t="s">
        <v>2060</v>
      </c>
      <c r="O302" s="112" t="s">
        <v>2061</v>
      </c>
      <c r="P302" s="112" t="s">
        <v>2062</v>
      </c>
      <c r="Q302" s="112" t="s">
        <v>2063</v>
      </c>
    </row>
    <row r="303" spans="1:18">
      <c r="A303" s="112" t="s">
        <v>2060</v>
      </c>
      <c r="B303" s="112" t="s">
        <v>1735</v>
      </c>
      <c r="C303" s="112" t="s">
        <v>1706</v>
      </c>
      <c r="D303" s="112">
        <v>30</v>
      </c>
      <c r="E303" s="112" t="s">
        <v>1707</v>
      </c>
      <c r="F303" s="112" t="s">
        <v>440</v>
      </c>
      <c r="G303" s="112">
        <v>2.9088230495254201</v>
      </c>
      <c r="H303" s="112">
        <v>2.1366352372812298</v>
      </c>
      <c r="I303" s="112">
        <v>0.82000678485775003</v>
      </c>
      <c r="J303" s="112" t="s">
        <v>848</v>
      </c>
      <c r="K303" s="112" t="s">
        <v>1736</v>
      </c>
      <c r="L303" s="112">
        <v>1.7088257593985998E-2</v>
      </c>
      <c r="M303" s="229">
        <v>3.4663680426397101E-4</v>
      </c>
      <c r="N303" s="112" t="s">
        <v>2060</v>
      </c>
      <c r="O303" s="112" t="s">
        <v>2061</v>
      </c>
      <c r="P303" s="112" t="s">
        <v>2062</v>
      </c>
      <c r="Q303" s="112" t="s">
        <v>2063</v>
      </c>
    </row>
    <row r="304" spans="1:18">
      <c r="A304" s="112" t="s">
        <v>2064</v>
      </c>
      <c r="B304" s="112" t="s">
        <v>1755</v>
      </c>
      <c r="C304" s="112" t="s">
        <v>1706</v>
      </c>
      <c r="D304" s="112">
        <v>30</v>
      </c>
      <c r="E304" s="112" t="s">
        <v>1707</v>
      </c>
      <c r="F304" s="112" t="s">
        <v>1721</v>
      </c>
      <c r="G304" s="112">
        <v>-24.499587785721101</v>
      </c>
      <c r="H304" s="112">
        <v>-23.425614525319499</v>
      </c>
      <c r="I304" s="112">
        <v>0</v>
      </c>
      <c r="J304" s="112">
        <v>1</v>
      </c>
      <c r="K304" s="112" t="s">
        <v>1756</v>
      </c>
      <c r="L304" s="229">
        <v>7.2552013289413596E-18</v>
      </c>
      <c r="M304" s="229">
        <v>5.7672506589359002E-21</v>
      </c>
      <c r="N304" s="112" t="s">
        <v>2064</v>
      </c>
      <c r="O304" s="112" t="s">
        <v>1817</v>
      </c>
      <c r="P304" s="112" t="s">
        <v>2062</v>
      </c>
      <c r="Q304" s="112" t="s">
        <v>2065</v>
      </c>
    </row>
    <row r="305" spans="1:18">
      <c r="A305" s="112" t="s">
        <v>2064</v>
      </c>
      <c r="B305" s="112" t="s">
        <v>1731</v>
      </c>
      <c r="C305" s="112" t="s">
        <v>1706</v>
      </c>
      <c r="D305" s="112">
        <v>30</v>
      </c>
      <c r="E305" s="112" t="s">
        <v>1707</v>
      </c>
      <c r="F305" s="112" t="s">
        <v>1708</v>
      </c>
      <c r="G305" s="112">
        <v>-6.10604783335602</v>
      </c>
      <c r="H305" s="112">
        <v>-5.1778139231815903</v>
      </c>
      <c r="I305" s="112">
        <v>-8.7075040215525608</v>
      </c>
      <c r="J305" s="112" t="s">
        <v>848</v>
      </c>
      <c r="K305" s="112" t="s">
        <v>1732</v>
      </c>
      <c r="L305" s="229">
        <v>3.9208400426842197E-6</v>
      </c>
      <c r="M305" s="229">
        <v>3.7400699930215102E-8</v>
      </c>
      <c r="N305" s="112" t="s">
        <v>2064</v>
      </c>
      <c r="O305" s="112" t="s">
        <v>1817</v>
      </c>
      <c r="P305" s="112" t="s">
        <v>2062</v>
      </c>
      <c r="Q305" s="112" t="s">
        <v>2065</v>
      </c>
    </row>
    <row r="306" spans="1:18">
      <c r="A306" s="112" t="s">
        <v>2066</v>
      </c>
      <c r="B306" s="112" t="s">
        <v>1762</v>
      </c>
      <c r="C306" s="112" t="s">
        <v>1706</v>
      </c>
      <c r="D306" s="112">
        <v>55</v>
      </c>
      <c r="E306" s="112" t="s">
        <v>1707</v>
      </c>
      <c r="F306" s="112" t="s">
        <v>1708</v>
      </c>
      <c r="G306" s="112">
        <v>4.6747408546372196</v>
      </c>
      <c r="H306" s="112">
        <v>3.7419499900703102</v>
      </c>
      <c r="I306" s="112">
        <v>1.2801970464036201</v>
      </c>
      <c r="J306" s="112" t="s">
        <v>848</v>
      </c>
      <c r="K306" s="112" t="s">
        <v>1763</v>
      </c>
      <c r="L306" s="229">
        <v>6.0488663480682701E-6</v>
      </c>
      <c r="M306" s="229">
        <v>1.5711341163813601E-8</v>
      </c>
      <c r="N306" s="112" t="s">
        <v>2066</v>
      </c>
      <c r="O306" s="112" t="s">
        <v>1817</v>
      </c>
      <c r="P306" s="112" t="s">
        <v>2062</v>
      </c>
      <c r="Q306" s="112" t="s">
        <v>2067</v>
      </c>
      <c r="R306" s="112" t="s">
        <v>1964</v>
      </c>
    </row>
    <row r="307" spans="1:18">
      <c r="A307" s="112" t="s">
        <v>2066</v>
      </c>
      <c r="B307" s="112" t="s">
        <v>1743</v>
      </c>
      <c r="C307" s="112" t="s">
        <v>1706</v>
      </c>
      <c r="D307" s="112">
        <v>55</v>
      </c>
      <c r="E307" s="112" t="s">
        <v>1707</v>
      </c>
      <c r="F307" s="112" t="s">
        <v>440</v>
      </c>
      <c r="G307" s="112">
        <v>5.1283130757897304</v>
      </c>
      <c r="H307" s="112">
        <v>3.9248390818091399</v>
      </c>
      <c r="I307" s="112">
        <v>1.66641637747396</v>
      </c>
      <c r="J307" s="112" t="s">
        <v>848</v>
      </c>
      <c r="K307" s="112" t="s">
        <v>1744</v>
      </c>
      <c r="L307" s="229">
        <v>5.2478769744367402E-5</v>
      </c>
      <c r="M307" s="229">
        <v>3.6267290770122598E-7</v>
      </c>
      <c r="N307" s="112" t="s">
        <v>2066</v>
      </c>
      <c r="O307" s="112" t="s">
        <v>1817</v>
      </c>
      <c r="P307" s="112" t="s">
        <v>2062</v>
      </c>
      <c r="Q307" s="112" t="s">
        <v>2067</v>
      </c>
      <c r="R307" s="112" t="s">
        <v>1964</v>
      </c>
    </row>
    <row r="308" spans="1:18">
      <c r="A308" s="112" t="s">
        <v>2068</v>
      </c>
      <c r="B308" s="112" t="s">
        <v>1705</v>
      </c>
      <c r="C308" s="112" t="s">
        <v>1706</v>
      </c>
      <c r="D308" s="112">
        <v>80</v>
      </c>
      <c r="E308" s="112" t="s">
        <v>1707</v>
      </c>
      <c r="F308" s="112" t="s">
        <v>1708</v>
      </c>
      <c r="G308" s="112">
        <v>-5.3267242271248003</v>
      </c>
      <c r="H308" s="112">
        <v>-4.0903163727995002</v>
      </c>
      <c r="I308" s="112">
        <v>0</v>
      </c>
      <c r="J308" s="112">
        <v>1</v>
      </c>
      <c r="K308" s="112" t="s">
        <v>1709</v>
      </c>
      <c r="L308" s="229">
        <v>1.06061955062049E-4</v>
      </c>
      <c r="M308" s="229">
        <v>1.68629204868389E-6</v>
      </c>
      <c r="N308" s="112" t="s">
        <v>2068</v>
      </c>
      <c r="O308" s="112" t="s">
        <v>1817</v>
      </c>
      <c r="P308" s="112" t="s">
        <v>2062</v>
      </c>
      <c r="Q308" s="112" t="s">
        <v>2069</v>
      </c>
      <c r="R308" s="112" t="s">
        <v>2070</v>
      </c>
    </row>
    <row r="309" spans="1:18">
      <c r="A309" s="112" t="s">
        <v>2066</v>
      </c>
      <c r="B309" s="112" t="s">
        <v>1720</v>
      </c>
      <c r="C309" s="112" t="s">
        <v>1706</v>
      </c>
      <c r="D309" s="112">
        <v>55</v>
      </c>
      <c r="E309" s="112" t="s">
        <v>1707</v>
      </c>
      <c r="F309" s="112" t="s">
        <v>1721</v>
      </c>
      <c r="G309" s="112">
        <v>4.0930750637553999</v>
      </c>
      <c r="H309" s="112">
        <v>3.1934901828597999</v>
      </c>
      <c r="I309" s="112">
        <v>0.242629899589339</v>
      </c>
      <c r="J309" s="112" t="s">
        <v>848</v>
      </c>
      <c r="K309" s="112" t="s">
        <v>1722</v>
      </c>
      <c r="L309" s="229">
        <v>1.16337295453177E-4</v>
      </c>
      <c r="M309" s="229">
        <v>7.6537694377090302E-7</v>
      </c>
      <c r="N309" s="112" t="s">
        <v>2066</v>
      </c>
      <c r="O309" s="112" t="s">
        <v>1817</v>
      </c>
      <c r="P309" s="112" t="s">
        <v>2062</v>
      </c>
      <c r="Q309" s="112" t="s">
        <v>2067</v>
      </c>
      <c r="R309" s="112" t="s">
        <v>1964</v>
      </c>
    </row>
    <row r="310" spans="1:18">
      <c r="A310" s="112" t="s">
        <v>2071</v>
      </c>
      <c r="B310" s="112" t="s">
        <v>1762</v>
      </c>
      <c r="C310" s="112" t="s">
        <v>1706</v>
      </c>
      <c r="D310" s="112">
        <v>55</v>
      </c>
      <c r="E310" s="112" t="s">
        <v>1707</v>
      </c>
      <c r="F310" s="112" t="s">
        <v>1708</v>
      </c>
      <c r="G310" s="112">
        <v>4.7989109831614396</v>
      </c>
      <c r="H310" s="112">
        <v>3.5204544329862699</v>
      </c>
      <c r="I310" s="112">
        <v>2.2234635682701298</v>
      </c>
      <c r="J310" s="112" t="s">
        <v>848</v>
      </c>
      <c r="K310" s="112" t="s">
        <v>1763</v>
      </c>
      <c r="L310" s="229">
        <v>1.5855462132672901E-4</v>
      </c>
      <c r="M310" s="229">
        <v>1.05784887670496E-6</v>
      </c>
      <c r="N310" s="112" t="s">
        <v>2071</v>
      </c>
      <c r="O310" s="112" t="s">
        <v>1817</v>
      </c>
      <c r="P310" s="112" t="s">
        <v>2062</v>
      </c>
      <c r="Q310" s="112" t="s">
        <v>2072</v>
      </c>
      <c r="R310" s="112" t="s">
        <v>2073</v>
      </c>
    </row>
    <row r="311" spans="1:18">
      <c r="A311" s="112" t="s">
        <v>2074</v>
      </c>
      <c r="B311" s="112" t="s">
        <v>1731</v>
      </c>
      <c r="C311" s="112" t="s">
        <v>1706</v>
      </c>
      <c r="D311" s="112">
        <v>30</v>
      </c>
      <c r="E311" s="112" t="s">
        <v>1707</v>
      </c>
      <c r="F311" s="112" t="s">
        <v>1708</v>
      </c>
      <c r="G311" s="112">
        <v>-5.9962267344255098</v>
      </c>
      <c r="H311" s="112">
        <v>-4.47969834336166</v>
      </c>
      <c r="I311" s="112">
        <v>0</v>
      </c>
      <c r="J311" s="112">
        <v>1</v>
      </c>
      <c r="K311" s="112" t="s">
        <v>1732</v>
      </c>
      <c r="L311" s="229">
        <v>1.9923773054918999E-4</v>
      </c>
      <c r="M311" s="229">
        <v>3.8010377847222201E-6</v>
      </c>
      <c r="N311" s="112" t="s">
        <v>2074</v>
      </c>
      <c r="O311" s="112" t="s">
        <v>1817</v>
      </c>
      <c r="P311" s="112" t="s">
        <v>2062</v>
      </c>
      <c r="Q311" s="112" t="s">
        <v>2075</v>
      </c>
      <c r="R311" s="112" t="s">
        <v>2076</v>
      </c>
    </row>
    <row r="312" spans="1:18">
      <c r="A312" s="112" t="s">
        <v>2077</v>
      </c>
      <c r="B312" s="112" t="s">
        <v>1731</v>
      </c>
      <c r="C312" s="112" t="s">
        <v>1706</v>
      </c>
      <c r="D312" s="112">
        <v>30</v>
      </c>
      <c r="E312" s="112" t="s">
        <v>1707</v>
      </c>
      <c r="F312" s="112" t="s">
        <v>1708</v>
      </c>
      <c r="G312" s="112">
        <v>-5.3909206584023801</v>
      </c>
      <c r="H312" s="112">
        <v>-3.8273227532894301</v>
      </c>
      <c r="I312" s="112">
        <v>-8.4035269323280097</v>
      </c>
      <c r="J312" s="112" t="s">
        <v>848</v>
      </c>
      <c r="K312" s="112" t="s">
        <v>1732</v>
      </c>
      <c r="L312" s="229">
        <v>4.2774304066908102E-4</v>
      </c>
      <c r="M312" s="229">
        <v>1.0880586090151499E-5</v>
      </c>
      <c r="N312" s="112" t="s">
        <v>2077</v>
      </c>
      <c r="O312" s="112" t="s">
        <v>1817</v>
      </c>
      <c r="P312" s="112" t="s">
        <v>2062</v>
      </c>
      <c r="Q312" s="112" t="s">
        <v>2078</v>
      </c>
    </row>
    <row r="313" spans="1:18">
      <c r="A313" s="112" t="s">
        <v>2066</v>
      </c>
      <c r="B313" s="112" t="s">
        <v>1735</v>
      </c>
      <c r="C313" s="112" t="s">
        <v>1706</v>
      </c>
      <c r="D313" s="112">
        <v>30</v>
      </c>
      <c r="E313" s="112" t="s">
        <v>1707</v>
      </c>
      <c r="F313" s="112" t="s">
        <v>440</v>
      </c>
      <c r="G313" s="112">
        <v>4.6697058285699304</v>
      </c>
      <c r="H313" s="112">
        <v>3.35660393402173</v>
      </c>
      <c r="I313" s="112">
        <v>0.91108046939184695</v>
      </c>
      <c r="J313" s="112" t="s">
        <v>848</v>
      </c>
      <c r="K313" s="112" t="s">
        <v>1736</v>
      </c>
      <c r="L313" s="229">
        <v>4.68711349460847E-4</v>
      </c>
      <c r="M313" s="229">
        <v>4.3684720070363999E-6</v>
      </c>
      <c r="N313" s="112" t="s">
        <v>2066</v>
      </c>
      <c r="O313" s="112" t="s">
        <v>1817</v>
      </c>
      <c r="P313" s="112" t="s">
        <v>2062</v>
      </c>
      <c r="Q313" s="112" t="s">
        <v>2067</v>
      </c>
      <c r="R313" s="112" t="s">
        <v>1964</v>
      </c>
    </row>
    <row r="314" spans="1:18">
      <c r="A314" s="112" t="s">
        <v>2079</v>
      </c>
      <c r="B314" s="112" t="s">
        <v>1705</v>
      </c>
      <c r="C314" s="112" t="s">
        <v>1706</v>
      </c>
      <c r="D314" s="112">
        <v>80</v>
      </c>
      <c r="E314" s="112" t="s">
        <v>1707</v>
      </c>
      <c r="F314" s="112" t="s">
        <v>1708</v>
      </c>
      <c r="G314" s="112">
        <v>14.754985706193301</v>
      </c>
      <c r="H314" s="112">
        <v>7.3511322505602896</v>
      </c>
      <c r="I314" s="112">
        <v>2.3288598273393202</v>
      </c>
      <c r="J314" s="112" t="s">
        <v>848</v>
      </c>
      <c r="K314" s="112" t="s">
        <v>1709</v>
      </c>
      <c r="L314" s="112">
        <v>1.0299799812957401E-3</v>
      </c>
      <c r="M314" s="229">
        <v>3.2751556422781303E-5</v>
      </c>
      <c r="N314" s="112" t="s">
        <v>2079</v>
      </c>
      <c r="O314" s="112" t="s">
        <v>1817</v>
      </c>
      <c r="P314" s="112" t="s">
        <v>2062</v>
      </c>
      <c r="Q314" s="112" t="s">
        <v>2080</v>
      </c>
      <c r="R314" s="112" t="s">
        <v>2081</v>
      </c>
    </row>
    <row r="315" spans="1:18">
      <c r="A315" s="112" t="s">
        <v>2082</v>
      </c>
      <c r="B315" s="112" t="s">
        <v>1705</v>
      </c>
      <c r="C315" s="112" t="s">
        <v>1706</v>
      </c>
      <c r="D315" s="112">
        <v>80</v>
      </c>
      <c r="E315" s="112" t="s">
        <v>1707</v>
      </c>
      <c r="F315" s="112" t="s">
        <v>1708</v>
      </c>
      <c r="G315" s="112">
        <v>-5.4618458860099297</v>
      </c>
      <c r="H315" s="112">
        <v>-3.7624256205910802</v>
      </c>
      <c r="I315" s="112">
        <v>0</v>
      </c>
      <c r="J315" s="112">
        <v>1</v>
      </c>
      <c r="K315" s="112" t="s">
        <v>1709</v>
      </c>
      <c r="L315" s="112">
        <v>1.08621502348986E-3</v>
      </c>
      <c r="M315" s="229">
        <v>3.6921782596695003E-5</v>
      </c>
      <c r="N315" s="112" t="s">
        <v>2082</v>
      </c>
      <c r="O315" s="112" t="s">
        <v>1817</v>
      </c>
      <c r="P315" s="112" t="s">
        <v>2062</v>
      </c>
      <c r="Q315" s="112" t="s">
        <v>2083</v>
      </c>
      <c r="R315" s="112" t="s">
        <v>1964</v>
      </c>
    </row>
    <row r="316" spans="1:18">
      <c r="A316" s="112" t="s">
        <v>2064</v>
      </c>
      <c r="B316" s="112" t="s">
        <v>1720</v>
      </c>
      <c r="C316" s="112" t="s">
        <v>1706</v>
      </c>
      <c r="D316" s="112">
        <v>55</v>
      </c>
      <c r="E316" s="112" t="s">
        <v>1707</v>
      </c>
      <c r="F316" s="112" t="s">
        <v>1721</v>
      </c>
      <c r="G316" s="112">
        <v>3.8956153223172798</v>
      </c>
      <c r="H316" s="112">
        <v>2.73630730438762</v>
      </c>
      <c r="I316" s="112">
        <v>1.2418882070167001</v>
      </c>
      <c r="J316" s="112" t="s">
        <v>848</v>
      </c>
      <c r="K316" s="112" t="s">
        <v>1722</v>
      </c>
      <c r="L316" s="112">
        <v>3.3191896218880699E-3</v>
      </c>
      <c r="M316" s="229">
        <v>5.0952472265825597E-5</v>
      </c>
      <c r="N316" s="112" t="s">
        <v>2064</v>
      </c>
      <c r="O316" s="112" t="s">
        <v>1817</v>
      </c>
      <c r="P316" s="112" t="s">
        <v>2062</v>
      </c>
      <c r="Q316" s="112" t="s">
        <v>2065</v>
      </c>
    </row>
    <row r="317" spans="1:18">
      <c r="A317" s="112" t="s">
        <v>2084</v>
      </c>
      <c r="B317" s="112" t="s">
        <v>1731</v>
      </c>
      <c r="C317" s="112" t="s">
        <v>1706</v>
      </c>
      <c r="D317" s="112">
        <v>30</v>
      </c>
      <c r="E317" s="112" t="s">
        <v>1707</v>
      </c>
      <c r="F317" s="112" t="s">
        <v>1708</v>
      </c>
      <c r="G317" s="112">
        <v>-14.0563699151751</v>
      </c>
      <c r="H317" s="112">
        <v>-6.8603791666083396</v>
      </c>
      <c r="I317" s="112">
        <v>0</v>
      </c>
      <c r="J317" s="112">
        <v>1</v>
      </c>
      <c r="K317" s="112" t="s">
        <v>1732</v>
      </c>
      <c r="L317" s="112">
        <v>3.4361648968059401E-3</v>
      </c>
      <c r="M317" s="229">
        <v>1.36572531669552E-4</v>
      </c>
      <c r="N317" s="112" t="s">
        <v>2084</v>
      </c>
      <c r="O317" s="112" t="s">
        <v>1817</v>
      </c>
      <c r="P317" s="112" t="s">
        <v>2062</v>
      </c>
      <c r="Q317" s="112" t="s">
        <v>2085</v>
      </c>
    </row>
    <row r="318" spans="1:18">
      <c r="A318" s="112" t="s">
        <v>2086</v>
      </c>
      <c r="B318" s="112" t="s">
        <v>1731</v>
      </c>
      <c r="C318" s="112" t="s">
        <v>1706</v>
      </c>
      <c r="D318" s="112">
        <v>30</v>
      </c>
      <c r="E318" s="112" t="s">
        <v>1707</v>
      </c>
      <c r="F318" s="112" t="s">
        <v>1708</v>
      </c>
      <c r="G318" s="112">
        <v>-5.2898108681181704</v>
      </c>
      <c r="H318" s="112">
        <v>-2.9959785117314399</v>
      </c>
      <c r="I318" s="112">
        <v>0</v>
      </c>
      <c r="J318" s="112">
        <v>1</v>
      </c>
      <c r="K318" s="112" t="s">
        <v>1732</v>
      </c>
      <c r="L318" s="112">
        <v>3.8549738006831099E-3</v>
      </c>
      <c r="M318" s="229">
        <v>1.6547582292280401E-4</v>
      </c>
      <c r="N318" s="112" t="s">
        <v>2086</v>
      </c>
      <c r="O318" s="112" t="s">
        <v>1817</v>
      </c>
      <c r="P318" s="112" t="s">
        <v>2062</v>
      </c>
      <c r="Q318" s="112" t="s">
        <v>2087</v>
      </c>
    </row>
    <row r="319" spans="1:18">
      <c r="A319" s="112" t="s">
        <v>2066</v>
      </c>
      <c r="B319" s="112" t="s">
        <v>1748</v>
      </c>
      <c r="C319" s="112" t="s">
        <v>1706</v>
      </c>
      <c r="D319" s="112">
        <v>80</v>
      </c>
      <c r="E319" s="112" t="s">
        <v>1707</v>
      </c>
      <c r="F319" s="112" t="s">
        <v>440</v>
      </c>
      <c r="G319" s="112">
        <v>-6.3042486092831203</v>
      </c>
      <c r="H319" s="112">
        <v>-4.1644754470633902</v>
      </c>
      <c r="I319" s="112">
        <v>0</v>
      </c>
      <c r="J319" s="112">
        <v>1</v>
      </c>
      <c r="K319" s="112" t="s">
        <v>1749</v>
      </c>
      <c r="L319" s="112">
        <v>4.4171092575000298E-3</v>
      </c>
      <c r="M319" s="229">
        <v>1.2350469963404601E-4</v>
      </c>
      <c r="N319" s="112" t="s">
        <v>2066</v>
      </c>
      <c r="O319" s="112" t="s">
        <v>1817</v>
      </c>
      <c r="P319" s="112" t="s">
        <v>2062</v>
      </c>
      <c r="Q319" s="112" t="s">
        <v>2067</v>
      </c>
      <c r="R319" s="112" t="s">
        <v>1964</v>
      </c>
    </row>
    <row r="320" spans="1:18">
      <c r="A320" s="112" t="s">
        <v>2088</v>
      </c>
      <c r="B320" s="112" t="s">
        <v>1731</v>
      </c>
      <c r="C320" s="112" t="s">
        <v>1706</v>
      </c>
      <c r="D320" s="112">
        <v>30</v>
      </c>
      <c r="E320" s="112" t="s">
        <v>1707</v>
      </c>
      <c r="F320" s="112" t="s">
        <v>1708</v>
      </c>
      <c r="G320" s="112">
        <v>5.3294225184395403</v>
      </c>
      <c r="H320" s="112">
        <v>2.8598991818509099</v>
      </c>
      <c r="I320" s="112">
        <v>2.4781027841424201</v>
      </c>
      <c r="J320" s="112" t="s">
        <v>848</v>
      </c>
      <c r="K320" s="112" t="s">
        <v>1732</v>
      </c>
      <c r="L320" s="112">
        <v>5.3199431517535999E-3</v>
      </c>
      <c r="M320" s="229">
        <v>2.41046708783748E-4</v>
      </c>
      <c r="N320" s="112" t="s">
        <v>2088</v>
      </c>
      <c r="O320" s="112" t="s">
        <v>1817</v>
      </c>
      <c r="P320" s="112" t="s">
        <v>2062</v>
      </c>
      <c r="Q320" s="112" t="s">
        <v>2089</v>
      </c>
    </row>
    <row r="321" spans="1:18">
      <c r="A321" s="112" t="s">
        <v>2066</v>
      </c>
      <c r="B321" s="112" t="s">
        <v>1731</v>
      </c>
      <c r="C321" s="112" t="s">
        <v>1706</v>
      </c>
      <c r="D321" s="112">
        <v>30</v>
      </c>
      <c r="E321" s="112" t="s">
        <v>1707</v>
      </c>
      <c r="F321" s="112" t="s">
        <v>1708</v>
      </c>
      <c r="G321" s="112">
        <v>-4.2739081293791301</v>
      </c>
      <c r="H321" s="112">
        <v>-2.5218706099089099</v>
      </c>
      <c r="I321" s="112">
        <v>-9.9661548038586503</v>
      </c>
      <c r="J321" s="112" t="s">
        <v>848</v>
      </c>
      <c r="K321" s="112" t="s">
        <v>1732</v>
      </c>
      <c r="L321" s="112">
        <v>5.5913822272493398E-3</v>
      </c>
      <c r="M321" s="229">
        <v>2.75568917400206E-4</v>
      </c>
      <c r="N321" s="112" t="s">
        <v>2066</v>
      </c>
      <c r="O321" s="112" t="s">
        <v>1817</v>
      </c>
      <c r="P321" s="112" t="s">
        <v>2062</v>
      </c>
      <c r="Q321" s="112" t="s">
        <v>2067</v>
      </c>
      <c r="R321" s="112" t="s">
        <v>1964</v>
      </c>
    </row>
    <row r="322" spans="1:18">
      <c r="A322" s="112" t="s">
        <v>2090</v>
      </c>
      <c r="B322" s="112" t="s">
        <v>1731</v>
      </c>
      <c r="C322" s="112" t="s">
        <v>1706</v>
      </c>
      <c r="D322" s="112">
        <v>30</v>
      </c>
      <c r="E322" s="112" t="s">
        <v>1707</v>
      </c>
      <c r="F322" s="112" t="s">
        <v>1708</v>
      </c>
      <c r="G322" s="112">
        <v>3.4563512185152399</v>
      </c>
      <c r="H322" s="112">
        <v>2.2277322925526901</v>
      </c>
      <c r="I322" s="112">
        <v>1.67330887913635</v>
      </c>
      <c r="J322" s="112" t="s">
        <v>848</v>
      </c>
      <c r="K322" s="112" t="s">
        <v>1732</v>
      </c>
      <c r="L322" s="112">
        <v>6.0475221467247301E-3</v>
      </c>
      <c r="M322" s="229">
        <v>3.02856832467137E-4</v>
      </c>
      <c r="N322" s="112" t="s">
        <v>2090</v>
      </c>
      <c r="O322" s="112" t="s">
        <v>1817</v>
      </c>
      <c r="P322" s="112" t="s">
        <v>2062</v>
      </c>
      <c r="Q322" s="112" t="s">
        <v>2091</v>
      </c>
    </row>
    <row r="323" spans="1:18">
      <c r="A323" s="112" t="s">
        <v>2092</v>
      </c>
      <c r="B323" s="112" t="s">
        <v>1731</v>
      </c>
      <c r="C323" s="112" t="s">
        <v>1706</v>
      </c>
      <c r="D323" s="112">
        <v>30</v>
      </c>
      <c r="E323" s="112" t="s">
        <v>1707</v>
      </c>
      <c r="F323" s="112" t="s">
        <v>1708</v>
      </c>
      <c r="G323" s="112">
        <v>-4.5191212890996901</v>
      </c>
      <c r="H323" s="112">
        <v>-2.5229338531813399</v>
      </c>
      <c r="I323" s="112">
        <v>-8.2194094662430093</v>
      </c>
      <c r="J323" s="112" t="s">
        <v>848</v>
      </c>
      <c r="K323" s="112" t="s">
        <v>1732</v>
      </c>
      <c r="L323" s="112">
        <v>6.6067821336301801E-3</v>
      </c>
      <c r="M323" s="229">
        <v>3.4136791628454799E-4</v>
      </c>
      <c r="N323" s="112" t="s">
        <v>2092</v>
      </c>
      <c r="O323" s="112" t="s">
        <v>1817</v>
      </c>
      <c r="P323" s="112" t="s">
        <v>2062</v>
      </c>
      <c r="Q323" s="112" t="s">
        <v>2093</v>
      </c>
    </row>
    <row r="324" spans="1:18">
      <c r="A324" s="112" t="s">
        <v>2094</v>
      </c>
      <c r="B324" s="112" t="s">
        <v>1705</v>
      </c>
      <c r="C324" s="112" t="s">
        <v>1706</v>
      </c>
      <c r="D324" s="112">
        <v>80</v>
      </c>
      <c r="E324" s="112" t="s">
        <v>1707</v>
      </c>
      <c r="F324" s="112" t="s">
        <v>1708</v>
      </c>
      <c r="G324" s="112">
        <v>-3.2309914053141</v>
      </c>
      <c r="H324" s="112">
        <v>-2.40852279292662</v>
      </c>
      <c r="I324" s="112">
        <v>-5.1196341562713501</v>
      </c>
      <c r="J324" s="112" t="s">
        <v>848</v>
      </c>
      <c r="K324" s="112" t="s">
        <v>1709</v>
      </c>
      <c r="L324" s="112">
        <v>1.0682590533747101E-2</v>
      </c>
      <c r="M324" s="229">
        <v>8.3481502148220201E-4</v>
      </c>
      <c r="N324" s="112" t="s">
        <v>2094</v>
      </c>
      <c r="O324" s="112" t="s">
        <v>1817</v>
      </c>
      <c r="P324" s="112" t="s">
        <v>2062</v>
      </c>
      <c r="Q324" s="112" t="s">
        <v>2095</v>
      </c>
    </row>
    <row r="325" spans="1:18">
      <c r="A325" s="112" t="s">
        <v>2096</v>
      </c>
      <c r="B325" s="112" t="s">
        <v>1731</v>
      </c>
      <c r="C325" s="112" t="s">
        <v>1706</v>
      </c>
      <c r="D325" s="112">
        <v>30</v>
      </c>
      <c r="E325" s="112" t="s">
        <v>1707</v>
      </c>
      <c r="F325" s="112" t="s">
        <v>1708</v>
      </c>
      <c r="G325" s="112">
        <v>3.6100473224725498</v>
      </c>
      <c r="H325" s="112">
        <v>2.06555347518831</v>
      </c>
      <c r="I325" s="112">
        <v>2.2121534687470401</v>
      </c>
      <c r="J325" s="112" t="s">
        <v>848</v>
      </c>
      <c r="K325" s="112" t="s">
        <v>1732</v>
      </c>
      <c r="L325" s="112">
        <v>1.1695472286050401E-2</v>
      </c>
      <c r="M325" s="229">
        <v>7.5422927264438301E-4</v>
      </c>
      <c r="N325" s="112" t="s">
        <v>2096</v>
      </c>
      <c r="O325" s="112" t="s">
        <v>1817</v>
      </c>
      <c r="P325" s="112" t="s">
        <v>2062</v>
      </c>
      <c r="Q325" s="112" t="s">
        <v>2097</v>
      </c>
    </row>
    <row r="326" spans="1:18">
      <c r="A326" s="112" t="s">
        <v>2094</v>
      </c>
      <c r="B326" s="112" t="s">
        <v>1748</v>
      </c>
      <c r="C326" s="112" t="s">
        <v>1706</v>
      </c>
      <c r="D326" s="112">
        <v>80</v>
      </c>
      <c r="E326" s="112" t="s">
        <v>1707</v>
      </c>
      <c r="F326" s="112" t="s">
        <v>440</v>
      </c>
      <c r="G326" s="112">
        <v>-4.3566388229294599</v>
      </c>
      <c r="H326" s="112">
        <v>-3.0796602433123801</v>
      </c>
      <c r="I326" s="112">
        <v>-5.2708463037196402</v>
      </c>
      <c r="J326" s="112" t="s">
        <v>848</v>
      </c>
      <c r="K326" s="112" t="s">
        <v>1749</v>
      </c>
      <c r="L326" s="112">
        <v>1.30006696603823E-2</v>
      </c>
      <c r="M326" s="229">
        <v>6.6410230304441299E-4</v>
      </c>
      <c r="N326" s="112" t="s">
        <v>2094</v>
      </c>
      <c r="O326" s="112" t="s">
        <v>1817</v>
      </c>
      <c r="P326" s="112" t="s">
        <v>2062</v>
      </c>
      <c r="Q326" s="112" t="s">
        <v>2095</v>
      </c>
    </row>
    <row r="327" spans="1:18">
      <c r="A327" s="112" t="s">
        <v>2077</v>
      </c>
      <c r="B327" s="112" t="s">
        <v>1705</v>
      </c>
      <c r="C327" s="112" t="s">
        <v>1706</v>
      </c>
      <c r="D327" s="112">
        <v>80</v>
      </c>
      <c r="E327" s="112" t="s">
        <v>1707</v>
      </c>
      <c r="F327" s="112" t="s">
        <v>1708</v>
      </c>
      <c r="G327" s="112">
        <v>2.8553874254841198</v>
      </c>
      <c r="H327" s="112">
        <v>2.1584315434961399</v>
      </c>
      <c r="I327" s="112">
        <v>1.52918978369985</v>
      </c>
      <c r="J327" s="112" t="s">
        <v>848</v>
      </c>
      <c r="K327" s="112" t="s">
        <v>1709</v>
      </c>
      <c r="L327" s="112">
        <v>1.52336076552037E-2</v>
      </c>
      <c r="M327" s="112">
        <v>1.34463313184638E-3</v>
      </c>
      <c r="N327" s="112" t="s">
        <v>2077</v>
      </c>
      <c r="O327" s="112" t="s">
        <v>1817</v>
      </c>
      <c r="P327" s="112" t="s">
        <v>2062</v>
      </c>
      <c r="Q327" s="112" t="s">
        <v>2078</v>
      </c>
    </row>
    <row r="328" spans="1:18">
      <c r="A328" s="112" t="s">
        <v>2068</v>
      </c>
      <c r="B328" s="112" t="s">
        <v>1762</v>
      </c>
      <c r="C328" s="112" t="s">
        <v>1706</v>
      </c>
      <c r="D328" s="112">
        <v>55</v>
      </c>
      <c r="E328" s="112" t="s">
        <v>1707</v>
      </c>
      <c r="F328" s="112" t="s">
        <v>1708</v>
      </c>
      <c r="G328" s="112">
        <v>2.4412257813240101</v>
      </c>
      <c r="H328" s="112">
        <v>1.8702777896740499</v>
      </c>
      <c r="I328" s="112">
        <v>1.15820780944486</v>
      </c>
      <c r="J328" s="112" t="s">
        <v>848</v>
      </c>
      <c r="K328" s="112" t="s">
        <v>1763</v>
      </c>
      <c r="L328" s="112">
        <v>1.6075647977437098E-2</v>
      </c>
      <c r="M328" s="229">
        <v>4.49765753723636E-4</v>
      </c>
      <c r="N328" s="112" t="s">
        <v>2068</v>
      </c>
      <c r="O328" s="112" t="s">
        <v>1817</v>
      </c>
      <c r="P328" s="112" t="s">
        <v>2062</v>
      </c>
      <c r="Q328" s="112" t="s">
        <v>2069</v>
      </c>
      <c r="R328" s="112" t="s">
        <v>2070</v>
      </c>
    </row>
    <row r="329" spans="1:18">
      <c r="A329" s="112" t="s">
        <v>2098</v>
      </c>
      <c r="B329" s="112" t="s">
        <v>1705</v>
      </c>
      <c r="C329" s="112" t="s">
        <v>1706</v>
      </c>
      <c r="D329" s="112">
        <v>80</v>
      </c>
      <c r="E329" s="112" t="s">
        <v>1707</v>
      </c>
      <c r="F329" s="112" t="s">
        <v>1708</v>
      </c>
      <c r="G329" s="112">
        <v>-1.92345521542494</v>
      </c>
      <c r="H329" s="112">
        <v>-1.5702836653595</v>
      </c>
      <c r="I329" s="112">
        <v>-2.23771402294545</v>
      </c>
      <c r="J329" s="112" t="s">
        <v>848</v>
      </c>
      <c r="K329" s="112" t="s">
        <v>1709</v>
      </c>
      <c r="L329" s="112">
        <v>1.8313386887954902E-2</v>
      </c>
      <c r="M329" s="112">
        <v>1.73696048882467E-3</v>
      </c>
      <c r="N329" s="112" t="s">
        <v>2098</v>
      </c>
      <c r="O329" s="112" t="s">
        <v>1817</v>
      </c>
      <c r="P329" s="112" t="s">
        <v>2062</v>
      </c>
      <c r="Q329" s="112" t="s">
        <v>2099</v>
      </c>
    </row>
    <row r="330" spans="1:18">
      <c r="A330" s="112" t="s">
        <v>2074</v>
      </c>
      <c r="B330" s="112" t="s">
        <v>1755</v>
      </c>
      <c r="C330" s="112" t="s">
        <v>1706</v>
      </c>
      <c r="D330" s="112">
        <v>30</v>
      </c>
      <c r="E330" s="112" t="s">
        <v>1707</v>
      </c>
      <c r="F330" s="112" t="s">
        <v>1721</v>
      </c>
      <c r="G330" s="112">
        <v>-8.2649737091166102</v>
      </c>
      <c r="H330" s="112">
        <v>-3.3750460827666098</v>
      </c>
      <c r="I330" s="112">
        <v>0</v>
      </c>
      <c r="J330" s="112">
        <v>1</v>
      </c>
      <c r="K330" s="112" t="s">
        <v>1756</v>
      </c>
      <c r="L330" s="112">
        <v>2.00462045824253E-2</v>
      </c>
      <c r="M330" s="112">
        <v>1.1473185452580399E-3</v>
      </c>
      <c r="N330" s="112" t="s">
        <v>2074</v>
      </c>
      <c r="O330" s="112" t="s">
        <v>1817</v>
      </c>
      <c r="P330" s="112" t="s">
        <v>2062</v>
      </c>
      <c r="Q330" s="112" t="s">
        <v>2075</v>
      </c>
      <c r="R330" s="112" t="s">
        <v>2076</v>
      </c>
    </row>
    <row r="331" spans="1:18">
      <c r="A331" s="112" t="s">
        <v>2090</v>
      </c>
      <c r="B331" s="112" t="s">
        <v>1748</v>
      </c>
      <c r="C331" s="112" t="s">
        <v>1706</v>
      </c>
      <c r="D331" s="112">
        <v>80</v>
      </c>
      <c r="E331" s="112" t="s">
        <v>1707</v>
      </c>
      <c r="F331" s="112" t="s">
        <v>440</v>
      </c>
      <c r="G331" s="112">
        <v>-5.6588064304492596</v>
      </c>
      <c r="H331" s="112">
        <v>-3.1809506062237101</v>
      </c>
      <c r="I331" s="112">
        <v>0</v>
      </c>
      <c r="J331" s="112">
        <v>1</v>
      </c>
      <c r="K331" s="112" t="s">
        <v>1749</v>
      </c>
      <c r="L331" s="112">
        <v>2.1192442463166001E-2</v>
      </c>
      <c r="M331" s="112">
        <v>1.2431970085300199E-3</v>
      </c>
      <c r="N331" s="112" t="s">
        <v>2090</v>
      </c>
      <c r="O331" s="112" t="s">
        <v>1817</v>
      </c>
      <c r="P331" s="112" t="s">
        <v>2062</v>
      </c>
      <c r="Q331" s="112" t="s">
        <v>2091</v>
      </c>
    </row>
    <row r="332" spans="1:18">
      <c r="A332" s="112" t="s">
        <v>2068</v>
      </c>
      <c r="B332" s="112" t="s">
        <v>1796</v>
      </c>
      <c r="C332" s="112" t="s">
        <v>1706</v>
      </c>
      <c r="D332" s="112">
        <v>80</v>
      </c>
      <c r="E332" s="112" t="s">
        <v>1707</v>
      </c>
      <c r="F332" s="112" t="s">
        <v>1721</v>
      </c>
      <c r="G332" s="112">
        <v>-4.33195223024138</v>
      </c>
      <c r="H332" s="112">
        <v>-2.5551875875971999</v>
      </c>
      <c r="I332" s="112">
        <v>0</v>
      </c>
      <c r="J332" s="112">
        <v>1</v>
      </c>
      <c r="K332" s="112" t="s">
        <v>1797</v>
      </c>
      <c r="L332" s="112">
        <v>2.12270945497204E-2</v>
      </c>
      <c r="M332" s="229">
        <v>8.4782774089120299E-4</v>
      </c>
      <c r="N332" s="112" t="s">
        <v>2068</v>
      </c>
      <c r="O332" s="112" t="s">
        <v>1817</v>
      </c>
      <c r="P332" s="112" t="s">
        <v>2062</v>
      </c>
      <c r="Q332" s="112" t="s">
        <v>2069</v>
      </c>
      <c r="R332" s="112" t="s">
        <v>2070</v>
      </c>
    </row>
    <row r="333" spans="1:18">
      <c r="A333" s="112" t="s">
        <v>2094</v>
      </c>
      <c r="B333" s="112" t="s">
        <v>1731</v>
      </c>
      <c r="C333" s="112" t="s">
        <v>1706</v>
      </c>
      <c r="D333" s="112">
        <v>30</v>
      </c>
      <c r="E333" s="112" t="s">
        <v>1707</v>
      </c>
      <c r="F333" s="112" t="s">
        <v>1708</v>
      </c>
      <c r="G333" s="112">
        <v>2.39788206920502</v>
      </c>
      <c r="H333" s="112">
        <v>1.5205643088663601</v>
      </c>
      <c r="I333" s="112">
        <v>1.2726610841119499</v>
      </c>
      <c r="J333" s="112" t="s">
        <v>848</v>
      </c>
      <c r="K333" s="112" t="s">
        <v>1732</v>
      </c>
      <c r="L333" s="112">
        <v>2.1982290161899301E-2</v>
      </c>
      <c r="M333" s="112">
        <v>1.7332563976040999E-3</v>
      </c>
      <c r="N333" s="112" t="s">
        <v>2094</v>
      </c>
      <c r="O333" s="112" t="s">
        <v>1817</v>
      </c>
      <c r="P333" s="112" t="s">
        <v>2062</v>
      </c>
      <c r="Q333" s="112" t="s">
        <v>2095</v>
      </c>
    </row>
    <row r="334" spans="1:18">
      <c r="A334" s="112" t="s">
        <v>2071</v>
      </c>
      <c r="B334" s="112" t="s">
        <v>1731</v>
      </c>
      <c r="C334" s="112" t="s">
        <v>1706</v>
      </c>
      <c r="D334" s="112">
        <v>30</v>
      </c>
      <c r="E334" s="112" t="s">
        <v>1707</v>
      </c>
      <c r="F334" s="112" t="s">
        <v>1708</v>
      </c>
      <c r="G334" s="112">
        <v>-4.1491529352833503</v>
      </c>
      <c r="H334" s="112">
        <v>-1.8619336925818</v>
      </c>
      <c r="I334" s="112">
        <v>0</v>
      </c>
      <c r="J334" s="112">
        <v>1</v>
      </c>
      <c r="K334" s="112" t="s">
        <v>1732</v>
      </c>
      <c r="L334" s="112">
        <v>2.3005216895941399E-2</v>
      </c>
      <c r="M334" s="112">
        <v>1.8785596939851601E-3</v>
      </c>
      <c r="N334" s="112" t="s">
        <v>2071</v>
      </c>
      <c r="O334" s="112" t="s">
        <v>1817</v>
      </c>
      <c r="P334" s="112" t="s">
        <v>2062</v>
      </c>
      <c r="Q334" s="112" t="s">
        <v>2072</v>
      </c>
      <c r="R334" s="112" t="s">
        <v>2073</v>
      </c>
    </row>
    <row r="335" spans="1:18">
      <c r="A335" s="112" t="s">
        <v>2100</v>
      </c>
      <c r="B335" s="112" t="s">
        <v>1705</v>
      </c>
      <c r="C335" s="112" t="s">
        <v>1706</v>
      </c>
      <c r="D335" s="112">
        <v>80</v>
      </c>
      <c r="E335" s="112" t="s">
        <v>1707</v>
      </c>
      <c r="F335" s="112" t="s">
        <v>1708</v>
      </c>
      <c r="G335" s="112">
        <v>-3.88935183687359</v>
      </c>
      <c r="H335" s="112">
        <v>-2.3720118579230598</v>
      </c>
      <c r="I335" s="112">
        <v>0</v>
      </c>
      <c r="J335" s="112">
        <v>1</v>
      </c>
      <c r="K335" s="112" t="s">
        <v>1709</v>
      </c>
      <c r="L335" s="112">
        <v>2.4128956436283901E-2</v>
      </c>
      <c r="M335" s="112">
        <v>2.68413612391174E-3</v>
      </c>
      <c r="N335" s="112" t="s">
        <v>2100</v>
      </c>
      <c r="O335" s="112" t="s">
        <v>1817</v>
      </c>
      <c r="P335" s="112" t="s">
        <v>2062</v>
      </c>
      <c r="Q335" s="112" t="s">
        <v>2101</v>
      </c>
    </row>
    <row r="336" spans="1:18">
      <c r="A336" s="112" t="s">
        <v>2068</v>
      </c>
      <c r="B336" s="112" t="s">
        <v>1735</v>
      </c>
      <c r="C336" s="112" t="s">
        <v>1706</v>
      </c>
      <c r="D336" s="112">
        <v>30</v>
      </c>
      <c r="E336" s="112" t="s">
        <v>1707</v>
      </c>
      <c r="F336" s="112" t="s">
        <v>440</v>
      </c>
      <c r="G336" s="112">
        <v>2.9086281786111599</v>
      </c>
      <c r="H336" s="112">
        <v>2.03958488278696</v>
      </c>
      <c r="I336" s="112">
        <v>1.32306876963568</v>
      </c>
      <c r="J336" s="112" t="s">
        <v>848</v>
      </c>
      <c r="K336" s="112" t="s">
        <v>1736</v>
      </c>
      <c r="L336" s="112">
        <v>2.5808393918143501E-2</v>
      </c>
      <c r="M336" s="229">
        <v>5.8012288960739196E-4</v>
      </c>
      <c r="N336" s="112" t="s">
        <v>2068</v>
      </c>
      <c r="O336" s="112" t="s">
        <v>1817</v>
      </c>
      <c r="P336" s="112" t="s">
        <v>2062</v>
      </c>
      <c r="Q336" s="112" t="s">
        <v>2069</v>
      </c>
      <c r="R336" s="112" t="s">
        <v>2070</v>
      </c>
    </row>
    <row r="337" spans="1:18">
      <c r="A337" s="112" t="s">
        <v>2102</v>
      </c>
      <c r="B337" s="112" t="s">
        <v>1705</v>
      </c>
      <c r="C337" s="112" t="s">
        <v>1706</v>
      </c>
      <c r="D337" s="112">
        <v>80</v>
      </c>
      <c r="E337" s="112" t="s">
        <v>1707</v>
      </c>
      <c r="F337" s="112" t="s">
        <v>1708</v>
      </c>
      <c r="G337" s="112">
        <v>3.4466754660615</v>
      </c>
      <c r="H337" s="112">
        <v>2.1988415815957598</v>
      </c>
      <c r="I337" s="112">
        <v>1.8381977223570001</v>
      </c>
      <c r="J337" s="112" t="s">
        <v>848</v>
      </c>
      <c r="K337" s="112" t="s">
        <v>1709</v>
      </c>
      <c r="L337" s="112">
        <v>2.86426002592584E-2</v>
      </c>
      <c r="M337" s="112">
        <v>3.4080541969685198E-3</v>
      </c>
      <c r="N337" s="112" t="s">
        <v>2102</v>
      </c>
      <c r="O337" s="112" t="s">
        <v>1817</v>
      </c>
      <c r="P337" s="112" t="s">
        <v>2062</v>
      </c>
      <c r="Q337" s="112" t="s">
        <v>2103</v>
      </c>
    </row>
    <row r="338" spans="1:18">
      <c r="A338" s="112" t="s">
        <v>2100</v>
      </c>
      <c r="B338" s="112" t="s">
        <v>1748</v>
      </c>
      <c r="C338" s="112" t="s">
        <v>1706</v>
      </c>
      <c r="D338" s="112">
        <v>80</v>
      </c>
      <c r="E338" s="112" t="s">
        <v>1707</v>
      </c>
      <c r="F338" s="112" t="s">
        <v>440</v>
      </c>
      <c r="G338" s="112">
        <v>-5.3847515783576503</v>
      </c>
      <c r="H338" s="112">
        <v>-2.9244576530670701</v>
      </c>
      <c r="I338" s="112">
        <v>0</v>
      </c>
      <c r="J338" s="112">
        <v>1</v>
      </c>
      <c r="K338" s="112" t="s">
        <v>1749</v>
      </c>
      <c r="L338" s="112">
        <v>2.9059072482725299E-2</v>
      </c>
      <c r="M338" s="112">
        <v>1.9914386295727302E-3</v>
      </c>
      <c r="N338" s="112" t="s">
        <v>2100</v>
      </c>
      <c r="O338" s="112" t="s">
        <v>1817</v>
      </c>
      <c r="P338" s="112" t="s">
        <v>2062</v>
      </c>
      <c r="Q338" s="112" t="s">
        <v>2101</v>
      </c>
    </row>
    <row r="339" spans="1:18">
      <c r="A339" s="112" t="s">
        <v>2104</v>
      </c>
      <c r="B339" s="112" t="s">
        <v>1705</v>
      </c>
      <c r="C339" s="112" t="s">
        <v>1706</v>
      </c>
      <c r="D339" s="112">
        <v>80</v>
      </c>
      <c r="E339" s="112" t="s">
        <v>1707</v>
      </c>
      <c r="F339" s="112" t="s">
        <v>1708</v>
      </c>
      <c r="G339" s="112">
        <v>5.3769539653662104</v>
      </c>
      <c r="H339" s="112">
        <v>2.3594888800027798</v>
      </c>
      <c r="I339" s="112">
        <v>1.8589786017634</v>
      </c>
      <c r="J339" s="112" t="s">
        <v>848</v>
      </c>
      <c r="K339" s="112" t="s">
        <v>1709</v>
      </c>
      <c r="L339" s="112">
        <v>3.07414264748192E-2</v>
      </c>
      <c r="M339" s="112">
        <v>3.7247013437143898E-3</v>
      </c>
      <c r="N339" s="112" t="s">
        <v>2104</v>
      </c>
      <c r="O339" s="112" t="s">
        <v>1817</v>
      </c>
      <c r="P339" s="112" t="s">
        <v>2062</v>
      </c>
      <c r="Q339" s="112" t="s">
        <v>2105</v>
      </c>
      <c r="R339" s="112" t="s">
        <v>2106</v>
      </c>
    </row>
    <row r="340" spans="1:18">
      <c r="A340" s="112" t="s">
        <v>2107</v>
      </c>
      <c r="B340" s="112" t="s">
        <v>1755</v>
      </c>
      <c r="C340" s="112" t="s">
        <v>1706</v>
      </c>
      <c r="D340" s="112">
        <v>30</v>
      </c>
      <c r="E340" s="112" t="s">
        <v>1707</v>
      </c>
      <c r="F340" s="112" t="s">
        <v>1721</v>
      </c>
      <c r="G340" s="112">
        <v>-3.52068158115594</v>
      </c>
      <c r="H340" s="112">
        <v>-2.2256279168782802</v>
      </c>
      <c r="I340" s="112">
        <v>-4.4602586014255996</v>
      </c>
      <c r="J340" s="112" t="s">
        <v>848</v>
      </c>
      <c r="K340" s="112" t="s">
        <v>1756</v>
      </c>
      <c r="L340" s="112">
        <v>3.14688812495603E-2</v>
      </c>
      <c r="M340" s="112">
        <v>2.3099752514120601E-3</v>
      </c>
      <c r="N340" s="112" t="s">
        <v>2107</v>
      </c>
      <c r="O340" s="112" t="s">
        <v>1817</v>
      </c>
      <c r="P340" s="112" t="s">
        <v>2062</v>
      </c>
      <c r="Q340" s="112" t="s">
        <v>2108</v>
      </c>
      <c r="R340" s="112" t="s">
        <v>2109</v>
      </c>
    </row>
    <row r="341" spans="1:18">
      <c r="A341" s="112" t="s">
        <v>2107</v>
      </c>
      <c r="B341" s="112" t="s">
        <v>1731</v>
      </c>
      <c r="C341" s="112" t="s">
        <v>1706</v>
      </c>
      <c r="D341" s="112">
        <v>30</v>
      </c>
      <c r="E341" s="112" t="s">
        <v>1707</v>
      </c>
      <c r="F341" s="112" t="s">
        <v>1708</v>
      </c>
      <c r="G341" s="112">
        <v>-1.99405307042319</v>
      </c>
      <c r="H341" s="112">
        <v>-1.3030995838991899</v>
      </c>
      <c r="I341" s="112">
        <v>-2.5899842615283299</v>
      </c>
      <c r="J341" s="112" t="s">
        <v>848</v>
      </c>
      <c r="K341" s="112" t="s">
        <v>1732</v>
      </c>
      <c r="L341" s="112">
        <v>3.1524969180582799E-2</v>
      </c>
      <c r="M341" s="112">
        <v>2.80283733510057E-3</v>
      </c>
      <c r="N341" s="112" t="s">
        <v>2107</v>
      </c>
      <c r="O341" s="112" t="s">
        <v>1817</v>
      </c>
      <c r="P341" s="112" t="s">
        <v>2062</v>
      </c>
      <c r="Q341" s="112" t="s">
        <v>2108</v>
      </c>
      <c r="R341" s="112" t="s">
        <v>2109</v>
      </c>
    </row>
    <row r="342" spans="1:18">
      <c r="A342" s="112" t="s">
        <v>2086</v>
      </c>
      <c r="B342" s="112" t="s">
        <v>1720</v>
      </c>
      <c r="C342" s="112" t="s">
        <v>1706</v>
      </c>
      <c r="D342" s="112">
        <v>55</v>
      </c>
      <c r="E342" s="112" t="s">
        <v>1707</v>
      </c>
      <c r="F342" s="112" t="s">
        <v>1721</v>
      </c>
      <c r="G342" s="112">
        <v>3.5253621571684399</v>
      </c>
      <c r="H342" s="112">
        <v>1.98123461456851</v>
      </c>
      <c r="I342" s="112">
        <v>1.11230974665309</v>
      </c>
      <c r="J342" s="112" t="s">
        <v>848</v>
      </c>
      <c r="K342" s="112" t="s">
        <v>1722</v>
      </c>
      <c r="L342" s="112">
        <v>3.1971113593947199E-2</v>
      </c>
      <c r="M342" s="112">
        <v>1.0277703140522401E-3</v>
      </c>
      <c r="N342" s="112" t="s">
        <v>2086</v>
      </c>
      <c r="O342" s="112" t="s">
        <v>1817</v>
      </c>
      <c r="P342" s="112" t="s">
        <v>2062</v>
      </c>
      <c r="Q342" s="112" t="s">
        <v>2087</v>
      </c>
    </row>
    <row r="343" spans="1:18">
      <c r="A343" s="112" t="s">
        <v>2066</v>
      </c>
      <c r="B343" s="112" t="s">
        <v>1755</v>
      </c>
      <c r="C343" s="112" t="s">
        <v>1706</v>
      </c>
      <c r="D343" s="112">
        <v>30</v>
      </c>
      <c r="E343" s="112" t="s">
        <v>1707</v>
      </c>
      <c r="F343" s="112" t="s">
        <v>1721</v>
      </c>
      <c r="G343" s="112">
        <v>-7.2124506473779304</v>
      </c>
      <c r="H343" s="112">
        <v>-2.7735104438352201</v>
      </c>
      <c r="I343" s="112">
        <v>0</v>
      </c>
      <c r="J343" s="112">
        <v>1</v>
      </c>
      <c r="K343" s="112" t="s">
        <v>1756</v>
      </c>
      <c r="L343" s="112">
        <v>3.5820441227543298E-2</v>
      </c>
      <c r="M343" s="112">
        <v>2.7904636250391402E-3</v>
      </c>
      <c r="N343" s="112" t="s">
        <v>2066</v>
      </c>
      <c r="O343" s="112" t="s">
        <v>1817</v>
      </c>
      <c r="P343" s="112" t="s">
        <v>2062</v>
      </c>
      <c r="Q343" s="112" t="s">
        <v>2067</v>
      </c>
      <c r="R343" s="112" t="s">
        <v>1964</v>
      </c>
    </row>
    <row r="344" spans="1:18">
      <c r="A344" s="112" t="s">
        <v>2064</v>
      </c>
      <c r="B344" s="112" t="s">
        <v>1762</v>
      </c>
      <c r="C344" s="112" t="s">
        <v>1706</v>
      </c>
      <c r="D344" s="112">
        <v>55</v>
      </c>
      <c r="E344" s="112" t="s">
        <v>1707</v>
      </c>
      <c r="F344" s="112" t="s">
        <v>1708</v>
      </c>
      <c r="G344" s="112">
        <v>3.0998251430169299</v>
      </c>
      <c r="H344" s="112">
        <v>1.8113714144926201</v>
      </c>
      <c r="I344" s="112">
        <v>0.81106167946799601</v>
      </c>
      <c r="J344" s="112" t="s">
        <v>848</v>
      </c>
      <c r="K344" s="112" t="s">
        <v>1763</v>
      </c>
      <c r="L344" s="112">
        <v>3.71215652028382E-2</v>
      </c>
      <c r="M344" s="112">
        <v>1.2775603608769E-3</v>
      </c>
      <c r="N344" s="112" t="s">
        <v>2064</v>
      </c>
      <c r="O344" s="112" t="s">
        <v>1817</v>
      </c>
      <c r="P344" s="112" t="s">
        <v>2062</v>
      </c>
      <c r="Q344" s="112" t="s">
        <v>2065</v>
      </c>
    </row>
    <row r="345" spans="1:18">
      <c r="A345" s="112" t="s">
        <v>2110</v>
      </c>
      <c r="B345" s="112" t="s">
        <v>1705</v>
      </c>
      <c r="C345" s="112" t="s">
        <v>1706</v>
      </c>
      <c r="D345" s="112">
        <v>80</v>
      </c>
      <c r="E345" s="112" t="s">
        <v>1707</v>
      </c>
      <c r="F345" s="112" t="s">
        <v>1708</v>
      </c>
      <c r="G345" s="112">
        <v>-4.1764511415527501</v>
      </c>
      <c r="H345" s="112">
        <v>-2.1709421694836801</v>
      </c>
      <c r="I345" s="112">
        <v>0</v>
      </c>
      <c r="J345" s="112">
        <v>1</v>
      </c>
      <c r="K345" s="112" t="s">
        <v>1709</v>
      </c>
      <c r="L345" s="112">
        <v>3.9425291188158101E-2</v>
      </c>
      <c r="M345" s="112">
        <v>5.4469152299428999E-3</v>
      </c>
      <c r="N345" s="112" t="s">
        <v>2110</v>
      </c>
      <c r="O345" s="112" t="s">
        <v>1817</v>
      </c>
      <c r="P345" s="112" t="s">
        <v>2062</v>
      </c>
      <c r="Q345" s="112" t="s">
        <v>2111</v>
      </c>
    </row>
    <row r="346" spans="1:18">
      <c r="A346" s="112" t="s">
        <v>2112</v>
      </c>
      <c r="B346" s="112" t="s">
        <v>1705</v>
      </c>
      <c r="C346" s="112" t="s">
        <v>1706</v>
      </c>
      <c r="D346" s="112">
        <v>80</v>
      </c>
      <c r="E346" s="112" t="s">
        <v>1707</v>
      </c>
      <c r="F346" s="112" t="s">
        <v>1708</v>
      </c>
      <c r="G346" s="112">
        <v>-1.62972441792186</v>
      </c>
      <c r="H346" s="112">
        <v>-1.2685235117456399</v>
      </c>
      <c r="I346" s="112">
        <v>-1.8502124965340701</v>
      </c>
      <c r="J346" s="112" t="s">
        <v>848</v>
      </c>
      <c r="K346" s="112" t="s">
        <v>1709</v>
      </c>
      <c r="L346" s="112">
        <v>3.9425291188158101E-2</v>
      </c>
      <c r="M346" s="112">
        <v>5.4328539788851696E-3</v>
      </c>
      <c r="N346" s="112" t="s">
        <v>2112</v>
      </c>
      <c r="O346" s="112" t="s">
        <v>1817</v>
      </c>
      <c r="P346" s="112" t="s">
        <v>2062</v>
      </c>
      <c r="Q346" s="112" t="s">
        <v>2113</v>
      </c>
    </row>
    <row r="347" spans="1:18">
      <c r="A347" s="112" t="s">
        <v>2071</v>
      </c>
      <c r="B347" s="112" t="s">
        <v>1743</v>
      </c>
      <c r="C347" s="112" t="s">
        <v>1706</v>
      </c>
      <c r="D347" s="112">
        <v>55</v>
      </c>
      <c r="E347" s="112" t="s">
        <v>1707</v>
      </c>
      <c r="F347" s="112" t="s">
        <v>440</v>
      </c>
      <c r="G347" s="112">
        <v>3.8700034882864598</v>
      </c>
      <c r="H347" s="112">
        <v>2.0659690139770199</v>
      </c>
      <c r="I347" s="112">
        <v>0.97478765767298503</v>
      </c>
      <c r="J347" s="112" t="s">
        <v>848</v>
      </c>
      <c r="K347" s="112" t="s">
        <v>1744</v>
      </c>
      <c r="L347" s="112">
        <v>3.95243398952888E-2</v>
      </c>
      <c r="M347" s="112">
        <v>1.3657339286554499E-3</v>
      </c>
      <c r="N347" s="112" t="s">
        <v>2071</v>
      </c>
      <c r="O347" s="112" t="s">
        <v>1817</v>
      </c>
      <c r="P347" s="112" t="s">
        <v>2062</v>
      </c>
      <c r="Q347" s="112" t="s">
        <v>2072</v>
      </c>
      <c r="R347" s="112" t="s">
        <v>2073</v>
      </c>
    </row>
    <row r="348" spans="1:18">
      <c r="A348" s="112" t="s">
        <v>2092</v>
      </c>
      <c r="B348" s="112" t="s">
        <v>1755</v>
      </c>
      <c r="C348" s="112" t="s">
        <v>1706</v>
      </c>
      <c r="D348" s="112">
        <v>30</v>
      </c>
      <c r="E348" s="112" t="s">
        <v>1707</v>
      </c>
      <c r="F348" s="112" t="s">
        <v>1721</v>
      </c>
      <c r="G348" s="112">
        <v>-7.4686511930176502</v>
      </c>
      <c r="H348" s="112">
        <v>-2.6255590472455701</v>
      </c>
      <c r="I348" s="112">
        <v>0</v>
      </c>
      <c r="J348" s="112">
        <v>1</v>
      </c>
      <c r="K348" s="112" t="s">
        <v>1756</v>
      </c>
      <c r="L348" s="112">
        <v>4.0385184138481099E-2</v>
      </c>
      <c r="M348" s="112">
        <v>3.4991932202658501E-3</v>
      </c>
      <c r="N348" s="112" t="s">
        <v>2092</v>
      </c>
      <c r="O348" s="112" t="s">
        <v>1817</v>
      </c>
      <c r="P348" s="112" t="s">
        <v>2062</v>
      </c>
      <c r="Q348" s="112" t="s">
        <v>2093</v>
      </c>
    </row>
    <row r="349" spans="1:18">
      <c r="A349" s="112" t="s">
        <v>2114</v>
      </c>
      <c r="B349" s="112" t="s">
        <v>1731</v>
      </c>
      <c r="C349" s="112" t="s">
        <v>1706</v>
      </c>
      <c r="D349" s="112">
        <v>30</v>
      </c>
      <c r="E349" s="112" t="s">
        <v>1707</v>
      </c>
      <c r="F349" s="112" t="s">
        <v>1708</v>
      </c>
      <c r="G349" s="112">
        <v>4.3335644087279297</v>
      </c>
      <c r="H349" s="112">
        <v>1.5663908791972201</v>
      </c>
      <c r="I349" s="112">
        <v>2.05138116641184</v>
      </c>
      <c r="J349" s="112" t="s">
        <v>848</v>
      </c>
      <c r="K349" s="112" t="s">
        <v>1732</v>
      </c>
      <c r="L349" s="112">
        <v>4.1756398216289597E-2</v>
      </c>
      <c r="M349" s="112">
        <v>4.0827003025465996E-3</v>
      </c>
      <c r="N349" s="112" t="s">
        <v>2114</v>
      </c>
      <c r="O349" s="112" t="s">
        <v>1817</v>
      </c>
      <c r="P349" s="112" t="s">
        <v>2062</v>
      </c>
      <c r="Q349" s="112" t="s">
        <v>2115</v>
      </c>
    </row>
    <row r="350" spans="1:18">
      <c r="A350" s="112" t="s">
        <v>2110</v>
      </c>
      <c r="B350" s="112" t="s">
        <v>1748</v>
      </c>
      <c r="C350" s="112" t="s">
        <v>1706</v>
      </c>
      <c r="D350" s="112">
        <v>80</v>
      </c>
      <c r="E350" s="112" t="s">
        <v>1707</v>
      </c>
      <c r="F350" s="112" t="s">
        <v>440</v>
      </c>
      <c r="G350" s="112">
        <v>-5.7380755684776403</v>
      </c>
      <c r="H350" s="112">
        <v>-2.57210853704425</v>
      </c>
      <c r="I350" s="112">
        <v>0</v>
      </c>
      <c r="J350" s="112">
        <v>1</v>
      </c>
      <c r="K350" s="112" t="s">
        <v>1749</v>
      </c>
      <c r="L350" s="112">
        <v>4.6894656754836297E-2</v>
      </c>
      <c r="M350" s="112">
        <v>3.89682418798194E-3</v>
      </c>
      <c r="N350" s="112" t="s">
        <v>2110</v>
      </c>
      <c r="O350" s="112" t="s">
        <v>1817</v>
      </c>
      <c r="P350" s="112" t="s">
        <v>2062</v>
      </c>
      <c r="Q350" s="112" t="s">
        <v>2111</v>
      </c>
    </row>
    <row r="351" spans="1:18">
      <c r="A351" s="112" t="s">
        <v>2079</v>
      </c>
      <c r="B351" s="112" t="s">
        <v>1796</v>
      </c>
      <c r="C351" s="112" t="s">
        <v>1706</v>
      </c>
      <c r="D351" s="112">
        <v>80</v>
      </c>
      <c r="E351" s="112" t="s">
        <v>1707</v>
      </c>
      <c r="F351" s="112" t="s">
        <v>1721</v>
      </c>
      <c r="G351" s="112">
        <v>13.164049830002799</v>
      </c>
      <c r="H351" s="112">
        <v>1.09991402334275</v>
      </c>
      <c r="I351" s="112">
        <v>0.94677280096203398</v>
      </c>
      <c r="J351" s="112" t="s">
        <v>848</v>
      </c>
      <c r="K351" s="112" t="s">
        <v>1797</v>
      </c>
      <c r="L351" s="112">
        <v>4.7220768402018998E-2</v>
      </c>
      <c r="M351" s="112">
        <v>3.2586474815835299E-3</v>
      </c>
      <c r="N351" s="112" t="s">
        <v>2079</v>
      </c>
      <c r="O351" s="112" t="s">
        <v>1817</v>
      </c>
      <c r="P351" s="112" t="s">
        <v>2062</v>
      </c>
      <c r="Q351" s="112" t="s">
        <v>2080</v>
      </c>
      <c r="R351" s="112" t="s">
        <v>2081</v>
      </c>
    </row>
    <row r="352" spans="1:18">
      <c r="A352" s="112" t="s">
        <v>2116</v>
      </c>
      <c r="B352" s="112" t="s">
        <v>1735</v>
      </c>
      <c r="C352" s="112" t="s">
        <v>1706</v>
      </c>
      <c r="D352" s="112">
        <v>30</v>
      </c>
      <c r="E352" s="112" t="s">
        <v>1707</v>
      </c>
      <c r="F352" s="112" t="s">
        <v>440</v>
      </c>
      <c r="G352" s="112">
        <v>4.0053557068196604</v>
      </c>
      <c r="H352" s="112">
        <v>1.9324798883007701</v>
      </c>
      <c r="I352" s="112">
        <v>2.5732691184847698</v>
      </c>
      <c r="J352" s="112" t="s">
        <v>848</v>
      </c>
      <c r="K352" s="112" t="s">
        <v>1736</v>
      </c>
      <c r="L352" s="112">
        <v>4.7340455961506898E-2</v>
      </c>
      <c r="M352" s="112">
        <v>1.2627436427138201E-3</v>
      </c>
      <c r="N352" s="112" t="s">
        <v>2116</v>
      </c>
      <c r="O352" s="112" t="s">
        <v>1817</v>
      </c>
      <c r="P352" s="112" t="s">
        <v>2062</v>
      </c>
      <c r="Q352" s="112" t="s">
        <v>2117</v>
      </c>
    </row>
    <row r="353" spans="1:18">
      <c r="A353" s="112" t="s">
        <v>2074</v>
      </c>
      <c r="B353" s="112" t="s">
        <v>1735</v>
      </c>
      <c r="C353" s="112" t="s">
        <v>1706</v>
      </c>
      <c r="D353" s="112">
        <v>30</v>
      </c>
      <c r="E353" s="112" t="s">
        <v>1707</v>
      </c>
      <c r="F353" s="112" t="s">
        <v>440</v>
      </c>
      <c r="G353" s="112">
        <v>3.69204408177746</v>
      </c>
      <c r="H353" s="112">
        <v>1.9151848586376401</v>
      </c>
      <c r="I353" s="112">
        <v>1.84569642638187</v>
      </c>
      <c r="J353" s="112" t="s">
        <v>848</v>
      </c>
      <c r="K353" s="112" t="s">
        <v>1736</v>
      </c>
      <c r="L353" s="112">
        <v>4.7504946308520701E-2</v>
      </c>
      <c r="M353" s="112">
        <v>1.3282633013895599E-3</v>
      </c>
      <c r="N353" s="112" t="s">
        <v>2074</v>
      </c>
      <c r="O353" s="112" t="s">
        <v>1817</v>
      </c>
      <c r="P353" s="112" t="s">
        <v>2062</v>
      </c>
      <c r="Q353" s="112" t="s">
        <v>2075</v>
      </c>
      <c r="R353" s="112" t="s">
        <v>2076</v>
      </c>
    </row>
    <row r="354" spans="1:18">
      <c r="A354" s="112" t="s">
        <v>2118</v>
      </c>
      <c r="B354" s="112" t="s">
        <v>1705</v>
      </c>
      <c r="C354" s="112" t="s">
        <v>1706</v>
      </c>
      <c r="D354" s="112">
        <v>80</v>
      </c>
      <c r="E354" s="112" t="s">
        <v>1707</v>
      </c>
      <c r="F354" s="112" t="s">
        <v>1708</v>
      </c>
      <c r="G354" s="112">
        <v>-1.7488977860200501</v>
      </c>
      <c r="H354" s="112">
        <v>-1.3144139748240999</v>
      </c>
      <c r="I354" s="112">
        <v>-2.0298452675107899</v>
      </c>
      <c r="J354" s="112" t="s">
        <v>848</v>
      </c>
      <c r="K354" s="112" t="s">
        <v>1709</v>
      </c>
      <c r="L354" s="112">
        <v>4.7924523696244198E-2</v>
      </c>
      <c r="M354" s="112">
        <v>7.2191599058839704E-3</v>
      </c>
      <c r="N354" s="112" t="s">
        <v>2118</v>
      </c>
      <c r="O354" s="112" t="s">
        <v>1817</v>
      </c>
      <c r="P354" s="112" t="s">
        <v>2062</v>
      </c>
      <c r="Q354" s="112" t="s">
        <v>2119</v>
      </c>
    </row>
    <row r="355" spans="1:18">
      <c r="A355" s="112" t="s">
        <v>2100</v>
      </c>
      <c r="B355" s="112" t="s">
        <v>1762</v>
      </c>
      <c r="C355" s="112" t="s">
        <v>1706</v>
      </c>
      <c r="D355" s="112">
        <v>55</v>
      </c>
      <c r="E355" s="112" t="s">
        <v>1707</v>
      </c>
      <c r="F355" s="112" t="s">
        <v>1708</v>
      </c>
      <c r="G355" s="112">
        <v>3.0549153715112198</v>
      </c>
      <c r="H355" s="112">
        <v>1.65986028695516</v>
      </c>
      <c r="I355" s="112">
        <v>1.1770943213988301</v>
      </c>
      <c r="J355" s="112" t="s">
        <v>848</v>
      </c>
      <c r="K355" s="112" t="s">
        <v>1763</v>
      </c>
      <c r="L355" s="112">
        <v>4.9852776496722297E-2</v>
      </c>
      <c r="M355" s="112">
        <v>1.9099440346146801E-3</v>
      </c>
      <c r="N355" s="112" t="s">
        <v>2100</v>
      </c>
      <c r="O355" s="112" t="s">
        <v>1817</v>
      </c>
      <c r="P355" s="112" t="s">
        <v>2062</v>
      </c>
      <c r="Q355" s="112" t="s">
        <v>2101</v>
      </c>
    </row>
    <row r="356" spans="1:18">
      <c r="A356" s="112" t="s">
        <v>2092</v>
      </c>
      <c r="B356" s="112" t="s">
        <v>1735</v>
      </c>
      <c r="C356" s="112" t="s">
        <v>1706</v>
      </c>
      <c r="D356" s="112">
        <v>30</v>
      </c>
      <c r="E356" s="112" t="s">
        <v>1707</v>
      </c>
      <c r="F356" s="112" t="s">
        <v>440</v>
      </c>
      <c r="G356" s="112">
        <v>3.70948581666884</v>
      </c>
      <c r="H356" s="112">
        <v>1.84172123602688</v>
      </c>
      <c r="I356" s="112">
        <v>1.99537376310762</v>
      </c>
      <c r="J356" s="112" t="s">
        <v>848</v>
      </c>
      <c r="K356" s="112" t="s">
        <v>1736</v>
      </c>
      <c r="L356" s="112">
        <v>4.9948686719749398E-2</v>
      </c>
      <c r="M356" s="112">
        <v>1.58828060841308E-3</v>
      </c>
      <c r="N356" s="112" t="s">
        <v>2092</v>
      </c>
      <c r="O356" s="112" t="s">
        <v>1817</v>
      </c>
      <c r="P356" s="112" t="s">
        <v>2062</v>
      </c>
      <c r="Q356" s="112" t="s">
        <v>2093</v>
      </c>
    </row>
    <row r="357" spans="1:18">
      <c r="A357" s="112" t="s">
        <v>2120</v>
      </c>
      <c r="B357" s="112" t="s">
        <v>1705</v>
      </c>
      <c r="C357" s="112" t="s">
        <v>1706</v>
      </c>
      <c r="D357" s="112">
        <v>80</v>
      </c>
      <c r="E357" s="112" t="s">
        <v>1707</v>
      </c>
      <c r="F357" s="112" t="s">
        <v>1708</v>
      </c>
      <c r="G357" s="112">
        <v>2.9169110094697301</v>
      </c>
      <c r="H357" s="112">
        <v>1.95650819420611</v>
      </c>
      <c r="I357" s="112">
        <v>1.59514854806535</v>
      </c>
      <c r="J357" s="112" t="s">
        <v>848</v>
      </c>
      <c r="K357" s="112" t="s">
        <v>1709</v>
      </c>
      <c r="L357" s="112">
        <v>3.54052726551288E-2</v>
      </c>
      <c r="M357" s="112">
        <v>4.6391777218069002E-3</v>
      </c>
      <c r="N357" s="112" t="s">
        <v>2120</v>
      </c>
      <c r="O357" s="112" t="s">
        <v>1710</v>
      </c>
      <c r="P357" s="112" t="s">
        <v>2062</v>
      </c>
      <c r="Q357" s="112" t="s">
        <v>2121</v>
      </c>
    </row>
    <row r="358" spans="1:18">
      <c r="A358" s="112" t="s">
        <v>2122</v>
      </c>
      <c r="B358" s="112" t="s">
        <v>1705</v>
      </c>
      <c r="C358" s="112" t="s">
        <v>1706</v>
      </c>
      <c r="D358" s="112">
        <v>80</v>
      </c>
      <c r="E358" s="112" t="s">
        <v>1707</v>
      </c>
      <c r="F358" s="112" t="s">
        <v>1708</v>
      </c>
      <c r="G358" s="112">
        <v>-2.83983350448479</v>
      </c>
      <c r="H358" s="112">
        <v>-1.8719162768459501</v>
      </c>
      <c r="I358" s="112">
        <v>-3.7716380869504702</v>
      </c>
      <c r="J358" s="112" t="s">
        <v>848</v>
      </c>
      <c r="K358" s="112" t="s">
        <v>1709</v>
      </c>
      <c r="L358" s="112">
        <v>4.1939495073299103E-2</v>
      </c>
      <c r="M358" s="112">
        <v>5.93223121102587E-3</v>
      </c>
      <c r="N358" s="112" t="s">
        <v>2122</v>
      </c>
      <c r="O358" s="112" t="s">
        <v>1710</v>
      </c>
      <c r="P358" s="112" t="s">
        <v>2062</v>
      </c>
      <c r="Q358" s="112" t="s">
        <v>2123</v>
      </c>
    </row>
    <row r="359" spans="1:18">
      <c r="A359" s="112" t="s">
        <v>2124</v>
      </c>
      <c r="B359" s="112" t="s">
        <v>1731</v>
      </c>
      <c r="C359" s="112" t="s">
        <v>1706</v>
      </c>
      <c r="D359" s="112">
        <v>30</v>
      </c>
      <c r="E359" s="112" t="s">
        <v>1707</v>
      </c>
      <c r="F359" s="112" t="s">
        <v>1708</v>
      </c>
      <c r="G359" s="112">
        <v>-1.20220091202048</v>
      </c>
      <c r="H359" s="112">
        <v>-0.94587214821161203</v>
      </c>
      <c r="I359" s="112">
        <v>-1.61758090657911</v>
      </c>
      <c r="J359" s="112" t="s">
        <v>848</v>
      </c>
      <c r="K359" s="112" t="s">
        <v>1732</v>
      </c>
      <c r="L359" s="112">
        <v>3.1524969180582799E-2</v>
      </c>
      <c r="M359" s="112">
        <v>2.8066745216417102E-3</v>
      </c>
      <c r="N359" s="112" t="s">
        <v>2124</v>
      </c>
      <c r="O359" s="112" t="s">
        <v>1710</v>
      </c>
      <c r="P359" s="112" t="s">
        <v>2062</v>
      </c>
      <c r="Q359" s="112" t="s">
        <v>2125</v>
      </c>
    </row>
    <row r="360" spans="1:18">
      <c r="A360" s="112" t="s">
        <v>2126</v>
      </c>
      <c r="B360" s="112" t="s">
        <v>1705</v>
      </c>
      <c r="C360" s="112" t="s">
        <v>1706</v>
      </c>
      <c r="D360" s="112">
        <v>80</v>
      </c>
      <c r="E360" s="112" t="s">
        <v>1707</v>
      </c>
      <c r="F360" s="112" t="s">
        <v>1708</v>
      </c>
      <c r="G360" s="112">
        <v>-5.2223783098074996</v>
      </c>
      <c r="H360" s="112">
        <v>-3.4337458979459301</v>
      </c>
      <c r="I360" s="112">
        <v>0</v>
      </c>
      <c r="J360" s="112">
        <v>1</v>
      </c>
      <c r="K360" s="112" t="s">
        <v>1709</v>
      </c>
      <c r="L360" s="112">
        <v>2.9992258467932999E-3</v>
      </c>
      <c r="M360" s="229">
        <v>1.4135987262123699E-4</v>
      </c>
      <c r="N360" s="112" t="s">
        <v>2126</v>
      </c>
      <c r="O360" s="112" t="s">
        <v>2061</v>
      </c>
      <c r="P360" s="112" t="s">
        <v>2127</v>
      </c>
      <c r="Q360" s="112" t="s">
        <v>2128</v>
      </c>
    </row>
    <row r="361" spans="1:18">
      <c r="A361" s="112" t="s">
        <v>2129</v>
      </c>
      <c r="B361" s="112" t="s">
        <v>1748</v>
      </c>
      <c r="C361" s="112" t="s">
        <v>1706</v>
      </c>
      <c r="D361" s="112">
        <v>80</v>
      </c>
      <c r="E361" s="112" t="s">
        <v>1707</v>
      </c>
      <c r="F361" s="112" t="s">
        <v>440</v>
      </c>
      <c r="G361" s="112">
        <v>-3.0591813192361101</v>
      </c>
      <c r="H361" s="112">
        <v>-2.5276082071237602</v>
      </c>
      <c r="I361" s="112">
        <v>-3.88337063364113</v>
      </c>
      <c r="J361" s="112" t="s">
        <v>848</v>
      </c>
      <c r="K361" s="112" t="s">
        <v>1749</v>
      </c>
      <c r="L361" s="112">
        <v>7.5446109525841498E-3</v>
      </c>
      <c r="M361" s="229">
        <v>2.8126839077616299E-4</v>
      </c>
      <c r="N361" s="112" t="s">
        <v>2129</v>
      </c>
      <c r="O361" s="112" t="s">
        <v>2061</v>
      </c>
      <c r="P361" s="112" t="s">
        <v>2127</v>
      </c>
      <c r="Q361" s="112" t="s">
        <v>2130</v>
      </c>
    </row>
    <row r="362" spans="1:18">
      <c r="A362" s="112" t="s">
        <v>2129</v>
      </c>
      <c r="B362" s="112" t="s">
        <v>1735</v>
      </c>
      <c r="C362" s="112" t="s">
        <v>1706</v>
      </c>
      <c r="D362" s="112">
        <v>30</v>
      </c>
      <c r="E362" s="112" t="s">
        <v>1707</v>
      </c>
      <c r="F362" s="112" t="s">
        <v>440</v>
      </c>
      <c r="G362" s="112">
        <v>2.6001597764621298</v>
      </c>
      <c r="H362" s="112">
        <v>1.7535326758149401</v>
      </c>
      <c r="I362" s="112">
        <v>1.58925950517202</v>
      </c>
      <c r="J362" s="112" t="s">
        <v>848</v>
      </c>
      <c r="K362" s="112" t="s">
        <v>1736</v>
      </c>
      <c r="L362" s="112">
        <v>4.7504946308520701E-2</v>
      </c>
      <c r="M362" s="112">
        <v>1.3100939726950101E-3</v>
      </c>
      <c r="N362" s="112" t="s">
        <v>2129</v>
      </c>
      <c r="O362" s="112" t="s">
        <v>2061</v>
      </c>
      <c r="P362" s="112" t="s">
        <v>2127</v>
      </c>
      <c r="Q362" s="112" t="s">
        <v>2130</v>
      </c>
    </row>
    <row r="363" spans="1:18">
      <c r="A363" s="112" t="s">
        <v>2131</v>
      </c>
      <c r="B363" s="112" t="s">
        <v>1735</v>
      </c>
      <c r="C363" s="112" t="s">
        <v>1706</v>
      </c>
      <c r="D363" s="112">
        <v>30</v>
      </c>
      <c r="E363" s="112" t="s">
        <v>1707</v>
      </c>
      <c r="F363" s="112" t="s">
        <v>440</v>
      </c>
      <c r="G363" s="112">
        <v>4.6518237224668999</v>
      </c>
      <c r="H363" s="112">
        <v>3.7006925834658202</v>
      </c>
      <c r="I363" s="112">
        <v>2.26723953829159</v>
      </c>
      <c r="J363" s="112" t="s">
        <v>848</v>
      </c>
      <c r="K363" s="112" t="s">
        <v>1736</v>
      </c>
      <c r="L363" s="229">
        <v>1.0914557913967499E-5</v>
      </c>
      <c r="M363" s="229">
        <v>3.5903151032787897E-8</v>
      </c>
      <c r="N363" s="112" t="s">
        <v>2131</v>
      </c>
      <c r="O363" s="112" t="s">
        <v>2033</v>
      </c>
      <c r="P363" s="112" t="s">
        <v>2127</v>
      </c>
      <c r="Q363" s="112" t="s">
        <v>2132</v>
      </c>
      <c r="R363" s="112" t="s">
        <v>2133</v>
      </c>
    </row>
    <row r="364" spans="1:18">
      <c r="A364" s="112" t="s">
        <v>2131</v>
      </c>
      <c r="B364" s="112" t="s">
        <v>1720</v>
      </c>
      <c r="C364" s="112" t="s">
        <v>1706</v>
      </c>
      <c r="D364" s="112">
        <v>55</v>
      </c>
      <c r="E364" s="112" t="s">
        <v>1707</v>
      </c>
      <c r="F364" s="112" t="s">
        <v>1721</v>
      </c>
      <c r="G364" s="112">
        <v>2.9434021993009201</v>
      </c>
      <c r="H364" s="112">
        <v>2.3424542079810098</v>
      </c>
      <c r="I364" s="112">
        <v>0.71758239259016898</v>
      </c>
      <c r="J364" s="112" t="s">
        <v>848</v>
      </c>
      <c r="K364" s="112" t="s">
        <v>1722</v>
      </c>
      <c r="L364" s="112">
        <v>3.36756683342938E-3</v>
      </c>
      <c r="M364" s="229">
        <v>5.3541358645532903E-5</v>
      </c>
      <c r="N364" s="112" t="s">
        <v>2131</v>
      </c>
      <c r="O364" s="112" t="s">
        <v>2033</v>
      </c>
      <c r="P364" s="112" t="s">
        <v>2127</v>
      </c>
      <c r="Q364" s="112" t="s">
        <v>2132</v>
      </c>
      <c r="R364" s="112" t="s">
        <v>2133</v>
      </c>
    </row>
    <row r="365" spans="1:18">
      <c r="A365" s="112" t="s">
        <v>2134</v>
      </c>
      <c r="B365" s="112" t="s">
        <v>1731</v>
      </c>
      <c r="C365" s="112" t="s">
        <v>1706</v>
      </c>
      <c r="D365" s="112">
        <v>30</v>
      </c>
      <c r="E365" s="112" t="s">
        <v>1707</v>
      </c>
      <c r="F365" s="112" t="s">
        <v>1708</v>
      </c>
      <c r="G365" s="112">
        <v>-2.04721965304687</v>
      </c>
      <c r="H365" s="112">
        <v>-1.53283587541837</v>
      </c>
      <c r="I365" s="112">
        <v>-2.3812008846814998</v>
      </c>
      <c r="J365" s="112" t="s">
        <v>848</v>
      </c>
      <c r="K365" s="112" t="s">
        <v>1732</v>
      </c>
      <c r="L365" s="112">
        <v>6.6771934881681696E-3</v>
      </c>
      <c r="M365" s="112">
        <v>3.5031380780532501E-4</v>
      </c>
      <c r="N365" s="112" t="s">
        <v>2134</v>
      </c>
      <c r="O365" s="112" t="s">
        <v>2033</v>
      </c>
      <c r="P365" s="112" t="s">
        <v>2127</v>
      </c>
      <c r="Q365" s="112" t="s">
        <v>2135</v>
      </c>
      <c r="R365" s="112" t="s">
        <v>2136</v>
      </c>
    </row>
    <row r="366" spans="1:18">
      <c r="A366" s="112" t="s">
        <v>2137</v>
      </c>
      <c r="B366" s="112" t="s">
        <v>1748</v>
      </c>
      <c r="C366" s="112" t="s">
        <v>1706</v>
      </c>
      <c r="D366" s="112">
        <v>80</v>
      </c>
      <c r="E366" s="112" t="s">
        <v>1707</v>
      </c>
      <c r="F366" s="112" t="s">
        <v>440</v>
      </c>
      <c r="G366" s="112">
        <v>2.5864238481651101</v>
      </c>
      <c r="H366" s="112">
        <v>2.1584959231193102</v>
      </c>
      <c r="I366" s="112">
        <v>2.22151364661512</v>
      </c>
      <c r="J366" s="112" t="s">
        <v>848</v>
      </c>
      <c r="K366" s="112" t="s">
        <v>1749</v>
      </c>
      <c r="L366" s="112">
        <v>9.3099505487228302E-3</v>
      </c>
      <c r="M366" s="229">
        <v>3.9301874575200499E-4</v>
      </c>
      <c r="N366" s="112" t="s">
        <v>2137</v>
      </c>
      <c r="O366" s="112" t="s">
        <v>2056</v>
      </c>
      <c r="P366" s="112" t="s">
        <v>2127</v>
      </c>
      <c r="Q366" s="112" t="s">
        <v>2138</v>
      </c>
      <c r="R366" s="112" t="s">
        <v>2139</v>
      </c>
    </row>
    <row r="367" spans="1:18">
      <c r="A367" s="112" t="s">
        <v>2131</v>
      </c>
      <c r="B367" s="112" t="s">
        <v>1705</v>
      </c>
      <c r="C367" s="112" t="s">
        <v>1706</v>
      </c>
      <c r="D367" s="112">
        <v>80</v>
      </c>
      <c r="E367" s="112" t="s">
        <v>1707</v>
      </c>
      <c r="F367" s="112" t="s">
        <v>1708</v>
      </c>
      <c r="G367" s="112">
        <v>-3.5876572929036499</v>
      </c>
      <c r="H367" s="112">
        <v>-2.4688006246268799</v>
      </c>
      <c r="I367" s="112">
        <v>0</v>
      </c>
      <c r="J367" s="112">
        <v>1</v>
      </c>
      <c r="K367" s="112" t="s">
        <v>1709</v>
      </c>
      <c r="L367" s="112">
        <v>1.51045709871282E-2</v>
      </c>
      <c r="M367" s="112">
        <v>1.3166813524963701E-3</v>
      </c>
      <c r="N367" s="112" t="s">
        <v>2131</v>
      </c>
      <c r="O367" s="112" t="s">
        <v>2033</v>
      </c>
      <c r="P367" s="112" t="s">
        <v>2127</v>
      </c>
      <c r="Q367" s="112" t="s">
        <v>2132</v>
      </c>
      <c r="R367" s="112" t="s">
        <v>2133</v>
      </c>
    </row>
    <row r="368" spans="1:18">
      <c r="A368" s="112" t="s">
        <v>2131</v>
      </c>
      <c r="B368" s="112" t="s">
        <v>1748</v>
      </c>
      <c r="C368" s="112" t="s">
        <v>1706</v>
      </c>
      <c r="D368" s="112">
        <v>80</v>
      </c>
      <c r="E368" s="112" t="s">
        <v>1707</v>
      </c>
      <c r="F368" s="112" t="s">
        <v>440</v>
      </c>
      <c r="G368" s="112">
        <v>-5.0018823475401399</v>
      </c>
      <c r="H368" s="112">
        <v>-3.1253148433909499</v>
      </c>
      <c r="I368" s="112">
        <v>0</v>
      </c>
      <c r="J368" s="112">
        <v>1</v>
      </c>
      <c r="K368" s="112" t="s">
        <v>1749</v>
      </c>
      <c r="L368" s="112">
        <v>1.9013466194392301E-2</v>
      </c>
      <c r="M368" s="112">
        <v>1.08410114266272E-3</v>
      </c>
      <c r="N368" s="112" t="s">
        <v>2131</v>
      </c>
      <c r="O368" s="112" t="s">
        <v>2033</v>
      </c>
      <c r="P368" s="112" t="s">
        <v>2127</v>
      </c>
      <c r="Q368" s="112" t="s">
        <v>2132</v>
      </c>
      <c r="R368" s="112" t="s">
        <v>2133</v>
      </c>
    </row>
    <row r="369" spans="1:18">
      <c r="A369" s="112" t="s">
        <v>2140</v>
      </c>
      <c r="B369" s="112" t="s">
        <v>1796</v>
      </c>
      <c r="C369" s="112" t="s">
        <v>1706</v>
      </c>
      <c r="D369" s="112">
        <v>80</v>
      </c>
      <c r="E369" s="112" t="s">
        <v>1707</v>
      </c>
      <c r="F369" s="112" t="s">
        <v>1721</v>
      </c>
      <c r="G369" s="112">
        <v>-5.1597042736074803</v>
      </c>
      <c r="H369" s="112">
        <v>-2.47288568300793</v>
      </c>
      <c r="I369" s="112">
        <v>-8.0724448497755699</v>
      </c>
      <c r="J369" s="112" t="s">
        <v>848</v>
      </c>
      <c r="K369" s="112" t="s">
        <v>1797</v>
      </c>
      <c r="L369" s="112">
        <v>2.53016659494524E-2</v>
      </c>
      <c r="M369" s="112">
        <v>1.2164262475698299E-3</v>
      </c>
      <c r="N369" s="112" t="s">
        <v>2140</v>
      </c>
      <c r="O369" s="112" t="s">
        <v>2033</v>
      </c>
      <c r="P369" s="112" t="s">
        <v>2127</v>
      </c>
      <c r="Q369" s="112" t="s">
        <v>2141</v>
      </c>
      <c r="R369" s="112" t="s">
        <v>2136</v>
      </c>
    </row>
    <row r="370" spans="1:18">
      <c r="A370" s="112" t="s">
        <v>2140</v>
      </c>
      <c r="B370" s="112" t="s">
        <v>1705</v>
      </c>
      <c r="C370" s="112" t="s">
        <v>1706</v>
      </c>
      <c r="D370" s="112">
        <v>80</v>
      </c>
      <c r="E370" s="112" t="s">
        <v>1707</v>
      </c>
      <c r="F370" s="112" t="s">
        <v>1708</v>
      </c>
      <c r="G370" s="112">
        <v>-3.35857737901634</v>
      </c>
      <c r="H370" s="112">
        <v>-2.1326615558212798</v>
      </c>
      <c r="I370" s="112">
        <v>-4.7005319074812402</v>
      </c>
      <c r="J370" s="112" t="s">
        <v>848</v>
      </c>
      <c r="K370" s="112" t="s">
        <v>1709</v>
      </c>
      <c r="L370" s="112">
        <v>3.2073607543933097E-2</v>
      </c>
      <c r="M370" s="112">
        <v>3.9893340890238297E-3</v>
      </c>
      <c r="N370" s="112" t="s">
        <v>2140</v>
      </c>
      <c r="O370" s="112" t="s">
        <v>2033</v>
      </c>
      <c r="P370" s="112" t="s">
        <v>2127</v>
      </c>
      <c r="Q370" s="112" t="s">
        <v>2141</v>
      </c>
      <c r="R370" s="112" t="s">
        <v>2136</v>
      </c>
    </row>
    <row r="371" spans="1:18">
      <c r="A371" s="112" t="s">
        <v>2142</v>
      </c>
      <c r="B371" s="112" t="s">
        <v>1705</v>
      </c>
      <c r="C371" s="112" t="s">
        <v>1706</v>
      </c>
      <c r="D371" s="112">
        <v>80</v>
      </c>
      <c r="E371" s="112" t="s">
        <v>1707</v>
      </c>
      <c r="F371" s="112" t="s">
        <v>1708</v>
      </c>
      <c r="G371" s="112">
        <v>4.7346741991858501</v>
      </c>
      <c r="H371" s="112">
        <v>2.1182768658373701</v>
      </c>
      <c r="I371" s="112">
        <v>1.9386627518599699</v>
      </c>
      <c r="J371" s="112" t="s">
        <v>848</v>
      </c>
      <c r="K371" s="112" t="s">
        <v>1709</v>
      </c>
      <c r="L371" s="112">
        <v>4.4312484439014602E-2</v>
      </c>
      <c r="M371" s="112">
        <v>6.4648964772318802E-3</v>
      </c>
      <c r="N371" s="112" t="s">
        <v>2142</v>
      </c>
      <c r="O371" s="112" t="s">
        <v>2033</v>
      </c>
      <c r="P371" s="112" t="s">
        <v>2127</v>
      </c>
      <c r="Q371" s="112" t="s">
        <v>2143</v>
      </c>
    </row>
    <row r="372" spans="1:18">
      <c r="A372" s="112" t="s">
        <v>2144</v>
      </c>
      <c r="B372" s="112" t="s">
        <v>1705</v>
      </c>
      <c r="C372" s="112" t="s">
        <v>1706</v>
      </c>
      <c r="D372" s="112">
        <v>80</v>
      </c>
      <c r="E372" s="112" t="s">
        <v>1707</v>
      </c>
      <c r="F372" s="112" t="s">
        <v>1708</v>
      </c>
      <c r="G372" s="112">
        <v>-2.7936184013397898</v>
      </c>
      <c r="H372" s="112">
        <v>-1.8083337371757</v>
      </c>
      <c r="I372" s="112">
        <v>-4.2334983571450699</v>
      </c>
      <c r="J372" s="112" t="s">
        <v>848</v>
      </c>
      <c r="K372" s="112" t="s">
        <v>1709</v>
      </c>
      <c r="L372" s="112">
        <v>4.7924523696244198E-2</v>
      </c>
      <c r="M372" s="112">
        <v>7.2254627283262901E-3</v>
      </c>
      <c r="N372" s="112" t="s">
        <v>2144</v>
      </c>
      <c r="O372" s="112" t="s">
        <v>2033</v>
      </c>
      <c r="P372" s="112" t="s">
        <v>2127</v>
      </c>
      <c r="Q372" s="112" t="s">
        <v>2145</v>
      </c>
      <c r="R372" s="112" t="s">
        <v>2146</v>
      </c>
    </row>
    <row r="373" spans="1:18">
      <c r="A373" s="112" t="s">
        <v>2147</v>
      </c>
      <c r="B373" s="112" t="s">
        <v>1731</v>
      </c>
      <c r="C373" s="112" t="s">
        <v>1706</v>
      </c>
      <c r="D373" s="112">
        <v>30</v>
      </c>
      <c r="E373" s="112" t="s">
        <v>1707</v>
      </c>
      <c r="F373" s="112" t="s">
        <v>1708</v>
      </c>
      <c r="G373" s="112">
        <v>3.3365714448241399</v>
      </c>
      <c r="H373" s="112">
        <v>1.47118285443846</v>
      </c>
      <c r="I373" s="112">
        <v>2.03143697963701</v>
      </c>
      <c r="J373" s="112" t="s">
        <v>848</v>
      </c>
      <c r="K373" s="112" t="s">
        <v>1732</v>
      </c>
      <c r="L373" s="112">
        <v>4.8644924991744803E-2</v>
      </c>
      <c r="M373" s="112">
        <v>4.9495631152172799E-3</v>
      </c>
      <c r="N373" s="112" t="s">
        <v>2147</v>
      </c>
      <c r="O373" s="112" t="s">
        <v>2033</v>
      </c>
      <c r="P373" s="112" t="s">
        <v>2127</v>
      </c>
      <c r="Q373" s="112" t="s">
        <v>2148</v>
      </c>
      <c r="R373" s="112" t="s">
        <v>2136</v>
      </c>
    </row>
    <row r="374" spans="1:18">
      <c r="A374" s="112" t="s">
        <v>2149</v>
      </c>
      <c r="B374" s="112" t="s">
        <v>1755</v>
      </c>
      <c r="C374" s="112" t="s">
        <v>1706</v>
      </c>
      <c r="D374" s="112">
        <v>30</v>
      </c>
      <c r="E374" s="112" t="s">
        <v>1707</v>
      </c>
      <c r="F374" s="112" t="s">
        <v>1721</v>
      </c>
      <c r="G374" s="112">
        <v>-7.4299702215896204</v>
      </c>
      <c r="H374" s="112">
        <v>-3.0875670426823301</v>
      </c>
      <c r="I374" s="112">
        <v>0</v>
      </c>
      <c r="J374" s="112">
        <v>1</v>
      </c>
      <c r="K374" s="112" t="s">
        <v>1756</v>
      </c>
      <c r="L374" s="112">
        <v>2.6161948470988201E-2</v>
      </c>
      <c r="M374" s="112">
        <v>1.70530983674168E-3</v>
      </c>
      <c r="N374" s="112" t="s">
        <v>2149</v>
      </c>
      <c r="O374" s="112" t="s">
        <v>1710</v>
      </c>
      <c r="P374" s="112" t="s">
        <v>2150</v>
      </c>
      <c r="Q374" s="112" t="s">
        <v>2151</v>
      </c>
    </row>
    <row r="375" spans="1:18">
      <c r="A375" s="112" t="s">
        <v>2149</v>
      </c>
      <c r="B375" s="112" t="s">
        <v>1705</v>
      </c>
      <c r="C375" s="112" t="s">
        <v>1706</v>
      </c>
      <c r="D375" s="112">
        <v>80</v>
      </c>
      <c r="E375" s="112" t="s">
        <v>1707</v>
      </c>
      <c r="F375" s="112" t="s">
        <v>1708</v>
      </c>
      <c r="G375" s="112">
        <v>2.30155096931425</v>
      </c>
      <c r="H375" s="112">
        <v>1.73653249697866</v>
      </c>
      <c r="I375" s="112">
        <v>1.40572267853237</v>
      </c>
      <c r="J375" s="112" t="s">
        <v>848</v>
      </c>
      <c r="K375" s="112" t="s">
        <v>1709</v>
      </c>
      <c r="L375" s="112">
        <v>2.8314888448032201E-2</v>
      </c>
      <c r="M375" s="112">
        <v>3.3530788951617102E-3</v>
      </c>
      <c r="N375" s="112" t="s">
        <v>2149</v>
      </c>
      <c r="O375" s="112" t="s">
        <v>1710</v>
      </c>
      <c r="P375" s="112" t="s">
        <v>2150</v>
      </c>
      <c r="Q375" s="112" t="s">
        <v>2151</v>
      </c>
    </row>
    <row r="376" spans="1:18">
      <c r="A376" s="112" t="s">
        <v>2152</v>
      </c>
      <c r="B376" s="112" t="s">
        <v>1748</v>
      </c>
      <c r="C376" s="112" t="s">
        <v>1706</v>
      </c>
      <c r="D376" s="112">
        <v>80</v>
      </c>
      <c r="E376" s="112" t="s">
        <v>1707</v>
      </c>
      <c r="F376" s="112" t="s">
        <v>440</v>
      </c>
      <c r="G376" s="112">
        <v>-5.4886712864274099</v>
      </c>
      <c r="H376" s="112">
        <v>-2.8189118169746901</v>
      </c>
      <c r="I376" s="112">
        <v>0</v>
      </c>
      <c r="J376" s="112">
        <v>1</v>
      </c>
      <c r="K376" s="112" t="s">
        <v>1749</v>
      </c>
      <c r="L376" s="112">
        <v>3.38840026096607E-2</v>
      </c>
      <c r="M376" s="112">
        <v>2.4892852794377901E-3</v>
      </c>
      <c r="N376" s="112" t="s">
        <v>2152</v>
      </c>
      <c r="O376" s="112" t="s">
        <v>1710</v>
      </c>
      <c r="P376" s="112" t="s">
        <v>2150</v>
      </c>
      <c r="Q376" s="112" t="s">
        <v>2153</v>
      </c>
    </row>
    <row r="377" spans="1:18">
      <c r="A377" s="112" t="s">
        <v>2154</v>
      </c>
      <c r="B377" s="112" t="s">
        <v>1705</v>
      </c>
      <c r="C377" s="112" t="s">
        <v>1706</v>
      </c>
      <c r="D377" s="112">
        <v>80</v>
      </c>
      <c r="E377" s="112" t="s">
        <v>1707</v>
      </c>
      <c r="F377" s="112" t="s">
        <v>1708</v>
      </c>
      <c r="G377" s="112">
        <v>-4.7215165754788302</v>
      </c>
      <c r="H377" s="112">
        <v>-3.4286999866525898</v>
      </c>
      <c r="I377" s="112">
        <v>0</v>
      </c>
      <c r="J377" s="112">
        <v>1</v>
      </c>
      <c r="K377" s="112" t="s">
        <v>1709</v>
      </c>
      <c r="L377" s="112">
        <v>1.53374519019154E-3</v>
      </c>
      <c r="M377" s="229">
        <v>5.5497358855615099E-5</v>
      </c>
      <c r="N377" s="112" t="s">
        <v>2154</v>
      </c>
      <c r="O377" s="112" t="s">
        <v>1710</v>
      </c>
      <c r="P377" s="112" t="s">
        <v>2155</v>
      </c>
      <c r="Q377" s="112" t="s">
        <v>2156</v>
      </c>
      <c r="R377" s="112" t="s">
        <v>2157</v>
      </c>
    </row>
    <row r="378" spans="1:18">
      <c r="A378" s="112" t="s">
        <v>2158</v>
      </c>
      <c r="B378" s="112" t="s">
        <v>1748</v>
      </c>
      <c r="C378" s="112" t="s">
        <v>1706</v>
      </c>
      <c r="D378" s="112">
        <v>80</v>
      </c>
      <c r="E378" s="112" t="s">
        <v>1707</v>
      </c>
      <c r="F378" s="112" t="s">
        <v>440</v>
      </c>
      <c r="G378" s="112">
        <v>1.9489169012397101</v>
      </c>
      <c r="H378" s="112">
        <v>1.5117251304817201</v>
      </c>
      <c r="I378" s="112">
        <v>1.58028842055037</v>
      </c>
      <c r="J378" s="112" t="s">
        <v>848</v>
      </c>
      <c r="K378" s="112" t="s">
        <v>1749</v>
      </c>
      <c r="L378" s="112">
        <v>3.4902064657008701E-2</v>
      </c>
      <c r="M378" s="112">
        <v>2.5832120223115E-3</v>
      </c>
      <c r="N378" s="112" t="s">
        <v>2158</v>
      </c>
      <c r="O378" s="112" t="s">
        <v>1710</v>
      </c>
      <c r="P378" s="112" t="s">
        <v>2155</v>
      </c>
      <c r="Q378" s="112" t="s">
        <v>2159</v>
      </c>
    </row>
    <row r="379" spans="1:18">
      <c r="A379" s="112" t="s">
        <v>2160</v>
      </c>
      <c r="B379" s="112" t="s">
        <v>1705</v>
      </c>
      <c r="C379" s="112" t="s">
        <v>1706</v>
      </c>
      <c r="D379" s="112">
        <v>80</v>
      </c>
      <c r="E379" s="112" t="s">
        <v>1707</v>
      </c>
      <c r="F379" s="112" t="s">
        <v>1708</v>
      </c>
      <c r="G379" s="112">
        <v>-7.1421291992843203</v>
      </c>
      <c r="H379" s="112">
        <v>-5.9870104772334596</v>
      </c>
      <c r="I379" s="112">
        <v>0</v>
      </c>
      <c r="J379" s="112">
        <v>1</v>
      </c>
      <c r="K379" s="112" t="s">
        <v>1709</v>
      </c>
      <c r="L379" s="229">
        <v>6.5175387500656701E-9</v>
      </c>
      <c r="M379" s="229">
        <v>2.85856962722178E-11</v>
      </c>
      <c r="N379" s="112" t="s">
        <v>2160</v>
      </c>
      <c r="O379" s="112" t="s">
        <v>2061</v>
      </c>
      <c r="P379" s="112" t="s">
        <v>2161</v>
      </c>
      <c r="Q379" s="112" t="s">
        <v>2162</v>
      </c>
      <c r="R379" s="112" t="s">
        <v>2163</v>
      </c>
    </row>
    <row r="380" spans="1:18">
      <c r="A380" s="112" t="s">
        <v>2164</v>
      </c>
      <c r="B380" s="112" t="s">
        <v>1705</v>
      </c>
      <c r="C380" s="112" t="s">
        <v>1706</v>
      </c>
      <c r="D380" s="112">
        <v>80</v>
      </c>
      <c r="E380" s="112" t="s">
        <v>1707</v>
      </c>
      <c r="F380" s="112" t="s">
        <v>1708</v>
      </c>
      <c r="G380" s="112">
        <v>5.7724436859916901</v>
      </c>
      <c r="H380" s="112">
        <v>4.9358846843373998</v>
      </c>
      <c r="I380" s="112">
        <v>1.7149454751467199</v>
      </c>
      <c r="J380" s="112" t="s">
        <v>848</v>
      </c>
      <c r="K380" s="112" t="s">
        <v>1709</v>
      </c>
      <c r="L380" s="229">
        <v>1.4065677390928399E-8</v>
      </c>
      <c r="M380" s="229">
        <v>6.94030134420812E-11</v>
      </c>
      <c r="N380" s="112" t="s">
        <v>2164</v>
      </c>
      <c r="O380" s="112" t="s">
        <v>2061</v>
      </c>
      <c r="P380" s="112" t="s">
        <v>2161</v>
      </c>
      <c r="Q380" s="112" t="s">
        <v>2165</v>
      </c>
      <c r="R380" s="112" t="s">
        <v>2166</v>
      </c>
    </row>
    <row r="381" spans="1:18">
      <c r="A381" s="112" t="s">
        <v>2160</v>
      </c>
      <c r="B381" s="112" t="s">
        <v>1796</v>
      </c>
      <c r="C381" s="112" t="s">
        <v>1706</v>
      </c>
      <c r="D381" s="112">
        <v>80</v>
      </c>
      <c r="E381" s="112" t="s">
        <v>1707</v>
      </c>
      <c r="F381" s="112" t="s">
        <v>1721</v>
      </c>
      <c r="G381" s="112">
        <v>-6.1867990723850701</v>
      </c>
      <c r="H381" s="112">
        <v>-4.6137006279713102</v>
      </c>
      <c r="I381" s="112">
        <v>0</v>
      </c>
      <c r="J381" s="112">
        <v>1</v>
      </c>
      <c r="K381" s="112" t="s">
        <v>1797</v>
      </c>
      <c r="L381" s="229">
        <v>1.03078219349973E-4</v>
      </c>
      <c r="M381" s="229">
        <v>7.5095963604486903E-7</v>
      </c>
      <c r="N381" s="112" t="s">
        <v>2160</v>
      </c>
      <c r="O381" s="112" t="s">
        <v>2061</v>
      </c>
      <c r="P381" s="112" t="s">
        <v>2161</v>
      </c>
      <c r="Q381" s="112" t="s">
        <v>2167</v>
      </c>
      <c r="R381" s="112" t="s">
        <v>2168</v>
      </c>
    </row>
    <row r="382" spans="1:18">
      <c r="A382" s="112" t="s">
        <v>2160</v>
      </c>
      <c r="B382" s="112" t="s">
        <v>1743</v>
      </c>
      <c r="C382" s="112" t="s">
        <v>1706</v>
      </c>
      <c r="D382" s="112">
        <v>55</v>
      </c>
      <c r="E382" s="112" t="s">
        <v>1707</v>
      </c>
      <c r="F382" s="112" t="s">
        <v>440</v>
      </c>
      <c r="G382" s="112">
        <v>3.4679661432072799</v>
      </c>
      <c r="H382" s="112">
        <v>2.9043017627505399</v>
      </c>
      <c r="I382" s="112">
        <v>1.5224279204998801</v>
      </c>
      <c r="J382" s="112" t="s">
        <v>848</v>
      </c>
      <c r="K382" s="112" t="s">
        <v>1744</v>
      </c>
      <c r="L382" s="229">
        <v>1.4968230521149401E-4</v>
      </c>
      <c r="M382" s="229">
        <v>1.8139710806298099E-6</v>
      </c>
      <c r="N382" s="112" t="s">
        <v>2160</v>
      </c>
      <c r="O382" s="112" t="s">
        <v>2061</v>
      </c>
      <c r="P382" s="112" t="s">
        <v>2161</v>
      </c>
      <c r="Q382" s="112" t="s">
        <v>2167</v>
      </c>
      <c r="R382" s="112" t="s">
        <v>2168</v>
      </c>
    </row>
    <row r="383" spans="1:18">
      <c r="A383" s="112" t="s">
        <v>2164</v>
      </c>
      <c r="B383" s="112" t="s">
        <v>1748</v>
      </c>
      <c r="C383" s="112" t="s">
        <v>1706</v>
      </c>
      <c r="D383" s="112">
        <v>80</v>
      </c>
      <c r="E383" s="112" t="s">
        <v>1707</v>
      </c>
      <c r="F383" s="112" t="s">
        <v>440</v>
      </c>
      <c r="G383" s="112">
        <v>5.3514781395703004</v>
      </c>
      <c r="H383" s="112">
        <v>4.4121749198266498</v>
      </c>
      <c r="I383" s="112">
        <v>1.52876183515121</v>
      </c>
      <c r="J383" s="112" t="s">
        <v>848</v>
      </c>
      <c r="K383" s="112" t="s">
        <v>1749</v>
      </c>
      <c r="L383" s="229">
        <v>1.7273926432382101E-4</v>
      </c>
      <c r="M383" s="229">
        <v>1.2311460724833699E-6</v>
      </c>
      <c r="N383" s="112" t="s">
        <v>2164</v>
      </c>
      <c r="O383" s="112" t="s">
        <v>2061</v>
      </c>
      <c r="P383" s="112" t="s">
        <v>2161</v>
      </c>
      <c r="Q383" s="112" t="s">
        <v>2165</v>
      </c>
      <c r="R383" s="112" t="s">
        <v>2166</v>
      </c>
    </row>
    <row r="384" spans="1:18">
      <c r="A384" s="112" t="s">
        <v>2164</v>
      </c>
      <c r="B384" s="112" t="s">
        <v>1796</v>
      </c>
      <c r="C384" s="112" t="s">
        <v>1706</v>
      </c>
      <c r="D384" s="112">
        <v>80</v>
      </c>
      <c r="E384" s="112" t="s">
        <v>1707</v>
      </c>
      <c r="F384" s="112" t="s">
        <v>1721</v>
      </c>
      <c r="G384" s="112">
        <v>5.3202437514940399</v>
      </c>
      <c r="H384" s="112">
        <v>4.1609794662007404</v>
      </c>
      <c r="I384" s="112">
        <v>1.3304082372927299</v>
      </c>
      <c r="J384" s="112" t="s">
        <v>848</v>
      </c>
      <c r="K384" s="112" t="s">
        <v>1797</v>
      </c>
      <c r="L384" s="229">
        <v>1.84108899570799E-4</v>
      </c>
      <c r="M384" s="229">
        <v>1.4979274373363801E-6</v>
      </c>
      <c r="N384" s="112" t="s">
        <v>2164</v>
      </c>
      <c r="O384" s="112" t="s">
        <v>2061</v>
      </c>
      <c r="P384" s="112" t="s">
        <v>2161</v>
      </c>
      <c r="Q384" s="112" t="s">
        <v>2165</v>
      </c>
      <c r="R384" s="112" t="s">
        <v>2166</v>
      </c>
    </row>
    <row r="385" spans="1:18">
      <c r="A385" s="112" t="s">
        <v>2160</v>
      </c>
      <c r="B385" s="112" t="s">
        <v>1720</v>
      </c>
      <c r="C385" s="112" t="s">
        <v>1706</v>
      </c>
      <c r="D385" s="112">
        <v>55</v>
      </c>
      <c r="E385" s="112" t="s">
        <v>1707</v>
      </c>
      <c r="F385" s="112" t="s">
        <v>1721</v>
      </c>
      <c r="G385" s="112">
        <v>2.7647875329873099</v>
      </c>
      <c r="H385" s="112">
        <v>2.3757612062384901</v>
      </c>
      <c r="I385" s="112">
        <v>0.480283930973463</v>
      </c>
      <c r="J385" s="112" t="s">
        <v>848</v>
      </c>
      <c r="K385" s="112" t="s">
        <v>1722</v>
      </c>
      <c r="L385" s="229">
        <v>4.3634764683814399E-4</v>
      </c>
      <c r="M385" s="229">
        <v>3.5883852536031599E-6</v>
      </c>
      <c r="N385" s="112" t="s">
        <v>2160</v>
      </c>
      <c r="O385" s="112" t="s">
        <v>2061</v>
      </c>
      <c r="P385" s="112" t="s">
        <v>2161</v>
      </c>
      <c r="Q385" s="112" t="s">
        <v>2167</v>
      </c>
      <c r="R385" s="112" t="s">
        <v>2168</v>
      </c>
    </row>
    <row r="386" spans="1:18">
      <c r="A386" s="112" t="s">
        <v>2169</v>
      </c>
      <c r="B386" s="112" t="s">
        <v>1705</v>
      </c>
      <c r="C386" s="112" t="s">
        <v>1706</v>
      </c>
      <c r="D386" s="112">
        <v>80</v>
      </c>
      <c r="E386" s="112" t="s">
        <v>1707</v>
      </c>
      <c r="F386" s="112" t="s">
        <v>1708</v>
      </c>
      <c r="G386" s="112">
        <v>-3.89432744095051</v>
      </c>
      <c r="H386" s="112">
        <v>-3.1632542667119501</v>
      </c>
      <c r="I386" s="112">
        <v>-5.4774182017124398</v>
      </c>
      <c r="J386" s="112" t="s">
        <v>848</v>
      </c>
      <c r="K386" s="112" t="s">
        <v>1709</v>
      </c>
      <c r="L386" s="229">
        <v>5.6120416060127202E-4</v>
      </c>
      <c r="M386" s="229">
        <v>1.50762082617666E-5</v>
      </c>
      <c r="N386" s="112" t="s">
        <v>2169</v>
      </c>
      <c r="O386" s="112" t="s">
        <v>2061</v>
      </c>
      <c r="P386" s="112" t="s">
        <v>2161</v>
      </c>
      <c r="Q386" s="112" t="s">
        <v>2170</v>
      </c>
    </row>
    <row r="387" spans="1:18">
      <c r="A387" s="112" t="s">
        <v>2169</v>
      </c>
      <c r="B387" s="112" t="s">
        <v>1796</v>
      </c>
      <c r="C387" s="112" t="s">
        <v>1706</v>
      </c>
      <c r="D387" s="112">
        <v>80</v>
      </c>
      <c r="E387" s="112" t="s">
        <v>1707</v>
      </c>
      <c r="F387" s="112" t="s">
        <v>1721</v>
      </c>
      <c r="G387" s="112">
        <v>-5.7992974772692403</v>
      </c>
      <c r="H387" s="112">
        <v>-4.1750300337307404</v>
      </c>
      <c r="I387" s="112">
        <v>-6.2397467555095298</v>
      </c>
      <c r="J387" s="112" t="s">
        <v>848</v>
      </c>
      <c r="K387" s="112" t="s">
        <v>1797</v>
      </c>
      <c r="L387" s="229">
        <v>6.5940337137039605E-4</v>
      </c>
      <c r="M387" s="229">
        <v>7.3158658066242196E-6</v>
      </c>
      <c r="N387" s="112" t="s">
        <v>2169</v>
      </c>
      <c r="O387" s="112" t="s">
        <v>2061</v>
      </c>
      <c r="P387" s="112" t="s">
        <v>2161</v>
      </c>
      <c r="Q387" s="112" t="s">
        <v>2170</v>
      </c>
    </row>
    <row r="388" spans="1:18">
      <c r="A388" s="112" t="s">
        <v>2160</v>
      </c>
      <c r="B388" s="112" t="s">
        <v>1755</v>
      </c>
      <c r="C388" s="112" t="s">
        <v>1706</v>
      </c>
      <c r="D388" s="112">
        <v>30</v>
      </c>
      <c r="E388" s="112" t="s">
        <v>1707</v>
      </c>
      <c r="F388" s="112" t="s">
        <v>1721</v>
      </c>
      <c r="G388" s="112">
        <v>4.3118653097793898</v>
      </c>
      <c r="H388" s="112">
        <v>3.37897818056739</v>
      </c>
      <c r="I388" s="112">
        <v>1.6418293861551001</v>
      </c>
      <c r="J388" s="112" t="s">
        <v>848</v>
      </c>
      <c r="K388" s="112" t="s">
        <v>1756</v>
      </c>
      <c r="L388" s="112">
        <v>1.77037851888228E-3</v>
      </c>
      <c r="M388" s="229">
        <v>2.9553218518702698E-5</v>
      </c>
      <c r="N388" s="112" t="s">
        <v>2160</v>
      </c>
      <c r="O388" s="112" t="s">
        <v>2061</v>
      </c>
      <c r="P388" s="112" t="s">
        <v>2161</v>
      </c>
      <c r="Q388" s="112" t="s">
        <v>2167</v>
      </c>
      <c r="R388" s="112" t="s">
        <v>2168</v>
      </c>
    </row>
    <row r="389" spans="1:18">
      <c r="A389" s="112" t="s">
        <v>2171</v>
      </c>
      <c r="B389" s="112" t="s">
        <v>1796</v>
      </c>
      <c r="C389" s="112" t="s">
        <v>1706</v>
      </c>
      <c r="D389" s="112">
        <v>80</v>
      </c>
      <c r="E389" s="112" t="s">
        <v>1707</v>
      </c>
      <c r="F389" s="112" t="s">
        <v>1721</v>
      </c>
      <c r="G389" s="112">
        <v>-5.3735026756324498</v>
      </c>
      <c r="H389" s="112">
        <v>-3.5137212343763302</v>
      </c>
      <c r="I389" s="112">
        <v>0</v>
      </c>
      <c r="J389" s="112">
        <v>1</v>
      </c>
      <c r="K389" s="112" t="s">
        <v>1797</v>
      </c>
      <c r="L389" s="112">
        <v>4.6383126532475597E-3</v>
      </c>
      <c r="M389" s="229">
        <v>9.6059729505126903E-5</v>
      </c>
      <c r="N389" s="112" t="s">
        <v>2171</v>
      </c>
      <c r="O389" s="112" t="s">
        <v>2061</v>
      </c>
      <c r="P389" s="112" t="s">
        <v>2161</v>
      </c>
      <c r="Q389" s="112" t="s">
        <v>2172</v>
      </c>
      <c r="R389" s="112" t="s">
        <v>2168</v>
      </c>
    </row>
    <row r="390" spans="1:18">
      <c r="A390" s="112" t="s">
        <v>2164</v>
      </c>
      <c r="B390" s="112" t="s">
        <v>1731</v>
      </c>
      <c r="C390" s="112" t="s">
        <v>1706</v>
      </c>
      <c r="D390" s="112">
        <v>30</v>
      </c>
      <c r="E390" s="112" t="s">
        <v>1707</v>
      </c>
      <c r="F390" s="112" t="s">
        <v>1708</v>
      </c>
      <c r="G390" s="112">
        <v>-3.8590766889332002</v>
      </c>
      <c r="H390" s="112">
        <v>-2.4014868066744302</v>
      </c>
      <c r="I390" s="112">
        <v>-7.4783121952453504</v>
      </c>
      <c r="J390" s="112" t="s">
        <v>848</v>
      </c>
      <c r="K390" s="112" t="s">
        <v>1732</v>
      </c>
      <c r="L390" s="112">
        <v>5.5315166133228797E-3</v>
      </c>
      <c r="M390" s="229">
        <v>2.6473649391275001E-4</v>
      </c>
      <c r="N390" s="112" t="s">
        <v>2164</v>
      </c>
      <c r="O390" s="112" t="s">
        <v>2061</v>
      </c>
      <c r="P390" s="112" t="s">
        <v>2161</v>
      </c>
      <c r="Q390" s="112" t="s">
        <v>2165</v>
      </c>
      <c r="R390" s="112" t="s">
        <v>2166</v>
      </c>
    </row>
    <row r="391" spans="1:18">
      <c r="A391" s="112" t="s">
        <v>2160</v>
      </c>
      <c r="B391" s="112" t="s">
        <v>1762</v>
      </c>
      <c r="C391" s="112" t="s">
        <v>1706</v>
      </c>
      <c r="D391" s="112">
        <v>55</v>
      </c>
      <c r="E391" s="112" t="s">
        <v>1707</v>
      </c>
      <c r="F391" s="112" t="s">
        <v>1708</v>
      </c>
      <c r="G391" s="112">
        <v>2.2882476360624402</v>
      </c>
      <c r="H391" s="112">
        <v>1.9110058052766901</v>
      </c>
      <c r="I391" s="112">
        <v>0.40625580322654398</v>
      </c>
      <c r="J391" s="112" t="s">
        <v>848</v>
      </c>
      <c r="K391" s="112" t="s">
        <v>1763</v>
      </c>
      <c r="L391" s="112">
        <v>6.4581590046670096E-3</v>
      </c>
      <c r="M391" s="229">
        <v>1.50969950758449E-4</v>
      </c>
      <c r="N391" s="112" t="s">
        <v>2160</v>
      </c>
      <c r="O391" s="112" t="s">
        <v>2061</v>
      </c>
      <c r="P391" s="112" t="s">
        <v>2161</v>
      </c>
      <c r="Q391" s="112" t="s">
        <v>2167</v>
      </c>
      <c r="R391" s="112" t="s">
        <v>2168</v>
      </c>
    </row>
    <row r="392" spans="1:18">
      <c r="A392" s="112" t="s">
        <v>2173</v>
      </c>
      <c r="B392" s="112" t="s">
        <v>1705</v>
      </c>
      <c r="C392" s="112" t="s">
        <v>1706</v>
      </c>
      <c r="D392" s="112">
        <v>80</v>
      </c>
      <c r="E392" s="112" t="s">
        <v>1707</v>
      </c>
      <c r="F392" s="112" t="s">
        <v>1708</v>
      </c>
      <c r="G392" s="112">
        <v>-2.8741541179916301</v>
      </c>
      <c r="H392" s="112">
        <v>-2.20417178278284</v>
      </c>
      <c r="I392" s="112">
        <v>-4.0106687782059298</v>
      </c>
      <c r="J392" s="112" t="s">
        <v>848</v>
      </c>
      <c r="K392" s="112" t="s">
        <v>1709</v>
      </c>
      <c r="L392" s="112">
        <v>1.25587868289399E-2</v>
      </c>
      <c r="M392" s="112">
        <v>1.0368902754243599E-3</v>
      </c>
      <c r="N392" s="112" t="s">
        <v>2173</v>
      </c>
      <c r="O392" s="112" t="s">
        <v>2061</v>
      </c>
      <c r="P392" s="112" t="s">
        <v>2161</v>
      </c>
      <c r="Q392" s="112" t="s">
        <v>2174</v>
      </c>
      <c r="R392" s="112" t="s">
        <v>2166</v>
      </c>
    </row>
    <row r="393" spans="1:18">
      <c r="A393" s="112" t="s">
        <v>2175</v>
      </c>
      <c r="B393" s="112" t="s">
        <v>1705</v>
      </c>
      <c r="C393" s="112" t="s">
        <v>1706</v>
      </c>
      <c r="D393" s="112">
        <v>80</v>
      </c>
      <c r="E393" s="112" t="s">
        <v>1707</v>
      </c>
      <c r="F393" s="112" t="s">
        <v>1708</v>
      </c>
      <c r="G393" s="112">
        <v>7.0701658481436302</v>
      </c>
      <c r="H393" s="112">
        <v>2.8181648774249801</v>
      </c>
      <c r="I393" s="112">
        <v>2.442670467728</v>
      </c>
      <c r="J393" s="112" t="s">
        <v>848</v>
      </c>
      <c r="K393" s="112" t="s">
        <v>1709</v>
      </c>
      <c r="L393" s="112">
        <v>1.47808083354637E-2</v>
      </c>
      <c r="M393" s="112">
        <v>1.2479410546389299E-3</v>
      </c>
      <c r="N393" s="112" t="s">
        <v>2175</v>
      </c>
      <c r="O393" s="112" t="s">
        <v>2061</v>
      </c>
      <c r="P393" s="112" t="s">
        <v>2161</v>
      </c>
      <c r="Q393" s="112" t="s">
        <v>2176</v>
      </c>
    </row>
    <row r="394" spans="1:18">
      <c r="A394" s="112" t="s">
        <v>2171</v>
      </c>
      <c r="B394" s="112" t="s">
        <v>1705</v>
      </c>
      <c r="C394" s="112" t="s">
        <v>1706</v>
      </c>
      <c r="D394" s="112">
        <v>80</v>
      </c>
      <c r="E394" s="112" t="s">
        <v>1707</v>
      </c>
      <c r="F394" s="112" t="s">
        <v>1708</v>
      </c>
      <c r="G394" s="112">
        <v>-2.87623882344844</v>
      </c>
      <c r="H394" s="112">
        <v>-2.16285667760941</v>
      </c>
      <c r="I394" s="112">
        <v>-4.0364435680955202</v>
      </c>
      <c r="J394" s="112" t="s">
        <v>848</v>
      </c>
      <c r="K394" s="112" t="s">
        <v>1709</v>
      </c>
      <c r="L394" s="112">
        <v>1.55817034594948E-2</v>
      </c>
      <c r="M394" s="112">
        <v>1.3997228767098501E-3</v>
      </c>
      <c r="N394" s="112" t="s">
        <v>2171</v>
      </c>
      <c r="O394" s="112" t="s">
        <v>2061</v>
      </c>
      <c r="P394" s="112" t="s">
        <v>2161</v>
      </c>
      <c r="Q394" s="112" t="s">
        <v>2172</v>
      </c>
      <c r="R394" s="112" t="s">
        <v>2168</v>
      </c>
    </row>
    <row r="395" spans="1:18">
      <c r="A395" s="112" t="s">
        <v>2160</v>
      </c>
      <c r="B395" s="112" t="s">
        <v>1735</v>
      </c>
      <c r="C395" s="112" t="s">
        <v>1706</v>
      </c>
      <c r="D395" s="112">
        <v>30</v>
      </c>
      <c r="E395" s="112" t="s">
        <v>1707</v>
      </c>
      <c r="F395" s="112" t="s">
        <v>440</v>
      </c>
      <c r="G395" s="112">
        <v>2.5777268228810999</v>
      </c>
      <c r="H395" s="112">
        <v>1.9486326153853999</v>
      </c>
      <c r="I395" s="112">
        <v>0.228654804819516</v>
      </c>
      <c r="J395" s="112" t="s">
        <v>848</v>
      </c>
      <c r="K395" s="112" t="s">
        <v>1736</v>
      </c>
      <c r="L395" s="112">
        <v>2.2394768048762601E-2</v>
      </c>
      <c r="M395" s="229">
        <v>4.7883550104262101E-4</v>
      </c>
      <c r="N395" s="112" t="s">
        <v>2160</v>
      </c>
      <c r="O395" s="112" t="s">
        <v>2061</v>
      </c>
      <c r="P395" s="112" t="s">
        <v>2161</v>
      </c>
      <c r="Q395" s="112" t="s">
        <v>2167</v>
      </c>
      <c r="R395" s="112" t="s">
        <v>2168</v>
      </c>
    </row>
    <row r="396" spans="1:18">
      <c r="A396" s="112" t="s">
        <v>2177</v>
      </c>
      <c r="B396" s="112" t="s">
        <v>1755</v>
      </c>
      <c r="C396" s="112" t="s">
        <v>1706</v>
      </c>
      <c r="D396" s="112">
        <v>30</v>
      </c>
      <c r="E396" s="112" t="s">
        <v>1707</v>
      </c>
      <c r="F396" s="112" t="s">
        <v>1721</v>
      </c>
      <c r="G396" s="112">
        <v>8.2224451639275404</v>
      </c>
      <c r="H396" s="112">
        <v>3.2196087298633098</v>
      </c>
      <c r="I396" s="112">
        <v>4.1352011889663496</v>
      </c>
      <c r="J396" s="112" t="s">
        <v>848</v>
      </c>
      <c r="K396" s="112" t="s">
        <v>1756</v>
      </c>
      <c r="L396" s="112">
        <v>2.38915846169107E-2</v>
      </c>
      <c r="M396" s="112">
        <v>1.43084878359971E-3</v>
      </c>
      <c r="N396" s="112" t="s">
        <v>2177</v>
      </c>
      <c r="O396" s="112" t="s">
        <v>2061</v>
      </c>
      <c r="P396" s="112" t="s">
        <v>2161</v>
      </c>
      <c r="Q396" s="112" t="s">
        <v>2178</v>
      </c>
    </row>
    <row r="397" spans="1:18">
      <c r="A397" s="112" t="s">
        <v>2169</v>
      </c>
      <c r="B397" s="112" t="s">
        <v>1720</v>
      </c>
      <c r="C397" s="112" t="s">
        <v>1706</v>
      </c>
      <c r="D397" s="112">
        <v>55</v>
      </c>
      <c r="E397" s="112" t="s">
        <v>1707</v>
      </c>
      <c r="F397" s="112" t="s">
        <v>1721</v>
      </c>
      <c r="G397" s="112">
        <v>2.8494274817380001</v>
      </c>
      <c r="H397" s="112">
        <v>1.9520932267151301</v>
      </c>
      <c r="I397" s="112">
        <v>1.33290941131048</v>
      </c>
      <c r="J397" s="112" t="s">
        <v>848</v>
      </c>
      <c r="K397" s="112" t="s">
        <v>1722</v>
      </c>
      <c r="L397" s="112">
        <v>2.5046517273671302E-2</v>
      </c>
      <c r="M397" s="229">
        <v>7.2777709183365199E-4</v>
      </c>
      <c r="N397" s="112" t="s">
        <v>2169</v>
      </c>
      <c r="O397" s="112" t="s">
        <v>2061</v>
      </c>
      <c r="P397" s="112" t="s">
        <v>2161</v>
      </c>
      <c r="Q397" s="112" t="s">
        <v>2170</v>
      </c>
    </row>
    <row r="398" spans="1:18">
      <c r="A398" s="112" t="s">
        <v>2164</v>
      </c>
      <c r="B398" s="112" t="s">
        <v>1720</v>
      </c>
      <c r="C398" s="112" t="s">
        <v>1706</v>
      </c>
      <c r="D398" s="112">
        <v>55</v>
      </c>
      <c r="E398" s="112" t="s">
        <v>1707</v>
      </c>
      <c r="F398" s="112" t="s">
        <v>1721</v>
      </c>
      <c r="G398" s="112">
        <v>-3.7230305268231501</v>
      </c>
      <c r="H398" s="112">
        <v>-2.0618138664352199</v>
      </c>
      <c r="I398" s="112">
        <v>-8.5499801500997101</v>
      </c>
      <c r="J398" s="112" t="s">
        <v>848</v>
      </c>
      <c r="K398" s="112" t="s">
        <v>1722</v>
      </c>
      <c r="L398" s="112">
        <v>2.8510223062716201E-2</v>
      </c>
      <c r="M398" s="229">
        <v>8.4405265646199401E-4</v>
      </c>
      <c r="N398" s="112" t="s">
        <v>2164</v>
      </c>
      <c r="O398" s="112" t="s">
        <v>2061</v>
      </c>
      <c r="P398" s="112" t="s">
        <v>2161</v>
      </c>
      <c r="Q398" s="112" t="s">
        <v>2165</v>
      </c>
      <c r="R398" s="112" t="s">
        <v>2166</v>
      </c>
    </row>
    <row r="399" spans="1:18">
      <c r="A399" s="112" t="s">
        <v>2179</v>
      </c>
      <c r="B399" s="112" t="s">
        <v>1755</v>
      </c>
      <c r="C399" s="112" t="s">
        <v>1706</v>
      </c>
      <c r="D399" s="112">
        <v>30</v>
      </c>
      <c r="E399" s="112" t="s">
        <v>1707</v>
      </c>
      <c r="F399" s="112" t="s">
        <v>1721</v>
      </c>
      <c r="G399" s="112">
        <v>1.9213178421586901</v>
      </c>
      <c r="H399" s="112">
        <v>1.48797083517652</v>
      </c>
      <c r="I399" s="112">
        <v>1.2826625400043901</v>
      </c>
      <c r="J399" s="112" t="s">
        <v>848</v>
      </c>
      <c r="K399" s="112" t="s">
        <v>1756</v>
      </c>
      <c r="L399" s="112">
        <v>3.6016897561014997E-2</v>
      </c>
      <c r="M399" s="112">
        <v>2.8892478282367198E-3</v>
      </c>
      <c r="N399" s="112" t="s">
        <v>2179</v>
      </c>
      <c r="O399" s="112" t="s">
        <v>2061</v>
      </c>
      <c r="P399" s="112" t="s">
        <v>2161</v>
      </c>
      <c r="Q399" s="112" t="s">
        <v>2180</v>
      </c>
    </row>
    <row r="400" spans="1:18">
      <c r="A400" s="112" t="s">
        <v>2181</v>
      </c>
      <c r="B400" s="112" t="s">
        <v>1720</v>
      </c>
      <c r="C400" s="112" t="s">
        <v>1706</v>
      </c>
      <c r="D400" s="112">
        <v>55</v>
      </c>
      <c r="E400" s="112" t="s">
        <v>1707</v>
      </c>
      <c r="F400" s="112" t="s">
        <v>1721</v>
      </c>
      <c r="G400" s="112">
        <v>2.8944664046467201</v>
      </c>
      <c r="H400" s="112">
        <v>1.8334853497347099</v>
      </c>
      <c r="I400" s="112">
        <v>1.9856107249834001</v>
      </c>
      <c r="J400" s="112" t="s">
        <v>848</v>
      </c>
      <c r="K400" s="112" t="s">
        <v>1722</v>
      </c>
      <c r="L400" s="112">
        <v>3.6841256155050399E-2</v>
      </c>
      <c r="M400" s="112">
        <v>1.2360593476472199E-3</v>
      </c>
      <c r="N400" s="112" t="s">
        <v>2181</v>
      </c>
      <c r="O400" s="112" t="s">
        <v>2061</v>
      </c>
      <c r="P400" s="112" t="s">
        <v>2161</v>
      </c>
      <c r="Q400" s="112" t="s">
        <v>2182</v>
      </c>
    </row>
    <row r="401" spans="1:18">
      <c r="A401" s="112" t="s">
        <v>2183</v>
      </c>
      <c r="B401" s="112" t="s">
        <v>1720</v>
      </c>
      <c r="C401" s="112" t="s">
        <v>1706</v>
      </c>
      <c r="D401" s="112">
        <v>55</v>
      </c>
      <c r="E401" s="112" t="s">
        <v>1707</v>
      </c>
      <c r="F401" s="112" t="s">
        <v>1721</v>
      </c>
      <c r="G401" s="112">
        <v>4.7945869759153199</v>
      </c>
      <c r="H401" s="112">
        <v>3.8385082465050102</v>
      </c>
      <c r="I401" s="112">
        <v>1.3661499293975301</v>
      </c>
      <c r="J401" s="112" t="s">
        <v>848</v>
      </c>
      <c r="K401" s="112" t="s">
        <v>1722</v>
      </c>
      <c r="L401" s="229">
        <v>1.5531422614252801E-6</v>
      </c>
      <c r="M401" s="229">
        <v>6.8120274623915896E-9</v>
      </c>
      <c r="N401" s="112" t="s">
        <v>2183</v>
      </c>
      <c r="O401" s="112" t="s">
        <v>1710</v>
      </c>
      <c r="P401" s="112" t="s">
        <v>2161</v>
      </c>
      <c r="Q401" s="112" t="s">
        <v>2184</v>
      </c>
      <c r="R401" s="112" t="s">
        <v>2185</v>
      </c>
    </row>
    <row r="402" spans="1:18">
      <c r="A402" s="112" t="s">
        <v>2183</v>
      </c>
      <c r="B402" s="112" t="s">
        <v>1705</v>
      </c>
      <c r="C402" s="112" t="s">
        <v>1706</v>
      </c>
      <c r="D402" s="112">
        <v>80</v>
      </c>
      <c r="E402" s="112" t="s">
        <v>1707</v>
      </c>
      <c r="F402" s="112" t="s">
        <v>1708</v>
      </c>
      <c r="G402" s="112">
        <v>-6.0883606453559302</v>
      </c>
      <c r="H402" s="112">
        <v>-4.5718270745683496</v>
      </c>
      <c r="I402" s="112">
        <v>0</v>
      </c>
      <c r="J402" s="112">
        <v>1</v>
      </c>
      <c r="K402" s="112" t="s">
        <v>1709</v>
      </c>
      <c r="L402" s="229">
        <v>4.1586615051870902E-5</v>
      </c>
      <c r="M402" s="229">
        <v>5.69991982618845E-7</v>
      </c>
      <c r="N402" s="112" t="s">
        <v>2183</v>
      </c>
      <c r="O402" s="112" t="s">
        <v>1710</v>
      </c>
      <c r="P402" s="112" t="s">
        <v>2161</v>
      </c>
      <c r="Q402" s="112" t="s">
        <v>2184</v>
      </c>
      <c r="R402" s="112" t="s">
        <v>2185</v>
      </c>
    </row>
    <row r="403" spans="1:18">
      <c r="A403" s="112" t="s">
        <v>2183</v>
      </c>
      <c r="B403" s="112" t="s">
        <v>1735</v>
      </c>
      <c r="C403" s="112" t="s">
        <v>1706</v>
      </c>
      <c r="D403" s="112">
        <v>30</v>
      </c>
      <c r="E403" s="112" t="s">
        <v>1707</v>
      </c>
      <c r="F403" s="112" t="s">
        <v>440</v>
      </c>
      <c r="G403" s="112">
        <v>4.8458440019327602</v>
      </c>
      <c r="H403" s="112">
        <v>3.4979622437109401</v>
      </c>
      <c r="I403" s="112">
        <v>1.31067168649673</v>
      </c>
      <c r="J403" s="112" t="s">
        <v>848</v>
      </c>
      <c r="K403" s="112" t="s">
        <v>1736</v>
      </c>
      <c r="L403" s="229">
        <v>2.9642953180334498E-4</v>
      </c>
      <c r="M403" s="229">
        <v>2.2752266695432199E-6</v>
      </c>
      <c r="N403" s="112" t="s">
        <v>2183</v>
      </c>
      <c r="O403" s="112" t="s">
        <v>1710</v>
      </c>
      <c r="P403" s="112" t="s">
        <v>2161</v>
      </c>
      <c r="Q403" s="112" t="s">
        <v>2184</v>
      </c>
      <c r="R403" s="112" t="s">
        <v>2185</v>
      </c>
    </row>
    <row r="404" spans="1:18">
      <c r="A404" s="112" t="s">
        <v>2183</v>
      </c>
      <c r="B404" s="112" t="s">
        <v>1748</v>
      </c>
      <c r="C404" s="112" t="s">
        <v>1706</v>
      </c>
      <c r="D404" s="112">
        <v>80</v>
      </c>
      <c r="E404" s="112" t="s">
        <v>1707</v>
      </c>
      <c r="F404" s="112" t="s">
        <v>440</v>
      </c>
      <c r="G404" s="112">
        <v>-7.5537258982291</v>
      </c>
      <c r="H404" s="112">
        <v>-5.3152004133417803</v>
      </c>
      <c r="I404" s="112">
        <v>0</v>
      </c>
      <c r="J404" s="112">
        <v>1</v>
      </c>
      <c r="K404" s="112" t="s">
        <v>1749</v>
      </c>
      <c r="L404" s="229">
        <v>5.1384841750818798E-4</v>
      </c>
      <c r="M404" s="229">
        <v>4.7891574000214802E-6</v>
      </c>
      <c r="N404" s="112" t="s">
        <v>2183</v>
      </c>
      <c r="O404" s="112" t="s">
        <v>1710</v>
      </c>
      <c r="P404" s="112" t="s">
        <v>2161</v>
      </c>
      <c r="Q404" s="112" t="s">
        <v>2184</v>
      </c>
      <c r="R404" s="112" t="s">
        <v>2185</v>
      </c>
    </row>
    <row r="405" spans="1:18">
      <c r="A405" s="112" t="s">
        <v>2183</v>
      </c>
      <c r="B405" s="112" t="s">
        <v>1762</v>
      </c>
      <c r="C405" s="112" t="s">
        <v>1706</v>
      </c>
      <c r="D405" s="112">
        <v>55</v>
      </c>
      <c r="E405" s="112" t="s">
        <v>1707</v>
      </c>
      <c r="F405" s="112" t="s">
        <v>1708</v>
      </c>
      <c r="G405" s="112">
        <v>3.4972177413846799</v>
      </c>
      <c r="H405" s="112">
        <v>2.6729816429364401</v>
      </c>
      <c r="I405" s="112">
        <v>0.30455716746108802</v>
      </c>
      <c r="J405" s="112" t="s">
        <v>848</v>
      </c>
      <c r="K405" s="112" t="s">
        <v>1763</v>
      </c>
      <c r="L405" s="112">
        <v>1.87843515548405E-3</v>
      </c>
      <c r="M405" s="229">
        <v>2.8054551023463199E-5</v>
      </c>
      <c r="N405" s="112" t="s">
        <v>2183</v>
      </c>
      <c r="O405" s="112" t="s">
        <v>1710</v>
      </c>
      <c r="P405" s="112" t="s">
        <v>2161</v>
      </c>
      <c r="Q405" s="112" t="s">
        <v>2184</v>
      </c>
      <c r="R405" s="112" t="s">
        <v>2185</v>
      </c>
    </row>
    <row r="406" spans="1:18">
      <c r="A406" s="112" t="s">
        <v>2183</v>
      </c>
      <c r="B406" s="112" t="s">
        <v>1743</v>
      </c>
      <c r="C406" s="112" t="s">
        <v>1706</v>
      </c>
      <c r="D406" s="112">
        <v>55</v>
      </c>
      <c r="E406" s="112" t="s">
        <v>1707</v>
      </c>
      <c r="F406" s="112" t="s">
        <v>440</v>
      </c>
      <c r="G406" s="112">
        <v>4.1364593690538403</v>
      </c>
      <c r="H406" s="112">
        <v>2.9646791837162798</v>
      </c>
      <c r="I406" s="112">
        <v>1.0618719675996799</v>
      </c>
      <c r="J406" s="112" t="s">
        <v>848</v>
      </c>
      <c r="K406" s="112" t="s">
        <v>1744</v>
      </c>
      <c r="L406" s="112">
        <v>2.4530908898547799E-3</v>
      </c>
      <c r="M406" s="229">
        <v>5.2554124108844599E-5</v>
      </c>
      <c r="N406" s="112" t="s">
        <v>2183</v>
      </c>
      <c r="O406" s="112" t="s">
        <v>1710</v>
      </c>
      <c r="P406" s="112" t="s">
        <v>2161</v>
      </c>
      <c r="Q406" s="112" t="s">
        <v>2184</v>
      </c>
      <c r="R406" s="112" t="s">
        <v>2185</v>
      </c>
    </row>
    <row r="407" spans="1:18">
      <c r="A407" s="112" t="s">
        <v>2186</v>
      </c>
      <c r="B407" s="112" t="s">
        <v>1748</v>
      </c>
      <c r="C407" s="112" t="s">
        <v>1706</v>
      </c>
      <c r="D407" s="112">
        <v>80</v>
      </c>
      <c r="E407" s="112" t="s">
        <v>1707</v>
      </c>
      <c r="F407" s="112" t="s">
        <v>440</v>
      </c>
      <c r="G407" s="112">
        <v>-3.4774209658908002</v>
      </c>
      <c r="H407" s="112">
        <v>-2.85773168032325</v>
      </c>
      <c r="I407" s="112">
        <v>-4.3984745384974104</v>
      </c>
      <c r="J407" s="112" t="s">
        <v>848</v>
      </c>
      <c r="K407" s="112" t="s">
        <v>1749</v>
      </c>
      <c r="L407" s="112">
        <v>5.1195064421347197E-3</v>
      </c>
      <c r="M407" s="229">
        <v>1.6840302405405499E-4</v>
      </c>
      <c r="N407" s="112" t="s">
        <v>2186</v>
      </c>
      <c r="O407" s="112" t="s">
        <v>1710</v>
      </c>
      <c r="P407" s="112" t="s">
        <v>2161</v>
      </c>
      <c r="Q407" s="112" t="s">
        <v>2187</v>
      </c>
      <c r="R407" s="112" t="s">
        <v>2166</v>
      </c>
    </row>
    <row r="408" spans="1:18">
      <c r="A408" s="112" t="s">
        <v>2188</v>
      </c>
      <c r="B408" s="112" t="s">
        <v>1755</v>
      </c>
      <c r="C408" s="112" t="s">
        <v>1706</v>
      </c>
      <c r="D408" s="112">
        <v>30</v>
      </c>
      <c r="E408" s="112" t="s">
        <v>1707</v>
      </c>
      <c r="F408" s="112" t="s">
        <v>1721</v>
      </c>
      <c r="G408" s="112">
        <v>-4.0083466369534602</v>
      </c>
      <c r="H408" s="112">
        <v>-2.94897885392492</v>
      </c>
      <c r="I408" s="112">
        <v>-4.8133398429488201</v>
      </c>
      <c r="J408" s="112" t="s">
        <v>848</v>
      </c>
      <c r="K408" s="112" t="s">
        <v>1756</v>
      </c>
      <c r="L408" s="112">
        <v>5.17068399036594E-3</v>
      </c>
      <c r="M408" s="229">
        <v>1.63311446055543E-4</v>
      </c>
      <c r="N408" s="112" t="s">
        <v>2188</v>
      </c>
      <c r="O408" s="112" t="s">
        <v>1710</v>
      </c>
      <c r="P408" s="112" t="s">
        <v>2161</v>
      </c>
      <c r="Q408" s="112" t="s">
        <v>2189</v>
      </c>
      <c r="R408" s="112" t="s">
        <v>2190</v>
      </c>
    </row>
    <row r="409" spans="1:18">
      <c r="A409" s="112" t="s">
        <v>2186</v>
      </c>
      <c r="B409" s="112" t="s">
        <v>1796</v>
      </c>
      <c r="C409" s="112" t="s">
        <v>1706</v>
      </c>
      <c r="D409" s="112">
        <v>80</v>
      </c>
      <c r="E409" s="112" t="s">
        <v>1707</v>
      </c>
      <c r="F409" s="112" t="s">
        <v>1721</v>
      </c>
      <c r="G409" s="112">
        <v>-4.1054611194277602</v>
      </c>
      <c r="H409" s="112">
        <v>-2.8694866887978301</v>
      </c>
      <c r="I409" s="112">
        <v>-6.0568760471241303</v>
      </c>
      <c r="J409" s="112" t="s">
        <v>848</v>
      </c>
      <c r="K409" s="112" t="s">
        <v>1797</v>
      </c>
      <c r="L409" s="112">
        <v>1.0220244542668899E-2</v>
      </c>
      <c r="M409" s="229">
        <v>2.57017984061202E-4</v>
      </c>
      <c r="N409" s="112" t="s">
        <v>2186</v>
      </c>
      <c r="O409" s="112" t="s">
        <v>1710</v>
      </c>
      <c r="P409" s="112" t="s">
        <v>2161</v>
      </c>
      <c r="Q409" s="112" t="s">
        <v>2187</v>
      </c>
      <c r="R409" s="112" t="s">
        <v>2166</v>
      </c>
    </row>
    <row r="410" spans="1:18">
      <c r="A410" s="112" t="s">
        <v>2183</v>
      </c>
      <c r="B410" s="112" t="s">
        <v>1796</v>
      </c>
      <c r="C410" s="112" t="s">
        <v>1706</v>
      </c>
      <c r="D410" s="112">
        <v>80</v>
      </c>
      <c r="E410" s="112" t="s">
        <v>1707</v>
      </c>
      <c r="F410" s="112" t="s">
        <v>1721</v>
      </c>
      <c r="G410" s="112">
        <v>-4.9902734091426897</v>
      </c>
      <c r="H410" s="112">
        <v>-2.8941786341069098</v>
      </c>
      <c r="I410" s="112">
        <v>0</v>
      </c>
      <c r="J410" s="112">
        <v>1</v>
      </c>
      <c r="K410" s="112" t="s">
        <v>1797</v>
      </c>
      <c r="L410" s="112">
        <v>1.4634864105964899E-2</v>
      </c>
      <c r="M410" s="229">
        <v>4.7628255966158202E-4</v>
      </c>
      <c r="N410" s="112" t="s">
        <v>2183</v>
      </c>
      <c r="O410" s="112" t="s">
        <v>1710</v>
      </c>
      <c r="P410" s="112" t="s">
        <v>2161</v>
      </c>
      <c r="Q410" s="112" t="s">
        <v>2184</v>
      </c>
      <c r="R410" s="112" t="s">
        <v>2185</v>
      </c>
    </row>
    <row r="411" spans="1:18">
      <c r="A411" s="112" t="s">
        <v>2191</v>
      </c>
      <c r="B411" s="112" t="s">
        <v>1731</v>
      </c>
      <c r="C411" s="112" t="s">
        <v>1706</v>
      </c>
      <c r="D411" s="112">
        <v>30</v>
      </c>
      <c r="E411" s="112" t="s">
        <v>1707</v>
      </c>
      <c r="F411" s="112" t="s">
        <v>1708</v>
      </c>
      <c r="G411" s="112">
        <v>-2.3629719122830699</v>
      </c>
      <c r="H411" s="112">
        <v>-1.3814079812428599</v>
      </c>
      <c r="I411" s="112">
        <v>-3.0045212869081301</v>
      </c>
      <c r="J411" s="112" t="s">
        <v>848</v>
      </c>
      <c r="K411" s="112" t="s">
        <v>1732</v>
      </c>
      <c r="L411" s="112">
        <v>3.8576534806522698E-2</v>
      </c>
      <c r="M411" s="112">
        <v>3.6797966429115499E-3</v>
      </c>
      <c r="N411" s="112" t="s">
        <v>2191</v>
      </c>
      <c r="O411" s="112" t="s">
        <v>1710</v>
      </c>
      <c r="P411" s="112" t="s">
        <v>2161</v>
      </c>
      <c r="Q411" s="112" t="s">
        <v>2192</v>
      </c>
    </row>
    <row r="412" spans="1:18">
      <c r="A412" s="112" t="s">
        <v>2193</v>
      </c>
      <c r="B412" s="112" t="s">
        <v>1755</v>
      </c>
      <c r="C412" s="112" t="s">
        <v>1706</v>
      </c>
      <c r="D412" s="112">
        <v>30</v>
      </c>
      <c r="E412" s="112" t="s">
        <v>1707</v>
      </c>
      <c r="F412" s="112" t="s">
        <v>1721</v>
      </c>
      <c r="G412" s="112">
        <v>-8.4013788917602703</v>
      </c>
      <c r="H412" s="112">
        <v>-2.5385207342762302</v>
      </c>
      <c r="I412" s="112">
        <v>0</v>
      </c>
      <c r="J412" s="112">
        <v>1</v>
      </c>
      <c r="K412" s="112" t="s">
        <v>1756</v>
      </c>
      <c r="L412" s="112">
        <v>4.1735134500680199E-2</v>
      </c>
      <c r="M412" s="112">
        <v>3.7488634328909898E-3</v>
      </c>
      <c r="N412" s="112" t="s">
        <v>2193</v>
      </c>
      <c r="O412" s="112" t="s">
        <v>1710</v>
      </c>
      <c r="P412" s="112" t="s">
        <v>2161</v>
      </c>
      <c r="Q412" s="112" t="s">
        <v>2194</v>
      </c>
      <c r="R412" s="112" t="s">
        <v>2195</v>
      </c>
    </row>
    <row r="413" spans="1:18">
      <c r="A413" s="112" t="s">
        <v>1578</v>
      </c>
      <c r="B413" s="112" t="s">
        <v>1731</v>
      </c>
      <c r="C413" s="112" t="s">
        <v>1706</v>
      </c>
      <c r="D413" s="112">
        <v>30</v>
      </c>
      <c r="E413" s="112" t="s">
        <v>1707</v>
      </c>
      <c r="F413" s="112" t="s">
        <v>1708</v>
      </c>
      <c r="G413" s="112">
        <v>5.4473317785633002</v>
      </c>
      <c r="H413" s="112">
        <v>5.2670401004160796</v>
      </c>
      <c r="I413" s="112">
        <v>1.81047781737163</v>
      </c>
      <c r="J413" s="112" t="s">
        <v>848</v>
      </c>
      <c r="K413" s="112" t="s">
        <v>1732</v>
      </c>
      <c r="L413" s="229">
        <v>4.6445337337306001E-26</v>
      </c>
      <c r="M413" s="229">
        <v>3.6919981985139901E-29</v>
      </c>
      <c r="N413" s="112" t="s">
        <v>1578</v>
      </c>
      <c r="O413" s="112" t="s">
        <v>1817</v>
      </c>
      <c r="P413" s="112" t="s">
        <v>1576</v>
      </c>
      <c r="Q413" s="112" t="s">
        <v>2196</v>
      </c>
    </row>
    <row r="414" spans="1:18">
      <c r="A414" s="112" t="s">
        <v>1580</v>
      </c>
      <c r="B414" s="112" t="s">
        <v>1731</v>
      </c>
      <c r="C414" s="112" t="s">
        <v>1706</v>
      </c>
      <c r="D414" s="112">
        <v>30</v>
      </c>
      <c r="E414" s="112" t="s">
        <v>1707</v>
      </c>
      <c r="F414" s="112" t="s">
        <v>1708</v>
      </c>
      <c r="G414" s="112">
        <v>5.1503867863327804</v>
      </c>
      <c r="H414" s="112">
        <v>4.8483639663357598</v>
      </c>
      <c r="I414" s="112">
        <v>1.67979536011742</v>
      </c>
      <c r="J414" s="112" t="s">
        <v>848</v>
      </c>
      <c r="K414" s="112" t="s">
        <v>1732</v>
      </c>
      <c r="L414" s="229">
        <v>3.7762284421162601E-16</v>
      </c>
      <c r="M414" s="229">
        <v>9.0053142498797994E-19</v>
      </c>
      <c r="N414" s="112" t="s">
        <v>1580</v>
      </c>
      <c r="O414" s="112" t="s">
        <v>1817</v>
      </c>
      <c r="P414" s="112" t="s">
        <v>1576</v>
      </c>
      <c r="Q414" s="112" t="s">
        <v>2197</v>
      </c>
    </row>
    <row r="415" spans="1:18">
      <c r="A415" s="112" t="s">
        <v>1581</v>
      </c>
      <c r="B415" s="112" t="s">
        <v>1731</v>
      </c>
      <c r="C415" s="112" t="s">
        <v>1706</v>
      </c>
      <c r="D415" s="112">
        <v>30</v>
      </c>
      <c r="E415" s="112" t="s">
        <v>1707</v>
      </c>
      <c r="F415" s="112" t="s">
        <v>1708</v>
      </c>
      <c r="G415" s="112">
        <v>-15.97004411192</v>
      </c>
      <c r="H415" s="112">
        <v>-15.1936204439384</v>
      </c>
      <c r="I415" s="112">
        <v>0</v>
      </c>
      <c r="J415" s="112">
        <v>1</v>
      </c>
      <c r="K415" s="112" t="s">
        <v>1732</v>
      </c>
      <c r="L415" s="229">
        <v>1.33382784607464E-14</v>
      </c>
      <c r="M415" s="229">
        <v>4.2411060288542E-17</v>
      </c>
      <c r="N415" s="112" t="s">
        <v>1581</v>
      </c>
      <c r="O415" s="112" t="s">
        <v>1817</v>
      </c>
      <c r="P415" s="112" t="s">
        <v>1576</v>
      </c>
      <c r="Q415" s="112" t="s">
        <v>2198</v>
      </c>
    </row>
    <row r="416" spans="1:18">
      <c r="A416" s="112" t="s">
        <v>1578</v>
      </c>
      <c r="B416" s="112" t="s">
        <v>1720</v>
      </c>
      <c r="C416" s="112" t="s">
        <v>1706</v>
      </c>
      <c r="D416" s="112">
        <v>55</v>
      </c>
      <c r="E416" s="112" t="s">
        <v>1707</v>
      </c>
      <c r="F416" s="112" t="s">
        <v>1721</v>
      </c>
      <c r="G416" s="112">
        <v>3.9275348341931799</v>
      </c>
      <c r="H416" s="112">
        <v>3.5856551974962199</v>
      </c>
      <c r="I416" s="112">
        <v>0.19313102020849801</v>
      </c>
      <c r="J416" s="112" t="s">
        <v>848</v>
      </c>
      <c r="K416" s="112" t="s">
        <v>1722</v>
      </c>
      <c r="L416" s="229">
        <v>8.3768042309789602E-13</v>
      </c>
      <c r="M416" s="229">
        <v>9.18509235852956E-16</v>
      </c>
      <c r="N416" s="112" t="s">
        <v>1578</v>
      </c>
      <c r="O416" s="112" t="s">
        <v>1817</v>
      </c>
      <c r="P416" s="112" t="s">
        <v>1576</v>
      </c>
      <c r="Q416" s="112" t="s">
        <v>2196</v>
      </c>
    </row>
    <row r="417" spans="1:17">
      <c r="A417" s="112" t="s">
        <v>1578</v>
      </c>
      <c r="B417" s="112" t="s">
        <v>1705</v>
      </c>
      <c r="C417" s="112" t="s">
        <v>1706</v>
      </c>
      <c r="D417" s="112">
        <v>80</v>
      </c>
      <c r="E417" s="112" t="s">
        <v>1707</v>
      </c>
      <c r="F417" s="112" t="s">
        <v>1708</v>
      </c>
      <c r="G417" s="112">
        <v>-7.2635296768255397</v>
      </c>
      <c r="H417" s="112">
        <v>-6.3974159718591901</v>
      </c>
      <c r="I417" s="112">
        <v>-12.808300866189899</v>
      </c>
      <c r="J417" s="112" t="s">
        <v>848</v>
      </c>
      <c r="K417" s="112" t="s">
        <v>1709</v>
      </c>
      <c r="L417" s="229">
        <v>2.8514162628450999E-11</v>
      </c>
      <c r="M417" s="229">
        <v>1.5632764598931399E-14</v>
      </c>
      <c r="N417" s="112" t="s">
        <v>1578</v>
      </c>
      <c r="O417" s="112" t="s">
        <v>1817</v>
      </c>
      <c r="P417" s="112" t="s">
        <v>1576</v>
      </c>
      <c r="Q417" s="112" t="s">
        <v>2196</v>
      </c>
    </row>
    <row r="418" spans="1:17">
      <c r="A418" s="112" t="s">
        <v>1581</v>
      </c>
      <c r="B418" s="112" t="s">
        <v>1705</v>
      </c>
      <c r="C418" s="112" t="s">
        <v>1706</v>
      </c>
      <c r="D418" s="112">
        <v>80</v>
      </c>
      <c r="E418" s="112" t="s">
        <v>1707</v>
      </c>
      <c r="F418" s="112" t="s">
        <v>1708</v>
      </c>
      <c r="G418" s="112">
        <v>11.9765106793269</v>
      </c>
      <c r="H418" s="112">
        <v>11.4923035659132</v>
      </c>
      <c r="I418" s="112">
        <v>1.70734967025913</v>
      </c>
      <c r="J418" s="112" t="s">
        <v>848</v>
      </c>
      <c r="K418" s="112" t="s">
        <v>1709</v>
      </c>
      <c r="L418" s="229">
        <v>1.05434445936073E-10</v>
      </c>
      <c r="M418" s="229">
        <v>1.3866419493861801E-13</v>
      </c>
      <c r="N418" s="112" t="s">
        <v>1581</v>
      </c>
      <c r="O418" s="112" t="s">
        <v>1817</v>
      </c>
      <c r="P418" s="112" t="s">
        <v>1576</v>
      </c>
      <c r="Q418" s="112" t="s">
        <v>2198</v>
      </c>
    </row>
    <row r="419" spans="1:17">
      <c r="A419" s="112" t="s">
        <v>1580</v>
      </c>
      <c r="B419" s="112" t="s">
        <v>1705</v>
      </c>
      <c r="C419" s="112" t="s">
        <v>1706</v>
      </c>
      <c r="D419" s="112">
        <v>80</v>
      </c>
      <c r="E419" s="112" t="s">
        <v>1707</v>
      </c>
      <c r="F419" s="112" t="s">
        <v>1708</v>
      </c>
      <c r="G419" s="112">
        <v>-7.6222784201282101</v>
      </c>
      <c r="H419" s="112">
        <v>-6.5756824605976796</v>
      </c>
      <c r="I419" s="112">
        <v>0</v>
      </c>
      <c r="J419" s="112">
        <v>1</v>
      </c>
      <c r="K419" s="112" t="s">
        <v>1709</v>
      </c>
      <c r="L419" s="229">
        <v>3.93675642790205E-10</v>
      </c>
      <c r="M419" s="229">
        <v>1.07915472256087E-12</v>
      </c>
      <c r="N419" s="112" t="s">
        <v>1580</v>
      </c>
      <c r="O419" s="112" t="s">
        <v>1817</v>
      </c>
      <c r="P419" s="112" t="s">
        <v>1576</v>
      </c>
      <c r="Q419" s="112" t="s">
        <v>2197</v>
      </c>
    </row>
    <row r="420" spans="1:17">
      <c r="A420" s="112" t="s">
        <v>1580</v>
      </c>
      <c r="B420" s="112" t="s">
        <v>1720</v>
      </c>
      <c r="C420" s="112" t="s">
        <v>1706</v>
      </c>
      <c r="D420" s="112">
        <v>55</v>
      </c>
      <c r="E420" s="112" t="s">
        <v>1707</v>
      </c>
      <c r="F420" s="112" t="s">
        <v>1721</v>
      </c>
      <c r="G420" s="112">
        <v>3.8957147653256001</v>
      </c>
      <c r="H420" s="112">
        <v>3.4210474045799701</v>
      </c>
      <c r="I420" s="112">
        <v>0.34860584099797398</v>
      </c>
      <c r="J420" s="112" t="s">
        <v>848</v>
      </c>
      <c r="K420" s="112" t="s">
        <v>1722</v>
      </c>
      <c r="L420" s="229">
        <v>1.01410957681777E-8</v>
      </c>
      <c r="M420" s="229">
        <v>2.7345492015189999E-11</v>
      </c>
      <c r="N420" s="112" t="s">
        <v>1580</v>
      </c>
      <c r="O420" s="112" t="s">
        <v>1817</v>
      </c>
      <c r="P420" s="112" t="s">
        <v>1576</v>
      </c>
      <c r="Q420" s="112" t="s">
        <v>2197</v>
      </c>
    </row>
    <row r="421" spans="1:17">
      <c r="A421" s="112" t="s">
        <v>1581</v>
      </c>
      <c r="B421" s="112" t="s">
        <v>1720</v>
      </c>
      <c r="C421" s="112" t="s">
        <v>1706</v>
      </c>
      <c r="D421" s="112">
        <v>55</v>
      </c>
      <c r="E421" s="112" t="s">
        <v>1707</v>
      </c>
      <c r="F421" s="112" t="s">
        <v>1721</v>
      </c>
      <c r="G421" s="112">
        <v>-12.6486618423249</v>
      </c>
      <c r="H421" s="112">
        <v>-11.567809200935001</v>
      </c>
      <c r="I421" s="112">
        <v>0</v>
      </c>
      <c r="J421" s="112">
        <v>1</v>
      </c>
      <c r="K421" s="112" t="s">
        <v>1722</v>
      </c>
      <c r="L421" s="229">
        <v>1.01410957681777E-8</v>
      </c>
      <c r="M421" s="229">
        <v>2.7799056382066199E-11</v>
      </c>
      <c r="N421" s="112" t="s">
        <v>1581</v>
      </c>
      <c r="O421" s="112" t="s">
        <v>1817</v>
      </c>
      <c r="P421" s="112" t="s">
        <v>1576</v>
      </c>
      <c r="Q421" s="112" t="s">
        <v>2198</v>
      </c>
    </row>
    <row r="422" spans="1:17">
      <c r="A422" s="112" t="s">
        <v>1578</v>
      </c>
      <c r="B422" s="112" t="s">
        <v>1748</v>
      </c>
      <c r="C422" s="112" t="s">
        <v>1706</v>
      </c>
      <c r="D422" s="112">
        <v>80</v>
      </c>
      <c r="E422" s="112" t="s">
        <v>1707</v>
      </c>
      <c r="F422" s="112" t="s">
        <v>440</v>
      </c>
      <c r="G422" s="112">
        <v>-9.31565672921543</v>
      </c>
      <c r="H422" s="112">
        <v>-7.6370797197685301</v>
      </c>
      <c r="I422" s="112">
        <v>0</v>
      </c>
      <c r="J422" s="112">
        <v>1</v>
      </c>
      <c r="K422" s="112" t="s">
        <v>1749</v>
      </c>
      <c r="L422" s="229">
        <v>1.12443631444934E-7</v>
      </c>
      <c r="M422" s="229">
        <v>6.16467277658634E-11</v>
      </c>
      <c r="N422" s="112" t="s">
        <v>1578</v>
      </c>
      <c r="O422" s="112" t="s">
        <v>1817</v>
      </c>
      <c r="P422" s="112" t="s">
        <v>1576</v>
      </c>
      <c r="Q422" s="112" t="s">
        <v>2196</v>
      </c>
    </row>
    <row r="423" spans="1:17">
      <c r="A423" s="112" t="s">
        <v>1578</v>
      </c>
      <c r="B423" s="112" t="s">
        <v>1735</v>
      </c>
      <c r="C423" s="112" t="s">
        <v>1706</v>
      </c>
      <c r="D423" s="112">
        <v>30</v>
      </c>
      <c r="E423" s="112" t="s">
        <v>1707</v>
      </c>
      <c r="F423" s="112" t="s">
        <v>440</v>
      </c>
      <c r="G423" s="112">
        <v>3.7074266586069098</v>
      </c>
      <c r="H423" s="112">
        <v>3.2598315232703499</v>
      </c>
      <c r="I423" s="112">
        <v>2.53879353679532E-2</v>
      </c>
      <c r="J423" s="112" t="s">
        <v>848</v>
      </c>
      <c r="K423" s="112" t="s">
        <v>1736</v>
      </c>
      <c r="L423" s="229">
        <v>1.3105769165107301E-7</v>
      </c>
      <c r="M423" s="229">
        <v>3.5925902316631998E-10</v>
      </c>
      <c r="N423" s="112" t="s">
        <v>1578</v>
      </c>
      <c r="O423" s="112" t="s">
        <v>1817</v>
      </c>
      <c r="P423" s="112" t="s">
        <v>1576</v>
      </c>
      <c r="Q423" s="112" t="s">
        <v>2196</v>
      </c>
    </row>
    <row r="424" spans="1:17">
      <c r="A424" s="112" t="s">
        <v>1578</v>
      </c>
      <c r="B424" s="112" t="s">
        <v>1743</v>
      </c>
      <c r="C424" s="112" t="s">
        <v>1706</v>
      </c>
      <c r="D424" s="112">
        <v>55</v>
      </c>
      <c r="E424" s="112" t="s">
        <v>1707</v>
      </c>
      <c r="F424" s="112" t="s">
        <v>440</v>
      </c>
      <c r="G424" s="112">
        <v>3.5723882805486098</v>
      </c>
      <c r="H424" s="112">
        <v>3.1802664223433901</v>
      </c>
      <c r="I424" s="112">
        <v>0.249209394390392</v>
      </c>
      <c r="J424" s="112" t="s">
        <v>848</v>
      </c>
      <c r="K424" s="112" t="s">
        <v>1744</v>
      </c>
      <c r="L424" s="229">
        <v>2.9956152344424102E-7</v>
      </c>
      <c r="M424" s="229">
        <v>1.2421348587874501E-9</v>
      </c>
      <c r="N424" s="112" t="s">
        <v>1578</v>
      </c>
      <c r="O424" s="112" t="s">
        <v>1817</v>
      </c>
      <c r="P424" s="112" t="s">
        <v>1576</v>
      </c>
      <c r="Q424" s="112" t="s">
        <v>2196</v>
      </c>
    </row>
    <row r="425" spans="1:17">
      <c r="A425" s="112" t="s">
        <v>1580</v>
      </c>
      <c r="B425" s="112" t="s">
        <v>1748</v>
      </c>
      <c r="C425" s="112" t="s">
        <v>1706</v>
      </c>
      <c r="D425" s="112">
        <v>80</v>
      </c>
      <c r="E425" s="112" t="s">
        <v>1707</v>
      </c>
      <c r="F425" s="112" t="s">
        <v>440</v>
      </c>
      <c r="G425" s="112">
        <v>-9.0159301164667909</v>
      </c>
      <c r="H425" s="112">
        <v>-7.17102228473696</v>
      </c>
      <c r="I425" s="112">
        <v>0</v>
      </c>
      <c r="J425" s="112">
        <v>1</v>
      </c>
      <c r="K425" s="112" t="s">
        <v>1749</v>
      </c>
      <c r="L425" s="229">
        <v>1.0226076742654E-6</v>
      </c>
      <c r="M425" s="229">
        <v>1.1212803445892501E-9</v>
      </c>
      <c r="N425" s="112" t="s">
        <v>1580</v>
      </c>
      <c r="O425" s="112" t="s">
        <v>1817</v>
      </c>
      <c r="P425" s="112" t="s">
        <v>1576</v>
      </c>
      <c r="Q425" s="112" t="s">
        <v>2197</v>
      </c>
    </row>
    <row r="426" spans="1:17">
      <c r="A426" s="112" t="s">
        <v>1578</v>
      </c>
      <c r="B426" s="112" t="s">
        <v>1796</v>
      </c>
      <c r="C426" s="112" t="s">
        <v>1706</v>
      </c>
      <c r="D426" s="112">
        <v>80</v>
      </c>
      <c r="E426" s="112" t="s">
        <v>1707</v>
      </c>
      <c r="F426" s="112" t="s">
        <v>1721</v>
      </c>
      <c r="G426" s="112">
        <v>-7.05486001761839</v>
      </c>
      <c r="H426" s="112">
        <v>-5.5454611461777903</v>
      </c>
      <c r="I426" s="112">
        <v>0</v>
      </c>
      <c r="J426" s="112">
        <v>1</v>
      </c>
      <c r="K426" s="112" t="s">
        <v>1797</v>
      </c>
      <c r="L426" s="229">
        <v>1.21008038257002E-6</v>
      </c>
      <c r="M426" s="229">
        <v>2.6850896062944401E-9</v>
      </c>
      <c r="N426" s="112" t="s">
        <v>1578</v>
      </c>
      <c r="O426" s="112" t="s">
        <v>1817</v>
      </c>
      <c r="P426" s="112" t="s">
        <v>1576</v>
      </c>
      <c r="Q426" s="112" t="s">
        <v>2196</v>
      </c>
    </row>
    <row r="427" spans="1:17">
      <c r="A427" s="112" t="s">
        <v>1581</v>
      </c>
      <c r="B427" s="112" t="s">
        <v>1796</v>
      </c>
      <c r="C427" s="112" t="s">
        <v>1706</v>
      </c>
      <c r="D427" s="112">
        <v>80</v>
      </c>
      <c r="E427" s="112" t="s">
        <v>1707</v>
      </c>
      <c r="F427" s="112" t="s">
        <v>1721</v>
      </c>
      <c r="G427" s="112">
        <v>12.0821881329703</v>
      </c>
      <c r="H427" s="112">
        <v>11.2048337496194</v>
      </c>
      <c r="I427" s="112">
        <v>1.74022566565574</v>
      </c>
      <c r="J427" s="112" t="s">
        <v>848</v>
      </c>
      <c r="K427" s="112" t="s">
        <v>1797</v>
      </c>
      <c r="L427" s="229">
        <v>1.21008038257002E-6</v>
      </c>
      <c r="M427" s="229">
        <v>2.3234771792815099E-9</v>
      </c>
      <c r="N427" s="112" t="s">
        <v>1581</v>
      </c>
      <c r="O427" s="112" t="s">
        <v>1817</v>
      </c>
      <c r="P427" s="112" t="s">
        <v>1576</v>
      </c>
      <c r="Q427" s="112" t="s">
        <v>2198</v>
      </c>
    </row>
    <row r="428" spans="1:17">
      <c r="A428" s="112" t="s">
        <v>1581</v>
      </c>
      <c r="B428" s="112" t="s">
        <v>1748</v>
      </c>
      <c r="C428" s="112" t="s">
        <v>1706</v>
      </c>
      <c r="D428" s="112">
        <v>80</v>
      </c>
      <c r="E428" s="112" t="s">
        <v>1707</v>
      </c>
      <c r="F428" s="112" t="s">
        <v>440</v>
      </c>
      <c r="G428" s="112">
        <v>11.4015350010426</v>
      </c>
      <c r="H428" s="112">
        <v>8.5216531637760298</v>
      </c>
      <c r="I428" s="112">
        <v>1.15670845516937</v>
      </c>
      <c r="J428" s="112" t="s">
        <v>848</v>
      </c>
      <c r="K428" s="112" t="s">
        <v>1749</v>
      </c>
      <c r="L428" s="229">
        <v>5.49133366708596E-6</v>
      </c>
      <c r="M428" s="229">
        <v>1.65997076192681E-8</v>
      </c>
      <c r="N428" s="112" t="s">
        <v>1581</v>
      </c>
      <c r="O428" s="112" t="s">
        <v>1817</v>
      </c>
      <c r="P428" s="112" t="s">
        <v>1576</v>
      </c>
      <c r="Q428" s="112" t="s">
        <v>2198</v>
      </c>
    </row>
    <row r="429" spans="1:17">
      <c r="A429" s="112" t="s">
        <v>1582</v>
      </c>
      <c r="B429" s="112" t="s">
        <v>1705</v>
      </c>
      <c r="C429" s="112" t="s">
        <v>1706</v>
      </c>
      <c r="D429" s="112">
        <v>80</v>
      </c>
      <c r="E429" s="112" t="s">
        <v>1707</v>
      </c>
      <c r="F429" s="112" t="s">
        <v>1708</v>
      </c>
      <c r="G429" s="112">
        <v>5.9520006950763999</v>
      </c>
      <c r="H429" s="112">
        <v>4.68991978647629</v>
      </c>
      <c r="I429" s="112">
        <v>1.6663607377759999</v>
      </c>
      <c r="J429" s="112" t="s">
        <v>848</v>
      </c>
      <c r="K429" s="112" t="s">
        <v>1709</v>
      </c>
      <c r="L429" s="229">
        <v>6.3856783311163798E-6</v>
      </c>
      <c r="M429" s="229">
        <v>6.65174826157956E-8</v>
      </c>
      <c r="N429" s="112" t="s">
        <v>1582</v>
      </c>
      <c r="O429" s="112" t="s">
        <v>1817</v>
      </c>
      <c r="P429" s="112" t="s">
        <v>1576</v>
      </c>
      <c r="Q429" s="112" t="s">
        <v>1575</v>
      </c>
    </row>
    <row r="430" spans="1:17">
      <c r="A430" s="112" t="s">
        <v>1580</v>
      </c>
      <c r="B430" s="112" t="s">
        <v>1796</v>
      </c>
      <c r="C430" s="112" t="s">
        <v>1706</v>
      </c>
      <c r="D430" s="112">
        <v>80</v>
      </c>
      <c r="E430" s="112" t="s">
        <v>1707</v>
      </c>
      <c r="F430" s="112" t="s">
        <v>1721</v>
      </c>
      <c r="G430" s="112">
        <v>-5.88464087634416</v>
      </c>
      <c r="H430" s="112">
        <v>-4.6063549214262798</v>
      </c>
      <c r="I430" s="112">
        <v>-11.3986322483797</v>
      </c>
      <c r="J430" s="112" t="s">
        <v>848</v>
      </c>
      <c r="K430" s="112" t="s">
        <v>1797</v>
      </c>
      <c r="L430" s="229">
        <v>3.9496789615447601E-5</v>
      </c>
      <c r="M430" s="229">
        <v>1.75281610719442E-7</v>
      </c>
      <c r="N430" s="112" t="s">
        <v>1580</v>
      </c>
      <c r="O430" s="112" t="s">
        <v>1817</v>
      </c>
      <c r="P430" s="112" t="s">
        <v>1576</v>
      </c>
      <c r="Q430" s="112" t="s">
        <v>2197</v>
      </c>
    </row>
    <row r="431" spans="1:17">
      <c r="A431" s="112" t="s">
        <v>1578</v>
      </c>
      <c r="B431" s="112" t="s">
        <v>1762</v>
      </c>
      <c r="C431" s="112" t="s">
        <v>1706</v>
      </c>
      <c r="D431" s="112">
        <v>55</v>
      </c>
      <c r="E431" s="112" t="s">
        <v>1707</v>
      </c>
      <c r="F431" s="112" t="s">
        <v>1708</v>
      </c>
      <c r="G431" s="112">
        <v>2.5780506721915302</v>
      </c>
      <c r="H431" s="112">
        <v>2.3228385008026899</v>
      </c>
      <c r="I431" s="112">
        <v>-0.89841090737539298</v>
      </c>
      <c r="J431" s="112" t="s">
        <v>848</v>
      </c>
      <c r="K431" s="112" t="s">
        <v>1763</v>
      </c>
      <c r="L431" s="229">
        <v>5.0289864353625098E-5</v>
      </c>
      <c r="M431" s="229">
        <v>1.9593453644269499E-7</v>
      </c>
      <c r="N431" s="112" t="s">
        <v>1578</v>
      </c>
      <c r="O431" s="112" t="s">
        <v>1817</v>
      </c>
      <c r="P431" s="112" t="s">
        <v>1576</v>
      </c>
      <c r="Q431" s="112" t="s">
        <v>2196</v>
      </c>
    </row>
    <row r="432" spans="1:17">
      <c r="A432" s="112" t="s">
        <v>1578</v>
      </c>
      <c r="B432" s="112" t="s">
        <v>1755</v>
      </c>
      <c r="C432" s="112" t="s">
        <v>1706</v>
      </c>
      <c r="D432" s="112">
        <v>30</v>
      </c>
      <c r="E432" s="112" t="s">
        <v>1707</v>
      </c>
      <c r="F432" s="112" t="s">
        <v>1721</v>
      </c>
      <c r="G432" s="112">
        <v>4.1132407909891802</v>
      </c>
      <c r="H432" s="112">
        <v>3.5562261738769401</v>
      </c>
      <c r="I432" s="112">
        <v>3.5697477981553802E-2</v>
      </c>
      <c r="J432" s="112" t="s">
        <v>848</v>
      </c>
      <c r="K432" s="112" t="s">
        <v>1756</v>
      </c>
      <c r="L432" s="229">
        <v>7.8969006869477598E-5</v>
      </c>
      <c r="M432" s="229">
        <v>5.0218764304914199E-7</v>
      </c>
      <c r="N432" s="112" t="s">
        <v>1578</v>
      </c>
      <c r="O432" s="112" t="s">
        <v>1817</v>
      </c>
      <c r="P432" s="112" t="s">
        <v>1576</v>
      </c>
      <c r="Q432" s="112" t="s">
        <v>2196</v>
      </c>
    </row>
    <row r="433" spans="1:17">
      <c r="A433" s="112" t="s">
        <v>1580</v>
      </c>
      <c r="B433" s="112" t="s">
        <v>1743</v>
      </c>
      <c r="C433" s="112" t="s">
        <v>1706</v>
      </c>
      <c r="D433" s="112">
        <v>55</v>
      </c>
      <c r="E433" s="112" t="s">
        <v>1707</v>
      </c>
      <c r="F433" s="112" t="s">
        <v>440</v>
      </c>
      <c r="G433" s="112">
        <v>3.4989702251167101</v>
      </c>
      <c r="H433" s="112">
        <v>2.9512726408216299</v>
      </c>
      <c r="I433" s="112">
        <v>0.39544157960124499</v>
      </c>
      <c r="J433" s="112" t="s">
        <v>848</v>
      </c>
      <c r="K433" s="112" t="s">
        <v>1744</v>
      </c>
      <c r="L433" s="229">
        <v>9.4740511866991099E-5</v>
      </c>
      <c r="M433" s="229">
        <v>9.1663245759355605E-7</v>
      </c>
      <c r="N433" s="112" t="s">
        <v>1580</v>
      </c>
      <c r="O433" s="112" t="s">
        <v>1817</v>
      </c>
      <c r="P433" s="112" t="s">
        <v>1576</v>
      </c>
      <c r="Q433" s="112" t="s">
        <v>2197</v>
      </c>
    </row>
    <row r="434" spans="1:17">
      <c r="A434" s="112" t="s">
        <v>1582</v>
      </c>
      <c r="B434" s="112" t="s">
        <v>1796</v>
      </c>
      <c r="C434" s="112" t="s">
        <v>1706</v>
      </c>
      <c r="D434" s="112">
        <v>80</v>
      </c>
      <c r="E434" s="112" t="s">
        <v>1707</v>
      </c>
      <c r="F434" s="112" t="s">
        <v>1721</v>
      </c>
      <c r="G434" s="112">
        <v>6.4076382351241197</v>
      </c>
      <c r="H434" s="112">
        <v>4.5339528243594902</v>
      </c>
      <c r="I434" s="112">
        <v>1.96986492876782</v>
      </c>
      <c r="J434" s="112" t="s">
        <v>848</v>
      </c>
      <c r="K434" s="112" t="s">
        <v>1797</v>
      </c>
      <c r="L434" s="229">
        <v>2.9685859613489302E-4</v>
      </c>
      <c r="M434" s="229">
        <v>2.8544095782201201E-6</v>
      </c>
      <c r="N434" s="112" t="s">
        <v>1582</v>
      </c>
      <c r="O434" s="112" t="s">
        <v>1817</v>
      </c>
      <c r="P434" s="112" t="s">
        <v>1576</v>
      </c>
      <c r="Q434" s="112" t="s">
        <v>1575</v>
      </c>
    </row>
    <row r="435" spans="1:17">
      <c r="A435" s="112" t="s">
        <v>1580</v>
      </c>
      <c r="B435" s="112" t="s">
        <v>1762</v>
      </c>
      <c r="C435" s="112" t="s">
        <v>1706</v>
      </c>
      <c r="D435" s="112">
        <v>55</v>
      </c>
      <c r="E435" s="112" t="s">
        <v>1707</v>
      </c>
      <c r="F435" s="112" t="s">
        <v>1708</v>
      </c>
      <c r="G435" s="112">
        <v>2.7113554500128201</v>
      </c>
      <c r="H435" s="112">
        <v>2.3438259449020502</v>
      </c>
      <c r="I435" s="112">
        <v>-0.49107400647215099</v>
      </c>
      <c r="J435" s="112" t="s">
        <v>848</v>
      </c>
      <c r="K435" s="112" t="s">
        <v>1763</v>
      </c>
      <c r="L435" s="229">
        <v>5.35544232749039E-4</v>
      </c>
      <c r="M435" s="229">
        <v>4.5208279387905904E-6</v>
      </c>
      <c r="N435" s="112" t="s">
        <v>1580</v>
      </c>
      <c r="O435" s="112" t="s">
        <v>1817</v>
      </c>
      <c r="P435" s="112" t="s">
        <v>1576</v>
      </c>
      <c r="Q435" s="112" t="s">
        <v>2197</v>
      </c>
    </row>
    <row r="436" spans="1:17">
      <c r="A436" s="112" t="s">
        <v>1580</v>
      </c>
      <c r="B436" s="112" t="s">
        <v>1735</v>
      </c>
      <c r="C436" s="112" t="s">
        <v>1706</v>
      </c>
      <c r="D436" s="112">
        <v>30</v>
      </c>
      <c r="E436" s="112" t="s">
        <v>1707</v>
      </c>
      <c r="F436" s="112" t="s">
        <v>440</v>
      </c>
      <c r="G436" s="112">
        <v>3.0654741454855499</v>
      </c>
      <c r="H436" s="112">
        <v>2.4992661676594201</v>
      </c>
      <c r="I436" s="112">
        <v>-0.39935570448563101</v>
      </c>
      <c r="J436" s="112" t="s">
        <v>848</v>
      </c>
      <c r="K436" s="112" t="s">
        <v>1736</v>
      </c>
      <c r="L436" s="112">
        <v>1.50840474378449E-3</v>
      </c>
      <c r="M436" s="229">
        <v>1.98474308392696E-5</v>
      </c>
      <c r="N436" s="112" t="s">
        <v>1580</v>
      </c>
      <c r="O436" s="112" t="s">
        <v>1817</v>
      </c>
      <c r="P436" s="112" t="s">
        <v>1576</v>
      </c>
      <c r="Q436" s="112" t="s">
        <v>2197</v>
      </c>
    </row>
    <row r="437" spans="1:17">
      <c r="A437" s="112" t="s">
        <v>1580</v>
      </c>
      <c r="B437" s="112" t="s">
        <v>1755</v>
      </c>
      <c r="C437" s="112" t="s">
        <v>1706</v>
      </c>
      <c r="D437" s="112">
        <v>30</v>
      </c>
      <c r="E437" s="112" t="s">
        <v>1707</v>
      </c>
      <c r="F437" s="112" t="s">
        <v>1721</v>
      </c>
      <c r="G437" s="112">
        <v>4.2667174997883599</v>
      </c>
      <c r="H437" s="112">
        <v>3.38410430188575</v>
      </c>
      <c r="I437" s="112">
        <v>0.363143677232314</v>
      </c>
      <c r="J437" s="112" t="s">
        <v>848</v>
      </c>
      <c r="K437" s="112" t="s">
        <v>1756</v>
      </c>
      <c r="L437" s="112">
        <v>1.6044715217548901E-3</v>
      </c>
      <c r="M437" s="229">
        <v>2.16820475912824E-5</v>
      </c>
      <c r="N437" s="112" t="s">
        <v>1580</v>
      </c>
      <c r="O437" s="112" t="s">
        <v>1817</v>
      </c>
      <c r="P437" s="112" t="s">
        <v>1576</v>
      </c>
      <c r="Q437" s="112" t="s">
        <v>2197</v>
      </c>
    </row>
    <row r="438" spans="1:17">
      <c r="A438" s="112" t="s">
        <v>1581</v>
      </c>
      <c r="B438" s="112" t="s">
        <v>1755</v>
      </c>
      <c r="C438" s="112" t="s">
        <v>1706</v>
      </c>
      <c r="D438" s="112">
        <v>30</v>
      </c>
      <c r="E438" s="112" t="s">
        <v>1707</v>
      </c>
      <c r="F438" s="112" t="s">
        <v>1721</v>
      </c>
      <c r="G438" s="112">
        <v>-14.390917505073199</v>
      </c>
      <c r="H438" s="112">
        <v>-8.5769978356749803</v>
      </c>
      <c r="I438" s="112">
        <v>0</v>
      </c>
      <c r="J438" s="112">
        <v>1</v>
      </c>
      <c r="K438" s="112" t="s">
        <v>1756</v>
      </c>
      <c r="L438" s="112">
        <v>2.1163344824605E-3</v>
      </c>
      <c r="M438" s="229">
        <v>3.8692919790613298E-5</v>
      </c>
      <c r="N438" s="112" t="s">
        <v>1581</v>
      </c>
      <c r="O438" s="112" t="s">
        <v>1817</v>
      </c>
      <c r="P438" s="112" t="s">
        <v>1576</v>
      </c>
      <c r="Q438" s="112" t="s">
        <v>2198</v>
      </c>
    </row>
    <row r="439" spans="1:17">
      <c r="A439" s="112" t="s">
        <v>1585</v>
      </c>
      <c r="B439" s="112" t="s">
        <v>1705</v>
      </c>
      <c r="C439" s="112" t="s">
        <v>1706</v>
      </c>
      <c r="D439" s="112">
        <v>80</v>
      </c>
      <c r="E439" s="112" t="s">
        <v>1707</v>
      </c>
      <c r="F439" s="112" t="s">
        <v>1708</v>
      </c>
      <c r="G439" s="112">
        <v>2.8081808608403902</v>
      </c>
      <c r="H439" s="112">
        <v>2.3429151356412499</v>
      </c>
      <c r="I439" s="112">
        <v>1.5572671860782401</v>
      </c>
      <c r="J439" s="112" t="s">
        <v>848</v>
      </c>
      <c r="K439" s="112" t="s">
        <v>1709</v>
      </c>
      <c r="L439" s="112">
        <v>3.3558762943948798E-3</v>
      </c>
      <c r="M439" s="229">
        <v>1.7110553474710701E-4</v>
      </c>
      <c r="N439" s="112" t="s">
        <v>1585</v>
      </c>
      <c r="O439" s="112" t="s">
        <v>1817</v>
      </c>
      <c r="P439" s="112" t="s">
        <v>1576</v>
      </c>
      <c r="Q439" s="112" t="s">
        <v>1584</v>
      </c>
    </row>
    <row r="440" spans="1:17">
      <c r="A440" s="112" t="s">
        <v>1583</v>
      </c>
      <c r="B440" s="112" t="s">
        <v>1755</v>
      </c>
      <c r="C440" s="112" t="s">
        <v>1706</v>
      </c>
      <c r="D440" s="112">
        <v>30</v>
      </c>
      <c r="E440" s="112" t="s">
        <v>1707</v>
      </c>
      <c r="F440" s="112" t="s">
        <v>1721</v>
      </c>
      <c r="G440" s="112">
        <v>-9.6463243459153496</v>
      </c>
      <c r="H440" s="112">
        <v>-5.1143000063745703</v>
      </c>
      <c r="I440" s="112">
        <v>0</v>
      </c>
      <c r="J440" s="112">
        <v>1</v>
      </c>
      <c r="K440" s="112" t="s">
        <v>1756</v>
      </c>
      <c r="L440" s="112">
        <v>4.9505483755017702E-3</v>
      </c>
      <c r="M440" s="229">
        <v>1.2986335166260599E-4</v>
      </c>
      <c r="N440" s="112" t="s">
        <v>1583</v>
      </c>
      <c r="O440" s="112" t="s">
        <v>1817</v>
      </c>
      <c r="P440" s="112" t="s">
        <v>1576</v>
      </c>
      <c r="Q440" s="112" t="s">
        <v>1584</v>
      </c>
    </row>
    <row r="441" spans="1:17">
      <c r="A441" s="112" t="s">
        <v>1582</v>
      </c>
      <c r="B441" s="112" t="s">
        <v>1748</v>
      </c>
      <c r="C441" s="112" t="s">
        <v>1706</v>
      </c>
      <c r="D441" s="112">
        <v>80</v>
      </c>
      <c r="E441" s="112" t="s">
        <v>1707</v>
      </c>
      <c r="F441" s="112" t="s">
        <v>440</v>
      </c>
      <c r="G441" s="112">
        <v>5.1184670101935703</v>
      </c>
      <c r="H441" s="112">
        <v>3.6917928782441498</v>
      </c>
      <c r="I441" s="112">
        <v>0.85147696023850195</v>
      </c>
      <c r="J441" s="112" t="s">
        <v>848</v>
      </c>
      <c r="K441" s="112" t="s">
        <v>1749</v>
      </c>
      <c r="L441" s="112">
        <v>5.1574727701614196E-3</v>
      </c>
      <c r="M441" s="229">
        <v>1.7248127137052999E-4</v>
      </c>
      <c r="N441" s="112" t="s">
        <v>1582</v>
      </c>
      <c r="O441" s="112" t="s">
        <v>1817</v>
      </c>
      <c r="P441" s="112" t="s">
        <v>1576</v>
      </c>
      <c r="Q441" s="112" t="s">
        <v>1575</v>
      </c>
    </row>
    <row r="442" spans="1:17">
      <c r="A442" s="112" t="s">
        <v>1585</v>
      </c>
      <c r="B442" s="112" t="s">
        <v>1755</v>
      </c>
      <c r="C442" s="112" t="s">
        <v>1706</v>
      </c>
      <c r="D442" s="112">
        <v>30</v>
      </c>
      <c r="E442" s="112" t="s">
        <v>1707</v>
      </c>
      <c r="F442" s="112" t="s">
        <v>1721</v>
      </c>
      <c r="G442" s="112">
        <v>-7.8100441685836204</v>
      </c>
      <c r="H442" s="112">
        <v>-3.5498395748485998</v>
      </c>
      <c r="I442" s="112">
        <v>0</v>
      </c>
      <c r="J442" s="112">
        <v>1</v>
      </c>
      <c r="K442" s="112" t="s">
        <v>1756</v>
      </c>
      <c r="L442" s="112">
        <v>1.6527447215097999E-2</v>
      </c>
      <c r="M442" s="229">
        <v>8.5396189903130001E-4</v>
      </c>
      <c r="N442" s="112" t="s">
        <v>1585</v>
      </c>
      <c r="O442" s="112" t="s">
        <v>1817</v>
      </c>
      <c r="P442" s="112" t="s">
        <v>1576</v>
      </c>
      <c r="Q442" s="112" t="s">
        <v>1584</v>
      </c>
    </row>
    <row r="443" spans="1:17">
      <c r="A443" s="112" t="s">
        <v>1592</v>
      </c>
      <c r="B443" s="112" t="s">
        <v>1705</v>
      </c>
      <c r="C443" s="112" t="s">
        <v>1706</v>
      </c>
      <c r="D443" s="112">
        <v>80</v>
      </c>
      <c r="E443" s="112" t="s">
        <v>1707</v>
      </c>
      <c r="F443" s="112" t="s">
        <v>1708</v>
      </c>
      <c r="G443" s="112">
        <v>6.0588783678128504</v>
      </c>
      <c r="H443" s="112">
        <v>2.4459124626856599</v>
      </c>
      <c r="I443" s="112">
        <v>2.30684321501088</v>
      </c>
      <c r="J443" s="112" t="s">
        <v>848</v>
      </c>
      <c r="K443" s="112" t="s">
        <v>1709</v>
      </c>
      <c r="L443" s="112">
        <v>2.57271485118379E-2</v>
      </c>
      <c r="M443" s="112">
        <v>2.9196928409816001E-3</v>
      </c>
      <c r="N443" s="112" t="s">
        <v>1592</v>
      </c>
      <c r="O443" s="112" t="s">
        <v>1817</v>
      </c>
      <c r="P443" s="112" t="s">
        <v>1576</v>
      </c>
      <c r="Q443" s="112" t="s">
        <v>1591</v>
      </c>
    </row>
    <row r="444" spans="1:17">
      <c r="A444" s="112" t="s">
        <v>1583</v>
      </c>
      <c r="B444" s="112" t="s">
        <v>1731</v>
      </c>
      <c r="C444" s="112" t="s">
        <v>1706</v>
      </c>
      <c r="D444" s="112">
        <v>30</v>
      </c>
      <c r="E444" s="112" t="s">
        <v>1707</v>
      </c>
      <c r="F444" s="112" t="s">
        <v>1708</v>
      </c>
      <c r="G444" s="112">
        <v>-2.8214132961459901</v>
      </c>
      <c r="H444" s="112">
        <v>-1.5006424895886199</v>
      </c>
      <c r="I444" s="112">
        <v>-4.1308058856394796</v>
      </c>
      <c r="J444" s="112" t="s">
        <v>848</v>
      </c>
      <c r="K444" s="112" t="s">
        <v>1732</v>
      </c>
      <c r="L444" s="112">
        <v>3.7250079767856402E-2</v>
      </c>
      <c r="M444" s="112">
        <v>3.4940456380024298E-3</v>
      </c>
      <c r="N444" s="112" t="s">
        <v>1583</v>
      </c>
      <c r="O444" s="112" t="s">
        <v>1817</v>
      </c>
      <c r="P444" s="112" t="s">
        <v>1576</v>
      </c>
      <c r="Q444" s="112" t="s">
        <v>1584</v>
      </c>
    </row>
    <row r="445" spans="1:17">
      <c r="A445" s="112" t="s">
        <v>1593</v>
      </c>
      <c r="B445" s="112" t="s">
        <v>1705</v>
      </c>
      <c r="C445" s="112" t="s">
        <v>1706</v>
      </c>
      <c r="D445" s="112">
        <v>80</v>
      </c>
      <c r="E445" s="112" t="s">
        <v>1707</v>
      </c>
      <c r="F445" s="112" t="s">
        <v>1708</v>
      </c>
      <c r="G445" s="112">
        <v>5.7164601744097299</v>
      </c>
      <c r="H445" s="112">
        <v>2.0919609284814</v>
      </c>
      <c r="I445" s="112">
        <v>2.0892312518503702</v>
      </c>
      <c r="J445" s="112" t="s">
        <v>848</v>
      </c>
      <c r="K445" s="112" t="s">
        <v>1709</v>
      </c>
      <c r="L445" s="112">
        <v>4.3029386182636402E-2</v>
      </c>
      <c r="M445" s="112">
        <v>6.1807561293041402E-3</v>
      </c>
      <c r="N445" s="112" t="s">
        <v>1593</v>
      </c>
      <c r="O445" s="112" t="s">
        <v>1817</v>
      </c>
      <c r="P445" s="112" t="s">
        <v>1576</v>
      </c>
      <c r="Q445" s="112" t="s">
        <v>1591</v>
      </c>
    </row>
    <row r="446" spans="1:17">
      <c r="A446" s="112" t="s">
        <v>2199</v>
      </c>
      <c r="B446" s="112" t="s">
        <v>1735</v>
      </c>
      <c r="C446" s="112" t="s">
        <v>1706</v>
      </c>
      <c r="D446" s="112">
        <v>30</v>
      </c>
      <c r="E446" s="112" t="s">
        <v>1707</v>
      </c>
      <c r="F446" s="112" t="s">
        <v>440</v>
      </c>
      <c r="G446" s="112">
        <v>3.41868664749326</v>
      </c>
      <c r="H446" s="112">
        <v>2.8303125995999898</v>
      </c>
      <c r="I446" s="112">
        <v>1.45311438735036</v>
      </c>
      <c r="J446" s="112" t="s">
        <v>848</v>
      </c>
      <c r="K446" s="112" t="s">
        <v>1736</v>
      </c>
      <c r="L446" s="229">
        <v>2.0451260874918101E-4</v>
      </c>
      <c r="M446" s="229">
        <v>1.4576008299009599E-6</v>
      </c>
      <c r="N446" s="112" t="s">
        <v>2199</v>
      </c>
      <c r="O446" s="112" t="s">
        <v>1710</v>
      </c>
      <c r="P446" s="112" t="s">
        <v>2200</v>
      </c>
      <c r="Q446" s="112" t="s">
        <v>2201</v>
      </c>
    </row>
    <row r="447" spans="1:17">
      <c r="A447" s="112" t="s">
        <v>2202</v>
      </c>
      <c r="B447" s="112" t="s">
        <v>1705</v>
      </c>
      <c r="C447" s="112" t="s">
        <v>1706</v>
      </c>
      <c r="D447" s="112">
        <v>80</v>
      </c>
      <c r="E447" s="112" t="s">
        <v>1707</v>
      </c>
      <c r="F447" s="112" t="s">
        <v>1708</v>
      </c>
      <c r="G447" s="112">
        <v>-5.1120066923881504</v>
      </c>
      <c r="H447" s="112">
        <v>-3.8693740656760101</v>
      </c>
      <c r="I447" s="112">
        <v>0</v>
      </c>
      <c r="J447" s="112">
        <v>1</v>
      </c>
      <c r="K447" s="112" t="s">
        <v>1709</v>
      </c>
      <c r="L447" s="229">
        <v>2.5257914658390897E-4</v>
      </c>
      <c r="M447" s="229">
        <v>5.6774917817655103E-6</v>
      </c>
      <c r="N447" s="112" t="s">
        <v>2202</v>
      </c>
      <c r="O447" s="112" t="s">
        <v>1710</v>
      </c>
      <c r="P447" s="112" t="s">
        <v>2200</v>
      </c>
      <c r="Q447" s="112" t="s">
        <v>2203</v>
      </c>
    </row>
    <row r="448" spans="1:17">
      <c r="A448" s="112" t="s">
        <v>2199</v>
      </c>
      <c r="B448" s="112" t="s">
        <v>1705</v>
      </c>
      <c r="C448" s="112" t="s">
        <v>1706</v>
      </c>
      <c r="D448" s="112">
        <v>80</v>
      </c>
      <c r="E448" s="112" t="s">
        <v>1707</v>
      </c>
      <c r="F448" s="112" t="s">
        <v>1708</v>
      </c>
      <c r="G448" s="112">
        <v>-4.7302049739541898</v>
      </c>
      <c r="H448" s="112">
        <v>-3.66350510020904</v>
      </c>
      <c r="I448" s="112">
        <v>0</v>
      </c>
      <c r="J448" s="112">
        <v>1</v>
      </c>
      <c r="K448" s="112" t="s">
        <v>1709</v>
      </c>
      <c r="L448" s="229">
        <v>2.9841795697234499E-4</v>
      </c>
      <c r="M448" s="229">
        <v>7.1986787866135798E-6</v>
      </c>
      <c r="N448" s="112" t="s">
        <v>2199</v>
      </c>
      <c r="O448" s="112" t="s">
        <v>1710</v>
      </c>
      <c r="P448" s="112" t="s">
        <v>2200</v>
      </c>
      <c r="Q448" s="112" t="s">
        <v>2201</v>
      </c>
    </row>
    <row r="449" spans="1:18">
      <c r="A449" s="112" t="s">
        <v>2204</v>
      </c>
      <c r="B449" s="112" t="s">
        <v>1705</v>
      </c>
      <c r="C449" s="112" t="s">
        <v>1706</v>
      </c>
      <c r="D449" s="112">
        <v>80</v>
      </c>
      <c r="E449" s="112" t="s">
        <v>1707</v>
      </c>
      <c r="F449" s="112" t="s">
        <v>1708</v>
      </c>
      <c r="G449" s="112">
        <v>-5.1651430308425503</v>
      </c>
      <c r="H449" s="112">
        <v>-3.7785649765851099</v>
      </c>
      <c r="I449" s="112">
        <v>0</v>
      </c>
      <c r="J449" s="112">
        <v>1</v>
      </c>
      <c r="K449" s="112" t="s">
        <v>1709</v>
      </c>
      <c r="L449" s="229">
        <v>5.6316903467875496E-4</v>
      </c>
      <c r="M449" s="229">
        <v>1.543774766115E-5</v>
      </c>
      <c r="N449" s="112" t="s">
        <v>2204</v>
      </c>
      <c r="O449" s="112" t="s">
        <v>1710</v>
      </c>
      <c r="P449" s="112" t="s">
        <v>2200</v>
      </c>
      <c r="Q449" s="112" t="s">
        <v>2205</v>
      </c>
    </row>
    <row r="450" spans="1:18">
      <c r="A450" s="112" t="s">
        <v>2199</v>
      </c>
      <c r="B450" s="112" t="s">
        <v>1731</v>
      </c>
      <c r="C450" s="112" t="s">
        <v>1706</v>
      </c>
      <c r="D450" s="112">
        <v>30</v>
      </c>
      <c r="E450" s="112" t="s">
        <v>1707</v>
      </c>
      <c r="F450" s="112" t="s">
        <v>1708</v>
      </c>
      <c r="G450" s="112">
        <v>2.4125145913181001</v>
      </c>
      <c r="H450" s="112">
        <v>1.93494654611856</v>
      </c>
      <c r="I450" s="112">
        <v>0.45129299748164398</v>
      </c>
      <c r="J450" s="112" t="s">
        <v>848</v>
      </c>
      <c r="K450" s="112" t="s">
        <v>1732</v>
      </c>
      <c r="L450" s="229">
        <v>8.5895659425529397E-4</v>
      </c>
      <c r="M450" s="229">
        <v>2.4580633857862101E-5</v>
      </c>
      <c r="N450" s="112" t="s">
        <v>2199</v>
      </c>
      <c r="O450" s="112" t="s">
        <v>1710</v>
      </c>
      <c r="P450" s="112" t="s">
        <v>2200</v>
      </c>
      <c r="Q450" s="112" t="s">
        <v>2201</v>
      </c>
    </row>
    <row r="451" spans="1:18">
      <c r="A451" s="112" t="s">
        <v>2202</v>
      </c>
      <c r="B451" s="112" t="s">
        <v>1748</v>
      </c>
      <c r="C451" s="112" t="s">
        <v>1706</v>
      </c>
      <c r="D451" s="112">
        <v>80</v>
      </c>
      <c r="E451" s="112" t="s">
        <v>1707</v>
      </c>
      <c r="F451" s="112" t="s">
        <v>440</v>
      </c>
      <c r="G451" s="112">
        <v>-6.5339533537929899</v>
      </c>
      <c r="H451" s="112">
        <v>-4.6324861644479904</v>
      </c>
      <c r="I451" s="112">
        <v>0</v>
      </c>
      <c r="J451" s="112">
        <v>1</v>
      </c>
      <c r="K451" s="112" t="s">
        <v>1749</v>
      </c>
      <c r="L451" s="112">
        <v>1.3689734444229599E-3</v>
      </c>
      <c r="M451" s="229">
        <v>2.32665442856973E-5</v>
      </c>
      <c r="N451" s="112" t="s">
        <v>2202</v>
      </c>
      <c r="O451" s="112" t="s">
        <v>1710</v>
      </c>
      <c r="P451" s="112" t="s">
        <v>2200</v>
      </c>
      <c r="Q451" s="112" t="s">
        <v>2203</v>
      </c>
    </row>
    <row r="452" spans="1:18">
      <c r="A452" s="112" t="s">
        <v>2199</v>
      </c>
      <c r="B452" s="112" t="s">
        <v>1748</v>
      </c>
      <c r="C452" s="112" t="s">
        <v>1706</v>
      </c>
      <c r="D452" s="112">
        <v>80</v>
      </c>
      <c r="E452" s="112" t="s">
        <v>1707</v>
      </c>
      <c r="F452" s="112" t="s">
        <v>440</v>
      </c>
      <c r="G452" s="112">
        <v>-6.1123183403924397</v>
      </c>
      <c r="H452" s="112">
        <v>-4.4362250154261202</v>
      </c>
      <c r="I452" s="112">
        <v>0</v>
      </c>
      <c r="J452" s="112">
        <v>1</v>
      </c>
      <c r="K452" s="112" t="s">
        <v>1749</v>
      </c>
      <c r="L452" s="112">
        <v>1.5815429980478E-3</v>
      </c>
      <c r="M452" s="229">
        <v>2.8034185324967001E-5</v>
      </c>
      <c r="N452" s="112" t="s">
        <v>2199</v>
      </c>
      <c r="O452" s="112" t="s">
        <v>1710</v>
      </c>
      <c r="P452" s="112" t="s">
        <v>2200</v>
      </c>
      <c r="Q452" s="112" t="s">
        <v>2201</v>
      </c>
    </row>
    <row r="453" spans="1:18">
      <c r="A453" s="112" t="s">
        <v>2206</v>
      </c>
      <c r="B453" s="112" t="s">
        <v>1731</v>
      </c>
      <c r="C453" s="112" t="s">
        <v>1706</v>
      </c>
      <c r="D453" s="112">
        <v>30</v>
      </c>
      <c r="E453" s="112" t="s">
        <v>1707</v>
      </c>
      <c r="F453" s="112" t="s">
        <v>1708</v>
      </c>
      <c r="G453" s="112">
        <v>4.3162683125108403</v>
      </c>
      <c r="H453" s="112">
        <v>2.91246710238656</v>
      </c>
      <c r="I453" s="112">
        <v>2.3552033359743598</v>
      </c>
      <c r="J453" s="112" t="s">
        <v>848</v>
      </c>
      <c r="K453" s="112" t="s">
        <v>1732</v>
      </c>
      <c r="L453" s="112">
        <v>1.79604255698178E-3</v>
      </c>
      <c r="M453" s="229">
        <v>5.8736607209869897E-5</v>
      </c>
      <c r="N453" s="112" t="s">
        <v>2206</v>
      </c>
      <c r="O453" s="112" t="s">
        <v>1710</v>
      </c>
      <c r="P453" s="112" t="s">
        <v>2200</v>
      </c>
      <c r="Q453" s="112" t="s">
        <v>2207</v>
      </c>
      <c r="R453" s="112" t="s">
        <v>2208</v>
      </c>
    </row>
    <row r="454" spans="1:18">
      <c r="A454" s="112" t="s">
        <v>2202</v>
      </c>
      <c r="B454" s="112" t="s">
        <v>1720</v>
      </c>
      <c r="C454" s="112" t="s">
        <v>1706</v>
      </c>
      <c r="D454" s="112">
        <v>55</v>
      </c>
      <c r="E454" s="112" t="s">
        <v>1707</v>
      </c>
      <c r="F454" s="112" t="s">
        <v>1721</v>
      </c>
      <c r="G454" s="112">
        <v>2.9533938898811201</v>
      </c>
      <c r="H454" s="112">
        <v>2.3903293316488101</v>
      </c>
      <c r="I454" s="112">
        <v>0.674102672407907</v>
      </c>
      <c r="J454" s="112" t="s">
        <v>848</v>
      </c>
      <c r="K454" s="112" t="s">
        <v>1722</v>
      </c>
      <c r="L454" s="112">
        <v>2.33253389886832E-3</v>
      </c>
      <c r="M454" s="229">
        <v>2.9412434031782498E-5</v>
      </c>
      <c r="N454" s="112" t="s">
        <v>2202</v>
      </c>
      <c r="O454" s="112" t="s">
        <v>1710</v>
      </c>
      <c r="P454" s="112" t="s">
        <v>2200</v>
      </c>
      <c r="Q454" s="112" t="s">
        <v>2203</v>
      </c>
    </row>
    <row r="455" spans="1:18">
      <c r="A455" s="112" t="s">
        <v>2202</v>
      </c>
      <c r="B455" s="112" t="s">
        <v>1735</v>
      </c>
      <c r="C455" s="112" t="s">
        <v>1706</v>
      </c>
      <c r="D455" s="112">
        <v>30</v>
      </c>
      <c r="E455" s="112" t="s">
        <v>1707</v>
      </c>
      <c r="F455" s="112" t="s">
        <v>440</v>
      </c>
      <c r="G455" s="112">
        <v>3.5550140428184598</v>
      </c>
      <c r="H455" s="112">
        <v>2.6895319992865501</v>
      </c>
      <c r="I455" s="112">
        <v>1.37801116010556</v>
      </c>
      <c r="J455" s="112" t="s">
        <v>848</v>
      </c>
      <c r="K455" s="112" t="s">
        <v>1736</v>
      </c>
      <c r="L455" s="112">
        <v>2.3501080292725701E-3</v>
      </c>
      <c r="M455" s="229">
        <v>3.6076219747605202E-5</v>
      </c>
      <c r="N455" s="112" t="s">
        <v>2202</v>
      </c>
      <c r="O455" s="112" t="s">
        <v>1710</v>
      </c>
      <c r="P455" s="112" t="s">
        <v>2200</v>
      </c>
      <c r="Q455" s="112" t="s">
        <v>2203</v>
      </c>
    </row>
    <row r="456" spans="1:18">
      <c r="A456" s="112" t="s">
        <v>2199</v>
      </c>
      <c r="B456" s="112" t="s">
        <v>1720</v>
      </c>
      <c r="C456" s="112" t="s">
        <v>1706</v>
      </c>
      <c r="D456" s="112">
        <v>55</v>
      </c>
      <c r="E456" s="112" t="s">
        <v>1707</v>
      </c>
      <c r="F456" s="112" t="s">
        <v>1721</v>
      </c>
      <c r="G456" s="112">
        <v>2.48857860182589</v>
      </c>
      <c r="H456" s="112">
        <v>2.11513460900091</v>
      </c>
      <c r="I456" s="112">
        <v>0.63782534557461201</v>
      </c>
      <c r="J456" s="112" t="s">
        <v>848</v>
      </c>
      <c r="K456" s="112" t="s">
        <v>1722</v>
      </c>
      <c r="L456" s="112">
        <v>2.4345600645936999E-3</v>
      </c>
      <c r="M456" s="229">
        <v>3.3368421937961902E-5</v>
      </c>
      <c r="N456" s="112" t="s">
        <v>2199</v>
      </c>
      <c r="O456" s="112" t="s">
        <v>1710</v>
      </c>
      <c r="P456" s="112" t="s">
        <v>2200</v>
      </c>
      <c r="Q456" s="112" t="s">
        <v>2201</v>
      </c>
    </row>
    <row r="457" spans="1:18">
      <c r="A457" s="112" t="s">
        <v>2209</v>
      </c>
      <c r="B457" s="112" t="s">
        <v>1705</v>
      </c>
      <c r="C457" s="112" t="s">
        <v>1706</v>
      </c>
      <c r="D457" s="112">
        <v>80</v>
      </c>
      <c r="E457" s="112" t="s">
        <v>1707</v>
      </c>
      <c r="F457" s="112" t="s">
        <v>1708</v>
      </c>
      <c r="G457" s="112">
        <v>-3.9410601333503101</v>
      </c>
      <c r="H457" s="112">
        <v>-2.6585312126559</v>
      </c>
      <c r="I457" s="112">
        <v>0</v>
      </c>
      <c r="J457" s="112">
        <v>1</v>
      </c>
      <c r="K457" s="112" t="s">
        <v>1709</v>
      </c>
      <c r="L457" s="112">
        <v>1.1697552716799399E-2</v>
      </c>
      <c r="M457" s="229">
        <v>9.2990413592978203E-4</v>
      </c>
      <c r="N457" s="112" t="s">
        <v>2209</v>
      </c>
      <c r="O457" s="112" t="s">
        <v>1710</v>
      </c>
      <c r="P457" s="112" t="s">
        <v>2200</v>
      </c>
      <c r="Q457" s="112" t="s">
        <v>2210</v>
      </c>
      <c r="R457" s="112" t="s">
        <v>2211</v>
      </c>
    </row>
    <row r="458" spans="1:18">
      <c r="A458" s="112" t="s">
        <v>2202</v>
      </c>
      <c r="B458" s="112" t="s">
        <v>1743</v>
      </c>
      <c r="C458" s="112" t="s">
        <v>1706</v>
      </c>
      <c r="D458" s="112">
        <v>55</v>
      </c>
      <c r="E458" s="112" t="s">
        <v>1707</v>
      </c>
      <c r="F458" s="112" t="s">
        <v>440</v>
      </c>
      <c r="G458" s="112">
        <v>3.00390604099421</v>
      </c>
      <c r="H458" s="112">
        <v>2.2308764753083001</v>
      </c>
      <c r="I458" s="112">
        <v>1.17143478852956</v>
      </c>
      <c r="J458" s="112" t="s">
        <v>848</v>
      </c>
      <c r="K458" s="112" t="s">
        <v>1744</v>
      </c>
      <c r="L458" s="112">
        <v>1.3949348406278501E-2</v>
      </c>
      <c r="M458" s="229">
        <v>3.8560741966215702E-4</v>
      </c>
      <c r="N458" s="112" t="s">
        <v>2202</v>
      </c>
      <c r="O458" s="112" t="s">
        <v>1710</v>
      </c>
      <c r="P458" s="112" t="s">
        <v>2200</v>
      </c>
      <c r="Q458" s="112" t="s">
        <v>2203</v>
      </c>
    </row>
    <row r="459" spans="1:18">
      <c r="A459" s="112" t="s">
        <v>2209</v>
      </c>
      <c r="B459" s="112" t="s">
        <v>1748</v>
      </c>
      <c r="C459" s="112" t="s">
        <v>1706</v>
      </c>
      <c r="D459" s="112">
        <v>80</v>
      </c>
      <c r="E459" s="112" t="s">
        <v>1707</v>
      </c>
      <c r="F459" s="112" t="s">
        <v>440</v>
      </c>
      <c r="G459" s="112">
        <v>-5.39233152166201</v>
      </c>
      <c r="H459" s="112">
        <v>-3.2983630534585302</v>
      </c>
      <c r="I459" s="112">
        <v>0</v>
      </c>
      <c r="J459" s="112">
        <v>1</v>
      </c>
      <c r="K459" s="112" t="s">
        <v>1749</v>
      </c>
      <c r="L459" s="112">
        <v>1.53487181199801E-2</v>
      </c>
      <c r="M459" s="229">
        <v>8.5831647381467903E-4</v>
      </c>
      <c r="N459" s="112" t="s">
        <v>2209</v>
      </c>
      <c r="O459" s="112" t="s">
        <v>1710</v>
      </c>
      <c r="P459" s="112" t="s">
        <v>2200</v>
      </c>
      <c r="Q459" s="112" t="s">
        <v>2210</v>
      </c>
      <c r="R459" s="112" t="s">
        <v>2211</v>
      </c>
    </row>
    <row r="460" spans="1:18">
      <c r="A460" s="112" t="s">
        <v>2202</v>
      </c>
      <c r="B460" s="112" t="s">
        <v>1762</v>
      </c>
      <c r="C460" s="112" t="s">
        <v>1706</v>
      </c>
      <c r="D460" s="112">
        <v>55</v>
      </c>
      <c r="E460" s="112" t="s">
        <v>1707</v>
      </c>
      <c r="F460" s="112" t="s">
        <v>1708</v>
      </c>
      <c r="G460" s="112">
        <v>2.5172811219297699</v>
      </c>
      <c r="H460" s="112">
        <v>1.8939722297365</v>
      </c>
      <c r="I460" s="112">
        <v>0.295745667017976</v>
      </c>
      <c r="J460" s="112" t="s">
        <v>848</v>
      </c>
      <c r="K460" s="112" t="s">
        <v>1763</v>
      </c>
      <c r="L460" s="112">
        <v>1.6075647977437098E-2</v>
      </c>
      <c r="M460" s="229">
        <v>4.7953519844398901E-4</v>
      </c>
      <c r="N460" s="112" t="s">
        <v>2202</v>
      </c>
      <c r="O460" s="112" t="s">
        <v>1710</v>
      </c>
      <c r="P460" s="112" t="s">
        <v>2200</v>
      </c>
      <c r="Q460" s="112" t="s">
        <v>2203</v>
      </c>
    </row>
    <row r="461" spans="1:18">
      <c r="A461" s="112" t="s">
        <v>2199</v>
      </c>
      <c r="B461" s="112" t="s">
        <v>1743</v>
      </c>
      <c r="C461" s="112" t="s">
        <v>1706</v>
      </c>
      <c r="D461" s="112">
        <v>55</v>
      </c>
      <c r="E461" s="112" t="s">
        <v>1707</v>
      </c>
      <c r="F461" s="112" t="s">
        <v>440</v>
      </c>
      <c r="G461" s="112">
        <v>2.3883809384418</v>
      </c>
      <c r="H461" s="112">
        <v>1.8945142259549399</v>
      </c>
      <c r="I461" s="112">
        <v>0.77357523049534405</v>
      </c>
      <c r="J461" s="112" t="s">
        <v>848</v>
      </c>
      <c r="K461" s="112" t="s">
        <v>1744</v>
      </c>
      <c r="L461" s="112">
        <v>1.73438217809288E-2</v>
      </c>
      <c r="M461" s="229">
        <v>5.3937248109315705E-4</v>
      </c>
      <c r="N461" s="112" t="s">
        <v>2199</v>
      </c>
      <c r="O461" s="112" t="s">
        <v>1710</v>
      </c>
      <c r="P461" s="112" t="s">
        <v>2200</v>
      </c>
      <c r="Q461" s="112" t="s">
        <v>2201</v>
      </c>
    </row>
    <row r="462" spans="1:18">
      <c r="A462" s="112" t="s">
        <v>2212</v>
      </c>
      <c r="B462" s="112" t="s">
        <v>1755</v>
      </c>
      <c r="C462" s="112" t="s">
        <v>1706</v>
      </c>
      <c r="D462" s="112">
        <v>30</v>
      </c>
      <c r="E462" s="112" t="s">
        <v>1707</v>
      </c>
      <c r="F462" s="112" t="s">
        <v>1721</v>
      </c>
      <c r="G462" s="112">
        <v>-7.5099042645945602</v>
      </c>
      <c r="H462" s="112">
        <v>-3.37514341984008</v>
      </c>
      <c r="I462" s="112">
        <v>0</v>
      </c>
      <c r="J462" s="112">
        <v>1</v>
      </c>
      <c r="K462" s="112" t="s">
        <v>1756</v>
      </c>
      <c r="L462" s="112">
        <v>1.9545484475707999E-2</v>
      </c>
      <c r="M462" s="112">
        <v>1.0875865765497201E-3</v>
      </c>
      <c r="N462" s="112" t="s">
        <v>2212</v>
      </c>
      <c r="O462" s="112" t="s">
        <v>1710</v>
      </c>
      <c r="P462" s="112" t="s">
        <v>2200</v>
      </c>
      <c r="Q462" s="112" t="s">
        <v>2213</v>
      </c>
      <c r="R462" s="112" t="s">
        <v>2214</v>
      </c>
    </row>
    <row r="463" spans="1:18">
      <c r="A463" s="112" t="s">
        <v>2202</v>
      </c>
      <c r="B463" s="112" t="s">
        <v>1796</v>
      </c>
      <c r="C463" s="112" t="s">
        <v>1706</v>
      </c>
      <c r="D463" s="112">
        <v>80</v>
      </c>
      <c r="E463" s="112" t="s">
        <v>1707</v>
      </c>
      <c r="F463" s="112" t="s">
        <v>1721</v>
      </c>
      <c r="G463" s="112">
        <v>-4.11023302631604</v>
      </c>
      <c r="H463" s="112">
        <v>-2.22135201631552</v>
      </c>
      <c r="I463" s="112">
        <v>0</v>
      </c>
      <c r="J463" s="112">
        <v>1</v>
      </c>
      <c r="K463" s="112" t="s">
        <v>1797</v>
      </c>
      <c r="L463" s="112">
        <v>3.2722899622160302E-2</v>
      </c>
      <c r="M463" s="112">
        <v>1.74263962484877E-3</v>
      </c>
      <c r="N463" s="112" t="s">
        <v>2202</v>
      </c>
      <c r="O463" s="112" t="s">
        <v>1710</v>
      </c>
      <c r="P463" s="112" t="s">
        <v>2200</v>
      </c>
      <c r="Q463" s="112" t="s">
        <v>2203</v>
      </c>
    </row>
    <row r="464" spans="1:18">
      <c r="A464" s="112" t="s">
        <v>2215</v>
      </c>
      <c r="B464" s="112" t="s">
        <v>1755</v>
      </c>
      <c r="C464" s="112" t="s">
        <v>1706</v>
      </c>
      <c r="D464" s="112">
        <v>30</v>
      </c>
      <c r="E464" s="112" t="s">
        <v>1707</v>
      </c>
      <c r="F464" s="112" t="s">
        <v>1721</v>
      </c>
      <c r="G464" s="112">
        <v>4.0061338474418999</v>
      </c>
      <c r="H464" s="112">
        <v>2.3790457355670398</v>
      </c>
      <c r="I464" s="112">
        <v>2.75026737673238</v>
      </c>
      <c r="J464" s="112" t="s">
        <v>848</v>
      </c>
      <c r="K464" s="112" t="s">
        <v>1756</v>
      </c>
      <c r="L464" s="112">
        <v>3.3320961910853597E-2</v>
      </c>
      <c r="M464" s="112">
        <v>2.4898016054214901E-3</v>
      </c>
      <c r="N464" s="112" t="s">
        <v>2215</v>
      </c>
      <c r="O464" s="112" t="s">
        <v>1710</v>
      </c>
      <c r="P464" s="112" t="s">
        <v>2200</v>
      </c>
      <c r="Q464" s="112" t="s">
        <v>2216</v>
      </c>
    </row>
    <row r="465" spans="1:18">
      <c r="A465" s="112" t="s">
        <v>2199</v>
      </c>
      <c r="B465" s="112" t="s">
        <v>1796</v>
      </c>
      <c r="C465" s="112" t="s">
        <v>1706</v>
      </c>
      <c r="D465" s="112">
        <v>80</v>
      </c>
      <c r="E465" s="112" t="s">
        <v>1707</v>
      </c>
      <c r="F465" s="112" t="s">
        <v>1721</v>
      </c>
      <c r="G465" s="112">
        <v>-3.8070065179492198</v>
      </c>
      <c r="H465" s="112">
        <v>-2.1392889164410902</v>
      </c>
      <c r="I465" s="112">
        <v>0</v>
      </c>
      <c r="J465" s="112">
        <v>1</v>
      </c>
      <c r="K465" s="112" t="s">
        <v>1797</v>
      </c>
      <c r="L465" s="112">
        <v>3.3726988104463798E-2</v>
      </c>
      <c r="M465" s="112">
        <v>1.8460037867827799E-3</v>
      </c>
      <c r="N465" s="112" t="s">
        <v>2199</v>
      </c>
      <c r="O465" s="112" t="s">
        <v>1710</v>
      </c>
      <c r="P465" s="112" t="s">
        <v>2200</v>
      </c>
      <c r="Q465" s="112" t="s">
        <v>2201</v>
      </c>
    </row>
    <row r="466" spans="1:18">
      <c r="A466" s="112" t="s">
        <v>2199</v>
      </c>
      <c r="B466" s="112" t="s">
        <v>1762</v>
      </c>
      <c r="C466" s="112" t="s">
        <v>1706</v>
      </c>
      <c r="D466" s="112">
        <v>55</v>
      </c>
      <c r="E466" s="112" t="s">
        <v>1707</v>
      </c>
      <c r="F466" s="112" t="s">
        <v>1708</v>
      </c>
      <c r="G466" s="112">
        <v>1.9544808427576399</v>
      </c>
      <c r="H466" s="112">
        <v>1.4388075907073401</v>
      </c>
      <c r="I466" s="112">
        <v>-0.19590952743918899</v>
      </c>
      <c r="J466" s="112" t="s">
        <v>848</v>
      </c>
      <c r="K466" s="112" t="s">
        <v>1763</v>
      </c>
      <c r="L466" s="112">
        <v>3.9625310730808799E-2</v>
      </c>
      <c r="M466" s="112">
        <v>1.4151896689574501E-3</v>
      </c>
      <c r="N466" s="112" t="s">
        <v>2199</v>
      </c>
      <c r="O466" s="112" t="s">
        <v>1710</v>
      </c>
      <c r="P466" s="112" t="s">
        <v>2200</v>
      </c>
      <c r="Q466" s="112" t="s">
        <v>2201</v>
      </c>
    </row>
    <row r="467" spans="1:18">
      <c r="A467" s="112" t="s">
        <v>2217</v>
      </c>
      <c r="B467" s="112" t="s">
        <v>1755</v>
      </c>
      <c r="C467" s="112" t="s">
        <v>1706</v>
      </c>
      <c r="D467" s="112">
        <v>30</v>
      </c>
      <c r="E467" s="112" t="s">
        <v>1707</v>
      </c>
      <c r="F467" s="112" t="s">
        <v>1721</v>
      </c>
      <c r="G467" s="112">
        <v>-5.5524371969459896</v>
      </c>
      <c r="H467" s="112">
        <v>-2.5266087024361199</v>
      </c>
      <c r="I467" s="112">
        <v>-6.71788137135509</v>
      </c>
      <c r="J467" s="112" t="s">
        <v>848</v>
      </c>
      <c r="K467" s="112" t="s">
        <v>1756</v>
      </c>
      <c r="L467" s="112">
        <v>4.2605626592584399E-2</v>
      </c>
      <c r="M467" s="112">
        <v>3.8609232365299099E-3</v>
      </c>
      <c r="N467" s="112" t="s">
        <v>2217</v>
      </c>
      <c r="O467" s="112" t="s">
        <v>1710</v>
      </c>
      <c r="P467" s="112" t="s">
        <v>2200</v>
      </c>
      <c r="Q467" s="112" t="s">
        <v>2218</v>
      </c>
    </row>
    <row r="468" spans="1:18">
      <c r="A468" s="112" t="s">
        <v>2219</v>
      </c>
      <c r="B468" s="112" t="s">
        <v>1748</v>
      </c>
      <c r="C468" s="112" t="s">
        <v>1706</v>
      </c>
      <c r="D468" s="112">
        <v>80</v>
      </c>
      <c r="E468" s="112" t="s">
        <v>1707</v>
      </c>
      <c r="F468" s="112" t="s">
        <v>440</v>
      </c>
      <c r="G468" s="112">
        <v>2.2521621449334601</v>
      </c>
      <c r="H468" s="112">
        <v>1.6464186666067999</v>
      </c>
      <c r="I468" s="112">
        <v>1.8554627434800599</v>
      </c>
      <c r="J468" s="112" t="s">
        <v>848</v>
      </c>
      <c r="K468" s="112" t="s">
        <v>1749</v>
      </c>
      <c r="L468" s="112">
        <v>4.6894656754836297E-2</v>
      </c>
      <c r="M468" s="112">
        <v>3.9078880629030196E-3</v>
      </c>
      <c r="N468" s="112" t="s">
        <v>2219</v>
      </c>
      <c r="O468" s="112" t="s">
        <v>1710</v>
      </c>
      <c r="P468" s="112" t="s">
        <v>2200</v>
      </c>
      <c r="Q468" s="112" t="s">
        <v>2220</v>
      </c>
      <c r="R468" s="112" t="s">
        <v>2208</v>
      </c>
    </row>
    <row r="469" spans="1:18">
      <c r="A469" s="112" t="s">
        <v>2219</v>
      </c>
      <c r="B469" s="112" t="s">
        <v>1705</v>
      </c>
      <c r="C469" s="112" t="s">
        <v>1706</v>
      </c>
      <c r="D469" s="112">
        <v>80</v>
      </c>
      <c r="E469" s="112" t="s">
        <v>1707</v>
      </c>
      <c r="F469" s="112" t="s">
        <v>1708</v>
      </c>
      <c r="G469" s="112">
        <v>1.80998635313662</v>
      </c>
      <c r="H469" s="112">
        <v>1.35037071130789</v>
      </c>
      <c r="I469" s="112">
        <v>1.27324352039069</v>
      </c>
      <c r="J469" s="112" t="s">
        <v>848</v>
      </c>
      <c r="K469" s="112" t="s">
        <v>1709</v>
      </c>
      <c r="L469" s="112">
        <v>4.80400235163784E-2</v>
      </c>
      <c r="M469" s="112">
        <v>7.2692140847151598E-3</v>
      </c>
      <c r="N469" s="112" t="s">
        <v>2219</v>
      </c>
      <c r="O469" s="112" t="s">
        <v>1710</v>
      </c>
      <c r="P469" s="112" t="s">
        <v>2200</v>
      </c>
      <c r="Q469" s="112" t="s">
        <v>2220</v>
      </c>
      <c r="R469" s="112" t="s">
        <v>2208</v>
      </c>
    </row>
    <row r="470" spans="1:18">
      <c r="A470" s="112" t="s">
        <v>2204</v>
      </c>
      <c r="B470" s="112" t="s">
        <v>1796</v>
      </c>
      <c r="C470" s="112" t="s">
        <v>1706</v>
      </c>
      <c r="D470" s="112">
        <v>80</v>
      </c>
      <c r="E470" s="112" t="s">
        <v>1707</v>
      </c>
      <c r="F470" s="112" t="s">
        <v>1721</v>
      </c>
      <c r="G470" s="112">
        <v>-4.0851336451407896</v>
      </c>
      <c r="H470" s="112">
        <v>-1.89952113236144</v>
      </c>
      <c r="I470" s="112">
        <v>0</v>
      </c>
      <c r="J470" s="112">
        <v>1</v>
      </c>
      <c r="K470" s="112" t="s">
        <v>1797</v>
      </c>
      <c r="L470" s="112">
        <v>4.9289594321308798E-2</v>
      </c>
      <c r="M470" s="112">
        <v>3.56496418221191E-3</v>
      </c>
      <c r="N470" s="112" t="s">
        <v>2204</v>
      </c>
      <c r="O470" s="112" t="s">
        <v>1710</v>
      </c>
      <c r="P470" s="112" t="s">
        <v>2200</v>
      </c>
      <c r="Q470" s="112" t="s">
        <v>2205</v>
      </c>
    </row>
    <row r="471" spans="1:18">
      <c r="A471" s="112" t="s">
        <v>2221</v>
      </c>
      <c r="B471" s="112" t="s">
        <v>1755</v>
      </c>
      <c r="C471" s="112" t="s">
        <v>1706</v>
      </c>
      <c r="D471" s="112">
        <v>30</v>
      </c>
      <c r="E471" s="112" t="s">
        <v>1707</v>
      </c>
      <c r="F471" s="112" t="s">
        <v>1721</v>
      </c>
      <c r="G471" s="112">
        <v>-21.635914251084401</v>
      </c>
      <c r="H471" s="112">
        <v>-20.814767740961599</v>
      </c>
      <c r="I471" s="112">
        <v>0</v>
      </c>
      <c r="J471" s="112">
        <v>1</v>
      </c>
      <c r="K471" s="112" t="s">
        <v>1756</v>
      </c>
      <c r="L471" s="229">
        <v>2.3389388602412598E-16</v>
      </c>
      <c r="M471" s="229">
        <v>3.7185037523708398E-19</v>
      </c>
      <c r="N471" s="112" t="s">
        <v>2221</v>
      </c>
      <c r="O471" s="112" t="s">
        <v>1710</v>
      </c>
      <c r="P471" s="112" t="s">
        <v>2222</v>
      </c>
      <c r="Q471" s="112" t="s">
        <v>2223</v>
      </c>
    </row>
    <row r="472" spans="1:18">
      <c r="A472" s="112" t="s">
        <v>2224</v>
      </c>
      <c r="B472" s="112" t="s">
        <v>1731</v>
      </c>
      <c r="C472" s="112" t="s">
        <v>1706</v>
      </c>
      <c r="D472" s="112">
        <v>30</v>
      </c>
      <c r="E472" s="112" t="s">
        <v>1707</v>
      </c>
      <c r="F472" s="112" t="s">
        <v>1708</v>
      </c>
      <c r="G472" s="112">
        <v>-16.936232732132101</v>
      </c>
      <c r="H472" s="112">
        <v>-15.9664107549295</v>
      </c>
      <c r="I472" s="112">
        <v>0</v>
      </c>
      <c r="J472" s="112">
        <v>1</v>
      </c>
      <c r="K472" s="112" t="s">
        <v>1732</v>
      </c>
      <c r="L472" s="229">
        <v>7.34761222305695E-14</v>
      </c>
      <c r="M472" s="229">
        <v>2.92035461965697E-16</v>
      </c>
      <c r="N472" s="112" t="s">
        <v>2224</v>
      </c>
      <c r="O472" s="112" t="s">
        <v>1710</v>
      </c>
      <c r="P472" s="112" t="s">
        <v>2222</v>
      </c>
      <c r="Q472" s="112" t="s">
        <v>2225</v>
      </c>
      <c r="R472" s="112" t="s">
        <v>2226</v>
      </c>
    </row>
    <row r="473" spans="1:18">
      <c r="A473" s="112" t="s">
        <v>2227</v>
      </c>
      <c r="B473" s="112" t="s">
        <v>1720</v>
      </c>
      <c r="C473" s="112" t="s">
        <v>1706</v>
      </c>
      <c r="D473" s="112">
        <v>55</v>
      </c>
      <c r="E473" s="112" t="s">
        <v>1707</v>
      </c>
      <c r="F473" s="112" t="s">
        <v>1721</v>
      </c>
      <c r="G473" s="112">
        <v>4.4631495695741901</v>
      </c>
      <c r="H473" s="112">
        <v>4.0239901922254404</v>
      </c>
      <c r="I473" s="112">
        <v>1.8824599761897001</v>
      </c>
      <c r="J473" s="112" t="s">
        <v>848</v>
      </c>
      <c r="K473" s="112" t="s">
        <v>1722</v>
      </c>
      <c r="L473" s="229">
        <v>4.5575367543442598E-13</v>
      </c>
      <c r="M473" s="229">
        <v>2.4986495363729498E-16</v>
      </c>
      <c r="N473" s="112" t="s">
        <v>2227</v>
      </c>
      <c r="O473" s="112" t="s">
        <v>1710</v>
      </c>
      <c r="P473" s="112" t="s">
        <v>2222</v>
      </c>
      <c r="Q473" s="112" t="s">
        <v>2228</v>
      </c>
    </row>
    <row r="474" spans="1:18">
      <c r="A474" s="112" t="s">
        <v>2229</v>
      </c>
      <c r="B474" s="112" t="s">
        <v>1731</v>
      </c>
      <c r="C474" s="112" t="s">
        <v>1706</v>
      </c>
      <c r="D474" s="112">
        <v>30</v>
      </c>
      <c r="E474" s="112" t="s">
        <v>1707</v>
      </c>
      <c r="F474" s="112" t="s">
        <v>1708</v>
      </c>
      <c r="G474" s="112">
        <v>5.1204912034032199</v>
      </c>
      <c r="H474" s="112">
        <v>4.5874360901922397</v>
      </c>
      <c r="I474" s="112">
        <v>1.5696832816647599</v>
      </c>
      <c r="J474" s="112" t="s">
        <v>848</v>
      </c>
      <c r="K474" s="112" t="s">
        <v>1732</v>
      </c>
      <c r="L474" s="229">
        <v>2.1051418462690902E-9</v>
      </c>
      <c r="M474" s="229">
        <v>1.1713825853643601E-11</v>
      </c>
      <c r="N474" s="112" t="s">
        <v>2229</v>
      </c>
      <c r="O474" s="112" t="s">
        <v>1710</v>
      </c>
      <c r="P474" s="112" t="s">
        <v>2222</v>
      </c>
      <c r="Q474" s="112" t="s">
        <v>2230</v>
      </c>
      <c r="R474" s="112" t="s">
        <v>2231</v>
      </c>
    </row>
    <row r="475" spans="1:18">
      <c r="A475" s="112" t="s">
        <v>2229</v>
      </c>
      <c r="B475" s="112" t="s">
        <v>1705</v>
      </c>
      <c r="C475" s="112" t="s">
        <v>1706</v>
      </c>
      <c r="D475" s="112">
        <v>80</v>
      </c>
      <c r="E475" s="112" t="s">
        <v>1707</v>
      </c>
      <c r="F475" s="112" t="s">
        <v>1708</v>
      </c>
      <c r="G475" s="112">
        <v>-7.4926640133187599</v>
      </c>
      <c r="H475" s="112">
        <v>-6.1758074425937597</v>
      </c>
      <c r="I475" s="112">
        <v>0</v>
      </c>
      <c r="J475" s="112">
        <v>1</v>
      </c>
      <c r="K475" s="112" t="s">
        <v>1709</v>
      </c>
      <c r="L475" s="229">
        <v>2.4666326004563501E-8</v>
      </c>
      <c r="M475" s="229">
        <v>1.6227846055633901E-10</v>
      </c>
      <c r="N475" s="112" t="s">
        <v>2229</v>
      </c>
      <c r="O475" s="112" t="s">
        <v>1710</v>
      </c>
      <c r="P475" s="112" t="s">
        <v>2222</v>
      </c>
      <c r="Q475" s="112" t="s">
        <v>2230</v>
      </c>
    </row>
    <row r="476" spans="1:18">
      <c r="A476" s="112" t="s">
        <v>2224</v>
      </c>
      <c r="B476" s="112" t="s">
        <v>1705</v>
      </c>
      <c r="C476" s="112" t="s">
        <v>1706</v>
      </c>
      <c r="D476" s="112">
        <v>80</v>
      </c>
      <c r="E476" s="112" t="s">
        <v>1707</v>
      </c>
      <c r="F476" s="112" t="s">
        <v>1708</v>
      </c>
      <c r="G476" s="112">
        <v>10.165107584594599</v>
      </c>
      <c r="H476" s="112">
        <v>8.3980702818482893</v>
      </c>
      <c r="I476" s="112">
        <v>1.8598588135607399</v>
      </c>
      <c r="J476" s="112" t="s">
        <v>848</v>
      </c>
      <c r="K476" s="112" t="s">
        <v>1709</v>
      </c>
      <c r="L476" s="229">
        <v>2.4728942392765E-6</v>
      </c>
      <c r="M476" s="229">
        <v>2.2330670207650601E-8</v>
      </c>
      <c r="N476" s="112" t="s">
        <v>2224</v>
      </c>
      <c r="O476" s="112" t="s">
        <v>1710</v>
      </c>
      <c r="P476" s="112" t="s">
        <v>2222</v>
      </c>
      <c r="Q476" s="112" t="s">
        <v>2225</v>
      </c>
      <c r="R476" s="112" t="s">
        <v>2226</v>
      </c>
    </row>
    <row r="477" spans="1:18">
      <c r="A477" s="112" t="s">
        <v>2224</v>
      </c>
      <c r="B477" s="112" t="s">
        <v>1743</v>
      </c>
      <c r="C477" s="112" t="s">
        <v>1706</v>
      </c>
      <c r="D477" s="112">
        <v>55</v>
      </c>
      <c r="E477" s="112" t="s">
        <v>1707</v>
      </c>
      <c r="F477" s="112" t="s">
        <v>440</v>
      </c>
      <c r="G477" s="112">
        <v>-14.8422940584326</v>
      </c>
      <c r="H477" s="112">
        <v>-14.304370789447701</v>
      </c>
      <c r="I477" s="112">
        <v>0</v>
      </c>
      <c r="J477" s="112">
        <v>1</v>
      </c>
      <c r="K477" s="112" t="s">
        <v>1744</v>
      </c>
      <c r="L477" s="229">
        <v>2.7873328211463499E-6</v>
      </c>
      <c r="M477" s="229">
        <v>1.43001257953557E-8</v>
      </c>
      <c r="N477" s="112" t="s">
        <v>2224</v>
      </c>
      <c r="O477" s="112" t="s">
        <v>1710</v>
      </c>
      <c r="P477" s="112" t="s">
        <v>2222</v>
      </c>
      <c r="Q477" s="112" t="s">
        <v>2225</v>
      </c>
      <c r="R477" s="112" t="s">
        <v>2226</v>
      </c>
    </row>
    <row r="478" spans="1:18">
      <c r="A478" s="112" t="s">
        <v>1719</v>
      </c>
      <c r="B478" s="112" t="s">
        <v>1705</v>
      </c>
      <c r="C478" s="112" t="s">
        <v>1706</v>
      </c>
      <c r="D478" s="112">
        <v>80</v>
      </c>
      <c r="E478" s="112" t="s">
        <v>1707</v>
      </c>
      <c r="F478" s="112" t="s">
        <v>1708</v>
      </c>
      <c r="G478" s="112">
        <v>-5.8257813883754599</v>
      </c>
      <c r="H478" s="112">
        <v>-4.6366306419386802</v>
      </c>
      <c r="I478" s="112">
        <v>0</v>
      </c>
      <c r="J478" s="112">
        <v>1</v>
      </c>
      <c r="K478" s="112" t="s">
        <v>1709</v>
      </c>
      <c r="L478" s="229">
        <v>5.2016812458076901E-6</v>
      </c>
      <c r="M478" s="229">
        <v>5.1332380715207398E-8</v>
      </c>
      <c r="N478" s="112" t="s">
        <v>1719</v>
      </c>
      <c r="O478" s="112" t="s">
        <v>1710</v>
      </c>
      <c r="P478" s="112" t="s">
        <v>2222</v>
      </c>
      <c r="Q478" s="112" t="s">
        <v>2232</v>
      </c>
    </row>
    <row r="479" spans="1:18">
      <c r="A479" s="112" t="s">
        <v>2229</v>
      </c>
      <c r="B479" s="112" t="s">
        <v>1748</v>
      </c>
      <c r="C479" s="112" t="s">
        <v>1706</v>
      </c>
      <c r="D479" s="112">
        <v>80</v>
      </c>
      <c r="E479" s="112" t="s">
        <v>1707</v>
      </c>
      <c r="F479" s="112" t="s">
        <v>440</v>
      </c>
      <c r="G479" s="112">
        <v>-8.9377299315021492</v>
      </c>
      <c r="H479" s="112">
        <v>-6.7892758783864897</v>
      </c>
      <c r="I479" s="112">
        <v>0</v>
      </c>
      <c r="J479" s="112">
        <v>1</v>
      </c>
      <c r="K479" s="112" t="s">
        <v>1749</v>
      </c>
      <c r="L479" s="229">
        <v>5.8557376187566702E-6</v>
      </c>
      <c r="M479" s="229">
        <v>2.2472677264965199E-8</v>
      </c>
      <c r="N479" s="112" t="s">
        <v>2229</v>
      </c>
      <c r="O479" s="112" t="s">
        <v>1710</v>
      </c>
      <c r="P479" s="112" t="s">
        <v>2222</v>
      </c>
      <c r="Q479" s="112" t="s">
        <v>2230</v>
      </c>
    </row>
    <row r="480" spans="1:18">
      <c r="A480" s="112" t="s">
        <v>2233</v>
      </c>
      <c r="B480" s="112" t="s">
        <v>1705</v>
      </c>
      <c r="C480" s="112" t="s">
        <v>1706</v>
      </c>
      <c r="D480" s="112">
        <v>80</v>
      </c>
      <c r="E480" s="112" t="s">
        <v>1707</v>
      </c>
      <c r="F480" s="112" t="s">
        <v>1708</v>
      </c>
      <c r="G480" s="112">
        <v>4.3862394292405096</v>
      </c>
      <c r="H480" s="112">
        <v>3.7385117924448799</v>
      </c>
      <c r="I480" s="112">
        <v>1.55308611881007</v>
      </c>
      <c r="J480" s="112" t="s">
        <v>848</v>
      </c>
      <c r="K480" s="112" t="s">
        <v>1709</v>
      </c>
      <c r="L480" s="229">
        <v>7.0709170034567798E-6</v>
      </c>
      <c r="M480" s="229">
        <v>7.7531984687026098E-8</v>
      </c>
      <c r="N480" s="112" t="s">
        <v>2233</v>
      </c>
      <c r="O480" s="112" t="s">
        <v>1710</v>
      </c>
      <c r="P480" s="112" t="s">
        <v>2222</v>
      </c>
      <c r="Q480" s="112" t="s">
        <v>2234</v>
      </c>
      <c r="R480" s="112" t="s">
        <v>2235</v>
      </c>
    </row>
    <row r="481" spans="1:18">
      <c r="A481" s="112" t="s">
        <v>2229</v>
      </c>
      <c r="B481" s="112" t="s">
        <v>1720</v>
      </c>
      <c r="C481" s="112" t="s">
        <v>1706</v>
      </c>
      <c r="D481" s="112">
        <v>55</v>
      </c>
      <c r="E481" s="112" t="s">
        <v>1707</v>
      </c>
      <c r="F481" s="112" t="s">
        <v>1721</v>
      </c>
      <c r="G481" s="112">
        <v>3.8453315986515899</v>
      </c>
      <c r="H481" s="112">
        <v>3.1018457951670402</v>
      </c>
      <c r="I481" s="112">
        <v>0.16486487302115399</v>
      </c>
      <c r="J481" s="112" t="s">
        <v>848</v>
      </c>
      <c r="K481" s="112" t="s">
        <v>1722</v>
      </c>
      <c r="L481" s="229">
        <v>6.93589263627706E-5</v>
      </c>
      <c r="M481" s="229">
        <v>3.8025727172571601E-7</v>
      </c>
      <c r="N481" s="112" t="s">
        <v>2229</v>
      </c>
      <c r="O481" s="112" t="s">
        <v>1710</v>
      </c>
      <c r="P481" s="112" t="s">
        <v>2222</v>
      </c>
      <c r="Q481" s="112" t="s">
        <v>2230</v>
      </c>
    </row>
    <row r="482" spans="1:18">
      <c r="A482" s="112" t="s">
        <v>2229</v>
      </c>
      <c r="B482" s="112" t="s">
        <v>1762</v>
      </c>
      <c r="C482" s="112" t="s">
        <v>1706</v>
      </c>
      <c r="D482" s="112">
        <v>55</v>
      </c>
      <c r="E482" s="112" t="s">
        <v>1707</v>
      </c>
      <c r="F482" s="112" t="s">
        <v>1708</v>
      </c>
      <c r="G482" s="112">
        <v>3.8699077961261898</v>
      </c>
      <c r="H482" s="112">
        <v>3.1454391922562199</v>
      </c>
      <c r="I482" s="112">
        <v>0.52061337528788498</v>
      </c>
      <c r="J482" s="112" t="s">
        <v>848</v>
      </c>
      <c r="K482" s="112" t="s">
        <v>1763</v>
      </c>
      <c r="L482" s="229">
        <v>7.3016417900561805E-5</v>
      </c>
      <c r="M482" s="229">
        <v>3.3189280863891702E-7</v>
      </c>
      <c r="N482" s="112" t="s">
        <v>2229</v>
      </c>
      <c r="O482" s="112" t="s">
        <v>1710</v>
      </c>
      <c r="P482" s="112" t="s">
        <v>2222</v>
      </c>
      <c r="Q482" s="112" t="s">
        <v>2230</v>
      </c>
    </row>
    <row r="483" spans="1:18">
      <c r="A483" s="112" t="s">
        <v>1719</v>
      </c>
      <c r="B483" s="112" t="s">
        <v>1762</v>
      </c>
      <c r="C483" s="112" t="s">
        <v>1706</v>
      </c>
      <c r="D483" s="112">
        <v>55</v>
      </c>
      <c r="E483" s="112" t="s">
        <v>1707</v>
      </c>
      <c r="F483" s="112" t="s">
        <v>1708</v>
      </c>
      <c r="G483" s="112">
        <v>3.00455908290937</v>
      </c>
      <c r="H483" s="112">
        <v>2.5951054092213099</v>
      </c>
      <c r="I483" s="112">
        <v>0.83178377651370305</v>
      </c>
      <c r="J483" s="112" t="s">
        <v>848</v>
      </c>
      <c r="K483" s="112" t="s">
        <v>1763</v>
      </c>
      <c r="L483" s="229">
        <v>1.2208558938990501E-4</v>
      </c>
      <c r="M483" s="229">
        <v>6.3421085397353497E-7</v>
      </c>
      <c r="N483" s="112" t="s">
        <v>1719</v>
      </c>
      <c r="O483" s="112" t="s">
        <v>1710</v>
      </c>
      <c r="P483" s="112" t="s">
        <v>2222</v>
      </c>
      <c r="Q483" s="112" t="s">
        <v>2232</v>
      </c>
    </row>
    <row r="484" spans="1:18">
      <c r="A484" s="112" t="s">
        <v>2227</v>
      </c>
      <c r="B484" s="112" t="s">
        <v>1743</v>
      </c>
      <c r="C484" s="112" t="s">
        <v>1706</v>
      </c>
      <c r="D484" s="112">
        <v>55</v>
      </c>
      <c r="E484" s="112" t="s">
        <v>1707</v>
      </c>
      <c r="F484" s="112" t="s">
        <v>440</v>
      </c>
      <c r="G484" s="112">
        <v>3.1803996425116701</v>
      </c>
      <c r="H484" s="112">
        <v>2.73233780990074</v>
      </c>
      <c r="I484" s="112">
        <v>0.84966779240017098</v>
      </c>
      <c r="J484" s="112" t="s">
        <v>848</v>
      </c>
      <c r="K484" s="112" t="s">
        <v>1744</v>
      </c>
      <c r="L484" s="229">
        <v>1.32109885102982E-4</v>
      </c>
      <c r="M484" s="229">
        <v>1.4607865664462401E-6</v>
      </c>
      <c r="N484" s="112" t="s">
        <v>2227</v>
      </c>
      <c r="O484" s="112" t="s">
        <v>1710</v>
      </c>
      <c r="P484" s="112" t="s">
        <v>2222</v>
      </c>
      <c r="Q484" s="112" t="s">
        <v>2228</v>
      </c>
    </row>
    <row r="485" spans="1:18">
      <c r="A485" s="112" t="s">
        <v>2236</v>
      </c>
      <c r="B485" s="112" t="s">
        <v>1705</v>
      </c>
      <c r="C485" s="112" t="s">
        <v>1706</v>
      </c>
      <c r="D485" s="112">
        <v>80</v>
      </c>
      <c r="E485" s="112" t="s">
        <v>1707</v>
      </c>
      <c r="F485" s="112" t="s">
        <v>1708</v>
      </c>
      <c r="G485" s="112">
        <v>-3.0054941679868801</v>
      </c>
      <c r="H485" s="112">
        <v>-2.6661568616854998</v>
      </c>
      <c r="I485" s="112">
        <v>-3.9955657635891901</v>
      </c>
      <c r="J485" s="112" t="s">
        <v>848</v>
      </c>
      <c r="K485" s="112" t="s">
        <v>1709</v>
      </c>
      <c r="L485" s="229">
        <v>1.5824530868872099E-4</v>
      </c>
      <c r="M485" s="229">
        <v>2.8522271006871801E-6</v>
      </c>
      <c r="N485" s="112" t="s">
        <v>2236</v>
      </c>
      <c r="O485" s="112" t="s">
        <v>1710</v>
      </c>
      <c r="P485" s="112" t="s">
        <v>2222</v>
      </c>
      <c r="Q485" s="112" t="s">
        <v>2237</v>
      </c>
      <c r="R485" s="112" t="s">
        <v>2238</v>
      </c>
    </row>
    <row r="486" spans="1:18">
      <c r="A486" s="112" t="s">
        <v>2227</v>
      </c>
      <c r="B486" s="112" t="s">
        <v>1762</v>
      </c>
      <c r="C486" s="112" t="s">
        <v>1706</v>
      </c>
      <c r="D486" s="112">
        <v>55</v>
      </c>
      <c r="E486" s="112" t="s">
        <v>1707</v>
      </c>
      <c r="F486" s="112" t="s">
        <v>1708</v>
      </c>
      <c r="G486" s="112">
        <v>2.76615534065207</v>
      </c>
      <c r="H486" s="112">
        <v>2.42000068395215</v>
      </c>
      <c r="I486" s="112">
        <v>0.43283785542313102</v>
      </c>
      <c r="J486" s="112" t="s">
        <v>848</v>
      </c>
      <c r="K486" s="112" t="s">
        <v>1763</v>
      </c>
      <c r="L486" s="229">
        <v>1.5855462132672901E-4</v>
      </c>
      <c r="M486" s="229">
        <v>1.13253300947664E-6</v>
      </c>
      <c r="N486" s="112" t="s">
        <v>2227</v>
      </c>
      <c r="O486" s="112" t="s">
        <v>1710</v>
      </c>
      <c r="P486" s="112" t="s">
        <v>2222</v>
      </c>
      <c r="Q486" s="112" t="s">
        <v>2228</v>
      </c>
    </row>
    <row r="487" spans="1:18">
      <c r="A487" s="112" t="s">
        <v>1719</v>
      </c>
      <c r="B487" s="112" t="s">
        <v>1748</v>
      </c>
      <c r="C487" s="112" t="s">
        <v>1706</v>
      </c>
      <c r="D487" s="112">
        <v>80</v>
      </c>
      <c r="E487" s="112" t="s">
        <v>1707</v>
      </c>
      <c r="F487" s="112" t="s">
        <v>440</v>
      </c>
      <c r="G487" s="112">
        <v>-7.2176988123079804</v>
      </c>
      <c r="H487" s="112">
        <v>-5.41106074336831</v>
      </c>
      <c r="I487" s="112">
        <v>0</v>
      </c>
      <c r="J487" s="112">
        <v>1</v>
      </c>
      <c r="K487" s="112" t="s">
        <v>1749</v>
      </c>
      <c r="L487" s="229">
        <v>1.58804284487506E-4</v>
      </c>
      <c r="M487" s="229">
        <v>1.04476502952306E-6</v>
      </c>
      <c r="N487" s="112" t="s">
        <v>1719</v>
      </c>
      <c r="O487" s="112" t="s">
        <v>1710</v>
      </c>
      <c r="P487" s="112" t="s">
        <v>2222</v>
      </c>
      <c r="Q487" s="112" t="s">
        <v>2232</v>
      </c>
    </row>
    <row r="488" spans="1:18">
      <c r="A488" s="112" t="s">
        <v>2227</v>
      </c>
      <c r="B488" s="112" t="s">
        <v>1705</v>
      </c>
      <c r="C488" s="112" t="s">
        <v>1706</v>
      </c>
      <c r="D488" s="112">
        <v>80</v>
      </c>
      <c r="E488" s="112" t="s">
        <v>1707</v>
      </c>
      <c r="F488" s="112" t="s">
        <v>1708</v>
      </c>
      <c r="G488" s="112">
        <v>-4.2439333312872796</v>
      </c>
      <c r="H488" s="112">
        <v>-3.4615550611646499</v>
      </c>
      <c r="I488" s="112">
        <v>-8.2722544085637697</v>
      </c>
      <c r="J488" s="112" t="s">
        <v>848</v>
      </c>
      <c r="K488" s="112" t="s">
        <v>1709</v>
      </c>
      <c r="L488" s="229">
        <v>1.7315532412413799E-4</v>
      </c>
      <c r="M488" s="229">
        <v>3.4175392919237799E-6</v>
      </c>
      <c r="N488" s="112" t="s">
        <v>2227</v>
      </c>
      <c r="O488" s="112" t="s">
        <v>1710</v>
      </c>
      <c r="P488" s="112" t="s">
        <v>2222</v>
      </c>
      <c r="Q488" s="112" t="s">
        <v>2228</v>
      </c>
    </row>
    <row r="489" spans="1:18">
      <c r="A489" s="112" t="s">
        <v>2229</v>
      </c>
      <c r="B489" s="112" t="s">
        <v>1796</v>
      </c>
      <c r="C489" s="112" t="s">
        <v>1706</v>
      </c>
      <c r="D489" s="112">
        <v>80</v>
      </c>
      <c r="E489" s="112" t="s">
        <v>1707</v>
      </c>
      <c r="F489" s="112" t="s">
        <v>1721</v>
      </c>
      <c r="G489" s="112">
        <v>-6.4409224580923796</v>
      </c>
      <c r="H489" s="112">
        <v>-4.5589903348716403</v>
      </c>
      <c r="I489" s="112">
        <v>0</v>
      </c>
      <c r="J489" s="112">
        <v>1</v>
      </c>
      <c r="K489" s="112" t="s">
        <v>1797</v>
      </c>
      <c r="L489" s="229">
        <v>2.9485593129763299E-4</v>
      </c>
      <c r="M489" s="229">
        <v>2.6170644789730799E-6</v>
      </c>
      <c r="N489" s="112" t="s">
        <v>2229</v>
      </c>
      <c r="O489" s="112" t="s">
        <v>1710</v>
      </c>
      <c r="P489" s="112" t="s">
        <v>2222</v>
      </c>
      <c r="Q489" s="112" t="s">
        <v>2230</v>
      </c>
    </row>
    <row r="490" spans="1:18">
      <c r="A490" s="112" t="s">
        <v>2227</v>
      </c>
      <c r="B490" s="112" t="s">
        <v>1748</v>
      </c>
      <c r="C490" s="112" t="s">
        <v>1706</v>
      </c>
      <c r="D490" s="112">
        <v>80</v>
      </c>
      <c r="E490" s="112" t="s">
        <v>1707</v>
      </c>
      <c r="F490" s="112" t="s">
        <v>440</v>
      </c>
      <c r="G490" s="112">
        <v>-6.7978358559566603</v>
      </c>
      <c r="H490" s="112">
        <v>-5.0826291099509797</v>
      </c>
      <c r="I490" s="112">
        <v>0</v>
      </c>
      <c r="J490" s="112">
        <v>1</v>
      </c>
      <c r="K490" s="112" t="s">
        <v>1749</v>
      </c>
      <c r="L490" s="229">
        <v>3.2568328066118202E-4</v>
      </c>
      <c r="M490" s="229">
        <v>2.8568708829928299E-6</v>
      </c>
      <c r="N490" s="112" t="s">
        <v>2227</v>
      </c>
      <c r="O490" s="112" t="s">
        <v>1710</v>
      </c>
      <c r="P490" s="112" t="s">
        <v>2222</v>
      </c>
      <c r="Q490" s="112" t="s">
        <v>2228</v>
      </c>
    </row>
    <row r="491" spans="1:18">
      <c r="A491" s="112" t="s">
        <v>2239</v>
      </c>
      <c r="B491" s="112" t="s">
        <v>1743</v>
      </c>
      <c r="C491" s="112" t="s">
        <v>1706</v>
      </c>
      <c r="D491" s="112">
        <v>55</v>
      </c>
      <c r="E491" s="112" t="s">
        <v>1707</v>
      </c>
      <c r="F491" s="112" t="s">
        <v>440</v>
      </c>
      <c r="G491" s="112">
        <v>3.1847691504442199</v>
      </c>
      <c r="H491" s="112">
        <v>2.6436617090907601</v>
      </c>
      <c r="I491" s="112">
        <v>1.78652069668697</v>
      </c>
      <c r="J491" s="112" t="s">
        <v>848</v>
      </c>
      <c r="K491" s="112" t="s">
        <v>1744</v>
      </c>
      <c r="L491" s="229">
        <v>7.71065609952455E-4</v>
      </c>
      <c r="M491" s="229">
        <v>1.2788925113240399E-5</v>
      </c>
      <c r="N491" s="112" t="s">
        <v>2239</v>
      </c>
      <c r="O491" s="112" t="s">
        <v>1710</v>
      </c>
      <c r="P491" s="112" t="s">
        <v>2222</v>
      </c>
      <c r="Q491" s="112" t="s">
        <v>2240</v>
      </c>
      <c r="R491" s="112" t="s">
        <v>2241</v>
      </c>
    </row>
    <row r="492" spans="1:18">
      <c r="A492" s="112" t="s">
        <v>1719</v>
      </c>
      <c r="B492" s="112" t="s">
        <v>1731</v>
      </c>
      <c r="C492" s="112" t="s">
        <v>1706</v>
      </c>
      <c r="D492" s="112">
        <v>30</v>
      </c>
      <c r="E492" s="112" t="s">
        <v>1707</v>
      </c>
      <c r="F492" s="112" t="s">
        <v>1708</v>
      </c>
      <c r="G492" s="112">
        <v>2.5007033145062998</v>
      </c>
      <c r="H492" s="112">
        <v>2.0024206064540699</v>
      </c>
      <c r="I492" s="112">
        <v>-0.10106300143270899</v>
      </c>
      <c r="J492" s="112" t="s">
        <v>848</v>
      </c>
      <c r="K492" s="112" t="s">
        <v>1732</v>
      </c>
      <c r="L492" s="229">
        <v>7.9267185991079903E-4</v>
      </c>
      <c r="M492" s="229">
        <v>2.2053668598472099E-5</v>
      </c>
      <c r="N492" s="112" t="s">
        <v>1719</v>
      </c>
      <c r="O492" s="112" t="s">
        <v>1710</v>
      </c>
      <c r="P492" s="112" t="s">
        <v>2222</v>
      </c>
      <c r="Q492" s="112" t="s">
        <v>2232</v>
      </c>
    </row>
    <row r="493" spans="1:18">
      <c r="A493" s="112" t="s">
        <v>2242</v>
      </c>
      <c r="B493" s="112" t="s">
        <v>1705</v>
      </c>
      <c r="C493" s="112" t="s">
        <v>1706</v>
      </c>
      <c r="D493" s="112">
        <v>80</v>
      </c>
      <c r="E493" s="112" t="s">
        <v>1707</v>
      </c>
      <c r="F493" s="112" t="s">
        <v>1708</v>
      </c>
      <c r="G493" s="112">
        <v>2.0830031412832302</v>
      </c>
      <c r="H493" s="112">
        <v>1.8883425423134099</v>
      </c>
      <c r="I493" s="112">
        <v>1.2468227368740299</v>
      </c>
      <c r="J493" s="112" t="s">
        <v>848</v>
      </c>
      <c r="K493" s="112" t="s">
        <v>1709</v>
      </c>
      <c r="L493" s="229">
        <v>8.6687932379637695E-4</v>
      </c>
      <c r="M493" s="229">
        <v>2.5664190507129501E-5</v>
      </c>
      <c r="N493" s="112" t="s">
        <v>2242</v>
      </c>
      <c r="O493" s="112" t="s">
        <v>1710</v>
      </c>
      <c r="P493" s="112" t="s">
        <v>2222</v>
      </c>
      <c r="Q493" s="112" t="s">
        <v>2243</v>
      </c>
    </row>
    <row r="494" spans="1:18">
      <c r="A494" s="112" t="s">
        <v>1719</v>
      </c>
      <c r="B494" s="112" t="s">
        <v>1743</v>
      </c>
      <c r="C494" s="112" t="s">
        <v>1706</v>
      </c>
      <c r="D494" s="112">
        <v>55</v>
      </c>
      <c r="E494" s="112" t="s">
        <v>1707</v>
      </c>
      <c r="F494" s="112" t="s">
        <v>440</v>
      </c>
      <c r="G494" s="112">
        <v>3.08946323633482</v>
      </c>
      <c r="H494" s="112">
        <v>2.5792711699600499</v>
      </c>
      <c r="I494" s="112">
        <v>0.76979957168054902</v>
      </c>
      <c r="J494" s="112" t="s">
        <v>848</v>
      </c>
      <c r="K494" s="112" t="s">
        <v>1744</v>
      </c>
      <c r="L494" s="229">
        <v>8.6868763777635998E-4</v>
      </c>
      <c r="M494" s="229">
        <v>1.5008424978859E-5</v>
      </c>
      <c r="N494" s="112" t="s">
        <v>1719</v>
      </c>
      <c r="O494" s="112" t="s">
        <v>1710</v>
      </c>
      <c r="P494" s="112" t="s">
        <v>2222</v>
      </c>
      <c r="Q494" s="112" t="s">
        <v>2232</v>
      </c>
    </row>
    <row r="495" spans="1:18">
      <c r="A495" s="112" t="s">
        <v>2244</v>
      </c>
      <c r="B495" s="112" t="s">
        <v>1748</v>
      </c>
      <c r="C495" s="112" t="s">
        <v>1706</v>
      </c>
      <c r="D495" s="112">
        <v>80</v>
      </c>
      <c r="E495" s="112" t="s">
        <v>1707</v>
      </c>
      <c r="F495" s="112" t="s">
        <v>440</v>
      </c>
      <c r="G495" s="112">
        <v>-8.0077178295594198</v>
      </c>
      <c r="H495" s="112">
        <v>-5.2893566931976004</v>
      </c>
      <c r="I495" s="112">
        <v>0</v>
      </c>
      <c r="J495" s="112">
        <v>1</v>
      </c>
      <c r="K495" s="112" t="s">
        <v>1749</v>
      </c>
      <c r="L495" s="229">
        <v>9.4441797610775096E-4</v>
      </c>
      <c r="M495" s="229">
        <v>1.1108231748649601E-5</v>
      </c>
      <c r="N495" s="112" t="s">
        <v>2244</v>
      </c>
      <c r="O495" s="112" t="s">
        <v>1710</v>
      </c>
      <c r="P495" s="112" t="s">
        <v>2222</v>
      </c>
      <c r="Q495" s="112" t="s">
        <v>2245</v>
      </c>
    </row>
    <row r="496" spans="1:18">
      <c r="A496" s="112" t="s">
        <v>2233</v>
      </c>
      <c r="B496" s="112" t="s">
        <v>1748</v>
      </c>
      <c r="C496" s="112" t="s">
        <v>1706</v>
      </c>
      <c r="D496" s="112">
        <v>80</v>
      </c>
      <c r="E496" s="112" t="s">
        <v>1707</v>
      </c>
      <c r="F496" s="112" t="s">
        <v>440</v>
      </c>
      <c r="G496" s="112">
        <v>4.3658627023349199</v>
      </c>
      <c r="H496" s="112">
        <v>3.6460328069519301</v>
      </c>
      <c r="I496" s="112">
        <v>1.5981168202265801</v>
      </c>
      <c r="J496" s="112" t="s">
        <v>848</v>
      </c>
      <c r="K496" s="112" t="s">
        <v>1749</v>
      </c>
      <c r="L496" s="229">
        <v>9.6550485177423302E-4</v>
      </c>
      <c r="M496" s="229">
        <v>1.2704011207555701E-5</v>
      </c>
      <c r="N496" s="112" t="s">
        <v>2233</v>
      </c>
      <c r="O496" s="112" t="s">
        <v>1710</v>
      </c>
      <c r="P496" s="112" t="s">
        <v>2222</v>
      </c>
      <c r="Q496" s="112" t="s">
        <v>2234</v>
      </c>
      <c r="R496" s="112" t="s">
        <v>2235</v>
      </c>
    </row>
    <row r="497" spans="1:18">
      <c r="A497" s="112" t="s">
        <v>2246</v>
      </c>
      <c r="B497" s="112" t="s">
        <v>1705</v>
      </c>
      <c r="C497" s="112" t="s">
        <v>1706</v>
      </c>
      <c r="D497" s="112">
        <v>80</v>
      </c>
      <c r="E497" s="112" t="s">
        <v>1707</v>
      </c>
      <c r="F497" s="112" t="s">
        <v>1708</v>
      </c>
      <c r="G497" s="112">
        <v>-2.52912396444597</v>
      </c>
      <c r="H497" s="112">
        <v>-2.2303340751331202</v>
      </c>
      <c r="I497" s="112">
        <v>-2.9429186795439599</v>
      </c>
      <c r="J497" s="112" t="s">
        <v>848</v>
      </c>
      <c r="K497" s="112" t="s">
        <v>1709</v>
      </c>
      <c r="L497" s="112">
        <v>1.07685118939539E-3</v>
      </c>
      <c r="M497" s="229">
        <v>3.6013115434824001E-5</v>
      </c>
      <c r="N497" s="112" t="s">
        <v>2246</v>
      </c>
      <c r="O497" s="112" t="s">
        <v>1710</v>
      </c>
      <c r="P497" s="112" t="s">
        <v>2222</v>
      </c>
      <c r="Q497" s="112" t="s">
        <v>2247</v>
      </c>
    </row>
    <row r="498" spans="1:18">
      <c r="A498" s="112" t="s">
        <v>2239</v>
      </c>
      <c r="B498" s="112" t="s">
        <v>1705</v>
      </c>
      <c r="C498" s="112" t="s">
        <v>1706</v>
      </c>
      <c r="D498" s="112">
        <v>80</v>
      </c>
      <c r="E498" s="112" t="s">
        <v>1707</v>
      </c>
      <c r="F498" s="112" t="s">
        <v>1708</v>
      </c>
      <c r="G498" s="112">
        <v>-4.4045093861148299</v>
      </c>
      <c r="H498" s="112">
        <v>-3.3331907839587398</v>
      </c>
      <c r="I498" s="112">
        <v>0</v>
      </c>
      <c r="J498" s="112">
        <v>1</v>
      </c>
      <c r="K498" s="112" t="s">
        <v>1709</v>
      </c>
      <c r="L498" s="112">
        <v>1.17933859394124E-3</v>
      </c>
      <c r="M498" s="229">
        <v>4.0733734330207398E-5</v>
      </c>
      <c r="N498" s="112" t="s">
        <v>2239</v>
      </c>
      <c r="O498" s="112" t="s">
        <v>1710</v>
      </c>
      <c r="P498" s="112" t="s">
        <v>2222</v>
      </c>
      <c r="Q498" s="112" t="s">
        <v>2240</v>
      </c>
      <c r="R498" s="112" t="s">
        <v>2241</v>
      </c>
    </row>
    <row r="499" spans="1:18">
      <c r="A499" s="112" t="s">
        <v>2248</v>
      </c>
      <c r="B499" s="112" t="s">
        <v>1731</v>
      </c>
      <c r="C499" s="112" t="s">
        <v>1706</v>
      </c>
      <c r="D499" s="112">
        <v>30</v>
      </c>
      <c r="E499" s="112" t="s">
        <v>1707</v>
      </c>
      <c r="F499" s="112" t="s">
        <v>1708</v>
      </c>
      <c r="G499" s="112">
        <v>2.8869848414204902</v>
      </c>
      <c r="H499" s="112">
        <v>2.2110921727750701</v>
      </c>
      <c r="I499" s="112">
        <v>1.9312819357600099</v>
      </c>
      <c r="J499" s="112" t="s">
        <v>848</v>
      </c>
      <c r="K499" s="112" t="s">
        <v>1732</v>
      </c>
      <c r="L499" s="112">
        <v>1.3404178921469401E-3</v>
      </c>
      <c r="M499" s="229">
        <v>4.1555085686590301E-5</v>
      </c>
      <c r="N499" s="112" t="s">
        <v>2248</v>
      </c>
      <c r="O499" s="112" t="s">
        <v>1710</v>
      </c>
      <c r="P499" s="112" t="s">
        <v>2222</v>
      </c>
      <c r="Q499" s="112" t="s">
        <v>2249</v>
      </c>
    </row>
    <row r="500" spans="1:18">
      <c r="A500" s="112" t="s">
        <v>2233</v>
      </c>
      <c r="B500" s="112" t="s">
        <v>1796</v>
      </c>
      <c r="C500" s="112" t="s">
        <v>1706</v>
      </c>
      <c r="D500" s="112">
        <v>80</v>
      </c>
      <c r="E500" s="112" t="s">
        <v>1707</v>
      </c>
      <c r="F500" s="112" t="s">
        <v>1721</v>
      </c>
      <c r="G500" s="112">
        <v>4.3882671011222998</v>
      </c>
      <c r="H500" s="112">
        <v>3.4610618858184798</v>
      </c>
      <c r="I500" s="112">
        <v>1.4634212281647501</v>
      </c>
      <c r="J500" s="112" t="s">
        <v>848</v>
      </c>
      <c r="K500" s="112" t="s">
        <v>1797</v>
      </c>
      <c r="L500" s="112">
        <v>1.44593306810881E-3</v>
      </c>
      <c r="M500" s="229">
        <v>1.8181111063498399E-5</v>
      </c>
      <c r="N500" s="112" t="s">
        <v>2233</v>
      </c>
      <c r="O500" s="112" t="s">
        <v>1710</v>
      </c>
      <c r="P500" s="112" t="s">
        <v>2222</v>
      </c>
      <c r="Q500" s="112" t="s">
        <v>2234</v>
      </c>
      <c r="R500" s="112" t="s">
        <v>2235</v>
      </c>
    </row>
    <row r="501" spans="1:18">
      <c r="A501" s="112" t="s">
        <v>2224</v>
      </c>
      <c r="B501" s="112" t="s">
        <v>1796</v>
      </c>
      <c r="C501" s="112" t="s">
        <v>1706</v>
      </c>
      <c r="D501" s="112">
        <v>80</v>
      </c>
      <c r="E501" s="112" t="s">
        <v>1707</v>
      </c>
      <c r="F501" s="112" t="s">
        <v>1721</v>
      </c>
      <c r="G501" s="112">
        <v>9.7737453605072897</v>
      </c>
      <c r="H501" s="112">
        <v>5.1604216384942001</v>
      </c>
      <c r="I501" s="112">
        <v>1.38620499183153</v>
      </c>
      <c r="J501" s="112" t="s">
        <v>848</v>
      </c>
      <c r="K501" s="112" t="s">
        <v>1797</v>
      </c>
      <c r="L501" s="112">
        <v>1.44593306810881E-3</v>
      </c>
      <c r="M501" s="229">
        <v>1.79098532876835E-5</v>
      </c>
      <c r="N501" s="112" t="s">
        <v>2224</v>
      </c>
      <c r="O501" s="112" t="s">
        <v>1710</v>
      </c>
      <c r="P501" s="112" t="s">
        <v>2222</v>
      </c>
      <c r="Q501" s="112" t="s">
        <v>2225</v>
      </c>
      <c r="R501" s="112" t="s">
        <v>2226</v>
      </c>
    </row>
    <row r="502" spans="1:18">
      <c r="A502" s="112" t="s">
        <v>2250</v>
      </c>
      <c r="B502" s="112" t="s">
        <v>1705</v>
      </c>
      <c r="C502" s="112" t="s">
        <v>1706</v>
      </c>
      <c r="D502" s="112">
        <v>80</v>
      </c>
      <c r="E502" s="112" t="s">
        <v>1707</v>
      </c>
      <c r="F502" s="112" t="s">
        <v>1708</v>
      </c>
      <c r="G502" s="112">
        <v>-5.0568212708610396</v>
      </c>
      <c r="H502" s="112">
        <v>-3.5505535008608899</v>
      </c>
      <c r="I502" s="112">
        <v>0</v>
      </c>
      <c r="J502" s="112">
        <v>1</v>
      </c>
      <c r="K502" s="112" t="s">
        <v>1709</v>
      </c>
      <c r="L502" s="112">
        <v>1.5501498616955899E-3</v>
      </c>
      <c r="M502" s="229">
        <v>5.6940811805704399E-5</v>
      </c>
      <c r="N502" s="112" t="s">
        <v>2250</v>
      </c>
      <c r="O502" s="112" t="s">
        <v>1710</v>
      </c>
      <c r="P502" s="112" t="s">
        <v>2222</v>
      </c>
      <c r="Q502" s="112" t="s">
        <v>2251</v>
      </c>
      <c r="R502" s="112" t="s">
        <v>2252</v>
      </c>
    </row>
    <row r="503" spans="1:18">
      <c r="A503" s="112" t="s">
        <v>2224</v>
      </c>
      <c r="B503" s="112" t="s">
        <v>1748</v>
      </c>
      <c r="C503" s="112" t="s">
        <v>1706</v>
      </c>
      <c r="D503" s="112">
        <v>80</v>
      </c>
      <c r="E503" s="112" t="s">
        <v>1707</v>
      </c>
      <c r="F503" s="112" t="s">
        <v>440</v>
      </c>
      <c r="G503" s="112">
        <v>9.4941410995671998</v>
      </c>
      <c r="H503" s="112">
        <v>5.3067625217222103</v>
      </c>
      <c r="I503" s="112">
        <v>1.21965272808027</v>
      </c>
      <c r="J503" s="112" t="s">
        <v>848</v>
      </c>
      <c r="K503" s="112" t="s">
        <v>1749</v>
      </c>
      <c r="L503" s="112">
        <v>1.5815429980478E-3</v>
      </c>
      <c r="M503" s="229">
        <v>2.9717990176063E-5</v>
      </c>
      <c r="N503" s="112" t="s">
        <v>2224</v>
      </c>
      <c r="O503" s="112" t="s">
        <v>1710</v>
      </c>
      <c r="P503" s="112" t="s">
        <v>2222</v>
      </c>
      <c r="Q503" s="112" t="s">
        <v>2225</v>
      </c>
      <c r="R503" s="112" t="s">
        <v>2226</v>
      </c>
    </row>
    <row r="504" spans="1:18">
      <c r="A504" s="112" t="s">
        <v>2224</v>
      </c>
      <c r="B504" s="112" t="s">
        <v>1755</v>
      </c>
      <c r="C504" s="112" t="s">
        <v>1706</v>
      </c>
      <c r="D504" s="112">
        <v>30</v>
      </c>
      <c r="E504" s="112" t="s">
        <v>1707</v>
      </c>
      <c r="F504" s="112" t="s">
        <v>1721</v>
      </c>
      <c r="G504" s="112">
        <v>-15.3562425490035</v>
      </c>
      <c r="H504" s="112">
        <v>-8.57156007752838</v>
      </c>
      <c r="I504" s="112">
        <v>0</v>
      </c>
      <c r="J504" s="112">
        <v>1</v>
      </c>
      <c r="K504" s="112" t="s">
        <v>1756</v>
      </c>
      <c r="L504" s="112">
        <v>2.7317169097506901E-3</v>
      </c>
      <c r="M504" s="229">
        <v>5.6458378102955501E-5</v>
      </c>
      <c r="N504" s="112" t="s">
        <v>2224</v>
      </c>
      <c r="O504" s="112" t="s">
        <v>1710</v>
      </c>
      <c r="P504" s="112" t="s">
        <v>2222</v>
      </c>
      <c r="Q504" s="112" t="s">
        <v>2225</v>
      </c>
      <c r="R504" s="112" t="s">
        <v>2226</v>
      </c>
    </row>
    <row r="505" spans="1:18">
      <c r="A505" s="112" t="s">
        <v>2253</v>
      </c>
      <c r="B505" s="112" t="s">
        <v>1705</v>
      </c>
      <c r="C505" s="112" t="s">
        <v>1706</v>
      </c>
      <c r="D505" s="112">
        <v>80</v>
      </c>
      <c r="E505" s="112" t="s">
        <v>1707</v>
      </c>
      <c r="F505" s="112" t="s">
        <v>1708</v>
      </c>
      <c r="G505" s="112">
        <v>3.6449931467017298</v>
      </c>
      <c r="H505" s="112">
        <v>2.84822536598015</v>
      </c>
      <c r="I505" s="112">
        <v>2.0308364215491399</v>
      </c>
      <c r="J505" s="112" t="s">
        <v>848</v>
      </c>
      <c r="K505" s="112" t="s">
        <v>1709</v>
      </c>
      <c r="L505" s="112">
        <v>2.7546337992691099E-3</v>
      </c>
      <c r="M505" s="229">
        <v>1.2459636226613201E-4</v>
      </c>
      <c r="N505" s="112" t="s">
        <v>2253</v>
      </c>
      <c r="O505" s="112" t="s">
        <v>1710</v>
      </c>
      <c r="P505" s="112" t="s">
        <v>2222</v>
      </c>
      <c r="Q505" s="112" t="s">
        <v>2254</v>
      </c>
      <c r="R505" s="112" t="s">
        <v>2255</v>
      </c>
    </row>
    <row r="506" spans="1:18">
      <c r="A506" s="112" t="s">
        <v>2229</v>
      </c>
      <c r="B506" s="112" t="s">
        <v>1743</v>
      </c>
      <c r="C506" s="112" t="s">
        <v>1706</v>
      </c>
      <c r="D506" s="112">
        <v>55</v>
      </c>
      <c r="E506" s="112" t="s">
        <v>1707</v>
      </c>
      <c r="F506" s="112" t="s">
        <v>440</v>
      </c>
      <c r="G506" s="112">
        <v>3.7314521677735399</v>
      </c>
      <c r="H506" s="112">
        <v>2.7826492925634301</v>
      </c>
      <c r="I506" s="112">
        <v>0.55986722882880802</v>
      </c>
      <c r="J506" s="112" t="s">
        <v>848</v>
      </c>
      <c r="K506" s="112" t="s">
        <v>1744</v>
      </c>
      <c r="L506" s="112">
        <v>2.9059755129527999E-3</v>
      </c>
      <c r="M506" s="229">
        <v>6.4264835117131894E-5</v>
      </c>
      <c r="N506" s="112" t="s">
        <v>2229</v>
      </c>
      <c r="O506" s="112" t="s">
        <v>1710</v>
      </c>
      <c r="P506" s="112" t="s">
        <v>2222</v>
      </c>
      <c r="Q506" s="112" t="s">
        <v>2230</v>
      </c>
    </row>
    <row r="507" spans="1:18">
      <c r="A507" s="112" t="s">
        <v>2239</v>
      </c>
      <c r="B507" s="112" t="s">
        <v>1720</v>
      </c>
      <c r="C507" s="112" t="s">
        <v>1706</v>
      </c>
      <c r="D507" s="112">
        <v>55</v>
      </c>
      <c r="E507" s="112" t="s">
        <v>1707</v>
      </c>
      <c r="F507" s="112" t="s">
        <v>1721</v>
      </c>
      <c r="G507" s="112">
        <v>2.5972191711119601</v>
      </c>
      <c r="H507" s="112">
        <v>2.15872856098449</v>
      </c>
      <c r="I507" s="112">
        <v>0.60924497140235301</v>
      </c>
      <c r="J507" s="112" t="s">
        <v>848</v>
      </c>
      <c r="K507" s="112" t="s">
        <v>1722</v>
      </c>
      <c r="L507" s="112">
        <v>3.3191896218880699E-3</v>
      </c>
      <c r="M507" s="229">
        <v>5.0607604832993699E-5</v>
      </c>
      <c r="N507" s="112" t="s">
        <v>2239</v>
      </c>
      <c r="O507" s="112" t="s">
        <v>1710</v>
      </c>
      <c r="P507" s="112" t="s">
        <v>2222</v>
      </c>
      <c r="Q507" s="112" t="s">
        <v>2240</v>
      </c>
      <c r="R507" s="112" t="s">
        <v>2241</v>
      </c>
    </row>
    <row r="508" spans="1:18">
      <c r="A508" s="112" t="s">
        <v>2239</v>
      </c>
      <c r="B508" s="112" t="s">
        <v>1748</v>
      </c>
      <c r="C508" s="112" t="s">
        <v>1706</v>
      </c>
      <c r="D508" s="112">
        <v>80</v>
      </c>
      <c r="E508" s="112" t="s">
        <v>1707</v>
      </c>
      <c r="F508" s="112" t="s">
        <v>440</v>
      </c>
      <c r="G508" s="112">
        <v>-5.7969392769028802</v>
      </c>
      <c r="H508" s="112">
        <v>-4.0831855072679604</v>
      </c>
      <c r="I508" s="112">
        <v>0</v>
      </c>
      <c r="J508" s="112">
        <v>1</v>
      </c>
      <c r="K508" s="112" t="s">
        <v>1749</v>
      </c>
      <c r="L508" s="112">
        <v>3.60768947865093E-3</v>
      </c>
      <c r="M508" s="229">
        <v>9.0983396939661797E-5</v>
      </c>
      <c r="N508" s="112" t="s">
        <v>2239</v>
      </c>
      <c r="O508" s="112" t="s">
        <v>1710</v>
      </c>
      <c r="P508" s="112" t="s">
        <v>2222</v>
      </c>
      <c r="Q508" s="112" t="s">
        <v>2240</v>
      </c>
      <c r="R508" s="112" t="s">
        <v>2241</v>
      </c>
    </row>
    <row r="509" spans="1:18">
      <c r="A509" s="112" t="s">
        <v>2256</v>
      </c>
      <c r="B509" s="112" t="s">
        <v>1731</v>
      </c>
      <c r="C509" s="112" t="s">
        <v>1706</v>
      </c>
      <c r="D509" s="112">
        <v>30</v>
      </c>
      <c r="E509" s="112" t="s">
        <v>1707</v>
      </c>
      <c r="F509" s="112" t="s">
        <v>1708</v>
      </c>
      <c r="G509" s="112">
        <v>-4.9285185806877596</v>
      </c>
      <c r="H509" s="112">
        <v>-2.9111581748778601</v>
      </c>
      <c r="I509" s="112">
        <v>0</v>
      </c>
      <c r="J509" s="112">
        <v>1</v>
      </c>
      <c r="K509" s="112" t="s">
        <v>1732</v>
      </c>
      <c r="L509" s="112">
        <v>3.6194287368868901E-3</v>
      </c>
      <c r="M509" s="229">
        <v>1.49610726802955E-4</v>
      </c>
      <c r="N509" s="112" t="s">
        <v>2256</v>
      </c>
      <c r="O509" s="112" t="s">
        <v>1710</v>
      </c>
      <c r="P509" s="112" t="s">
        <v>2222</v>
      </c>
      <c r="Q509" s="112" t="s">
        <v>2257</v>
      </c>
    </row>
    <row r="510" spans="1:18">
      <c r="A510" s="112" t="s">
        <v>1719</v>
      </c>
      <c r="B510" s="112" t="s">
        <v>1796</v>
      </c>
      <c r="C510" s="112" t="s">
        <v>1706</v>
      </c>
      <c r="D510" s="112">
        <v>80</v>
      </c>
      <c r="E510" s="112" t="s">
        <v>1707</v>
      </c>
      <c r="F510" s="112" t="s">
        <v>1721</v>
      </c>
      <c r="G510" s="112">
        <v>-4.8841437512933101</v>
      </c>
      <c r="H510" s="112">
        <v>-3.4110439526945302</v>
      </c>
      <c r="I510" s="112">
        <v>0</v>
      </c>
      <c r="J510" s="112">
        <v>1</v>
      </c>
      <c r="K510" s="112" t="s">
        <v>1797</v>
      </c>
      <c r="L510" s="112">
        <v>4.2298340720881497E-3</v>
      </c>
      <c r="M510" s="229">
        <v>8.4471538421878898E-5</v>
      </c>
      <c r="N510" s="112" t="s">
        <v>1719</v>
      </c>
      <c r="O510" s="112" t="s">
        <v>1710</v>
      </c>
      <c r="P510" s="112" t="s">
        <v>2222</v>
      </c>
      <c r="Q510" s="112" t="s">
        <v>2232</v>
      </c>
    </row>
    <row r="511" spans="1:18">
      <c r="A511" s="112" t="s">
        <v>2258</v>
      </c>
      <c r="B511" s="112" t="s">
        <v>1748</v>
      </c>
      <c r="C511" s="112" t="s">
        <v>1706</v>
      </c>
      <c r="D511" s="112">
        <v>80</v>
      </c>
      <c r="E511" s="112" t="s">
        <v>1707</v>
      </c>
      <c r="F511" s="112" t="s">
        <v>440</v>
      </c>
      <c r="G511" s="112">
        <v>3.35593779181406</v>
      </c>
      <c r="H511" s="112">
        <v>2.7968231262093202</v>
      </c>
      <c r="I511" s="112">
        <v>2.5403831376173498</v>
      </c>
      <c r="J511" s="112" t="s">
        <v>848</v>
      </c>
      <c r="K511" s="112" t="s">
        <v>1749</v>
      </c>
      <c r="L511" s="112">
        <v>4.6897991899919299E-3</v>
      </c>
      <c r="M511" s="229">
        <v>1.3978457046760499E-4</v>
      </c>
      <c r="N511" s="112" t="s">
        <v>2258</v>
      </c>
      <c r="O511" s="112" t="s">
        <v>1710</v>
      </c>
      <c r="P511" s="112" t="s">
        <v>2222</v>
      </c>
      <c r="Q511" s="112" t="s">
        <v>2259</v>
      </c>
    </row>
    <row r="512" spans="1:18">
      <c r="A512" s="112" t="s">
        <v>1719</v>
      </c>
      <c r="B512" s="112" t="s">
        <v>1735</v>
      </c>
      <c r="C512" s="112" t="s">
        <v>1706</v>
      </c>
      <c r="D512" s="112">
        <v>30</v>
      </c>
      <c r="E512" s="112" t="s">
        <v>1707</v>
      </c>
      <c r="F512" s="112" t="s">
        <v>440</v>
      </c>
      <c r="G512" s="112">
        <v>2.8278263704099502</v>
      </c>
      <c r="H512" s="112">
        <v>2.2364077843749599</v>
      </c>
      <c r="I512" s="112">
        <v>0.12783287406617999</v>
      </c>
      <c r="J512" s="112" t="s">
        <v>848</v>
      </c>
      <c r="K512" s="112" t="s">
        <v>1736</v>
      </c>
      <c r="L512" s="112">
        <v>6.3493207673625098E-3</v>
      </c>
      <c r="M512" s="229">
        <v>1.21834554198293E-4</v>
      </c>
      <c r="N512" s="112" t="s">
        <v>1719</v>
      </c>
      <c r="O512" s="112" t="s">
        <v>1710</v>
      </c>
      <c r="P512" s="112" t="s">
        <v>2222</v>
      </c>
      <c r="Q512" s="112" t="s">
        <v>2232</v>
      </c>
    </row>
    <row r="513" spans="1:18">
      <c r="A513" s="112" t="s">
        <v>2256</v>
      </c>
      <c r="B513" s="112" t="s">
        <v>1705</v>
      </c>
      <c r="C513" s="112" t="s">
        <v>1706</v>
      </c>
      <c r="D513" s="112">
        <v>80</v>
      </c>
      <c r="E513" s="112" t="s">
        <v>1707</v>
      </c>
      <c r="F513" s="112" t="s">
        <v>1708</v>
      </c>
      <c r="G513" s="112">
        <v>3.25069329345828</v>
      </c>
      <c r="H513" s="112">
        <v>2.49474221372797</v>
      </c>
      <c r="I513" s="112">
        <v>1.73679341973099</v>
      </c>
      <c r="J513" s="112" t="s">
        <v>848</v>
      </c>
      <c r="K513" s="112" t="s">
        <v>1709</v>
      </c>
      <c r="L513" s="112">
        <v>7.6360340044035104E-3</v>
      </c>
      <c r="M513" s="229">
        <v>4.8143854742675599E-4</v>
      </c>
      <c r="N513" s="112" t="s">
        <v>2256</v>
      </c>
      <c r="O513" s="112" t="s">
        <v>1710</v>
      </c>
      <c r="P513" s="112" t="s">
        <v>2222</v>
      </c>
      <c r="Q513" s="112" t="s">
        <v>2257</v>
      </c>
    </row>
    <row r="514" spans="1:18">
      <c r="A514" s="112" t="s">
        <v>2242</v>
      </c>
      <c r="B514" s="112" t="s">
        <v>1748</v>
      </c>
      <c r="C514" s="112" t="s">
        <v>1706</v>
      </c>
      <c r="D514" s="112">
        <v>80</v>
      </c>
      <c r="E514" s="112" t="s">
        <v>1707</v>
      </c>
      <c r="F514" s="112" t="s">
        <v>440</v>
      </c>
      <c r="G514" s="112">
        <v>2.1843927723600598</v>
      </c>
      <c r="H514" s="112">
        <v>1.8582020972437501</v>
      </c>
      <c r="I514" s="112">
        <v>1.4994760003383401</v>
      </c>
      <c r="J514" s="112" t="s">
        <v>848</v>
      </c>
      <c r="K514" s="112" t="s">
        <v>1749</v>
      </c>
      <c r="L514" s="112">
        <v>8.4427763360663093E-3</v>
      </c>
      <c r="M514" s="229">
        <v>3.4252491714304101E-4</v>
      </c>
      <c r="N514" s="112" t="s">
        <v>2242</v>
      </c>
      <c r="O514" s="112" t="s">
        <v>1710</v>
      </c>
      <c r="P514" s="112" t="s">
        <v>2222</v>
      </c>
      <c r="Q514" s="112" t="s">
        <v>2243</v>
      </c>
    </row>
    <row r="515" spans="1:18">
      <c r="A515" s="112" t="s">
        <v>2260</v>
      </c>
      <c r="B515" s="112" t="s">
        <v>1731</v>
      </c>
      <c r="C515" s="112" t="s">
        <v>1706</v>
      </c>
      <c r="D515" s="112">
        <v>30</v>
      </c>
      <c r="E515" s="112" t="s">
        <v>1707</v>
      </c>
      <c r="F515" s="112" t="s">
        <v>1708</v>
      </c>
      <c r="G515" s="112">
        <v>5.5766359389032303</v>
      </c>
      <c r="H515" s="112">
        <v>2.5858924901915201</v>
      </c>
      <c r="I515" s="112">
        <v>2.1089094039612699</v>
      </c>
      <c r="J515" s="112" t="s">
        <v>848</v>
      </c>
      <c r="K515" s="112" t="s">
        <v>1732</v>
      </c>
      <c r="L515" s="112">
        <v>8.7531290283846801E-3</v>
      </c>
      <c r="M515" s="229">
        <v>5.0097399844491002E-4</v>
      </c>
      <c r="N515" s="112" t="s">
        <v>2260</v>
      </c>
      <c r="O515" s="112" t="s">
        <v>1710</v>
      </c>
      <c r="P515" s="112" t="s">
        <v>2222</v>
      </c>
      <c r="Q515" s="112" t="s">
        <v>2261</v>
      </c>
      <c r="R515" s="112" t="s">
        <v>2262</v>
      </c>
    </row>
    <row r="516" spans="1:18">
      <c r="A516" s="112" t="s">
        <v>2233</v>
      </c>
      <c r="B516" s="112" t="s">
        <v>1731</v>
      </c>
      <c r="C516" s="112" t="s">
        <v>1706</v>
      </c>
      <c r="D516" s="112">
        <v>30</v>
      </c>
      <c r="E516" s="112" t="s">
        <v>1707</v>
      </c>
      <c r="F516" s="112" t="s">
        <v>1708</v>
      </c>
      <c r="G516" s="112">
        <v>-4.0753022985347096</v>
      </c>
      <c r="H516" s="112">
        <v>-2.2960224358625601</v>
      </c>
      <c r="I516" s="112">
        <v>-8.8396525779814006</v>
      </c>
      <c r="J516" s="112" t="s">
        <v>848</v>
      </c>
      <c r="K516" s="112" t="s">
        <v>1732</v>
      </c>
      <c r="L516" s="112">
        <v>8.7531290283846801E-3</v>
      </c>
      <c r="M516" s="229">
        <v>4.9882383155515895E-4</v>
      </c>
      <c r="N516" s="112" t="s">
        <v>2233</v>
      </c>
      <c r="O516" s="112" t="s">
        <v>1710</v>
      </c>
      <c r="P516" s="112" t="s">
        <v>2222</v>
      </c>
      <c r="Q516" s="112" t="s">
        <v>2234</v>
      </c>
      <c r="R516" s="112" t="s">
        <v>2235</v>
      </c>
    </row>
    <row r="517" spans="1:18">
      <c r="A517" s="112" t="s">
        <v>2263</v>
      </c>
      <c r="B517" s="112" t="s">
        <v>1705</v>
      </c>
      <c r="C517" s="112" t="s">
        <v>1706</v>
      </c>
      <c r="D517" s="112">
        <v>80</v>
      </c>
      <c r="E517" s="112" t="s">
        <v>1707</v>
      </c>
      <c r="F517" s="112" t="s">
        <v>1708</v>
      </c>
      <c r="G517" s="112">
        <v>3.45088128719458</v>
      </c>
      <c r="H517" s="112">
        <v>2.5361011274980001</v>
      </c>
      <c r="I517" s="112">
        <v>1.88698258769211</v>
      </c>
      <c r="J517" s="112" t="s">
        <v>848</v>
      </c>
      <c r="K517" s="112" t="s">
        <v>1709</v>
      </c>
      <c r="L517" s="112">
        <v>9.4052863317448995E-3</v>
      </c>
      <c r="M517" s="229">
        <v>6.8661645983957595E-4</v>
      </c>
      <c r="N517" s="112" t="s">
        <v>2263</v>
      </c>
      <c r="O517" s="112" t="s">
        <v>1710</v>
      </c>
      <c r="P517" s="112" t="s">
        <v>2222</v>
      </c>
      <c r="Q517" s="112" t="s">
        <v>2264</v>
      </c>
      <c r="R517" s="112" t="s">
        <v>2265</v>
      </c>
    </row>
    <row r="518" spans="1:18">
      <c r="A518" s="112" t="s">
        <v>2266</v>
      </c>
      <c r="B518" s="112" t="s">
        <v>1731</v>
      </c>
      <c r="C518" s="112" t="s">
        <v>1706</v>
      </c>
      <c r="D518" s="112">
        <v>30</v>
      </c>
      <c r="E518" s="112" t="s">
        <v>1707</v>
      </c>
      <c r="F518" s="112" t="s">
        <v>1708</v>
      </c>
      <c r="G518" s="112">
        <v>-4.3479501306666002</v>
      </c>
      <c r="H518" s="112">
        <v>-2.2805981813011602</v>
      </c>
      <c r="I518" s="112">
        <v>0</v>
      </c>
      <c r="J518" s="112">
        <v>1</v>
      </c>
      <c r="K518" s="112" t="s">
        <v>1732</v>
      </c>
      <c r="L518" s="112">
        <v>1.02712220812261E-2</v>
      </c>
      <c r="M518" s="229">
        <v>6.2868370449476504E-4</v>
      </c>
      <c r="N518" s="112" t="s">
        <v>2266</v>
      </c>
      <c r="O518" s="112" t="s">
        <v>1710</v>
      </c>
      <c r="P518" s="112" t="s">
        <v>2222</v>
      </c>
      <c r="Q518" s="112" t="s">
        <v>2267</v>
      </c>
    </row>
    <row r="519" spans="1:18">
      <c r="A519" s="112" t="s">
        <v>2268</v>
      </c>
      <c r="B519" s="112" t="s">
        <v>1731</v>
      </c>
      <c r="C519" s="112" t="s">
        <v>1706</v>
      </c>
      <c r="D519" s="112">
        <v>30</v>
      </c>
      <c r="E519" s="112" t="s">
        <v>1707</v>
      </c>
      <c r="F519" s="112" t="s">
        <v>1708</v>
      </c>
      <c r="G519" s="112">
        <v>1.7447823593177101</v>
      </c>
      <c r="H519" s="112">
        <v>1.31309429014749</v>
      </c>
      <c r="I519" s="112">
        <v>1.3207129445830099</v>
      </c>
      <c r="J519" s="112" t="s">
        <v>848</v>
      </c>
      <c r="K519" s="112" t="s">
        <v>1732</v>
      </c>
      <c r="L519" s="112">
        <v>1.1695472286050401E-2</v>
      </c>
      <c r="M519" s="229">
        <v>7.4804511347995701E-4</v>
      </c>
      <c r="N519" s="112" t="s">
        <v>2268</v>
      </c>
      <c r="O519" s="112" t="s">
        <v>1710</v>
      </c>
      <c r="P519" s="112" t="s">
        <v>2222</v>
      </c>
      <c r="Q519" s="112" t="s">
        <v>2269</v>
      </c>
    </row>
    <row r="520" spans="1:18">
      <c r="A520" s="112" t="s">
        <v>2270</v>
      </c>
      <c r="B520" s="112" t="s">
        <v>1755</v>
      </c>
      <c r="C520" s="112" t="s">
        <v>1706</v>
      </c>
      <c r="D520" s="112">
        <v>30</v>
      </c>
      <c r="E520" s="112" t="s">
        <v>1707</v>
      </c>
      <c r="F520" s="112" t="s">
        <v>1721</v>
      </c>
      <c r="G520" s="112">
        <v>-7.7168113039524799</v>
      </c>
      <c r="H520" s="112">
        <v>-3.8003023953024702</v>
      </c>
      <c r="I520" s="112">
        <v>0</v>
      </c>
      <c r="J520" s="112">
        <v>1</v>
      </c>
      <c r="K520" s="112" t="s">
        <v>1756</v>
      </c>
      <c r="L520" s="112">
        <v>1.2653882794876401E-2</v>
      </c>
      <c r="M520" s="229">
        <v>5.6328890024887296E-4</v>
      </c>
      <c r="N520" s="112" t="s">
        <v>2270</v>
      </c>
      <c r="O520" s="112" t="s">
        <v>1710</v>
      </c>
      <c r="P520" s="112" t="s">
        <v>2222</v>
      </c>
      <c r="Q520" s="112" t="s">
        <v>2271</v>
      </c>
      <c r="R520" s="112" t="s">
        <v>2272</v>
      </c>
    </row>
    <row r="521" spans="1:18">
      <c r="A521" s="112" t="s">
        <v>2273</v>
      </c>
      <c r="B521" s="112" t="s">
        <v>1748</v>
      </c>
      <c r="C521" s="112" t="s">
        <v>1706</v>
      </c>
      <c r="D521" s="112">
        <v>80</v>
      </c>
      <c r="E521" s="112" t="s">
        <v>1707</v>
      </c>
      <c r="F521" s="112" t="s">
        <v>440</v>
      </c>
      <c r="G521" s="112">
        <v>4.4821392143982397</v>
      </c>
      <c r="H521" s="112">
        <v>3.1275563215152502</v>
      </c>
      <c r="I521" s="112">
        <v>2.5763653130041302</v>
      </c>
      <c r="J521" s="112" t="s">
        <v>848</v>
      </c>
      <c r="K521" s="112" t="s">
        <v>1749</v>
      </c>
      <c r="L521" s="112">
        <v>1.30006696603823E-2</v>
      </c>
      <c r="M521" s="229">
        <v>6.62964531957684E-4</v>
      </c>
      <c r="N521" s="112" t="s">
        <v>2273</v>
      </c>
      <c r="O521" s="112" t="s">
        <v>1710</v>
      </c>
      <c r="P521" s="112" t="s">
        <v>2222</v>
      </c>
      <c r="Q521" s="112" t="s">
        <v>2274</v>
      </c>
      <c r="R521" s="112" t="s">
        <v>2275</v>
      </c>
    </row>
    <row r="522" spans="1:18">
      <c r="A522" s="112" t="s">
        <v>2268</v>
      </c>
      <c r="B522" s="112" t="s">
        <v>1762</v>
      </c>
      <c r="C522" s="112" t="s">
        <v>1706</v>
      </c>
      <c r="D522" s="112">
        <v>55</v>
      </c>
      <c r="E522" s="112" t="s">
        <v>1707</v>
      </c>
      <c r="F522" s="112" t="s">
        <v>1708</v>
      </c>
      <c r="G522" s="112">
        <v>-2.3281876746783401</v>
      </c>
      <c r="H522" s="112">
        <v>-1.84661253109654</v>
      </c>
      <c r="I522" s="112">
        <v>-3.2479678025679202</v>
      </c>
      <c r="J522" s="112" t="s">
        <v>848</v>
      </c>
      <c r="K522" s="112" t="s">
        <v>1763</v>
      </c>
      <c r="L522" s="112">
        <v>1.38099319723588E-2</v>
      </c>
      <c r="M522" s="229">
        <v>3.5869953174958097E-4</v>
      </c>
      <c r="N522" s="112" t="s">
        <v>2268</v>
      </c>
      <c r="O522" s="112" t="s">
        <v>1710</v>
      </c>
      <c r="P522" s="112" t="s">
        <v>2222</v>
      </c>
      <c r="Q522" s="112" t="s">
        <v>2269</v>
      </c>
    </row>
    <row r="523" spans="1:18">
      <c r="A523" s="112" t="s">
        <v>2239</v>
      </c>
      <c r="B523" s="112" t="s">
        <v>1762</v>
      </c>
      <c r="C523" s="112" t="s">
        <v>1706</v>
      </c>
      <c r="D523" s="112">
        <v>55</v>
      </c>
      <c r="E523" s="112" t="s">
        <v>1707</v>
      </c>
      <c r="F523" s="112" t="s">
        <v>1708</v>
      </c>
      <c r="G523" s="112">
        <v>2.3039729278171199</v>
      </c>
      <c r="H523" s="112">
        <v>1.8253978221124401</v>
      </c>
      <c r="I523" s="112">
        <v>0.34308393596046899</v>
      </c>
      <c r="J523" s="112" t="s">
        <v>848</v>
      </c>
      <c r="K523" s="112" t="s">
        <v>1763</v>
      </c>
      <c r="L523" s="112">
        <v>1.40810017757104E-2</v>
      </c>
      <c r="M523" s="229">
        <v>3.8402732115573899E-4</v>
      </c>
      <c r="N523" s="112" t="s">
        <v>2239</v>
      </c>
      <c r="O523" s="112" t="s">
        <v>1710</v>
      </c>
      <c r="P523" s="112" t="s">
        <v>2222</v>
      </c>
      <c r="Q523" s="112" t="s">
        <v>2240</v>
      </c>
      <c r="R523" s="112" t="s">
        <v>2241</v>
      </c>
    </row>
    <row r="524" spans="1:18">
      <c r="A524" s="112" t="s">
        <v>2246</v>
      </c>
      <c r="B524" s="112" t="s">
        <v>1796</v>
      </c>
      <c r="C524" s="112" t="s">
        <v>1706</v>
      </c>
      <c r="D524" s="112">
        <v>80</v>
      </c>
      <c r="E524" s="112" t="s">
        <v>1707</v>
      </c>
      <c r="F524" s="112" t="s">
        <v>1721</v>
      </c>
      <c r="G524" s="112">
        <v>-2.96619178945343</v>
      </c>
      <c r="H524" s="112">
        <v>-2.12092255281613</v>
      </c>
      <c r="I524" s="112">
        <v>-4.4968786033686596</v>
      </c>
      <c r="J524" s="112" t="s">
        <v>848</v>
      </c>
      <c r="K524" s="112" t="s">
        <v>1797</v>
      </c>
      <c r="L524" s="112">
        <v>1.8112811280629901E-2</v>
      </c>
      <c r="M524" s="229">
        <v>6.1626428913386002E-4</v>
      </c>
      <c r="N524" s="112" t="s">
        <v>2246</v>
      </c>
      <c r="O524" s="112" t="s">
        <v>1710</v>
      </c>
      <c r="P524" s="112" t="s">
        <v>2222</v>
      </c>
      <c r="Q524" s="112" t="s">
        <v>2247</v>
      </c>
    </row>
    <row r="525" spans="1:18">
      <c r="A525" s="112" t="s">
        <v>2227</v>
      </c>
      <c r="B525" s="112" t="s">
        <v>1796</v>
      </c>
      <c r="C525" s="112" t="s">
        <v>1706</v>
      </c>
      <c r="D525" s="112">
        <v>80</v>
      </c>
      <c r="E525" s="112" t="s">
        <v>1707</v>
      </c>
      <c r="F525" s="112" t="s">
        <v>1721</v>
      </c>
      <c r="G525" s="112">
        <v>-3.7026806795022198</v>
      </c>
      <c r="H525" s="112">
        <v>-2.4555019752548302</v>
      </c>
      <c r="I525" s="112">
        <v>-8.3362779949770704</v>
      </c>
      <c r="J525" s="112" t="s">
        <v>848</v>
      </c>
      <c r="K525" s="112" t="s">
        <v>1797</v>
      </c>
      <c r="L525" s="112">
        <v>1.9139004682111702E-2</v>
      </c>
      <c r="M525" s="229">
        <v>6.6634368801716496E-4</v>
      </c>
      <c r="N525" s="112" t="s">
        <v>2227</v>
      </c>
      <c r="O525" s="112" t="s">
        <v>1710</v>
      </c>
      <c r="P525" s="112" t="s">
        <v>2222</v>
      </c>
      <c r="Q525" s="112" t="s">
        <v>2228</v>
      </c>
    </row>
    <row r="526" spans="1:18">
      <c r="A526" s="112" t="s">
        <v>2276</v>
      </c>
      <c r="B526" s="112" t="s">
        <v>1705</v>
      </c>
      <c r="C526" s="112" t="s">
        <v>1706</v>
      </c>
      <c r="D526" s="112">
        <v>80</v>
      </c>
      <c r="E526" s="112" t="s">
        <v>1707</v>
      </c>
      <c r="F526" s="112" t="s">
        <v>1708</v>
      </c>
      <c r="G526" s="112">
        <v>2.0670043450026498</v>
      </c>
      <c r="H526" s="112">
        <v>1.66140776940054</v>
      </c>
      <c r="I526" s="112">
        <v>1.10927713685204</v>
      </c>
      <c r="J526" s="112" t="s">
        <v>848</v>
      </c>
      <c r="K526" s="112" t="s">
        <v>1709</v>
      </c>
      <c r="L526" s="112">
        <v>1.9544611331394599E-2</v>
      </c>
      <c r="M526" s="112">
        <v>1.8751683020800699E-3</v>
      </c>
      <c r="N526" s="112" t="s">
        <v>2276</v>
      </c>
      <c r="O526" s="112" t="s">
        <v>1710</v>
      </c>
      <c r="P526" s="112" t="s">
        <v>2222</v>
      </c>
      <c r="Q526" s="112" t="s">
        <v>2277</v>
      </c>
    </row>
    <row r="527" spans="1:18">
      <c r="A527" s="112" t="s">
        <v>2276</v>
      </c>
      <c r="B527" s="112" t="s">
        <v>1748</v>
      </c>
      <c r="C527" s="112" t="s">
        <v>1706</v>
      </c>
      <c r="D527" s="112">
        <v>80</v>
      </c>
      <c r="E527" s="112" t="s">
        <v>1707</v>
      </c>
      <c r="F527" s="112" t="s">
        <v>440</v>
      </c>
      <c r="G527" s="112">
        <v>2.5188166922823498</v>
      </c>
      <c r="H527" s="112">
        <v>1.99163799837121</v>
      </c>
      <c r="I527" s="112">
        <v>1.7181058546548</v>
      </c>
      <c r="J527" s="112" t="s">
        <v>848</v>
      </c>
      <c r="K527" s="112" t="s">
        <v>1749</v>
      </c>
      <c r="L527" s="112">
        <v>2.0709641396575201E-2</v>
      </c>
      <c r="M527" s="112">
        <v>1.2035208267746501E-3</v>
      </c>
      <c r="N527" s="112" t="s">
        <v>2276</v>
      </c>
      <c r="O527" s="112" t="s">
        <v>1710</v>
      </c>
      <c r="P527" s="112" t="s">
        <v>2222</v>
      </c>
      <c r="Q527" s="112" t="s">
        <v>2277</v>
      </c>
    </row>
    <row r="528" spans="1:18">
      <c r="A528" s="112" t="s">
        <v>2236</v>
      </c>
      <c r="B528" s="112" t="s">
        <v>1796</v>
      </c>
      <c r="C528" s="112" t="s">
        <v>1706</v>
      </c>
      <c r="D528" s="112">
        <v>80</v>
      </c>
      <c r="E528" s="112" t="s">
        <v>1707</v>
      </c>
      <c r="F528" s="112" t="s">
        <v>1721</v>
      </c>
      <c r="G528" s="112">
        <v>-2.8680268853943498</v>
      </c>
      <c r="H528" s="112">
        <v>-2.0020395699173399</v>
      </c>
      <c r="I528" s="112">
        <v>-4.3762673602355502</v>
      </c>
      <c r="J528" s="112" t="s">
        <v>848</v>
      </c>
      <c r="K528" s="112" t="s">
        <v>1797</v>
      </c>
      <c r="L528" s="112">
        <v>2.1147816673309301E-2</v>
      </c>
      <c r="M528" s="229">
        <v>8.2901944059570799E-4</v>
      </c>
      <c r="N528" s="112" t="s">
        <v>2236</v>
      </c>
      <c r="O528" s="112" t="s">
        <v>1710</v>
      </c>
      <c r="P528" s="112" t="s">
        <v>2222</v>
      </c>
      <c r="Q528" s="112" t="s">
        <v>2237</v>
      </c>
      <c r="R528" s="112" t="s">
        <v>2238</v>
      </c>
    </row>
    <row r="529" spans="1:18">
      <c r="A529" s="112" t="s">
        <v>2278</v>
      </c>
      <c r="B529" s="112" t="s">
        <v>1748</v>
      </c>
      <c r="C529" s="112" t="s">
        <v>1706</v>
      </c>
      <c r="D529" s="112">
        <v>80</v>
      </c>
      <c r="E529" s="112" t="s">
        <v>1707</v>
      </c>
      <c r="F529" s="112" t="s">
        <v>440</v>
      </c>
      <c r="G529" s="112">
        <v>2.5171417985262701</v>
      </c>
      <c r="H529" s="112">
        <v>1.95672244836905</v>
      </c>
      <c r="I529" s="112">
        <v>2.09300166069211</v>
      </c>
      <c r="J529" s="112" t="s">
        <v>848</v>
      </c>
      <c r="K529" s="112" t="s">
        <v>1749</v>
      </c>
      <c r="L529" s="112">
        <v>2.5003462167012099E-2</v>
      </c>
      <c r="M529" s="112">
        <v>1.54599731425977E-3</v>
      </c>
      <c r="N529" s="112" t="s">
        <v>2278</v>
      </c>
      <c r="O529" s="112" t="s">
        <v>1710</v>
      </c>
      <c r="P529" s="112" t="s">
        <v>2222</v>
      </c>
      <c r="Q529" s="112" t="s">
        <v>2279</v>
      </c>
    </row>
    <row r="530" spans="1:18">
      <c r="A530" s="112" t="s">
        <v>2244</v>
      </c>
      <c r="B530" s="112" t="s">
        <v>1796</v>
      </c>
      <c r="C530" s="112" t="s">
        <v>1706</v>
      </c>
      <c r="D530" s="112">
        <v>80</v>
      </c>
      <c r="E530" s="112" t="s">
        <v>1707</v>
      </c>
      <c r="F530" s="112" t="s">
        <v>1721</v>
      </c>
      <c r="G530" s="112">
        <v>-5.2468471499131999</v>
      </c>
      <c r="H530" s="112">
        <v>-2.4993927902620001</v>
      </c>
      <c r="I530" s="112">
        <v>0</v>
      </c>
      <c r="J530" s="112">
        <v>1</v>
      </c>
      <c r="K530" s="112" t="s">
        <v>1797</v>
      </c>
      <c r="L530" s="112">
        <v>2.52049900486002E-2</v>
      </c>
      <c r="M530" s="112">
        <v>1.1558501353648E-3</v>
      </c>
      <c r="N530" s="112" t="s">
        <v>2244</v>
      </c>
      <c r="O530" s="112" t="s">
        <v>1710</v>
      </c>
      <c r="P530" s="112" t="s">
        <v>2222</v>
      </c>
      <c r="Q530" s="112" t="s">
        <v>2245</v>
      </c>
    </row>
    <row r="531" spans="1:18">
      <c r="A531" s="112" t="s">
        <v>2280</v>
      </c>
      <c r="B531" s="112" t="s">
        <v>1755</v>
      </c>
      <c r="C531" s="112" t="s">
        <v>1706</v>
      </c>
      <c r="D531" s="112">
        <v>30</v>
      </c>
      <c r="E531" s="112" t="s">
        <v>1707</v>
      </c>
      <c r="F531" s="112" t="s">
        <v>1721</v>
      </c>
      <c r="G531" s="112">
        <v>-7.2058370906252502</v>
      </c>
      <c r="H531" s="112">
        <v>-3.0164103274168799</v>
      </c>
      <c r="I531" s="112">
        <v>0</v>
      </c>
      <c r="J531" s="112">
        <v>1</v>
      </c>
      <c r="K531" s="112" t="s">
        <v>1756</v>
      </c>
      <c r="L531" s="112">
        <v>2.7324526304767099E-2</v>
      </c>
      <c r="M531" s="112">
        <v>1.8896929956396999E-3</v>
      </c>
      <c r="N531" s="112" t="s">
        <v>2280</v>
      </c>
      <c r="O531" s="112" t="s">
        <v>1710</v>
      </c>
      <c r="P531" s="112" t="s">
        <v>2222</v>
      </c>
      <c r="Q531" s="112" t="s">
        <v>2281</v>
      </c>
    </row>
    <row r="532" spans="1:18">
      <c r="A532" s="112" t="s">
        <v>2282</v>
      </c>
      <c r="B532" s="112" t="s">
        <v>1705</v>
      </c>
      <c r="C532" s="112" t="s">
        <v>1706</v>
      </c>
      <c r="D532" s="112">
        <v>80</v>
      </c>
      <c r="E532" s="112" t="s">
        <v>1707</v>
      </c>
      <c r="F532" s="112" t="s">
        <v>1708</v>
      </c>
      <c r="G532" s="112">
        <v>-3.75536681519347</v>
      </c>
      <c r="H532" s="112">
        <v>-2.2501633971792798</v>
      </c>
      <c r="I532" s="112">
        <v>0</v>
      </c>
      <c r="J532" s="112">
        <v>1</v>
      </c>
      <c r="K532" s="112" t="s">
        <v>1709</v>
      </c>
      <c r="L532" s="112">
        <v>3.0408792357194899E-2</v>
      </c>
      <c r="M532" s="112">
        <v>3.6677271483458798E-3</v>
      </c>
      <c r="N532" s="112" t="s">
        <v>2282</v>
      </c>
      <c r="O532" s="112" t="s">
        <v>1710</v>
      </c>
      <c r="P532" s="112" t="s">
        <v>2222</v>
      </c>
      <c r="Q532" s="112" t="s">
        <v>2283</v>
      </c>
    </row>
    <row r="533" spans="1:18">
      <c r="A533" s="112" t="s">
        <v>2250</v>
      </c>
      <c r="B533" s="112" t="s">
        <v>1762</v>
      </c>
      <c r="C533" s="112" t="s">
        <v>1706</v>
      </c>
      <c r="D533" s="112">
        <v>55</v>
      </c>
      <c r="E533" s="112" t="s">
        <v>1707</v>
      </c>
      <c r="F533" s="112" t="s">
        <v>1708</v>
      </c>
      <c r="G533" s="112">
        <v>2.96920195782076</v>
      </c>
      <c r="H533" s="112">
        <v>1.84612001081862</v>
      </c>
      <c r="I533" s="112">
        <v>1.98904513366156</v>
      </c>
      <c r="J533" s="112" t="s">
        <v>848</v>
      </c>
      <c r="K533" s="112" t="s">
        <v>1763</v>
      </c>
      <c r="L533" s="112">
        <v>3.1908964397651202E-2</v>
      </c>
      <c r="M533" s="112">
        <v>1.0774455510895199E-3</v>
      </c>
      <c r="N533" s="112" t="s">
        <v>2250</v>
      </c>
      <c r="O533" s="112" t="s">
        <v>1710</v>
      </c>
      <c r="P533" s="112" t="s">
        <v>2222</v>
      </c>
      <c r="Q533" s="112" t="s">
        <v>2251</v>
      </c>
      <c r="R533" s="112" t="s">
        <v>2252</v>
      </c>
    </row>
    <row r="534" spans="1:18">
      <c r="A534" s="112" t="s">
        <v>2284</v>
      </c>
      <c r="B534" s="112" t="s">
        <v>1748</v>
      </c>
      <c r="C534" s="112" t="s">
        <v>1706</v>
      </c>
      <c r="D534" s="112">
        <v>80</v>
      </c>
      <c r="E534" s="112" t="s">
        <v>1707</v>
      </c>
      <c r="F534" s="112" t="s">
        <v>440</v>
      </c>
      <c r="G534" s="112">
        <v>2.80581728330765</v>
      </c>
      <c r="H534" s="112">
        <v>2.0387673239004598</v>
      </c>
      <c r="I534" s="112">
        <v>1.8723043207876999</v>
      </c>
      <c r="J534" s="112" t="s">
        <v>848</v>
      </c>
      <c r="K534" s="112" t="s">
        <v>1749</v>
      </c>
      <c r="L534" s="112">
        <v>3.5072972130333599E-2</v>
      </c>
      <c r="M534" s="112">
        <v>2.6150900272617099E-3</v>
      </c>
      <c r="N534" s="112" t="s">
        <v>2284</v>
      </c>
      <c r="O534" s="112" t="s">
        <v>1710</v>
      </c>
      <c r="P534" s="112" t="s">
        <v>2222</v>
      </c>
      <c r="Q534" s="112" t="s">
        <v>2285</v>
      </c>
    </row>
    <row r="535" spans="1:18">
      <c r="A535" s="112" t="s">
        <v>2286</v>
      </c>
      <c r="B535" s="112" t="s">
        <v>1731</v>
      </c>
      <c r="C535" s="112" t="s">
        <v>1706</v>
      </c>
      <c r="D535" s="112">
        <v>30</v>
      </c>
      <c r="E535" s="112" t="s">
        <v>1707</v>
      </c>
      <c r="F535" s="112" t="s">
        <v>1708</v>
      </c>
      <c r="G535" s="112">
        <v>1.8232689304368399</v>
      </c>
      <c r="H535" s="112">
        <v>1.2013243195510399</v>
      </c>
      <c r="I535" s="112">
        <v>1.3521587488115501</v>
      </c>
      <c r="J535" s="112" t="s">
        <v>848</v>
      </c>
      <c r="K535" s="112" t="s">
        <v>1732</v>
      </c>
      <c r="L535" s="112">
        <v>3.9532420871770703E-2</v>
      </c>
      <c r="M535" s="112">
        <v>3.8024029614342298E-3</v>
      </c>
      <c r="N535" s="112" t="s">
        <v>2286</v>
      </c>
      <c r="O535" s="112" t="s">
        <v>1710</v>
      </c>
      <c r="P535" s="112" t="s">
        <v>2222</v>
      </c>
      <c r="Q535" s="112" t="s">
        <v>2287</v>
      </c>
      <c r="R535" s="112" t="s">
        <v>2288</v>
      </c>
    </row>
    <row r="536" spans="1:18">
      <c r="A536" s="112" t="s">
        <v>2233</v>
      </c>
      <c r="B536" s="112" t="s">
        <v>1743</v>
      </c>
      <c r="C536" s="112" t="s">
        <v>1706</v>
      </c>
      <c r="D536" s="112">
        <v>55</v>
      </c>
      <c r="E536" s="112" t="s">
        <v>1707</v>
      </c>
      <c r="F536" s="112" t="s">
        <v>440</v>
      </c>
      <c r="G536" s="112">
        <v>-5.1858865737578697</v>
      </c>
      <c r="H536" s="112">
        <v>-1.94524374052256</v>
      </c>
      <c r="I536" s="112">
        <v>0</v>
      </c>
      <c r="J536" s="112">
        <v>1</v>
      </c>
      <c r="K536" s="112" t="s">
        <v>1744</v>
      </c>
      <c r="L536" s="112">
        <v>4.2910107855435399E-2</v>
      </c>
      <c r="M536" s="112">
        <v>1.5420356658484E-3</v>
      </c>
      <c r="N536" s="112" t="s">
        <v>2233</v>
      </c>
      <c r="O536" s="112" t="s">
        <v>1710</v>
      </c>
      <c r="P536" s="112" t="s">
        <v>2222</v>
      </c>
      <c r="Q536" s="112" t="s">
        <v>2234</v>
      </c>
      <c r="R536" s="112" t="s">
        <v>2235</v>
      </c>
    </row>
    <row r="537" spans="1:18">
      <c r="A537" s="112" t="s">
        <v>2242</v>
      </c>
      <c r="B537" s="112" t="s">
        <v>1796</v>
      </c>
      <c r="C537" s="112" t="s">
        <v>1706</v>
      </c>
      <c r="D537" s="112">
        <v>80</v>
      </c>
      <c r="E537" s="112" t="s">
        <v>1707</v>
      </c>
      <c r="F537" s="112" t="s">
        <v>1721</v>
      </c>
      <c r="G537" s="112">
        <v>1.8943109021205999</v>
      </c>
      <c r="H537" s="112">
        <v>1.1993922552454499</v>
      </c>
      <c r="I537" s="112">
        <v>1.02785995948139</v>
      </c>
      <c r="J537" s="112" t="s">
        <v>848</v>
      </c>
      <c r="K537" s="112" t="s">
        <v>1797</v>
      </c>
      <c r="L537" s="112">
        <v>4.5529344004529203E-2</v>
      </c>
      <c r="M537" s="112">
        <v>2.9731487478303199E-3</v>
      </c>
      <c r="N537" s="112" t="s">
        <v>2242</v>
      </c>
      <c r="O537" s="112" t="s">
        <v>1710</v>
      </c>
      <c r="P537" s="112" t="s">
        <v>2222</v>
      </c>
      <c r="Q537" s="112" t="s">
        <v>2243</v>
      </c>
    </row>
    <row r="538" spans="1:18">
      <c r="A538" s="112" t="s">
        <v>2229</v>
      </c>
      <c r="B538" s="112" t="s">
        <v>1755</v>
      </c>
      <c r="C538" s="112" t="s">
        <v>1706</v>
      </c>
      <c r="D538" s="112">
        <v>30</v>
      </c>
      <c r="E538" s="112" t="s">
        <v>1707</v>
      </c>
      <c r="F538" s="112" t="s">
        <v>1721</v>
      </c>
      <c r="G538" s="112">
        <v>3.7963891941385999</v>
      </c>
      <c r="H538" s="112">
        <v>2.1618888250872099</v>
      </c>
      <c r="I538" s="112">
        <v>-0.17420912035988101</v>
      </c>
      <c r="J538" s="112" t="s">
        <v>848</v>
      </c>
      <c r="K538" s="112" t="s">
        <v>1756</v>
      </c>
      <c r="L538" s="112">
        <v>4.5628803098297602E-2</v>
      </c>
      <c r="M538" s="112">
        <v>4.3525090395832404E-3</v>
      </c>
      <c r="N538" s="112" t="s">
        <v>2229</v>
      </c>
      <c r="O538" s="112" t="s">
        <v>1710</v>
      </c>
      <c r="P538" s="112" t="s">
        <v>2222</v>
      </c>
      <c r="Q538" s="112" t="s">
        <v>2230</v>
      </c>
    </row>
    <row r="539" spans="1:18">
      <c r="A539" s="112" t="s">
        <v>2256</v>
      </c>
      <c r="B539" s="112" t="s">
        <v>1755</v>
      </c>
      <c r="C539" s="112" t="s">
        <v>1706</v>
      </c>
      <c r="D539" s="112">
        <v>30</v>
      </c>
      <c r="E539" s="112" t="s">
        <v>1707</v>
      </c>
      <c r="F539" s="112" t="s">
        <v>1721</v>
      </c>
      <c r="G539" s="112">
        <v>-7.19669410414323</v>
      </c>
      <c r="H539" s="112">
        <v>-2.4586092936753201</v>
      </c>
      <c r="I539" s="112">
        <v>0</v>
      </c>
      <c r="J539" s="112">
        <v>1</v>
      </c>
      <c r="K539" s="112" t="s">
        <v>1756</v>
      </c>
      <c r="L539" s="112">
        <v>4.7976814906745699E-2</v>
      </c>
      <c r="M539" s="112">
        <v>4.61462210152324E-3</v>
      </c>
      <c r="N539" s="112" t="s">
        <v>2256</v>
      </c>
      <c r="O539" s="112" t="s">
        <v>1710</v>
      </c>
      <c r="P539" s="112" t="s">
        <v>2222</v>
      </c>
      <c r="Q539" s="112" t="s">
        <v>2257</v>
      </c>
    </row>
    <row r="540" spans="1:18">
      <c r="A540" s="112" t="s">
        <v>2289</v>
      </c>
      <c r="B540" s="112" t="s">
        <v>1731</v>
      </c>
      <c r="C540" s="112" t="s">
        <v>1706</v>
      </c>
      <c r="D540" s="112">
        <v>30</v>
      </c>
      <c r="E540" s="112" t="s">
        <v>1707</v>
      </c>
      <c r="F540" s="112" t="s">
        <v>1708</v>
      </c>
      <c r="G540" s="112">
        <v>1.6844173148601</v>
      </c>
      <c r="H540" s="112">
        <v>1.1164411074338401</v>
      </c>
      <c r="I540" s="112">
        <v>1.4045440589891101</v>
      </c>
      <c r="J540" s="112" t="s">
        <v>848</v>
      </c>
      <c r="K540" s="112" t="s">
        <v>1732</v>
      </c>
      <c r="L540" s="112">
        <v>4.9295316802594899E-2</v>
      </c>
      <c r="M540" s="112">
        <v>5.0549251729210898E-3</v>
      </c>
      <c r="N540" s="112" t="s">
        <v>2289</v>
      </c>
      <c r="O540" s="112" t="s">
        <v>1710</v>
      </c>
      <c r="P540" s="112" t="s">
        <v>2222</v>
      </c>
      <c r="Q540" s="112" t="s">
        <v>2290</v>
      </c>
    </row>
    <row r="541" spans="1:18">
      <c r="A541" s="112" t="s">
        <v>2227</v>
      </c>
      <c r="B541" s="112" t="s">
        <v>1735</v>
      </c>
      <c r="C541" s="112" t="s">
        <v>1706</v>
      </c>
      <c r="D541" s="112">
        <v>30</v>
      </c>
      <c r="E541" s="112" t="s">
        <v>1707</v>
      </c>
      <c r="F541" s="112" t="s">
        <v>440</v>
      </c>
      <c r="G541" s="112">
        <v>2.2604352637115599</v>
      </c>
      <c r="H541" s="112">
        <v>1.60234860884875</v>
      </c>
      <c r="I541" s="112">
        <v>-0.392703526926378</v>
      </c>
      <c r="J541" s="112" t="s">
        <v>848</v>
      </c>
      <c r="K541" s="112" t="s">
        <v>1736</v>
      </c>
      <c r="L541" s="112">
        <v>4.9948686719749398E-2</v>
      </c>
      <c r="M541" s="112">
        <v>1.49105604835955E-3</v>
      </c>
      <c r="N541" s="112" t="s">
        <v>2227</v>
      </c>
      <c r="O541" s="112" t="s">
        <v>1710</v>
      </c>
      <c r="P541" s="112" t="s">
        <v>2222</v>
      </c>
      <c r="Q541" s="112" t="s">
        <v>2228</v>
      </c>
    </row>
    <row r="542" spans="1:18">
      <c r="A542" s="112" t="s">
        <v>1600</v>
      </c>
      <c r="B542" s="112" t="s">
        <v>1705</v>
      </c>
      <c r="C542" s="112" t="s">
        <v>1706</v>
      </c>
      <c r="D542" s="112">
        <v>80</v>
      </c>
      <c r="E542" s="112" t="s">
        <v>1707</v>
      </c>
      <c r="F542" s="112" t="s">
        <v>1708</v>
      </c>
      <c r="G542" s="112">
        <v>5.7907281038349101</v>
      </c>
      <c r="H542" s="112">
        <v>3.7126890135284101</v>
      </c>
      <c r="I542" s="112">
        <v>1.3565291949657099</v>
      </c>
      <c r="J542" s="112" t="s">
        <v>848</v>
      </c>
      <c r="K542" s="112" t="s">
        <v>1709</v>
      </c>
      <c r="L542" s="112">
        <v>1.9408963112978201E-3</v>
      </c>
      <c r="M542" s="229">
        <v>7.8742503857477306E-5</v>
      </c>
      <c r="N542" s="112" t="s">
        <v>1600</v>
      </c>
      <c r="O542" s="112" t="s">
        <v>1889</v>
      </c>
      <c r="P542" s="112" t="s">
        <v>1543</v>
      </c>
      <c r="Q542" s="112" t="s">
        <v>1601</v>
      </c>
    </row>
    <row r="543" spans="1:18">
      <c r="A543" s="112" t="s">
        <v>1600</v>
      </c>
      <c r="B543" s="112" t="s">
        <v>1796</v>
      </c>
      <c r="C543" s="112" t="s">
        <v>1706</v>
      </c>
      <c r="D543" s="112">
        <v>80</v>
      </c>
      <c r="E543" s="112" t="s">
        <v>1707</v>
      </c>
      <c r="F543" s="112" t="s">
        <v>1721</v>
      </c>
      <c r="G543" s="112">
        <v>6.60786039697817</v>
      </c>
      <c r="H543" s="112">
        <v>3.1593436226240601</v>
      </c>
      <c r="I543" s="112">
        <v>2.0660859861279599</v>
      </c>
      <c r="J543" s="112" t="s">
        <v>848</v>
      </c>
      <c r="K543" s="112" t="s">
        <v>1797</v>
      </c>
      <c r="L543" s="112">
        <v>1.1626171228547699E-2</v>
      </c>
      <c r="M543" s="229">
        <v>3.1044865905426597E-4</v>
      </c>
      <c r="N543" s="112" t="s">
        <v>1600</v>
      </c>
      <c r="O543" s="112" t="s">
        <v>1889</v>
      </c>
      <c r="P543" s="112" t="s">
        <v>1543</v>
      </c>
      <c r="Q543" s="112" t="s">
        <v>1601</v>
      </c>
    </row>
    <row r="544" spans="1:18">
      <c r="A544" s="112" t="s">
        <v>1600</v>
      </c>
      <c r="B544" s="112" t="s">
        <v>1748</v>
      </c>
      <c r="C544" s="112" t="s">
        <v>1706</v>
      </c>
      <c r="D544" s="112">
        <v>80</v>
      </c>
      <c r="E544" s="112" t="s">
        <v>1707</v>
      </c>
      <c r="F544" s="112" t="s">
        <v>440</v>
      </c>
      <c r="G544" s="112">
        <v>5.65775731547481</v>
      </c>
      <c r="H544" s="112">
        <v>2.9480509956513599</v>
      </c>
      <c r="I544" s="112">
        <v>1.24496383077488</v>
      </c>
      <c r="J544" s="112" t="s">
        <v>848</v>
      </c>
      <c r="K544" s="112" t="s">
        <v>1749</v>
      </c>
      <c r="L544" s="112">
        <v>2.9059072482725299E-2</v>
      </c>
      <c r="M544" s="112">
        <v>1.9883249941000502E-3</v>
      </c>
      <c r="N544" s="112" t="s">
        <v>1600</v>
      </c>
      <c r="O544" s="112" t="s">
        <v>1889</v>
      </c>
      <c r="P544" s="112" t="s">
        <v>1543</v>
      </c>
      <c r="Q544" s="112" t="s">
        <v>1601</v>
      </c>
    </row>
    <row r="545" spans="1:18">
      <c r="A545" s="112" t="s">
        <v>2291</v>
      </c>
      <c r="B545" s="112" t="s">
        <v>1796</v>
      </c>
      <c r="C545" s="112" t="s">
        <v>1706</v>
      </c>
      <c r="D545" s="112">
        <v>80</v>
      </c>
      <c r="E545" s="112" t="s">
        <v>1707</v>
      </c>
      <c r="F545" s="112" t="s">
        <v>1721</v>
      </c>
      <c r="G545" s="112">
        <v>-16.048802020634501</v>
      </c>
      <c r="H545" s="112">
        <v>-15.049138531146401</v>
      </c>
      <c r="I545" s="112">
        <v>0</v>
      </c>
      <c r="J545" s="112">
        <v>1</v>
      </c>
      <c r="K545" s="112" t="s">
        <v>1797</v>
      </c>
      <c r="L545" s="229">
        <v>2.4803208658472201E-6</v>
      </c>
      <c r="M545" s="229">
        <v>7.3382274137491701E-9</v>
      </c>
      <c r="N545" s="112" t="s">
        <v>2291</v>
      </c>
      <c r="O545" s="112" t="s">
        <v>1543</v>
      </c>
      <c r="P545" s="112" t="s">
        <v>1543</v>
      </c>
      <c r="Q545" s="112" t="s">
        <v>2292</v>
      </c>
      <c r="R545" s="112" t="s">
        <v>2293</v>
      </c>
    </row>
    <row r="546" spans="1:18">
      <c r="A546" s="112" t="s">
        <v>2294</v>
      </c>
      <c r="B546" s="112" t="s">
        <v>1743</v>
      </c>
      <c r="C546" s="112" t="s">
        <v>1706</v>
      </c>
      <c r="D546" s="112">
        <v>55</v>
      </c>
      <c r="E546" s="112" t="s">
        <v>1707</v>
      </c>
      <c r="F546" s="112" t="s">
        <v>440</v>
      </c>
      <c r="G546" s="112">
        <v>-17.8377901817598</v>
      </c>
      <c r="H546" s="112">
        <v>-16.9512175459035</v>
      </c>
      <c r="I546" s="112">
        <v>0</v>
      </c>
      <c r="J546" s="112">
        <v>1</v>
      </c>
      <c r="K546" s="112" t="s">
        <v>1744</v>
      </c>
      <c r="L546" s="229">
        <v>2.7873328211463499E-6</v>
      </c>
      <c r="M546" s="229">
        <v>1.5410271298666799E-8</v>
      </c>
      <c r="N546" s="112" t="s">
        <v>2294</v>
      </c>
      <c r="O546" s="112" t="s">
        <v>1543</v>
      </c>
      <c r="P546" s="112" t="s">
        <v>1543</v>
      </c>
      <c r="Q546" s="112" t="s">
        <v>2295</v>
      </c>
    </row>
    <row r="547" spans="1:18">
      <c r="A547" s="112" t="s">
        <v>2291</v>
      </c>
      <c r="B547" s="112" t="s">
        <v>1748</v>
      </c>
      <c r="C547" s="112" t="s">
        <v>1706</v>
      </c>
      <c r="D547" s="112">
        <v>80</v>
      </c>
      <c r="E547" s="112" t="s">
        <v>1707</v>
      </c>
      <c r="F547" s="112" t="s">
        <v>440</v>
      </c>
      <c r="G547" s="112">
        <v>-15.879250858072099</v>
      </c>
      <c r="H547" s="112">
        <v>-12.911351700558001</v>
      </c>
      <c r="I547" s="112">
        <v>0</v>
      </c>
      <c r="J547" s="112">
        <v>1</v>
      </c>
      <c r="K547" s="112" t="s">
        <v>1749</v>
      </c>
      <c r="L547" s="229">
        <v>4.8034953524996697E-6</v>
      </c>
      <c r="M547" s="229">
        <v>1.05339810361834E-8</v>
      </c>
      <c r="N547" s="112" t="s">
        <v>2291</v>
      </c>
      <c r="O547" s="112" t="s">
        <v>1543</v>
      </c>
      <c r="P547" s="112" t="s">
        <v>1543</v>
      </c>
      <c r="Q547" s="112" t="s">
        <v>2292</v>
      </c>
      <c r="R547" s="112" t="s">
        <v>2293</v>
      </c>
    </row>
    <row r="548" spans="1:18">
      <c r="A548" s="112" t="s">
        <v>2296</v>
      </c>
      <c r="B548" s="112" t="s">
        <v>1743</v>
      </c>
      <c r="C548" s="112" t="s">
        <v>1706</v>
      </c>
      <c r="D548" s="112">
        <v>55</v>
      </c>
      <c r="E548" s="112" t="s">
        <v>1707</v>
      </c>
      <c r="F548" s="112" t="s">
        <v>440</v>
      </c>
      <c r="G548" s="112">
        <v>-16.6346878668746</v>
      </c>
      <c r="H548" s="112">
        <v>-15.7884218030279</v>
      </c>
      <c r="I548" s="112">
        <v>0</v>
      </c>
      <c r="J548" s="112">
        <v>1</v>
      </c>
      <c r="K548" s="112" t="s">
        <v>1744</v>
      </c>
      <c r="L548" s="229">
        <v>1.36046310402394E-5</v>
      </c>
      <c r="M548" s="229">
        <v>8.4617608405083096E-8</v>
      </c>
      <c r="N548" s="112" t="s">
        <v>2296</v>
      </c>
      <c r="O548" s="112" t="s">
        <v>1543</v>
      </c>
      <c r="P548" s="112" t="s">
        <v>1543</v>
      </c>
      <c r="Q548" s="112" t="s">
        <v>2297</v>
      </c>
    </row>
    <row r="549" spans="1:18">
      <c r="A549" s="112" t="s">
        <v>2291</v>
      </c>
      <c r="B549" s="112" t="s">
        <v>1731</v>
      </c>
      <c r="C549" s="112" t="s">
        <v>1706</v>
      </c>
      <c r="D549" s="112">
        <v>30</v>
      </c>
      <c r="E549" s="112" t="s">
        <v>1707</v>
      </c>
      <c r="F549" s="112" t="s">
        <v>1708</v>
      </c>
      <c r="G549" s="112">
        <v>9.5933997067951804</v>
      </c>
      <c r="H549" s="112">
        <v>8.4690591219634097</v>
      </c>
      <c r="I549" s="112">
        <v>1.6604624294261601</v>
      </c>
      <c r="J549" s="112" t="s">
        <v>848</v>
      </c>
      <c r="K549" s="112" t="s">
        <v>1732</v>
      </c>
      <c r="L549" s="229">
        <v>5.9375504201538302E-5</v>
      </c>
      <c r="M549" s="229">
        <v>9.4396668046960695E-7</v>
      </c>
      <c r="N549" s="112" t="s">
        <v>2291</v>
      </c>
      <c r="O549" s="112" t="s">
        <v>1543</v>
      </c>
      <c r="P549" s="112" t="s">
        <v>1543</v>
      </c>
      <c r="Q549" s="112" t="s">
        <v>2292</v>
      </c>
      <c r="R549" s="112" t="s">
        <v>2293</v>
      </c>
    </row>
    <row r="550" spans="1:18">
      <c r="A550" s="112" t="s">
        <v>2296</v>
      </c>
      <c r="B550" s="112" t="s">
        <v>1755</v>
      </c>
      <c r="C550" s="112" t="s">
        <v>1706</v>
      </c>
      <c r="D550" s="112">
        <v>30</v>
      </c>
      <c r="E550" s="112" t="s">
        <v>1707</v>
      </c>
      <c r="F550" s="112" t="s">
        <v>1721</v>
      </c>
      <c r="G550" s="112">
        <v>-20.8265694087589</v>
      </c>
      <c r="H550" s="112">
        <v>-16.386000642800202</v>
      </c>
      <c r="I550" s="112">
        <v>0</v>
      </c>
      <c r="J550" s="112">
        <v>1</v>
      </c>
      <c r="K550" s="112" t="s">
        <v>1756</v>
      </c>
      <c r="L550" s="229">
        <v>4.2976859076847502E-4</v>
      </c>
      <c r="M550" s="229">
        <v>4.0995414063765501E-6</v>
      </c>
      <c r="N550" s="112" t="s">
        <v>2296</v>
      </c>
      <c r="O550" s="112" t="s">
        <v>1543</v>
      </c>
      <c r="P550" s="112" t="s">
        <v>1543</v>
      </c>
      <c r="Q550" s="112" t="s">
        <v>2297</v>
      </c>
    </row>
    <row r="551" spans="1:18">
      <c r="A551" s="112" t="s">
        <v>2291</v>
      </c>
      <c r="B551" s="112" t="s">
        <v>1720</v>
      </c>
      <c r="C551" s="112" t="s">
        <v>1706</v>
      </c>
      <c r="D551" s="112">
        <v>55</v>
      </c>
      <c r="E551" s="112" t="s">
        <v>1707</v>
      </c>
      <c r="F551" s="112" t="s">
        <v>1721</v>
      </c>
      <c r="G551" s="112">
        <v>8.8752881514596194</v>
      </c>
      <c r="H551" s="112">
        <v>5.77386151531101</v>
      </c>
      <c r="I551" s="112">
        <v>0.808105578976271</v>
      </c>
      <c r="J551" s="112" t="s">
        <v>848</v>
      </c>
      <c r="K551" s="112" t="s">
        <v>1722</v>
      </c>
      <c r="L551" s="229">
        <v>6.7222475304699002E-4</v>
      </c>
      <c r="M551" s="229">
        <v>5.8967083600613104E-6</v>
      </c>
      <c r="N551" s="112" t="s">
        <v>2291</v>
      </c>
      <c r="O551" s="112" t="s">
        <v>1543</v>
      </c>
      <c r="P551" s="112" t="s">
        <v>1543</v>
      </c>
      <c r="Q551" s="112" t="s">
        <v>2292</v>
      </c>
      <c r="R551" s="112" t="s">
        <v>2293</v>
      </c>
    </row>
    <row r="552" spans="1:18">
      <c r="A552" s="112" t="s">
        <v>2296</v>
      </c>
      <c r="B552" s="112" t="s">
        <v>1735</v>
      </c>
      <c r="C552" s="112" t="s">
        <v>1706</v>
      </c>
      <c r="D552" s="112">
        <v>30</v>
      </c>
      <c r="E552" s="112" t="s">
        <v>1707</v>
      </c>
      <c r="F552" s="112" t="s">
        <v>440</v>
      </c>
      <c r="G552" s="112">
        <v>-13.556316700328299</v>
      </c>
      <c r="H552" s="112">
        <v>-9.9812283872433092</v>
      </c>
      <c r="I552" s="112">
        <v>0</v>
      </c>
      <c r="J552" s="112">
        <v>1</v>
      </c>
      <c r="K552" s="112" t="s">
        <v>1736</v>
      </c>
      <c r="L552" s="112">
        <v>1.06086652184171E-3</v>
      </c>
      <c r="M552" s="229">
        <v>1.2674907350731001E-5</v>
      </c>
      <c r="N552" s="112" t="s">
        <v>2296</v>
      </c>
      <c r="O552" s="112" t="s">
        <v>1543</v>
      </c>
      <c r="P552" s="112" t="s">
        <v>1543</v>
      </c>
      <c r="Q552" s="112" t="s">
        <v>2297</v>
      </c>
    </row>
    <row r="553" spans="1:18">
      <c r="A553" s="112" t="s">
        <v>2294</v>
      </c>
      <c r="B553" s="112" t="s">
        <v>1755</v>
      </c>
      <c r="C553" s="112" t="s">
        <v>1706</v>
      </c>
      <c r="D553" s="112">
        <v>30</v>
      </c>
      <c r="E553" s="112" t="s">
        <v>1707</v>
      </c>
      <c r="F553" s="112" t="s">
        <v>1721</v>
      </c>
      <c r="G553" s="112">
        <v>-19.676688314187199</v>
      </c>
      <c r="H553" s="112">
        <v>-13.271813768246499</v>
      </c>
      <c r="I553" s="112">
        <v>0</v>
      </c>
      <c r="J553" s="112">
        <v>1</v>
      </c>
      <c r="K553" s="112" t="s">
        <v>1756</v>
      </c>
      <c r="L553" s="112">
        <v>1.43627159407533E-3</v>
      </c>
      <c r="M553" s="229">
        <v>1.8267365266458901E-5</v>
      </c>
      <c r="N553" s="112" t="s">
        <v>2294</v>
      </c>
      <c r="O553" s="112" t="s">
        <v>1543</v>
      </c>
      <c r="P553" s="112" t="s">
        <v>1543</v>
      </c>
      <c r="Q553" s="112" t="s">
        <v>2295</v>
      </c>
    </row>
    <row r="554" spans="1:18">
      <c r="A554" s="112" t="s">
        <v>2291</v>
      </c>
      <c r="B554" s="112" t="s">
        <v>1762</v>
      </c>
      <c r="C554" s="112" t="s">
        <v>1706</v>
      </c>
      <c r="D554" s="112">
        <v>55</v>
      </c>
      <c r="E554" s="112" t="s">
        <v>1707</v>
      </c>
      <c r="F554" s="112" t="s">
        <v>1708</v>
      </c>
      <c r="G554" s="112">
        <v>7.0964015072826303</v>
      </c>
      <c r="H554" s="112">
        <v>1.93258898695183</v>
      </c>
      <c r="I554" s="112">
        <v>-0.721644715422884</v>
      </c>
      <c r="J554" s="112" t="s">
        <v>848</v>
      </c>
      <c r="K554" s="112" t="s">
        <v>1763</v>
      </c>
      <c r="L554" s="112">
        <v>1.25377449231397E-2</v>
      </c>
      <c r="M554" s="229">
        <v>3.1751431948210898E-4</v>
      </c>
      <c r="N554" s="112" t="s">
        <v>2291</v>
      </c>
      <c r="O554" s="112" t="s">
        <v>1543</v>
      </c>
      <c r="P554" s="112" t="s">
        <v>1543</v>
      </c>
      <c r="Q554" s="112" t="s">
        <v>2292</v>
      </c>
      <c r="R554" s="112" t="s">
        <v>2293</v>
      </c>
    </row>
    <row r="555" spans="1:18">
      <c r="A555" s="112" t="s">
        <v>2291</v>
      </c>
      <c r="B555" s="112" t="s">
        <v>1743</v>
      </c>
      <c r="C555" s="112" t="s">
        <v>1706</v>
      </c>
      <c r="D555" s="112">
        <v>55</v>
      </c>
      <c r="E555" s="112" t="s">
        <v>1707</v>
      </c>
      <c r="F555" s="112" t="s">
        <v>440</v>
      </c>
      <c r="G555" s="112">
        <v>7.7568135159130298</v>
      </c>
      <c r="H555" s="112">
        <v>1.72363551732447</v>
      </c>
      <c r="I555" s="112">
        <v>0.230001494218324</v>
      </c>
      <c r="J555" s="112" t="s">
        <v>848</v>
      </c>
      <c r="K555" s="112" t="s">
        <v>1744</v>
      </c>
      <c r="L555" s="112">
        <v>4.3171632467567903E-2</v>
      </c>
      <c r="M555" s="112">
        <v>1.5812691919703499E-3</v>
      </c>
      <c r="N555" s="112" t="s">
        <v>2291</v>
      </c>
      <c r="O555" s="112" t="s">
        <v>1543</v>
      </c>
      <c r="P555" s="112" t="s">
        <v>1543</v>
      </c>
      <c r="Q555" s="112" t="s">
        <v>2292</v>
      </c>
      <c r="R555" s="112" t="s">
        <v>2293</v>
      </c>
    </row>
    <row r="556" spans="1:18">
      <c r="A556" s="112" t="s">
        <v>2296</v>
      </c>
      <c r="B556" s="112" t="s">
        <v>1705</v>
      </c>
      <c r="C556" s="112" t="s">
        <v>1706</v>
      </c>
      <c r="D556" s="112">
        <v>80</v>
      </c>
      <c r="E556" s="112" t="s">
        <v>1707</v>
      </c>
      <c r="F556" s="112" t="s">
        <v>1708</v>
      </c>
      <c r="G556" s="112">
        <v>6.1375961332531501</v>
      </c>
      <c r="H556" s="112">
        <v>2.03513853649486</v>
      </c>
      <c r="I556" s="112">
        <v>0.44624052458927799</v>
      </c>
      <c r="J556" s="112" t="s">
        <v>848</v>
      </c>
      <c r="K556" s="112" t="s">
        <v>1709</v>
      </c>
      <c r="L556" s="112">
        <v>4.4068563686171298E-2</v>
      </c>
      <c r="M556" s="112">
        <v>6.4025051408088899E-3</v>
      </c>
      <c r="N556" s="112" t="s">
        <v>2296</v>
      </c>
      <c r="O556" s="112" t="s">
        <v>1543</v>
      </c>
      <c r="P556" s="112" t="s">
        <v>1543</v>
      </c>
      <c r="Q556" s="112" t="s">
        <v>2297</v>
      </c>
    </row>
    <row r="557" spans="1:18">
      <c r="A557" s="112" t="s">
        <v>2291</v>
      </c>
      <c r="B557" s="112" t="s">
        <v>1705</v>
      </c>
      <c r="C557" s="112" t="s">
        <v>1706</v>
      </c>
      <c r="D557" s="112">
        <v>80</v>
      </c>
      <c r="E557" s="112" t="s">
        <v>1707</v>
      </c>
      <c r="F557" s="112" t="s">
        <v>1708</v>
      </c>
      <c r="G557" s="112">
        <v>-16.170875435273</v>
      </c>
      <c r="H557" s="112">
        <v>-15.2274739494204</v>
      </c>
      <c r="I557" s="112">
        <v>0</v>
      </c>
      <c r="J557" s="112">
        <v>1</v>
      </c>
      <c r="K557" s="112" t="s">
        <v>1709</v>
      </c>
      <c r="L557" s="229">
        <v>1.05434445936073E-10</v>
      </c>
      <c r="M557" s="229">
        <v>1.7341191765801399E-13</v>
      </c>
      <c r="N557" s="112" t="s">
        <v>2291</v>
      </c>
      <c r="O557" s="112" t="s">
        <v>2298</v>
      </c>
      <c r="P557" s="112" t="s">
        <v>1543</v>
      </c>
      <c r="Q557" s="112" t="s">
        <v>2299</v>
      </c>
    </row>
    <row r="558" spans="1:18">
      <c r="A558" s="112" t="s">
        <v>1558</v>
      </c>
      <c r="B558" s="112" t="s">
        <v>1731</v>
      </c>
      <c r="C558" s="112" t="s">
        <v>1706</v>
      </c>
      <c r="D558" s="112">
        <v>30</v>
      </c>
      <c r="E558" s="112" t="s">
        <v>1707</v>
      </c>
      <c r="F558" s="112" t="s">
        <v>1708</v>
      </c>
      <c r="G558" s="112">
        <v>-14.8809869015902</v>
      </c>
      <c r="H558" s="112">
        <v>-13.6872266056511</v>
      </c>
      <c r="I558" s="112">
        <v>0</v>
      </c>
      <c r="J558" s="112">
        <v>1</v>
      </c>
      <c r="K558" s="112" t="s">
        <v>1732</v>
      </c>
      <c r="L558" s="229">
        <v>2.25749596440894E-7</v>
      </c>
      <c r="M558" s="229">
        <v>1.61506070585695E-9</v>
      </c>
      <c r="N558" s="112" t="s">
        <v>1558</v>
      </c>
      <c r="O558" s="112" t="s">
        <v>2298</v>
      </c>
      <c r="P558" s="112" t="s">
        <v>1543</v>
      </c>
      <c r="Q558" s="112" t="s">
        <v>1555</v>
      </c>
    </row>
    <row r="559" spans="1:18">
      <c r="A559" s="112" t="s">
        <v>1568</v>
      </c>
      <c r="B559" s="112" t="s">
        <v>1743</v>
      </c>
      <c r="C559" s="112" t="s">
        <v>1706</v>
      </c>
      <c r="D559" s="112">
        <v>55</v>
      </c>
      <c r="E559" s="112" t="s">
        <v>1707</v>
      </c>
      <c r="F559" s="112" t="s">
        <v>440</v>
      </c>
      <c r="G559" s="112">
        <v>-16.5726546368385</v>
      </c>
      <c r="H559" s="112">
        <v>-15.4031211201183</v>
      </c>
      <c r="I559" s="112">
        <v>0</v>
      </c>
      <c r="J559" s="112">
        <v>1</v>
      </c>
      <c r="K559" s="112" t="s">
        <v>1744</v>
      </c>
      <c r="L559" s="229">
        <v>8.8772054367194703E-5</v>
      </c>
      <c r="M559" s="229">
        <v>7.9753746148827302E-7</v>
      </c>
      <c r="N559" s="112" t="s">
        <v>1568</v>
      </c>
      <c r="O559" s="112" t="s">
        <v>2298</v>
      </c>
      <c r="P559" s="112" t="s">
        <v>1543</v>
      </c>
      <c r="Q559" s="112" t="s">
        <v>2300</v>
      </c>
    </row>
    <row r="560" spans="1:18">
      <c r="A560" s="112" t="s">
        <v>1558</v>
      </c>
      <c r="B560" s="112" t="s">
        <v>1743</v>
      </c>
      <c r="C560" s="112" t="s">
        <v>1706</v>
      </c>
      <c r="D560" s="112">
        <v>55</v>
      </c>
      <c r="E560" s="112" t="s">
        <v>1707</v>
      </c>
      <c r="F560" s="112" t="s">
        <v>440</v>
      </c>
      <c r="G560" s="112">
        <v>-14.852842588902</v>
      </c>
      <c r="H560" s="112">
        <v>-13.6323265826121</v>
      </c>
      <c r="I560" s="112">
        <v>0</v>
      </c>
      <c r="J560" s="112">
        <v>1</v>
      </c>
      <c r="K560" s="112" t="s">
        <v>1744</v>
      </c>
      <c r="L560" s="229">
        <v>1.4968230521149401E-4</v>
      </c>
      <c r="M560" s="229">
        <v>1.8619775354574201E-6</v>
      </c>
      <c r="N560" s="112" t="s">
        <v>1558</v>
      </c>
      <c r="O560" s="112" t="s">
        <v>2298</v>
      </c>
      <c r="P560" s="112" t="s">
        <v>1543</v>
      </c>
      <c r="Q560" s="112" t="s">
        <v>1555</v>
      </c>
    </row>
    <row r="561" spans="1:18">
      <c r="A561" s="112" t="s">
        <v>1568</v>
      </c>
      <c r="B561" s="112" t="s">
        <v>1735</v>
      </c>
      <c r="C561" s="112" t="s">
        <v>1706</v>
      </c>
      <c r="D561" s="112">
        <v>30</v>
      </c>
      <c r="E561" s="112" t="s">
        <v>1707</v>
      </c>
      <c r="F561" s="112" t="s">
        <v>440</v>
      </c>
      <c r="G561" s="112">
        <v>-14.9385359598683</v>
      </c>
      <c r="H561" s="112">
        <v>-11.624642544402001</v>
      </c>
      <c r="I561" s="112">
        <v>0</v>
      </c>
      <c r="J561" s="112">
        <v>1</v>
      </c>
      <c r="K561" s="112" t="s">
        <v>1736</v>
      </c>
      <c r="L561" s="229">
        <v>8.0501833543897099E-4</v>
      </c>
      <c r="M561" s="229">
        <v>8.6164183856771201E-6</v>
      </c>
      <c r="N561" s="112" t="s">
        <v>1568</v>
      </c>
      <c r="O561" s="112" t="s">
        <v>2298</v>
      </c>
      <c r="P561" s="112" t="s">
        <v>1543</v>
      </c>
      <c r="Q561" s="112" t="s">
        <v>2300</v>
      </c>
    </row>
    <row r="562" spans="1:18">
      <c r="A562" s="112" t="s">
        <v>1568</v>
      </c>
      <c r="B562" s="112" t="s">
        <v>1755</v>
      </c>
      <c r="C562" s="112" t="s">
        <v>1706</v>
      </c>
      <c r="D562" s="112">
        <v>30</v>
      </c>
      <c r="E562" s="112" t="s">
        <v>1707</v>
      </c>
      <c r="F562" s="112" t="s">
        <v>1721</v>
      </c>
      <c r="G562" s="112">
        <v>-20.6813681682046</v>
      </c>
      <c r="H562" s="112">
        <v>-13.277131678627599</v>
      </c>
      <c r="I562" s="112">
        <v>0</v>
      </c>
      <c r="J562" s="112">
        <v>1</v>
      </c>
      <c r="K562" s="112" t="s">
        <v>1756</v>
      </c>
      <c r="L562" s="112">
        <v>1.62268404946931E-3</v>
      </c>
      <c r="M562" s="229">
        <v>2.3218054761882E-5</v>
      </c>
      <c r="N562" s="112" t="s">
        <v>1568</v>
      </c>
      <c r="O562" s="112" t="s">
        <v>2298</v>
      </c>
      <c r="P562" s="112" t="s">
        <v>1543</v>
      </c>
      <c r="Q562" s="112" t="s">
        <v>2300</v>
      </c>
    </row>
    <row r="563" spans="1:18">
      <c r="A563" s="112" t="s">
        <v>1558</v>
      </c>
      <c r="B563" s="112" t="s">
        <v>1762</v>
      </c>
      <c r="C563" s="112" t="s">
        <v>1706</v>
      </c>
      <c r="D563" s="112">
        <v>55</v>
      </c>
      <c r="E563" s="112" t="s">
        <v>1707</v>
      </c>
      <c r="F563" s="112" t="s">
        <v>1708</v>
      </c>
      <c r="G563" s="112">
        <v>9.1694540440927792</v>
      </c>
      <c r="H563" s="112">
        <v>2.4794496444691401</v>
      </c>
      <c r="I563" s="112">
        <v>1.02691953209528</v>
      </c>
      <c r="J563" s="112" t="s">
        <v>848</v>
      </c>
      <c r="K563" s="112" t="s">
        <v>1763</v>
      </c>
      <c r="L563" s="112">
        <v>3.0412975841260402E-3</v>
      </c>
      <c r="M563" s="229">
        <v>5.1346582589140998E-5</v>
      </c>
      <c r="N563" s="112" t="s">
        <v>1558</v>
      </c>
      <c r="O563" s="112" t="s">
        <v>2298</v>
      </c>
      <c r="P563" s="112" t="s">
        <v>1543</v>
      </c>
      <c r="Q563" s="112" t="s">
        <v>1555</v>
      </c>
    </row>
    <row r="564" spans="1:18">
      <c r="A564" s="112" t="s">
        <v>2301</v>
      </c>
      <c r="B564" s="112" t="s">
        <v>1731</v>
      </c>
      <c r="C564" s="112" t="s">
        <v>1706</v>
      </c>
      <c r="D564" s="112">
        <v>30</v>
      </c>
      <c r="E564" s="112" t="s">
        <v>1707</v>
      </c>
      <c r="F564" s="112" t="s">
        <v>1708</v>
      </c>
      <c r="G564" s="112">
        <v>1.6662865262412001</v>
      </c>
      <c r="H564" s="112">
        <v>1.3520298661447401</v>
      </c>
      <c r="I564" s="112">
        <v>1.34967069486604</v>
      </c>
      <c r="J564" s="112" t="s">
        <v>848</v>
      </c>
      <c r="K564" s="112" t="s">
        <v>1732</v>
      </c>
      <c r="L564" s="112">
        <v>3.4434238739770502E-3</v>
      </c>
      <c r="M564" s="229">
        <v>1.39598265161231E-4</v>
      </c>
      <c r="N564" s="112" t="s">
        <v>2301</v>
      </c>
      <c r="O564" s="112" t="s">
        <v>2298</v>
      </c>
      <c r="P564" s="112" t="s">
        <v>1543</v>
      </c>
      <c r="Q564" s="112" t="s">
        <v>2302</v>
      </c>
    </row>
    <row r="565" spans="1:18">
      <c r="A565" s="112" t="s">
        <v>2303</v>
      </c>
      <c r="B565" s="112" t="s">
        <v>1796</v>
      </c>
      <c r="C565" s="112" t="s">
        <v>1706</v>
      </c>
      <c r="D565" s="112">
        <v>80</v>
      </c>
      <c r="E565" s="112" t="s">
        <v>1707</v>
      </c>
      <c r="F565" s="112" t="s">
        <v>1721</v>
      </c>
      <c r="G565" s="112">
        <v>17.317712177047699</v>
      </c>
      <c r="H565" s="112">
        <v>4.9824298850168498</v>
      </c>
      <c r="I565" s="112">
        <v>3.32729947880043</v>
      </c>
      <c r="J565" s="112" t="s">
        <v>848</v>
      </c>
      <c r="K565" s="112" t="s">
        <v>1797</v>
      </c>
      <c r="L565" s="112">
        <v>4.8672871305924801E-3</v>
      </c>
      <c r="M565" s="229">
        <v>1.0548934183141299E-4</v>
      </c>
      <c r="N565" s="112" t="s">
        <v>2303</v>
      </c>
      <c r="O565" s="112" t="s">
        <v>2298</v>
      </c>
      <c r="P565" s="112" t="s">
        <v>1543</v>
      </c>
      <c r="Q565" s="112" t="s">
        <v>2304</v>
      </c>
      <c r="R565" s="112" t="s">
        <v>2305</v>
      </c>
    </row>
    <row r="566" spans="1:18">
      <c r="A566" s="112" t="s">
        <v>1558</v>
      </c>
      <c r="B566" s="112" t="s">
        <v>1720</v>
      </c>
      <c r="C566" s="112" t="s">
        <v>1706</v>
      </c>
      <c r="D566" s="112">
        <v>55</v>
      </c>
      <c r="E566" s="112" t="s">
        <v>1707</v>
      </c>
      <c r="F566" s="112" t="s">
        <v>1721</v>
      </c>
      <c r="G566" s="112">
        <v>8.8404511851713092</v>
      </c>
      <c r="H566" s="112">
        <v>3.3626806194644998</v>
      </c>
      <c r="I566" s="112">
        <v>0.45402815408459601</v>
      </c>
      <c r="J566" s="112" t="s">
        <v>848</v>
      </c>
      <c r="K566" s="112" t="s">
        <v>1722</v>
      </c>
      <c r="L566" s="112">
        <v>5.1993825376192701E-3</v>
      </c>
      <c r="M566" s="229">
        <v>9.4067776174032794E-5</v>
      </c>
      <c r="N566" s="112" t="s">
        <v>1558</v>
      </c>
      <c r="O566" s="112" t="s">
        <v>2298</v>
      </c>
      <c r="P566" s="112" t="s">
        <v>1543</v>
      </c>
      <c r="Q566" s="112" t="s">
        <v>1555</v>
      </c>
    </row>
    <row r="567" spans="1:18">
      <c r="A567" s="112" t="s">
        <v>1558</v>
      </c>
      <c r="B567" s="112" t="s">
        <v>1755</v>
      </c>
      <c r="C567" s="112" t="s">
        <v>1706</v>
      </c>
      <c r="D567" s="112">
        <v>30</v>
      </c>
      <c r="E567" s="112" t="s">
        <v>1707</v>
      </c>
      <c r="F567" s="112" t="s">
        <v>1721</v>
      </c>
      <c r="G567" s="112">
        <v>-16.9992390123716</v>
      </c>
      <c r="H567" s="112">
        <v>-6.96482259263834</v>
      </c>
      <c r="I567" s="112">
        <v>0</v>
      </c>
      <c r="J567" s="112">
        <v>1</v>
      </c>
      <c r="K567" s="112" t="s">
        <v>1756</v>
      </c>
      <c r="L567" s="112">
        <v>5.4508705060376302E-3</v>
      </c>
      <c r="M567" s="229">
        <v>1.7765158247022399E-4</v>
      </c>
      <c r="N567" s="112" t="s">
        <v>1558</v>
      </c>
      <c r="O567" s="112" t="s">
        <v>2298</v>
      </c>
      <c r="P567" s="112" t="s">
        <v>1543</v>
      </c>
      <c r="Q567" s="112" t="s">
        <v>1555</v>
      </c>
    </row>
    <row r="568" spans="1:18">
      <c r="A568" s="112" t="s">
        <v>1558</v>
      </c>
      <c r="B568" s="112" t="s">
        <v>1705</v>
      </c>
      <c r="C568" s="112" t="s">
        <v>1706</v>
      </c>
      <c r="D568" s="112">
        <v>80</v>
      </c>
      <c r="E568" s="112" t="s">
        <v>1707</v>
      </c>
      <c r="F568" s="112" t="s">
        <v>1708</v>
      </c>
      <c r="G568" s="112">
        <v>7.7250077500432299</v>
      </c>
      <c r="H568" s="112">
        <v>3.1360825460077701</v>
      </c>
      <c r="I568" s="112">
        <v>-0.39495641161635198</v>
      </c>
      <c r="J568" s="112" t="s">
        <v>848</v>
      </c>
      <c r="K568" s="112" t="s">
        <v>1709</v>
      </c>
      <c r="L568" s="112">
        <v>9.1974548816419702E-3</v>
      </c>
      <c r="M568" s="229">
        <v>6.5047789458981097E-4</v>
      </c>
      <c r="N568" s="112" t="s">
        <v>1558</v>
      </c>
      <c r="O568" s="112" t="s">
        <v>2298</v>
      </c>
      <c r="P568" s="112" t="s">
        <v>1543</v>
      </c>
      <c r="Q568" s="112" t="s">
        <v>1555</v>
      </c>
    </row>
    <row r="569" spans="1:18">
      <c r="A569" s="112" t="s">
        <v>1558</v>
      </c>
      <c r="B569" s="112" t="s">
        <v>1796</v>
      </c>
      <c r="C569" s="112" t="s">
        <v>1706</v>
      </c>
      <c r="D569" s="112">
        <v>80</v>
      </c>
      <c r="E569" s="112" t="s">
        <v>1707</v>
      </c>
      <c r="F569" s="112" t="s">
        <v>1721</v>
      </c>
      <c r="G569" s="112">
        <v>10.3981852320402</v>
      </c>
      <c r="H569" s="112">
        <v>3.1095379983945199</v>
      </c>
      <c r="I569" s="112">
        <v>1.91496597957359</v>
      </c>
      <c r="J569" s="112" t="s">
        <v>848</v>
      </c>
      <c r="K569" s="112" t="s">
        <v>1797</v>
      </c>
      <c r="L569" s="112">
        <v>1.0111295006959399E-2</v>
      </c>
      <c r="M569" s="229">
        <v>2.4679936037696798E-4</v>
      </c>
      <c r="N569" s="112" t="s">
        <v>1558</v>
      </c>
      <c r="O569" s="112" t="s">
        <v>2298</v>
      </c>
      <c r="P569" s="112" t="s">
        <v>1543</v>
      </c>
      <c r="Q569" s="112" t="s">
        <v>1555</v>
      </c>
    </row>
    <row r="570" spans="1:18">
      <c r="A570" s="112" t="s">
        <v>2306</v>
      </c>
      <c r="B570" s="112" t="s">
        <v>1731</v>
      </c>
      <c r="C570" s="112" t="s">
        <v>1706</v>
      </c>
      <c r="D570" s="112">
        <v>30</v>
      </c>
      <c r="E570" s="112" t="s">
        <v>1707</v>
      </c>
      <c r="F570" s="112" t="s">
        <v>1708</v>
      </c>
      <c r="G570" s="112">
        <v>-12.0374197610859</v>
      </c>
      <c r="H570" s="112">
        <v>-3.2694245831890298</v>
      </c>
      <c r="I570" s="112">
        <v>0</v>
      </c>
      <c r="J570" s="112">
        <v>1</v>
      </c>
      <c r="K570" s="112" t="s">
        <v>1732</v>
      </c>
      <c r="L570" s="112">
        <v>1.1814027923593901E-2</v>
      </c>
      <c r="M570" s="229">
        <v>7.8439169843903095E-4</v>
      </c>
      <c r="N570" s="112" t="s">
        <v>2306</v>
      </c>
      <c r="O570" s="112" t="s">
        <v>2298</v>
      </c>
      <c r="P570" s="112" t="s">
        <v>1543</v>
      </c>
      <c r="Q570" s="112" t="s">
        <v>2307</v>
      </c>
    </row>
    <row r="571" spans="1:18">
      <c r="A571" s="112" t="s">
        <v>2303</v>
      </c>
      <c r="B571" s="112" t="s">
        <v>1705</v>
      </c>
      <c r="C571" s="112" t="s">
        <v>1706</v>
      </c>
      <c r="D571" s="112">
        <v>80</v>
      </c>
      <c r="E571" s="112" t="s">
        <v>1707</v>
      </c>
      <c r="F571" s="112" t="s">
        <v>1708</v>
      </c>
      <c r="G571" s="112">
        <v>11.762188631956899</v>
      </c>
      <c r="H571" s="112">
        <v>2.63444835592309</v>
      </c>
      <c r="I571" s="112">
        <v>-1.81786353530071</v>
      </c>
      <c r="J571" s="112" t="s">
        <v>848</v>
      </c>
      <c r="K571" s="112" t="s">
        <v>1709</v>
      </c>
      <c r="L571" s="112">
        <v>1.25587868289399E-2</v>
      </c>
      <c r="M571" s="112">
        <v>1.04656556907832E-3</v>
      </c>
      <c r="N571" s="112" t="s">
        <v>2303</v>
      </c>
      <c r="O571" s="112" t="s">
        <v>2298</v>
      </c>
      <c r="P571" s="112" t="s">
        <v>1543</v>
      </c>
      <c r="Q571" s="112" t="s">
        <v>2304</v>
      </c>
      <c r="R571" s="112" t="s">
        <v>2305</v>
      </c>
    </row>
    <row r="572" spans="1:18">
      <c r="A572" s="112" t="s">
        <v>1541</v>
      </c>
      <c r="B572" s="112" t="s">
        <v>1731</v>
      </c>
      <c r="C572" s="112" t="s">
        <v>1706</v>
      </c>
      <c r="D572" s="112">
        <v>30</v>
      </c>
      <c r="E572" s="112" t="s">
        <v>1707</v>
      </c>
      <c r="F572" s="112" t="s">
        <v>1708</v>
      </c>
      <c r="G572" s="112">
        <v>-11.998680008542999</v>
      </c>
      <c r="H572" s="112">
        <v>-2.7577716642794599</v>
      </c>
      <c r="I572" s="112">
        <v>0</v>
      </c>
      <c r="J572" s="112">
        <v>1</v>
      </c>
      <c r="K572" s="112" t="s">
        <v>1732</v>
      </c>
      <c r="L572" s="112">
        <v>1.5491622085805099E-2</v>
      </c>
      <c r="M572" s="112">
        <v>1.13293261676794E-3</v>
      </c>
      <c r="N572" s="112" t="s">
        <v>1541</v>
      </c>
      <c r="O572" s="112" t="s">
        <v>2298</v>
      </c>
      <c r="P572" s="112" t="s">
        <v>1543</v>
      </c>
      <c r="Q572" s="112" t="s">
        <v>1542</v>
      </c>
    </row>
    <row r="573" spans="1:18">
      <c r="A573" s="112" t="s">
        <v>2306</v>
      </c>
      <c r="B573" s="112" t="s">
        <v>1796</v>
      </c>
      <c r="C573" s="112" t="s">
        <v>1706</v>
      </c>
      <c r="D573" s="112">
        <v>80</v>
      </c>
      <c r="E573" s="112" t="s">
        <v>1707</v>
      </c>
      <c r="F573" s="112" t="s">
        <v>1721</v>
      </c>
      <c r="G573" s="112">
        <v>14.213550910443301</v>
      </c>
      <c r="H573" s="112">
        <v>1.7413663099699901</v>
      </c>
      <c r="I573" s="112">
        <v>3.3674205526381802</v>
      </c>
      <c r="J573" s="112" t="s">
        <v>848</v>
      </c>
      <c r="K573" s="112" t="s">
        <v>1797</v>
      </c>
      <c r="L573" s="112">
        <v>2.4455794360203301E-2</v>
      </c>
      <c r="M573" s="112">
        <v>1.0172204800798E-3</v>
      </c>
      <c r="N573" s="112" t="s">
        <v>2306</v>
      </c>
      <c r="O573" s="112" t="s">
        <v>2298</v>
      </c>
      <c r="P573" s="112" t="s">
        <v>1543</v>
      </c>
      <c r="Q573" s="112" t="s">
        <v>2308</v>
      </c>
    </row>
    <row r="574" spans="1:18">
      <c r="A574" s="112" t="s">
        <v>1541</v>
      </c>
      <c r="B574" s="112" t="s">
        <v>1720</v>
      </c>
      <c r="C574" s="112" t="s">
        <v>1706</v>
      </c>
      <c r="D574" s="112">
        <v>55</v>
      </c>
      <c r="E574" s="112" t="s">
        <v>1707</v>
      </c>
      <c r="F574" s="112" t="s">
        <v>1721</v>
      </c>
      <c r="G574" s="112">
        <v>11.8284912504978</v>
      </c>
      <c r="H574" s="112">
        <v>1.2696539808341201</v>
      </c>
      <c r="I574" s="112">
        <v>2.0077827653878799</v>
      </c>
      <c r="J574" s="112" t="s">
        <v>848</v>
      </c>
      <c r="K574" s="112" t="s">
        <v>1722</v>
      </c>
      <c r="L574" s="112">
        <v>2.9043726894983499E-2</v>
      </c>
      <c r="M574" s="229">
        <v>8.7577027369742095E-4</v>
      </c>
      <c r="N574" s="112" t="s">
        <v>1541</v>
      </c>
      <c r="O574" s="112" t="s">
        <v>2298</v>
      </c>
      <c r="P574" s="112" t="s">
        <v>1543</v>
      </c>
      <c r="Q574" s="112" t="s">
        <v>1542</v>
      </c>
    </row>
    <row r="575" spans="1:18">
      <c r="A575" s="112" t="s">
        <v>1541</v>
      </c>
      <c r="B575" s="112" t="s">
        <v>1705</v>
      </c>
      <c r="C575" s="112" t="s">
        <v>1706</v>
      </c>
      <c r="D575" s="112">
        <v>80</v>
      </c>
      <c r="E575" s="112" t="s">
        <v>1707</v>
      </c>
      <c r="F575" s="112" t="s">
        <v>1708</v>
      </c>
      <c r="G575" s="112">
        <v>10.285875840725</v>
      </c>
      <c r="H575" s="112">
        <v>1.86841505946916</v>
      </c>
      <c r="I575" s="112">
        <v>0.76064059522557603</v>
      </c>
      <c r="J575" s="112" t="s">
        <v>848</v>
      </c>
      <c r="K575" s="112" t="s">
        <v>1709</v>
      </c>
      <c r="L575" s="112">
        <v>3.1483904339052002E-2</v>
      </c>
      <c r="M575" s="112">
        <v>3.8491834800485699E-3</v>
      </c>
      <c r="N575" s="112" t="s">
        <v>1541</v>
      </c>
      <c r="O575" s="112" t="s">
        <v>2298</v>
      </c>
      <c r="P575" s="112" t="s">
        <v>1543</v>
      </c>
      <c r="Q575" s="112" t="s">
        <v>1542</v>
      </c>
    </row>
    <row r="576" spans="1:18">
      <c r="A576" s="112" t="s">
        <v>1558</v>
      </c>
      <c r="B576" s="112" t="s">
        <v>1735</v>
      </c>
      <c r="C576" s="112" t="s">
        <v>1706</v>
      </c>
      <c r="D576" s="112">
        <v>30</v>
      </c>
      <c r="E576" s="112" t="s">
        <v>1707</v>
      </c>
      <c r="F576" s="112" t="s">
        <v>440</v>
      </c>
      <c r="G576" s="112">
        <v>-10.424830519340601</v>
      </c>
      <c r="H576" s="112">
        <v>-1.79078591504038</v>
      </c>
      <c r="I576" s="112">
        <v>0</v>
      </c>
      <c r="J576" s="112">
        <v>1</v>
      </c>
      <c r="K576" s="112" t="s">
        <v>1736</v>
      </c>
      <c r="L576" s="112">
        <v>3.3179661892291101E-2</v>
      </c>
      <c r="M576" s="229">
        <v>8.18577184842708E-4</v>
      </c>
      <c r="N576" s="112" t="s">
        <v>1558</v>
      </c>
      <c r="O576" s="112" t="s">
        <v>2298</v>
      </c>
      <c r="P576" s="112" t="s">
        <v>1543</v>
      </c>
      <c r="Q576" s="112" t="s">
        <v>1555</v>
      </c>
    </row>
    <row r="577" spans="1:18">
      <c r="A577" s="112" t="s">
        <v>1568</v>
      </c>
      <c r="B577" s="112" t="s">
        <v>1705</v>
      </c>
      <c r="C577" s="112" t="s">
        <v>1706</v>
      </c>
      <c r="D577" s="112">
        <v>80</v>
      </c>
      <c r="E577" s="112" t="s">
        <v>1707</v>
      </c>
      <c r="F577" s="112" t="s">
        <v>1708</v>
      </c>
      <c r="G577" s="112">
        <v>6.9277745553891599</v>
      </c>
      <c r="H577" s="112">
        <v>2.0862195122276299</v>
      </c>
      <c r="I577" s="112">
        <v>0.55282638768349002</v>
      </c>
      <c r="J577" s="112" t="s">
        <v>848</v>
      </c>
      <c r="K577" s="112" t="s">
        <v>1709</v>
      </c>
      <c r="L577" s="112">
        <v>3.6868923933677397E-2</v>
      </c>
      <c r="M577" s="112">
        <v>4.9724535568446502E-3</v>
      </c>
      <c r="N577" s="112" t="s">
        <v>1568</v>
      </c>
      <c r="O577" s="112" t="s">
        <v>2298</v>
      </c>
      <c r="P577" s="112" t="s">
        <v>1543</v>
      </c>
      <c r="Q577" s="112" t="s">
        <v>2300</v>
      </c>
    </row>
    <row r="578" spans="1:18">
      <c r="A578" s="112" t="s">
        <v>2301</v>
      </c>
      <c r="B578" s="112" t="s">
        <v>1748</v>
      </c>
      <c r="C578" s="112" t="s">
        <v>1706</v>
      </c>
      <c r="D578" s="112">
        <v>80</v>
      </c>
      <c r="E578" s="112" t="s">
        <v>1707</v>
      </c>
      <c r="F578" s="112" t="s">
        <v>440</v>
      </c>
      <c r="G578" s="112">
        <v>-1.60391424099775</v>
      </c>
      <c r="H578" s="112">
        <v>-1.2354093385223199</v>
      </c>
      <c r="I578" s="112">
        <v>-1.88499794545816</v>
      </c>
      <c r="J578" s="112" t="s">
        <v>848</v>
      </c>
      <c r="K578" s="112" t="s">
        <v>1749</v>
      </c>
      <c r="L578" s="112">
        <v>4.7436807278117402E-2</v>
      </c>
      <c r="M578" s="112">
        <v>4.0183671620149797E-3</v>
      </c>
      <c r="N578" s="112" t="s">
        <v>2301</v>
      </c>
      <c r="O578" s="112" t="s">
        <v>2298</v>
      </c>
      <c r="P578" s="112" t="s">
        <v>1543</v>
      </c>
      <c r="Q578" s="112" t="s">
        <v>2302</v>
      </c>
    </row>
    <row r="579" spans="1:18">
      <c r="A579" s="112" t="s">
        <v>2309</v>
      </c>
      <c r="B579" s="112" t="s">
        <v>1748</v>
      </c>
      <c r="C579" s="112" t="s">
        <v>1706</v>
      </c>
      <c r="D579" s="112">
        <v>80</v>
      </c>
      <c r="E579" s="112" t="s">
        <v>1707</v>
      </c>
      <c r="F579" s="112" t="s">
        <v>440</v>
      </c>
      <c r="G579" s="112">
        <v>-14.629844912332</v>
      </c>
      <c r="H579" s="112">
        <v>-11.867597013666201</v>
      </c>
      <c r="I579" s="112">
        <v>0</v>
      </c>
      <c r="J579" s="112">
        <v>1</v>
      </c>
      <c r="K579" s="112" t="s">
        <v>1749</v>
      </c>
      <c r="L579" s="229">
        <v>4.17601173500859E-6</v>
      </c>
      <c r="M579" s="229">
        <v>6.8684403536325401E-9</v>
      </c>
      <c r="N579" s="112" t="s">
        <v>2309</v>
      </c>
      <c r="O579" s="112" t="s">
        <v>1710</v>
      </c>
      <c r="P579" s="112" t="s">
        <v>2310</v>
      </c>
      <c r="Q579" s="112" t="s">
        <v>2311</v>
      </c>
    </row>
    <row r="580" spans="1:18">
      <c r="A580" s="112" t="s">
        <v>2309</v>
      </c>
      <c r="B580" s="112" t="s">
        <v>1720</v>
      </c>
      <c r="C580" s="112" t="s">
        <v>1706</v>
      </c>
      <c r="D580" s="112">
        <v>55</v>
      </c>
      <c r="E580" s="112" t="s">
        <v>1707</v>
      </c>
      <c r="F580" s="112" t="s">
        <v>1721</v>
      </c>
      <c r="G580" s="112">
        <v>9.1289351429627104</v>
      </c>
      <c r="H580" s="112">
        <v>7.69269195765402</v>
      </c>
      <c r="I580" s="112">
        <v>0.22571102909000401</v>
      </c>
      <c r="J580" s="112" t="s">
        <v>848</v>
      </c>
      <c r="K580" s="112" t="s">
        <v>1722</v>
      </c>
      <c r="L580" s="229">
        <v>2.7223270619560201E-5</v>
      </c>
      <c r="M580" s="229">
        <v>1.3432534845177701E-7</v>
      </c>
      <c r="N580" s="112" t="s">
        <v>2309</v>
      </c>
      <c r="O580" s="112" t="s">
        <v>1710</v>
      </c>
      <c r="P580" s="112" t="s">
        <v>2310</v>
      </c>
      <c r="Q580" s="112" t="s">
        <v>2311</v>
      </c>
    </row>
    <row r="581" spans="1:18">
      <c r="A581" s="112" t="s">
        <v>2309</v>
      </c>
      <c r="B581" s="112" t="s">
        <v>1762</v>
      </c>
      <c r="C581" s="112" t="s">
        <v>1706</v>
      </c>
      <c r="D581" s="112">
        <v>55</v>
      </c>
      <c r="E581" s="112" t="s">
        <v>1707</v>
      </c>
      <c r="F581" s="112" t="s">
        <v>1708</v>
      </c>
      <c r="G581" s="112">
        <v>7.9084733774427196</v>
      </c>
      <c r="H581" s="112">
        <v>3.8367526878147902</v>
      </c>
      <c r="I581" s="112">
        <v>-0.73047260261333102</v>
      </c>
      <c r="J581" s="112" t="s">
        <v>848</v>
      </c>
      <c r="K581" s="112" t="s">
        <v>1763</v>
      </c>
      <c r="L581" s="229">
        <v>5.86407465609572E-4</v>
      </c>
      <c r="M581" s="229">
        <v>5.3309769600870197E-6</v>
      </c>
      <c r="N581" s="112" t="s">
        <v>2309</v>
      </c>
      <c r="O581" s="112" t="s">
        <v>1710</v>
      </c>
      <c r="P581" s="112" t="s">
        <v>2310</v>
      </c>
      <c r="Q581" s="112" t="s">
        <v>2311</v>
      </c>
    </row>
    <row r="582" spans="1:18">
      <c r="A582" s="112" t="s">
        <v>2309</v>
      </c>
      <c r="B582" s="112" t="s">
        <v>1755</v>
      </c>
      <c r="C582" s="112" t="s">
        <v>1706</v>
      </c>
      <c r="D582" s="112">
        <v>30</v>
      </c>
      <c r="E582" s="112" t="s">
        <v>1707</v>
      </c>
      <c r="F582" s="112" t="s">
        <v>1721</v>
      </c>
      <c r="G582" s="112">
        <v>9.9585026213977699</v>
      </c>
      <c r="H582" s="112">
        <v>3.1900273232814702</v>
      </c>
      <c r="I582" s="112">
        <v>0.76494820014551501</v>
      </c>
      <c r="J582" s="112" t="s">
        <v>848</v>
      </c>
      <c r="K582" s="112" t="s">
        <v>1756</v>
      </c>
      <c r="L582" s="112">
        <v>2.3971424231008499E-2</v>
      </c>
      <c r="M582" s="112">
        <v>1.4672493368741201E-3</v>
      </c>
      <c r="N582" s="112" t="s">
        <v>2309</v>
      </c>
      <c r="O582" s="112" t="s">
        <v>1710</v>
      </c>
      <c r="P582" s="112" t="s">
        <v>2310</v>
      </c>
      <c r="Q582" s="112" t="s">
        <v>2311</v>
      </c>
    </row>
    <row r="583" spans="1:18">
      <c r="A583" s="112" t="s">
        <v>2309</v>
      </c>
      <c r="B583" s="112" t="s">
        <v>1735</v>
      </c>
      <c r="C583" s="112" t="s">
        <v>1706</v>
      </c>
      <c r="D583" s="112">
        <v>30</v>
      </c>
      <c r="E583" s="112" t="s">
        <v>1707</v>
      </c>
      <c r="F583" s="112" t="s">
        <v>440</v>
      </c>
      <c r="G583" s="112">
        <v>7.5208175747050303</v>
      </c>
      <c r="H583" s="112">
        <v>2.0501887040442499</v>
      </c>
      <c r="I583" s="112">
        <v>-1.0798560113453599</v>
      </c>
      <c r="J583" s="112" t="s">
        <v>848</v>
      </c>
      <c r="K583" s="112" t="s">
        <v>1736</v>
      </c>
      <c r="L583" s="112">
        <v>2.5020342078309599E-2</v>
      </c>
      <c r="M583" s="229">
        <v>5.4869171224363204E-4</v>
      </c>
      <c r="N583" s="112" t="s">
        <v>2309</v>
      </c>
      <c r="O583" s="112" t="s">
        <v>1710</v>
      </c>
      <c r="P583" s="112" t="s">
        <v>2310</v>
      </c>
      <c r="Q583" s="112" t="s">
        <v>2311</v>
      </c>
    </row>
    <row r="584" spans="1:18">
      <c r="A584" s="112" t="s">
        <v>1529</v>
      </c>
      <c r="B584" s="112" t="s">
        <v>1705</v>
      </c>
      <c r="C584" s="112" t="s">
        <v>1706</v>
      </c>
      <c r="D584" s="112">
        <v>80</v>
      </c>
      <c r="E584" s="112" t="s">
        <v>1707</v>
      </c>
      <c r="F584" s="112" t="s">
        <v>1708</v>
      </c>
      <c r="G584" s="112">
        <v>-5.5325550631337297</v>
      </c>
      <c r="H584" s="112">
        <v>-2.5445123242413699</v>
      </c>
      <c r="I584" s="112">
        <v>0</v>
      </c>
      <c r="J584" s="112">
        <v>1</v>
      </c>
      <c r="K584" s="112" t="s">
        <v>1709</v>
      </c>
      <c r="L584" s="112">
        <v>2.29939912494426E-2</v>
      </c>
      <c r="M584" s="112">
        <v>2.4708455509269401E-3</v>
      </c>
      <c r="N584" s="112" t="s">
        <v>1529</v>
      </c>
      <c r="O584" s="112" t="s">
        <v>1524</v>
      </c>
      <c r="P584" s="112" t="s">
        <v>1524</v>
      </c>
      <c r="Q584" s="112" t="s">
        <v>1530</v>
      </c>
    </row>
    <row r="585" spans="1:18">
      <c r="A585" s="112" t="s">
        <v>2312</v>
      </c>
      <c r="B585" s="112" t="s">
        <v>1731</v>
      </c>
      <c r="C585" s="112" t="s">
        <v>1706</v>
      </c>
      <c r="D585" s="112">
        <v>30</v>
      </c>
      <c r="E585" s="112" t="s">
        <v>1707</v>
      </c>
      <c r="F585" s="112" t="s">
        <v>1708</v>
      </c>
      <c r="G585" s="112">
        <v>5.04008432144692</v>
      </c>
      <c r="H585" s="112">
        <v>4.3240726302459302</v>
      </c>
      <c r="I585" s="112">
        <v>1.73661639465799</v>
      </c>
      <c r="J585" s="112" t="s">
        <v>848</v>
      </c>
      <c r="K585" s="112" t="s">
        <v>1732</v>
      </c>
      <c r="L585" s="229">
        <v>4.9330106663956796E-7</v>
      </c>
      <c r="M585" s="229">
        <v>3.9213121354496699E-9</v>
      </c>
      <c r="N585" s="112" t="s">
        <v>2312</v>
      </c>
      <c r="O585" s="112" t="s">
        <v>2313</v>
      </c>
      <c r="P585" s="112" t="s">
        <v>1524</v>
      </c>
      <c r="Q585" s="112" t="s">
        <v>2314</v>
      </c>
    </row>
    <row r="586" spans="1:18">
      <c r="A586" s="112" t="s">
        <v>1537</v>
      </c>
      <c r="B586" s="112" t="s">
        <v>1755</v>
      </c>
      <c r="C586" s="112" t="s">
        <v>1706</v>
      </c>
      <c r="D586" s="112">
        <v>30</v>
      </c>
      <c r="E586" s="112" t="s">
        <v>1707</v>
      </c>
      <c r="F586" s="112" t="s">
        <v>1721</v>
      </c>
      <c r="G586" s="112">
        <v>6.1178556919176197</v>
      </c>
      <c r="H586" s="112">
        <v>5.4029710296481603</v>
      </c>
      <c r="I586" s="112">
        <v>2.9291625895999598</v>
      </c>
      <c r="J586" s="112" t="s">
        <v>848</v>
      </c>
      <c r="K586" s="112" t="s">
        <v>1756</v>
      </c>
      <c r="L586" s="229">
        <v>6.5254147239702603E-7</v>
      </c>
      <c r="M586" s="229">
        <v>1.5561402362409201E-9</v>
      </c>
      <c r="N586" s="112" t="s">
        <v>1537</v>
      </c>
      <c r="O586" s="112" t="s">
        <v>2313</v>
      </c>
      <c r="P586" s="112" t="s">
        <v>1524</v>
      </c>
      <c r="Q586" s="112" t="s">
        <v>1536</v>
      </c>
    </row>
    <row r="587" spans="1:18">
      <c r="A587" s="112" t="s">
        <v>2312</v>
      </c>
      <c r="B587" s="112" t="s">
        <v>1705</v>
      </c>
      <c r="C587" s="112" t="s">
        <v>1706</v>
      </c>
      <c r="D587" s="112">
        <v>80</v>
      </c>
      <c r="E587" s="112" t="s">
        <v>1707</v>
      </c>
      <c r="F587" s="112" t="s">
        <v>1708</v>
      </c>
      <c r="G587" s="112">
        <v>-7.0427949848329696</v>
      </c>
      <c r="H587" s="112">
        <v>-5.4855437357712704</v>
      </c>
      <c r="I587" s="112">
        <v>0</v>
      </c>
      <c r="J587" s="112">
        <v>1</v>
      </c>
      <c r="K587" s="112" t="s">
        <v>1709</v>
      </c>
      <c r="L587" s="229">
        <v>1.5920194780309901E-6</v>
      </c>
      <c r="M587" s="229">
        <v>1.30922654443338E-8</v>
      </c>
      <c r="N587" s="112" t="s">
        <v>2312</v>
      </c>
      <c r="O587" s="112" t="s">
        <v>2313</v>
      </c>
      <c r="P587" s="112" t="s">
        <v>1524</v>
      </c>
      <c r="Q587" s="112" t="s">
        <v>2314</v>
      </c>
    </row>
    <row r="588" spans="1:18">
      <c r="A588" s="112" t="s">
        <v>2315</v>
      </c>
      <c r="B588" s="112" t="s">
        <v>1755</v>
      </c>
      <c r="C588" s="112" t="s">
        <v>1706</v>
      </c>
      <c r="D588" s="112">
        <v>30</v>
      </c>
      <c r="E588" s="112" t="s">
        <v>1707</v>
      </c>
      <c r="F588" s="112" t="s">
        <v>1721</v>
      </c>
      <c r="G588" s="112">
        <v>-12.49033628836</v>
      </c>
      <c r="H588" s="112">
        <v>-11.0559601679493</v>
      </c>
      <c r="I588" s="112">
        <v>0</v>
      </c>
      <c r="J588" s="112">
        <v>1</v>
      </c>
      <c r="K588" s="112" t="s">
        <v>1756</v>
      </c>
      <c r="L588" s="229">
        <v>2.8189274628174898E-6</v>
      </c>
      <c r="M588" s="229">
        <v>1.1204004224234801E-8</v>
      </c>
      <c r="N588" s="112" t="s">
        <v>2315</v>
      </c>
      <c r="O588" s="112" t="s">
        <v>2313</v>
      </c>
      <c r="P588" s="112" t="s">
        <v>1524</v>
      </c>
      <c r="Q588" s="112" t="s">
        <v>2316</v>
      </c>
    </row>
    <row r="589" spans="1:18">
      <c r="A589" s="112" t="s">
        <v>1537</v>
      </c>
      <c r="B589" s="112" t="s">
        <v>1705</v>
      </c>
      <c r="C589" s="112" t="s">
        <v>1706</v>
      </c>
      <c r="D589" s="112">
        <v>80</v>
      </c>
      <c r="E589" s="112" t="s">
        <v>1707</v>
      </c>
      <c r="F589" s="112" t="s">
        <v>1708</v>
      </c>
      <c r="G589" s="112">
        <v>-5.3586682271194102</v>
      </c>
      <c r="H589" s="112">
        <v>-4.1924708497250398</v>
      </c>
      <c r="I589" s="112">
        <v>0</v>
      </c>
      <c r="J589" s="112">
        <v>1</v>
      </c>
      <c r="K589" s="112" t="s">
        <v>1709</v>
      </c>
      <c r="L589" s="229">
        <v>4.3550052283118801E-5</v>
      </c>
      <c r="M589" s="229">
        <v>6.2077925403568399E-7</v>
      </c>
      <c r="N589" s="112" t="s">
        <v>1537</v>
      </c>
      <c r="O589" s="112" t="s">
        <v>2313</v>
      </c>
      <c r="P589" s="112" t="s">
        <v>1524</v>
      </c>
      <c r="Q589" s="112" t="s">
        <v>1536</v>
      </c>
    </row>
    <row r="590" spans="1:18">
      <c r="A590" s="112" t="s">
        <v>2312</v>
      </c>
      <c r="B590" s="112" t="s">
        <v>1748</v>
      </c>
      <c r="C590" s="112" t="s">
        <v>1706</v>
      </c>
      <c r="D590" s="112">
        <v>80</v>
      </c>
      <c r="E590" s="112" t="s">
        <v>1707</v>
      </c>
      <c r="F590" s="112" t="s">
        <v>440</v>
      </c>
      <c r="G590" s="112">
        <v>-8.5176174346640501</v>
      </c>
      <c r="H590" s="112">
        <v>-6.1622429857047001</v>
      </c>
      <c r="I590" s="112">
        <v>0</v>
      </c>
      <c r="J590" s="112">
        <v>1</v>
      </c>
      <c r="K590" s="112" t="s">
        <v>1749</v>
      </c>
      <c r="L590" s="229">
        <v>7.6983021244151205E-5</v>
      </c>
      <c r="M590" s="229">
        <v>3.7985043377048302E-7</v>
      </c>
      <c r="N590" s="112" t="s">
        <v>2312</v>
      </c>
      <c r="O590" s="112" t="s">
        <v>2313</v>
      </c>
      <c r="P590" s="112" t="s">
        <v>1524</v>
      </c>
      <c r="Q590" s="112" t="s">
        <v>2314</v>
      </c>
    </row>
    <row r="591" spans="1:18">
      <c r="A591" s="112" t="s">
        <v>2317</v>
      </c>
      <c r="B591" s="112" t="s">
        <v>1743</v>
      </c>
      <c r="C591" s="112" t="s">
        <v>1706</v>
      </c>
      <c r="D591" s="112">
        <v>55</v>
      </c>
      <c r="E591" s="112" t="s">
        <v>1707</v>
      </c>
      <c r="F591" s="112" t="s">
        <v>440</v>
      </c>
      <c r="G591" s="112">
        <v>4.77123214916225</v>
      </c>
      <c r="H591" s="112">
        <v>3.6829201981062498</v>
      </c>
      <c r="I591" s="112">
        <v>2.1985926274657102</v>
      </c>
      <c r="J591" s="112" t="s">
        <v>848</v>
      </c>
      <c r="K591" s="112" t="s">
        <v>1744</v>
      </c>
      <c r="L591" s="229">
        <v>7.9833749526059795E-5</v>
      </c>
      <c r="M591" s="229">
        <v>6.6206288480491902E-7</v>
      </c>
      <c r="N591" s="112" t="s">
        <v>2317</v>
      </c>
      <c r="O591" s="112" t="s">
        <v>2313</v>
      </c>
      <c r="P591" s="112" t="s">
        <v>1524</v>
      </c>
      <c r="Q591" s="112" t="s">
        <v>2318</v>
      </c>
      <c r="R591" s="112" t="s">
        <v>2319</v>
      </c>
    </row>
    <row r="592" spans="1:18">
      <c r="A592" s="112" t="s">
        <v>2317</v>
      </c>
      <c r="B592" s="112" t="s">
        <v>1705</v>
      </c>
      <c r="C592" s="112" t="s">
        <v>1706</v>
      </c>
      <c r="D592" s="112">
        <v>80</v>
      </c>
      <c r="E592" s="112" t="s">
        <v>1707</v>
      </c>
      <c r="F592" s="112" t="s">
        <v>1708</v>
      </c>
      <c r="G592" s="112">
        <v>-5.2663914654205897</v>
      </c>
      <c r="H592" s="112">
        <v>-3.8903632345838202</v>
      </c>
      <c r="I592" s="112">
        <v>0</v>
      </c>
      <c r="J592" s="112">
        <v>1</v>
      </c>
      <c r="K592" s="112" t="s">
        <v>1709</v>
      </c>
      <c r="L592" s="229">
        <v>3.4873635561618802E-4</v>
      </c>
      <c r="M592" s="229">
        <v>8.7948861613731794E-6</v>
      </c>
      <c r="N592" s="112" t="s">
        <v>2317</v>
      </c>
      <c r="O592" s="112" t="s">
        <v>2313</v>
      </c>
      <c r="P592" s="112" t="s">
        <v>1524</v>
      </c>
      <c r="Q592" s="112" t="s">
        <v>2318</v>
      </c>
      <c r="R592" s="112" t="s">
        <v>2319</v>
      </c>
    </row>
    <row r="593" spans="1:18">
      <c r="A593" s="112" t="s">
        <v>1537</v>
      </c>
      <c r="B593" s="112" t="s">
        <v>1748</v>
      </c>
      <c r="C593" s="112" t="s">
        <v>1706</v>
      </c>
      <c r="D593" s="112">
        <v>80</v>
      </c>
      <c r="E593" s="112" t="s">
        <v>1707</v>
      </c>
      <c r="F593" s="112" t="s">
        <v>440</v>
      </c>
      <c r="G593" s="112">
        <v>-6.7531059300293101</v>
      </c>
      <c r="H593" s="112">
        <v>-4.97238628562536</v>
      </c>
      <c r="I593" s="112">
        <v>0</v>
      </c>
      <c r="J593" s="112">
        <v>1</v>
      </c>
      <c r="K593" s="112" t="s">
        <v>1749</v>
      </c>
      <c r="L593" s="229">
        <v>5.4249727551087905E-4</v>
      </c>
      <c r="M593" s="229">
        <v>5.3535915346468298E-6</v>
      </c>
      <c r="N593" s="112" t="s">
        <v>1537</v>
      </c>
      <c r="O593" s="112" t="s">
        <v>2313</v>
      </c>
      <c r="P593" s="112" t="s">
        <v>1524</v>
      </c>
      <c r="Q593" s="112" t="s">
        <v>1536</v>
      </c>
    </row>
    <row r="594" spans="1:18">
      <c r="A594" s="112" t="s">
        <v>2320</v>
      </c>
      <c r="B594" s="112" t="s">
        <v>1748</v>
      </c>
      <c r="C594" s="112" t="s">
        <v>1706</v>
      </c>
      <c r="D594" s="112">
        <v>80</v>
      </c>
      <c r="E594" s="112" t="s">
        <v>1707</v>
      </c>
      <c r="F594" s="112" t="s">
        <v>440</v>
      </c>
      <c r="G594" s="112">
        <v>-3.5204458034791299</v>
      </c>
      <c r="H594" s="112">
        <v>-3.1075229401069402</v>
      </c>
      <c r="I594" s="112">
        <v>-4.4969658279103397</v>
      </c>
      <c r="J594" s="112" t="s">
        <v>848</v>
      </c>
      <c r="K594" s="112" t="s">
        <v>1749</v>
      </c>
      <c r="L594" s="229">
        <v>6.4441511603660195E-4</v>
      </c>
      <c r="M594" s="229">
        <v>6.7126574587145999E-6</v>
      </c>
      <c r="N594" s="112" t="s">
        <v>2320</v>
      </c>
      <c r="O594" s="112" t="s">
        <v>2313</v>
      </c>
      <c r="P594" s="112" t="s">
        <v>1524</v>
      </c>
      <c r="Q594" s="112" t="s">
        <v>2321</v>
      </c>
    </row>
    <row r="595" spans="1:18">
      <c r="A595" s="112" t="s">
        <v>2315</v>
      </c>
      <c r="B595" s="112" t="s">
        <v>1731</v>
      </c>
      <c r="C595" s="112" t="s">
        <v>1706</v>
      </c>
      <c r="D595" s="112">
        <v>30</v>
      </c>
      <c r="E595" s="112" t="s">
        <v>1707</v>
      </c>
      <c r="F595" s="112" t="s">
        <v>1708</v>
      </c>
      <c r="G595" s="112">
        <v>-2.4469185197077401</v>
      </c>
      <c r="H595" s="112">
        <v>-1.9709196798685</v>
      </c>
      <c r="I595" s="112">
        <v>-3.6179889634292599</v>
      </c>
      <c r="J595" s="112" t="s">
        <v>848</v>
      </c>
      <c r="K595" s="112" t="s">
        <v>1732</v>
      </c>
      <c r="L595" s="229">
        <v>7.5502853693322199E-4</v>
      </c>
      <c r="M595" s="229">
        <v>1.98059950069923E-5</v>
      </c>
      <c r="N595" s="112" t="s">
        <v>2315</v>
      </c>
      <c r="O595" s="112" t="s">
        <v>2313</v>
      </c>
      <c r="P595" s="112" t="s">
        <v>1524</v>
      </c>
      <c r="Q595" s="112" t="s">
        <v>2316</v>
      </c>
    </row>
    <row r="596" spans="1:18">
      <c r="A596" s="112" t="s">
        <v>2317</v>
      </c>
      <c r="B596" s="112" t="s">
        <v>1762</v>
      </c>
      <c r="C596" s="112" t="s">
        <v>1706</v>
      </c>
      <c r="D596" s="112">
        <v>55</v>
      </c>
      <c r="E596" s="112" t="s">
        <v>1707</v>
      </c>
      <c r="F596" s="112" t="s">
        <v>1708</v>
      </c>
      <c r="G596" s="112">
        <v>3.5208373573543499</v>
      </c>
      <c r="H596" s="112">
        <v>2.7745163980904199</v>
      </c>
      <c r="I596" s="112">
        <v>0.937849497275279</v>
      </c>
      <c r="J596" s="112" t="s">
        <v>848</v>
      </c>
      <c r="K596" s="112" t="s">
        <v>1763</v>
      </c>
      <c r="L596" s="229">
        <v>7.8531338571914103E-4</v>
      </c>
      <c r="M596" s="229">
        <v>9.1789876252886604E-6</v>
      </c>
      <c r="N596" s="112" t="s">
        <v>2317</v>
      </c>
      <c r="O596" s="112" t="s">
        <v>2313</v>
      </c>
      <c r="P596" s="112" t="s">
        <v>1524</v>
      </c>
      <c r="Q596" s="112" t="s">
        <v>2318</v>
      </c>
      <c r="R596" s="112" t="s">
        <v>2319</v>
      </c>
    </row>
    <row r="597" spans="1:18">
      <c r="A597" s="112" t="s">
        <v>1537</v>
      </c>
      <c r="B597" s="112" t="s">
        <v>1743</v>
      </c>
      <c r="C597" s="112" t="s">
        <v>1706</v>
      </c>
      <c r="D597" s="112">
        <v>55</v>
      </c>
      <c r="E597" s="112" t="s">
        <v>1707</v>
      </c>
      <c r="F597" s="112" t="s">
        <v>440</v>
      </c>
      <c r="G597" s="112">
        <v>3.1080997064752398</v>
      </c>
      <c r="H597" s="112">
        <v>2.5753242441972799</v>
      </c>
      <c r="I597" s="112">
        <v>0.68531589148881999</v>
      </c>
      <c r="J597" s="112" t="s">
        <v>848</v>
      </c>
      <c r="K597" s="112" t="s">
        <v>1744</v>
      </c>
      <c r="L597" s="112">
        <v>1.02047966310074E-3</v>
      </c>
      <c r="M597" s="229">
        <v>1.9746669362004701E-5</v>
      </c>
      <c r="N597" s="112" t="s">
        <v>1537</v>
      </c>
      <c r="O597" s="112" t="s">
        <v>2313</v>
      </c>
      <c r="P597" s="112" t="s">
        <v>1524</v>
      </c>
      <c r="Q597" s="112" t="s">
        <v>1536</v>
      </c>
    </row>
    <row r="598" spans="1:18">
      <c r="A598" s="112" t="s">
        <v>2317</v>
      </c>
      <c r="B598" s="112" t="s">
        <v>1748</v>
      </c>
      <c r="C598" s="112" t="s">
        <v>1706</v>
      </c>
      <c r="D598" s="112">
        <v>80</v>
      </c>
      <c r="E598" s="112" t="s">
        <v>1707</v>
      </c>
      <c r="F598" s="112" t="s">
        <v>440</v>
      </c>
      <c r="G598" s="112">
        <v>-6.7168499430292901</v>
      </c>
      <c r="H598" s="112">
        <v>-4.6355335156396498</v>
      </c>
      <c r="I598" s="112">
        <v>0</v>
      </c>
      <c r="J598" s="112">
        <v>1</v>
      </c>
      <c r="K598" s="112" t="s">
        <v>1749</v>
      </c>
      <c r="L598" s="112">
        <v>1.5815429980478E-3</v>
      </c>
      <c r="M598" s="229">
        <v>3.1214664435154103E-5</v>
      </c>
      <c r="N598" s="112" t="s">
        <v>2317</v>
      </c>
      <c r="O598" s="112" t="s">
        <v>2313</v>
      </c>
      <c r="P598" s="112" t="s">
        <v>1524</v>
      </c>
      <c r="Q598" s="112" t="s">
        <v>2318</v>
      </c>
      <c r="R598" s="112" t="s">
        <v>2319</v>
      </c>
    </row>
    <row r="599" spans="1:18">
      <c r="A599" s="112" t="s">
        <v>2315</v>
      </c>
      <c r="B599" s="112" t="s">
        <v>1705</v>
      </c>
      <c r="C599" s="112" t="s">
        <v>1706</v>
      </c>
      <c r="D599" s="112">
        <v>80</v>
      </c>
      <c r="E599" s="112" t="s">
        <v>1707</v>
      </c>
      <c r="F599" s="112" t="s">
        <v>1708</v>
      </c>
      <c r="G599" s="112">
        <v>2.2196425362986001</v>
      </c>
      <c r="H599" s="112">
        <v>1.96683921836624</v>
      </c>
      <c r="I599" s="112">
        <v>0.97481501140353299</v>
      </c>
      <c r="J599" s="112" t="s">
        <v>848</v>
      </c>
      <c r="K599" s="112" t="s">
        <v>1709</v>
      </c>
      <c r="L599" s="112">
        <v>1.8960067130071999E-3</v>
      </c>
      <c r="M599" s="229">
        <v>7.3802892885697097E-5</v>
      </c>
      <c r="N599" s="112" t="s">
        <v>2315</v>
      </c>
      <c r="O599" s="112" t="s">
        <v>2313</v>
      </c>
      <c r="P599" s="112" t="s">
        <v>1524</v>
      </c>
      <c r="Q599" s="112" t="s">
        <v>2316</v>
      </c>
    </row>
    <row r="600" spans="1:18">
      <c r="A600" s="112" t="s">
        <v>2312</v>
      </c>
      <c r="B600" s="112" t="s">
        <v>1720</v>
      </c>
      <c r="C600" s="112" t="s">
        <v>1706</v>
      </c>
      <c r="D600" s="112">
        <v>55</v>
      </c>
      <c r="E600" s="112" t="s">
        <v>1707</v>
      </c>
      <c r="F600" s="112" t="s">
        <v>1721</v>
      </c>
      <c r="G600" s="112">
        <v>3.6093397252691002</v>
      </c>
      <c r="H600" s="112">
        <v>2.7065928997529398</v>
      </c>
      <c r="I600" s="112">
        <v>0.251242250420881</v>
      </c>
      <c r="J600" s="112" t="s">
        <v>848</v>
      </c>
      <c r="K600" s="112" t="s">
        <v>1722</v>
      </c>
      <c r="L600" s="112">
        <v>2.2130160773627902E-3</v>
      </c>
      <c r="M600" s="229">
        <v>2.6692079880472199E-5</v>
      </c>
      <c r="N600" s="112" t="s">
        <v>2312</v>
      </c>
      <c r="O600" s="112" t="s">
        <v>2313</v>
      </c>
      <c r="P600" s="112" t="s">
        <v>1524</v>
      </c>
      <c r="Q600" s="112" t="s">
        <v>2314</v>
      </c>
    </row>
    <row r="601" spans="1:18">
      <c r="A601" s="112" t="s">
        <v>1537</v>
      </c>
      <c r="B601" s="112" t="s">
        <v>1735</v>
      </c>
      <c r="C601" s="112" t="s">
        <v>1706</v>
      </c>
      <c r="D601" s="112">
        <v>30</v>
      </c>
      <c r="E601" s="112" t="s">
        <v>1707</v>
      </c>
      <c r="F601" s="112" t="s">
        <v>440</v>
      </c>
      <c r="G601" s="112">
        <v>3.07410554790795</v>
      </c>
      <c r="H601" s="112">
        <v>2.44913843546367</v>
      </c>
      <c r="I601" s="112">
        <v>0.237068658782499</v>
      </c>
      <c r="J601" s="112" t="s">
        <v>848</v>
      </c>
      <c r="K601" s="112" t="s">
        <v>1736</v>
      </c>
      <c r="L601" s="112">
        <v>2.7586383522678198E-3</v>
      </c>
      <c r="M601" s="229">
        <v>4.3859929942854602E-5</v>
      </c>
      <c r="N601" s="112" t="s">
        <v>1537</v>
      </c>
      <c r="O601" s="112" t="s">
        <v>2313</v>
      </c>
      <c r="P601" s="112" t="s">
        <v>1524</v>
      </c>
      <c r="Q601" s="112" t="s">
        <v>1536</v>
      </c>
    </row>
    <row r="602" spans="1:18">
      <c r="A602" s="112" t="s">
        <v>2312</v>
      </c>
      <c r="B602" s="112" t="s">
        <v>1796</v>
      </c>
      <c r="C602" s="112" t="s">
        <v>1706</v>
      </c>
      <c r="D602" s="112">
        <v>80</v>
      </c>
      <c r="E602" s="112" t="s">
        <v>1707</v>
      </c>
      <c r="F602" s="112" t="s">
        <v>1721</v>
      </c>
      <c r="G602" s="112">
        <v>-5.9223854118365802</v>
      </c>
      <c r="H602" s="112">
        <v>-3.8313647993537301</v>
      </c>
      <c r="I602" s="112">
        <v>0</v>
      </c>
      <c r="J602" s="112">
        <v>1</v>
      </c>
      <c r="K602" s="112" t="s">
        <v>1797</v>
      </c>
      <c r="L602" s="112">
        <v>3.0629138966701101E-3</v>
      </c>
      <c r="M602" s="229">
        <v>4.7574846028160101E-5</v>
      </c>
      <c r="N602" s="112" t="s">
        <v>2312</v>
      </c>
      <c r="O602" s="112" t="s">
        <v>2313</v>
      </c>
      <c r="P602" s="112" t="s">
        <v>1524</v>
      </c>
      <c r="Q602" s="112" t="s">
        <v>2314</v>
      </c>
    </row>
    <row r="603" spans="1:18">
      <c r="A603" s="112" t="s">
        <v>2312</v>
      </c>
      <c r="B603" s="112" t="s">
        <v>1762</v>
      </c>
      <c r="C603" s="112" t="s">
        <v>1706</v>
      </c>
      <c r="D603" s="112">
        <v>55</v>
      </c>
      <c r="E603" s="112" t="s">
        <v>1707</v>
      </c>
      <c r="F603" s="112" t="s">
        <v>1708</v>
      </c>
      <c r="G603" s="112">
        <v>3.3567109185650401</v>
      </c>
      <c r="H603" s="112">
        <v>2.4718120483592898</v>
      </c>
      <c r="I603" s="112">
        <v>0.15579045994042601</v>
      </c>
      <c r="J603" s="112" t="s">
        <v>848</v>
      </c>
      <c r="K603" s="112" t="s">
        <v>1763</v>
      </c>
      <c r="L603" s="112">
        <v>4.7233529461191198E-3</v>
      </c>
      <c r="M603" s="229">
        <v>9.8147593685592096E-5</v>
      </c>
      <c r="N603" s="112" t="s">
        <v>2312</v>
      </c>
      <c r="O603" s="112" t="s">
        <v>2313</v>
      </c>
      <c r="P603" s="112" t="s">
        <v>1524</v>
      </c>
      <c r="Q603" s="112" t="s">
        <v>2314</v>
      </c>
    </row>
    <row r="604" spans="1:18">
      <c r="A604" s="112" t="s">
        <v>1537</v>
      </c>
      <c r="B604" s="112" t="s">
        <v>1762</v>
      </c>
      <c r="C604" s="112" t="s">
        <v>1706</v>
      </c>
      <c r="D604" s="112">
        <v>55</v>
      </c>
      <c r="E604" s="112" t="s">
        <v>1707</v>
      </c>
      <c r="F604" s="112" t="s">
        <v>1708</v>
      </c>
      <c r="G604" s="112">
        <v>2.4316767103077201</v>
      </c>
      <c r="H604" s="112">
        <v>2.01808647567348</v>
      </c>
      <c r="I604" s="112">
        <v>0.44007451189567698</v>
      </c>
      <c r="J604" s="112" t="s">
        <v>848</v>
      </c>
      <c r="K604" s="112" t="s">
        <v>1763</v>
      </c>
      <c r="L604" s="112">
        <v>5.1703156909041004E-3</v>
      </c>
      <c r="M604" s="229">
        <v>1.11816735008452E-4</v>
      </c>
      <c r="N604" s="112" t="s">
        <v>1537</v>
      </c>
      <c r="O604" s="112" t="s">
        <v>2313</v>
      </c>
      <c r="P604" s="112" t="s">
        <v>1524</v>
      </c>
      <c r="Q604" s="112" t="s">
        <v>1536</v>
      </c>
    </row>
    <row r="605" spans="1:18">
      <c r="A605" s="112" t="s">
        <v>1537</v>
      </c>
      <c r="B605" s="112" t="s">
        <v>1731</v>
      </c>
      <c r="C605" s="112" t="s">
        <v>1706</v>
      </c>
      <c r="D605" s="112">
        <v>30</v>
      </c>
      <c r="E605" s="112" t="s">
        <v>1707</v>
      </c>
      <c r="F605" s="112" t="s">
        <v>1708</v>
      </c>
      <c r="G605" s="112">
        <v>2.0688891895084698</v>
      </c>
      <c r="H605" s="112">
        <v>1.49347883287544</v>
      </c>
      <c r="I605" s="112">
        <v>-0.72978400356722495</v>
      </c>
      <c r="J605" s="112" t="s">
        <v>848</v>
      </c>
      <c r="K605" s="112" t="s">
        <v>1732</v>
      </c>
      <c r="L605" s="112">
        <v>1.05355409967381E-2</v>
      </c>
      <c r="M605" s="229">
        <v>6.5323704113320696E-4</v>
      </c>
      <c r="N605" s="112" t="s">
        <v>1537</v>
      </c>
      <c r="O605" s="112" t="s">
        <v>2313</v>
      </c>
      <c r="P605" s="112" t="s">
        <v>1524</v>
      </c>
      <c r="Q605" s="112" t="s">
        <v>1536</v>
      </c>
    </row>
    <row r="606" spans="1:18">
      <c r="A606" s="112" t="s">
        <v>1537</v>
      </c>
      <c r="B606" s="112" t="s">
        <v>1796</v>
      </c>
      <c r="C606" s="112" t="s">
        <v>1706</v>
      </c>
      <c r="D606" s="112">
        <v>80</v>
      </c>
      <c r="E606" s="112" t="s">
        <v>1707</v>
      </c>
      <c r="F606" s="112" t="s">
        <v>1721</v>
      </c>
      <c r="G606" s="112">
        <v>-4.4121949886866396</v>
      </c>
      <c r="H606" s="112">
        <v>-2.8337263811227902</v>
      </c>
      <c r="I606" s="112">
        <v>0</v>
      </c>
      <c r="J606" s="112">
        <v>1</v>
      </c>
      <c r="K606" s="112" t="s">
        <v>1797</v>
      </c>
      <c r="L606" s="112">
        <v>1.3594433944348E-2</v>
      </c>
      <c r="M606" s="229">
        <v>4.10279406003176E-4</v>
      </c>
      <c r="N606" s="112" t="s">
        <v>1537</v>
      </c>
      <c r="O606" s="112" t="s">
        <v>2313</v>
      </c>
      <c r="P606" s="112" t="s">
        <v>1524</v>
      </c>
      <c r="Q606" s="112" t="s">
        <v>1536</v>
      </c>
    </row>
    <row r="607" spans="1:18">
      <c r="A607" s="112" t="s">
        <v>2320</v>
      </c>
      <c r="B607" s="112" t="s">
        <v>1705</v>
      </c>
      <c r="C607" s="112" t="s">
        <v>1706</v>
      </c>
      <c r="D607" s="112">
        <v>80</v>
      </c>
      <c r="E607" s="112" t="s">
        <v>1707</v>
      </c>
      <c r="F607" s="112" t="s">
        <v>1708</v>
      </c>
      <c r="G607" s="112">
        <v>-2.04733014317851</v>
      </c>
      <c r="H607" s="112">
        <v>-1.6708428015700001</v>
      </c>
      <c r="I607" s="112">
        <v>-3.1366402282027899</v>
      </c>
      <c r="J607" s="112" t="s">
        <v>848</v>
      </c>
      <c r="K607" s="112" t="s">
        <v>1709</v>
      </c>
      <c r="L607" s="112">
        <v>1.5993840496350199E-2</v>
      </c>
      <c r="M607" s="112">
        <v>1.4555797820143301E-3</v>
      </c>
      <c r="N607" s="112" t="s">
        <v>2320</v>
      </c>
      <c r="O607" s="112" t="s">
        <v>2313</v>
      </c>
      <c r="P607" s="112" t="s">
        <v>1524</v>
      </c>
      <c r="Q607" s="112" t="s">
        <v>2321</v>
      </c>
    </row>
    <row r="608" spans="1:18">
      <c r="A608" s="112" t="s">
        <v>2317</v>
      </c>
      <c r="B608" s="112" t="s">
        <v>1720</v>
      </c>
      <c r="C608" s="112" t="s">
        <v>1706</v>
      </c>
      <c r="D608" s="112">
        <v>55</v>
      </c>
      <c r="E608" s="112" t="s">
        <v>1707</v>
      </c>
      <c r="F608" s="112" t="s">
        <v>1721</v>
      </c>
      <c r="G608" s="112">
        <v>2.7934400737259999</v>
      </c>
      <c r="H608" s="112">
        <v>2.0214115133185802</v>
      </c>
      <c r="I608" s="112">
        <v>-0.13449754355195201</v>
      </c>
      <c r="J608" s="112" t="s">
        <v>848</v>
      </c>
      <c r="K608" s="112" t="s">
        <v>1722</v>
      </c>
      <c r="L608" s="112">
        <v>1.83840336388537E-2</v>
      </c>
      <c r="M608" s="229">
        <v>4.6363242729565303E-4</v>
      </c>
      <c r="N608" s="112" t="s">
        <v>2317</v>
      </c>
      <c r="O608" s="112" t="s">
        <v>2313</v>
      </c>
      <c r="P608" s="112" t="s">
        <v>1524</v>
      </c>
      <c r="Q608" s="112" t="s">
        <v>2318</v>
      </c>
      <c r="R608" s="112" t="s">
        <v>2319</v>
      </c>
    </row>
    <row r="609" spans="1:18">
      <c r="A609" s="112" t="s">
        <v>2322</v>
      </c>
      <c r="B609" s="112" t="s">
        <v>1796</v>
      </c>
      <c r="C609" s="112" t="s">
        <v>1706</v>
      </c>
      <c r="D609" s="112">
        <v>80</v>
      </c>
      <c r="E609" s="112" t="s">
        <v>1707</v>
      </c>
      <c r="F609" s="112" t="s">
        <v>1721</v>
      </c>
      <c r="G609" s="112">
        <v>5.46080015874099</v>
      </c>
      <c r="H609" s="112">
        <v>2.6940329304666402</v>
      </c>
      <c r="I609" s="112">
        <v>2.9928562309931901</v>
      </c>
      <c r="J609" s="112" t="s">
        <v>848</v>
      </c>
      <c r="K609" s="112" t="s">
        <v>1797</v>
      </c>
      <c r="L609" s="112">
        <v>2.09719529104937E-2</v>
      </c>
      <c r="M609" s="229">
        <v>7.9110177399051697E-4</v>
      </c>
      <c r="N609" s="112" t="s">
        <v>2322</v>
      </c>
      <c r="O609" s="112" t="s">
        <v>2313</v>
      </c>
      <c r="P609" s="112" t="s">
        <v>1524</v>
      </c>
      <c r="Q609" s="112" t="s">
        <v>2323</v>
      </c>
    </row>
    <row r="610" spans="1:18">
      <c r="A610" s="112" t="s">
        <v>1537</v>
      </c>
      <c r="B610" s="112" t="s">
        <v>1720</v>
      </c>
      <c r="C610" s="112" t="s">
        <v>1706</v>
      </c>
      <c r="D610" s="112">
        <v>55</v>
      </c>
      <c r="E610" s="112" t="s">
        <v>1707</v>
      </c>
      <c r="F610" s="112" t="s">
        <v>1721</v>
      </c>
      <c r="G610" s="112">
        <v>2.1408808728858402</v>
      </c>
      <c r="H610" s="112">
        <v>1.67045579369527</v>
      </c>
      <c r="I610" s="112">
        <v>-0.63560419485154396</v>
      </c>
      <c r="J610" s="112" t="s">
        <v>848</v>
      </c>
      <c r="K610" s="112" t="s">
        <v>1722</v>
      </c>
      <c r="L610" s="112">
        <v>2.4717917106137601E-2</v>
      </c>
      <c r="M610" s="229">
        <v>6.91125971717665E-4</v>
      </c>
      <c r="N610" s="112" t="s">
        <v>1537</v>
      </c>
      <c r="O610" s="112" t="s">
        <v>2313</v>
      </c>
      <c r="P610" s="112" t="s">
        <v>1524</v>
      </c>
      <c r="Q610" s="112" t="s">
        <v>1536</v>
      </c>
    </row>
    <row r="611" spans="1:18">
      <c r="A611" s="112" t="s">
        <v>2324</v>
      </c>
      <c r="B611" s="112" t="s">
        <v>1731</v>
      </c>
      <c r="C611" s="112" t="s">
        <v>1706</v>
      </c>
      <c r="D611" s="112">
        <v>30</v>
      </c>
      <c r="E611" s="112" t="s">
        <v>1707</v>
      </c>
      <c r="F611" s="112" t="s">
        <v>1708</v>
      </c>
      <c r="G611" s="112">
        <v>5.07951084132955</v>
      </c>
      <c r="H611" s="112">
        <v>1.70162230508625</v>
      </c>
      <c r="I611" s="112">
        <v>1.87108909726118</v>
      </c>
      <c r="J611" s="112" t="s">
        <v>848</v>
      </c>
      <c r="K611" s="112" t="s">
        <v>1732</v>
      </c>
      <c r="L611" s="112">
        <v>3.25252084645914E-2</v>
      </c>
      <c r="M611" s="112">
        <v>2.92158072853643E-3</v>
      </c>
      <c r="N611" s="112" t="s">
        <v>2324</v>
      </c>
      <c r="O611" s="112" t="s">
        <v>2313</v>
      </c>
      <c r="P611" s="112" t="s">
        <v>1524</v>
      </c>
      <c r="Q611" s="112" t="s">
        <v>2325</v>
      </c>
    </row>
    <row r="612" spans="1:18">
      <c r="A612" s="112" t="s">
        <v>2326</v>
      </c>
      <c r="B612" s="112" t="s">
        <v>1755</v>
      </c>
      <c r="C612" s="112" t="s">
        <v>1706</v>
      </c>
      <c r="D612" s="112">
        <v>30</v>
      </c>
      <c r="E612" s="112" t="s">
        <v>1707</v>
      </c>
      <c r="F612" s="112" t="s">
        <v>1721</v>
      </c>
      <c r="G612" s="112">
        <v>3.1837296107999302</v>
      </c>
      <c r="H612" s="112">
        <v>2.0249239451075001</v>
      </c>
      <c r="I612" s="112">
        <v>2.39098578832784</v>
      </c>
      <c r="J612" s="112" t="s">
        <v>848</v>
      </c>
      <c r="K612" s="112" t="s">
        <v>1756</v>
      </c>
      <c r="L612" s="112">
        <v>3.9032249524925698E-2</v>
      </c>
      <c r="M612" s="112">
        <v>3.31991311539511E-3</v>
      </c>
      <c r="N612" s="112" t="s">
        <v>2326</v>
      </c>
      <c r="O612" s="112" t="s">
        <v>2313</v>
      </c>
      <c r="P612" s="112" t="s">
        <v>1524</v>
      </c>
      <c r="Q612" s="112" t="s">
        <v>2327</v>
      </c>
    </row>
    <row r="613" spans="1:18">
      <c r="A613" s="112" t="s">
        <v>2317</v>
      </c>
      <c r="B613" s="112" t="s">
        <v>1796</v>
      </c>
      <c r="C613" s="112" t="s">
        <v>1706</v>
      </c>
      <c r="D613" s="112">
        <v>80</v>
      </c>
      <c r="E613" s="112" t="s">
        <v>1707</v>
      </c>
      <c r="F613" s="112" t="s">
        <v>1721</v>
      </c>
      <c r="G613" s="112">
        <v>-4.2025550738500002</v>
      </c>
      <c r="H613" s="112">
        <v>-2.0853207926474799</v>
      </c>
      <c r="I613" s="112">
        <v>0</v>
      </c>
      <c r="J613" s="112">
        <v>1</v>
      </c>
      <c r="K613" s="112" t="s">
        <v>1797</v>
      </c>
      <c r="L613" s="112">
        <v>4.1724733811141897E-2</v>
      </c>
      <c r="M613" s="112">
        <v>2.43805767091731E-3</v>
      </c>
      <c r="N613" s="112" t="s">
        <v>2317</v>
      </c>
      <c r="O613" s="112" t="s">
        <v>2313</v>
      </c>
      <c r="P613" s="112" t="s">
        <v>1524</v>
      </c>
      <c r="Q613" s="112" t="s">
        <v>2318</v>
      </c>
      <c r="R613" s="112" t="s">
        <v>2319</v>
      </c>
    </row>
    <row r="614" spans="1:18">
      <c r="A614" s="112" t="s">
        <v>2320</v>
      </c>
      <c r="B614" s="112" t="s">
        <v>1755</v>
      </c>
      <c r="C614" s="112" t="s">
        <v>1706</v>
      </c>
      <c r="D614" s="112">
        <v>30</v>
      </c>
      <c r="E614" s="112" t="s">
        <v>1707</v>
      </c>
      <c r="F614" s="112" t="s">
        <v>1721</v>
      </c>
      <c r="G614" s="112">
        <v>3.03645987861267</v>
      </c>
      <c r="H614" s="112">
        <v>1.9365279220624401</v>
      </c>
      <c r="I614" s="112">
        <v>1.55665278875631</v>
      </c>
      <c r="J614" s="112" t="s">
        <v>848</v>
      </c>
      <c r="K614" s="112" t="s">
        <v>1756</v>
      </c>
      <c r="L614" s="112">
        <v>4.3517647576234199E-2</v>
      </c>
      <c r="M614" s="112">
        <v>3.9781633316907199E-3</v>
      </c>
      <c r="N614" s="112" t="s">
        <v>2320</v>
      </c>
      <c r="O614" s="112" t="s">
        <v>2313</v>
      </c>
      <c r="P614" s="112" t="s">
        <v>1524</v>
      </c>
      <c r="Q614" s="112" t="s">
        <v>2321</v>
      </c>
    </row>
    <row r="615" spans="1:18">
      <c r="A615" s="112" t="s">
        <v>2320</v>
      </c>
      <c r="B615" s="112" t="s">
        <v>1743</v>
      </c>
      <c r="C615" s="112" t="s">
        <v>1706</v>
      </c>
      <c r="D615" s="112">
        <v>55</v>
      </c>
      <c r="E615" s="112" t="s">
        <v>1707</v>
      </c>
      <c r="F615" s="112" t="s">
        <v>440</v>
      </c>
      <c r="G615" s="112">
        <v>2.26705203882935</v>
      </c>
      <c r="H615" s="112">
        <v>1.60504999464511</v>
      </c>
      <c r="I615" s="112">
        <v>1.5225592130299701</v>
      </c>
      <c r="J615" s="112" t="s">
        <v>848</v>
      </c>
      <c r="K615" s="112" t="s">
        <v>1744</v>
      </c>
      <c r="L615" s="112">
        <v>4.8749127126059902E-2</v>
      </c>
      <c r="M615" s="112">
        <v>1.9540078599249899E-3</v>
      </c>
      <c r="N615" s="112" t="s">
        <v>2320</v>
      </c>
      <c r="O615" s="112" t="s">
        <v>2313</v>
      </c>
      <c r="P615" s="112" t="s">
        <v>1524</v>
      </c>
      <c r="Q615" s="112" t="s">
        <v>2321</v>
      </c>
    </row>
    <row r="616" spans="1:18">
      <c r="A616" s="112" t="s">
        <v>2312</v>
      </c>
      <c r="B616" s="112" t="s">
        <v>1743</v>
      </c>
      <c r="C616" s="112" t="s">
        <v>1706</v>
      </c>
      <c r="D616" s="112">
        <v>55</v>
      </c>
      <c r="E616" s="112" t="s">
        <v>1707</v>
      </c>
      <c r="F616" s="112" t="s">
        <v>440</v>
      </c>
      <c r="G616" s="112">
        <v>3.2953578536016699</v>
      </c>
      <c r="H616" s="112">
        <v>1.87950458461415</v>
      </c>
      <c r="I616" s="112">
        <v>0.331840363792899</v>
      </c>
      <c r="J616" s="112" t="s">
        <v>848</v>
      </c>
      <c r="K616" s="112" t="s">
        <v>1744</v>
      </c>
      <c r="L616" s="112">
        <v>4.8749127126059902E-2</v>
      </c>
      <c r="M616" s="112">
        <v>1.9451961021174E-3</v>
      </c>
      <c r="N616" s="112" t="s">
        <v>2312</v>
      </c>
      <c r="O616" s="112" t="s">
        <v>2313</v>
      </c>
      <c r="P616" s="112" t="s">
        <v>1524</v>
      </c>
      <c r="Q616" s="112" t="s">
        <v>2314</v>
      </c>
    </row>
    <row r="617" spans="1:18">
      <c r="A617" s="112" t="s">
        <v>2317</v>
      </c>
      <c r="B617" s="112" t="s">
        <v>1735</v>
      </c>
      <c r="C617" s="112" t="s">
        <v>1706</v>
      </c>
      <c r="D617" s="112">
        <v>30</v>
      </c>
      <c r="E617" s="112" t="s">
        <v>1707</v>
      </c>
      <c r="F617" s="112" t="s">
        <v>440</v>
      </c>
      <c r="G617" s="112">
        <v>3.13151862974693</v>
      </c>
      <c r="H617" s="112">
        <v>1.84632926883238</v>
      </c>
      <c r="I617" s="112">
        <v>0.205401478276629</v>
      </c>
      <c r="J617" s="112" t="s">
        <v>848</v>
      </c>
      <c r="K617" s="112" t="s">
        <v>1736</v>
      </c>
      <c r="L617" s="112">
        <v>4.9183177658497203E-2</v>
      </c>
      <c r="M617" s="112">
        <v>1.42911645608571E-3</v>
      </c>
      <c r="N617" s="112" t="s">
        <v>2317</v>
      </c>
      <c r="O617" s="112" t="s">
        <v>2313</v>
      </c>
      <c r="P617" s="112" t="s">
        <v>1524</v>
      </c>
      <c r="Q617" s="112" t="s">
        <v>2318</v>
      </c>
      <c r="R617" s="112" t="s">
        <v>2319</v>
      </c>
    </row>
    <row r="618" spans="1:18">
      <c r="A618" s="112" t="s">
        <v>2328</v>
      </c>
      <c r="B618" s="112" t="s">
        <v>1731</v>
      </c>
      <c r="C618" s="112" t="s">
        <v>1706</v>
      </c>
      <c r="D618" s="112">
        <v>30</v>
      </c>
      <c r="E618" s="112" t="s">
        <v>1707</v>
      </c>
      <c r="F618" s="112" t="s">
        <v>1708</v>
      </c>
      <c r="G618" s="112">
        <v>-2.9955279482038399</v>
      </c>
      <c r="H618" s="112">
        <v>-1.6658896931465199</v>
      </c>
      <c r="I618" s="112">
        <v>-4.4181805971033503</v>
      </c>
      <c r="J618" s="112" t="s">
        <v>848</v>
      </c>
      <c r="K618" s="112" t="s">
        <v>1732</v>
      </c>
      <c r="L618" s="112">
        <v>2.4761862150932599E-2</v>
      </c>
      <c r="M618" s="112">
        <v>2.0470855832249498E-3</v>
      </c>
      <c r="N618" s="112" t="s">
        <v>2328</v>
      </c>
      <c r="O618" s="112" t="s">
        <v>1848</v>
      </c>
      <c r="P618" s="112" t="s">
        <v>1848</v>
      </c>
      <c r="Q618" s="112" t="s">
        <v>2329</v>
      </c>
      <c r="R618" s="112" t="s">
        <v>2330</v>
      </c>
    </row>
    <row r="619" spans="1:18">
      <c r="A619" s="112" t="s">
        <v>2331</v>
      </c>
      <c r="B619" s="112" t="s">
        <v>1731</v>
      </c>
      <c r="C619" s="112" t="s">
        <v>1706</v>
      </c>
      <c r="D619" s="112">
        <v>30</v>
      </c>
      <c r="E619" s="112" t="s">
        <v>1707</v>
      </c>
      <c r="F619" s="112" t="s">
        <v>1708</v>
      </c>
      <c r="G619" s="112">
        <v>1.7995948899023699</v>
      </c>
      <c r="H619" s="112">
        <v>1.24689375815903</v>
      </c>
      <c r="I619" s="112">
        <v>1.4693550439115399</v>
      </c>
      <c r="J619" s="112" t="s">
        <v>848</v>
      </c>
      <c r="K619" s="112" t="s">
        <v>1732</v>
      </c>
      <c r="L619" s="112">
        <v>2.7110514736690398E-2</v>
      </c>
      <c r="M619" s="112">
        <v>2.3059022868250202E-3</v>
      </c>
      <c r="N619" s="112" t="s">
        <v>2331</v>
      </c>
      <c r="O619" s="112" t="s">
        <v>1848</v>
      </c>
      <c r="P619" s="112" t="s">
        <v>1848</v>
      </c>
      <c r="Q619" s="112" t="s">
        <v>2332</v>
      </c>
    </row>
    <row r="620" spans="1:18">
      <c r="A620" s="112" t="s">
        <v>2333</v>
      </c>
      <c r="B620" s="112" t="s">
        <v>1731</v>
      </c>
      <c r="C620" s="112" t="s">
        <v>1706</v>
      </c>
      <c r="D620" s="112">
        <v>30</v>
      </c>
      <c r="E620" s="112" t="s">
        <v>1707</v>
      </c>
      <c r="F620" s="112" t="s">
        <v>1708</v>
      </c>
      <c r="G620" s="112">
        <v>-16.4943556493937</v>
      </c>
      <c r="H620" s="112">
        <v>-14.6788713530563</v>
      </c>
      <c r="I620" s="112">
        <v>0</v>
      </c>
      <c r="J620" s="112">
        <v>1</v>
      </c>
      <c r="K620" s="112" t="s">
        <v>1732</v>
      </c>
      <c r="L620" s="229">
        <v>2.0486020817195998E-6</v>
      </c>
      <c r="M620" s="229">
        <v>1.79130547686134E-8</v>
      </c>
      <c r="N620" s="112" t="s">
        <v>2333</v>
      </c>
      <c r="O620" s="112" t="s">
        <v>1710</v>
      </c>
      <c r="P620" s="112" t="s">
        <v>2334</v>
      </c>
      <c r="Q620" s="112" t="s">
        <v>2335</v>
      </c>
    </row>
    <row r="621" spans="1:18">
      <c r="A621" s="112" t="s">
        <v>2336</v>
      </c>
      <c r="B621" s="112" t="s">
        <v>1731</v>
      </c>
      <c r="C621" s="112" t="s">
        <v>1706</v>
      </c>
      <c r="D621" s="112">
        <v>30</v>
      </c>
      <c r="E621" s="112" t="s">
        <v>1707</v>
      </c>
      <c r="F621" s="112" t="s">
        <v>1708</v>
      </c>
      <c r="G621" s="112">
        <v>2.99797750803525</v>
      </c>
      <c r="H621" s="112">
        <v>2.46598907186348</v>
      </c>
      <c r="I621" s="112">
        <v>1.93612068589415</v>
      </c>
      <c r="J621" s="112" t="s">
        <v>848</v>
      </c>
      <c r="K621" s="112" t="s">
        <v>1732</v>
      </c>
      <c r="L621" s="229">
        <v>1.76140667076772E-4</v>
      </c>
      <c r="M621" s="229">
        <v>3.2203778559346301E-6</v>
      </c>
      <c r="N621" s="112" t="s">
        <v>2336</v>
      </c>
      <c r="O621" s="112" t="s">
        <v>1710</v>
      </c>
      <c r="P621" s="112" t="s">
        <v>2334</v>
      </c>
      <c r="Q621" s="112" t="s">
        <v>2337</v>
      </c>
    </row>
    <row r="622" spans="1:18">
      <c r="A622" s="112" t="s">
        <v>2338</v>
      </c>
      <c r="B622" s="112" t="s">
        <v>1755</v>
      </c>
      <c r="C622" s="112" t="s">
        <v>1706</v>
      </c>
      <c r="D622" s="112">
        <v>30</v>
      </c>
      <c r="E622" s="112" t="s">
        <v>1707</v>
      </c>
      <c r="F622" s="112" t="s">
        <v>1721</v>
      </c>
      <c r="G622" s="112">
        <v>4.8148771891950304</v>
      </c>
      <c r="H622" s="112">
        <v>3.8634681200537901</v>
      </c>
      <c r="I622" s="112">
        <v>2.7787818779166198</v>
      </c>
      <c r="J622" s="112" t="s">
        <v>848</v>
      </c>
      <c r="K622" s="112" t="s">
        <v>1756</v>
      </c>
      <c r="L622" s="229">
        <v>8.9141380632826498E-4</v>
      </c>
      <c r="M622" s="229">
        <v>9.2117483960790502E-6</v>
      </c>
      <c r="N622" s="112" t="s">
        <v>2338</v>
      </c>
      <c r="O622" s="112" t="s">
        <v>1710</v>
      </c>
      <c r="P622" s="112" t="s">
        <v>2334</v>
      </c>
      <c r="Q622" s="112" t="s">
        <v>2339</v>
      </c>
    </row>
    <row r="623" spans="1:18">
      <c r="A623" s="112" t="s">
        <v>2340</v>
      </c>
      <c r="B623" s="112" t="s">
        <v>1705</v>
      </c>
      <c r="C623" s="112" t="s">
        <v>1706</v>
      </c>
      <c r="D623" s="112">
        <v>80</v>
      </c>
      <c r="E623" s="112" t="s">
        <v>1707</v>
      </c>
      <c r="F623" s="112" t="s">
        <v>1708</v>
      </c>
      <c r="G623" s="112">
        <v>3.40158658064952</v>
      </c>
      <c r="H623" s="112">
        <v>2.8188770345529601</v>
      </c>
      <c r="I623" s="112">
        <v>2.1344320323246002</v>
      </c>
      <c r="J623" s="112" t="s">
        <v>848</v>
      </c>
      <c r="K623" s="112" t="s">
        <v>1709</v>
      </c>
      <c r="L623" s="112">
        <v>1.06518666999018E-3</v>
      </c>
      <c r="M623" s="229">
        <v>3.4895192811462702E-5</v>
      </c>
      <c r="N623" s="112" t="s">
        <v>2340</v>
      </c>
      <c r="O623" s="112" t="s">
        <v>1710</v>
      </c>
      <c r="P623" s="112" t="s">
        <v>2334</v>
      </c>
      <c r="Q623" s="112" t="s">
        <v>2341</v>
      </c>
    </row>
    <row r="624" spans="1:18">
      <c r="A624" s="112" t="s">
        <v>2333</v>
      </c>
      <c r="B624" s="112" t="s">
        <v>1743</v>
      </c>
      <c r="C624" s="112" t="s">
        <v>1706</v>
      </c>
      <c r="D624" s="112">
        <v>55</v>
      </c>
      <c r="E624" s="112" t="s">
        <v>1707</v>
      </c>
      <c r="F624" s="112" t="s">
        <v>440</v>
      </c>
      <c r="G624" s="112">
        <v>-15.580042800029499</v>
      </c>
      <c r="H624" s="112">
        <v>-11.8390273254302</v>
      </c>
      <c r="I624" s="112">
        <v>0</v>
      </c>
      <c r="J624" s="112">
        <v>1</v>
      </c>
      <c r="K624" s="112" t="s">
        <v>1744</v>
      </c>
      <c r="L624" s="112">
        <v>1.2447089410889799E-3</v>
      </c>
      <c r="M624" s="229">
        <v>2.49457908027508E-5</v>
      </c>
      <c r="N624" s="112" t="s">
        <v>2333</v>
      </c>
      <c r="O624" s="112" t="s">
        <v>1710</v>
      </c>
      <c r="P624" s="112" t="s">
        <v>2334</v>
      </c>
      <c r="Q624" s="112" t="s">
        <v>2335</v>
      </c>
    </row>
    <row r="625" spans="1:18">
      <c r="A625" s="112" t="s">
        <v>2333</v>
      </c>
      <c r="B625" s="112" t="s">
        <v>1735</v>
      </c>
      <c r="C625" s="112" t="s">
        <v>1706</v>
      </c>
      <c r="D625" s="112">
        <v>30</v>
      </c>
      <c r="E625" s="112" t="s">
        <v>1707</v>
      </c>
      <c r="F625" s="112" t="s">
        <v>440</v>
      </c>
      <c r="G625" s="112">
        <v>-15.7080447204723</v>
      </c>
      <c r="H625" s="112">
        <v>-10.4542015085869</v>
      </c>
      <c r="I625" s="112">
        <v>0</v>
      </c>
      <c r="J625" s="112">
        <v>1</v>
      </c>
      <c r="K625" s="112" t="s">
        <v>1736</v>
      </c>
      <c r="L625" s="112">
        <v>1.56021722584272E-3</v>
      </c>
      <c r="M625" s="229">
        <v>2.1384556275256599E-5</v>
      </c>
      <c r="N625" s="112" t="s">
        <v>2333</v>
      </c>
      <c r="O625" s="112" t="s">
        <v>1710</v>
      </c>
      <c r="P625" s="112" t="s">
        <v>2334</v>
      </c>
      <c r="Q625" s="112" t="s">
        <v>2335</v>
      </c>
    </row>
    <row r="626" spans="1:18">
      <c r="A626" s="112" t="s">
        <v>2342</v>
      </c>
      <c r="B626" s="112" t="s">
        <v>1705</v>
      </c>
      <c r="C626" s="112" t="s">
        <v>1706</v>
      </c>
      <c r="D626" s="112">
        <v>80</v>
      </c>
      <c r="E626" s="112" t="s">
        <v>1707</v>
      </c>
      <c r="F626" s="112" t="s">
        <v>1708</v>
      </c>
      <c r="G626" s="112">
        <v>-4.0953053599210998</v>
      </c>
      <c r="H626" s="112">
        <v>-3.1105374743062302</v>
      </c>
      <c r="I626" s="112">
        <v>-5.5883014129659596</v>
      </c>
      <c r="J626" s="112" t="s">
        <v>848</v>
      </c>
      <c r="K626" s="112" t="s">
        <v>1709</v>
      </c>
      <c r="L626" s="112">
        <v>2.0124031279045102E-3</v>
      </c>
      <c r="M626" s="229">
        <v>8.27468391408106E-5</v>
      </c>
      <c r="N626" s="112" t="s">
        <v>2342</v>
      </c>
      <c r="O626" s="112" t="s">
        <v>1710</v>
      </c>
      <c r="P626" s="112" t="s">
        <v>2334</v>
      </c>
      <c r="Q626" s="112" t="s">
        <v>2343</v>
      </c>
      <c r="R626" s="112" t="s">
        <v>2344</v>
      </c>
    </row>
    <row r="627" spans="1:18">
      <c r="A627" s="112" t="s">
        <v>2345</v>
      </c>
      <c r="B627" s="112" t="s">
        <v>1705</v>
      </c>
      <c r="C627" s="112" t="s">
        <v>1706</v>
      </c>
      <c r="D627" s="112">
        <v>80</v>
      </c>
      <c r="E627" s="112" t="s">
        <v>1707</v>
      </c>
      <c r="F627" s="112" t="s">
        <v>1708</v>
      </c>
      <c r="G627" s="112">
        <v>2.3544164910711101</v>
      </c>
      <c r="H627" s="112">
        <v>2.0062586670239502</v>
      </c>
      <c r="I627" s="112">
        <v>1.49497527402215</v>
      </c>
      <c r="J627" s="112" t="s">
        <v>848</v>
      </c>
      <c r="K627" s="112" t="s">
        <v>1709</v>
      </c>
      <c r="L627" s="112">
        <v>5.0104273009415204E-3</v>
      </c>
      <c r="M627" s="229">
        <v>2.7194753442610198E-4</v>
      </c>
      <c r="N627" s="112" t="s">
        <v>2345</v>
      </c>
      <c r="O627" s="112" t="s">
        <v>1710</v>
      </c>
      <c r="P627" s="112" t="s">
        <v>2334</v>
      </c>
      <c r="Q627" s="112" t="s">
        <v>2346</v>
      </c>
    </row>
    <row r="628" spans="1:18">
      <c r="A628" s="112" t="s">
        <v>2333</v>
      </c>
      <c r="B628" s="112" t="s">
        <v>1720</v>
      </c>
      <c r="C628" s="112" t="s">
        <v>1706</v>
      </c>
      <c r="D628" s="112">
        <v>55</v>
      </c>
      <c r="E628" s="112" t="s">
        <v>1707</v>
      </c>
      <c r="F628" s="112" t="s">
        <v>1721</v>
      </c>
      <c r="G628" s="112">
        <v>10.557263195809099</v>
      </c>
      <c r="H628" s="112">
        <v>3.15008702016353</v>
      </c>
      <c r="I628" s="112">
        <v>1.8686004765859301</v>
      </c>
      <c r="J628" s="112" t="s">
        <v>848</v>
      </c>
      <c r="K628" s="112" t="s">
        <v>1722</v>
      </c>
      <c r="L628" s="112">
        <v>6.6283882346532498E-3</v>
      </c>
      <c r="M628" s="229">
        <v>1.2718946722196399E-4</v>
      </c>
      <c r="N628" s="112" t="s">
        <v>2333</v>
      </c>
      <c r="O628" s="112" t="s">
        <v>1710</v>
      </c>
      <c r="P628" s="112" t="s">
        <v>2334</v>
      </c>
      <c r="Q628" s="112" t="s">
        <v>2335</v>
      </c>
    </row>
    <row r="629" spans="1:18">
      <c r="A629" s="112" t="s">
        <v>2338</v>
      </c>
      <c r="B629" s="112" t="s">
        <v>1705</v>
      </c>
      <c r="C629" s="112" t="s">
        <v>1706</v>
      </c>
      <c r="D629" s="112">
        <v>80</v>
      </c>
      <c r="E629" s="112" t="s">
        <v>1707</v>
      </c>
      <c r="F629" s="112" t="s">
        <v>1708</v>
      </c>
      <c r="G629" s="112">
        <v>-3.8266389104734899</v>
      </c>
      <c r="H629" s="112">
        <v>-2.7428707853150498</v>
      </c>
      <c r="I629" s="112">
        <v>0</v>
      </c>
      <c r="J629" s="112">
        <v>1</v>
      </c>
      <c r="K629" s="112" t="s">
        <v>1709</v>
      </c>
      <c r="L629" s="112">
        <v>7.7017584736352304E-3</v>
      </c>
      <c r="M629" s="229">
        <v>4.9402727051278596E-4</v>
      </c>
      <c r="N629" s="112" t="s">
        <v>2338</v>
      </c>
      <c r="O629" s="112" t="s">
        <v>1710</v>
      </c>
      <c r="P629" s="112" t="s">
        <v>2334</v>
      </c>
      <c r="Q629" s="112" t="s">
        <v>2339</v>
      </c>
    </row>
    <row r="630" spans="1:18">
      <c r="A630" s="112" t="s">
        <v>2347</v>
      </c>
      <c r="B630" s="112" t="s">
        <v>1748</v>
      </c>
      <c r="C630" s="112" t="s">
        <v>1706</v>
      </c>
      <c r="D630" s="112">
        <v>80</v>
      </c>
      <c r="E630" s="112" t="s">
        <v>1707</v>
      </c>
      <c r="F630" s="112" t="s">
        <v>440</v>
      </c>
      <c r="G630" s="112">
        <v>-6.2672079885059002</v>
      </c>
      <c r="H630" s="112">
        <v>-3.83938504683847</v>
      </c>
      <c r="I630" s="112">
        <v>0</v>
      </c>
      <c r="J630" s="112">
        <v>1</v>
      </c>
      <c r="K630" s="112" t="s">
        <v>1749</v>
      </c>
      <c r="L630" s="112">
        <v>8.2348025789487998E-3</v>
      </c>
      <c r="M630" s="229">
        <v>3.2400156963182199E-4</v>
      </c>
      <c r="N630" s="112" t="s">
        <v>2347</v>
      </c>
      <c r="O630" s="112" t="s">
        <v>1710</v>
      </c>
      <c r="P630" s="112" t="s">
        <v>2334</v>
      </c>
      <c r="Q630" s="112" t="s">
        <v>2348</v>
      </c>
    </row>
    <row r="631" spans="1:18">
      <c r="A631" s="112" t="s">
        <v>2349</v>
      </c>
      <c r="B631" s="112" t="s">
        <v>1705</v>
      </c>
      <c r="C631" s="112" t="s">
        <v>1706</v>
      </c>
      <c r="D631" s="112">
        <v>80</v>
      </c>
      <c r="E631" s="112" t="s">
        <v>1707</v>
      </c>
      <c r="F631" s="112" t="s">
        <v>1708</v>
      </c>
      <c r="G631" s="112">
        <v>3.0898450750200102</v>
      </c>
      <c r="H631" s="112">
        <v>2.3860585705489701</v>
      </c>
      <c r="I631" s="112">
        <v>1.39685068978578</v>
      </c>
      <c r="J631" s="112" t="s">
        <v>848</v>
      </c>
      <c r="K631" s="112" t="s">
        <v>1709</v>
      </c>
      <c r="L631" s="112">
        <v>8.7504315210601997E-3</v>
      </c>
      <c r="M631" s="229">
        <v>5.9967321279195398E-4</v>
      </c>
      <c r="N631" s="112" t="s">
        <v>2349</v>
      </c>
      <c r="O631" s="112" t="s">
        <v>1710</v>
      </c>
      <c r="P631" s="112" t="s">
        <v>2334</v>
      </c>
      <c r="Q631" s="112" t="s">
        <v>2350</v>
      </c>
      <c r="R631" s="112" t="s">
        <v>2351</v>
      </c>
    </row>
    <row r="632" spans="1:18">
      <c r="A632" s="112" t="s">
        <v>2338</v>
      </c>
      <c r="B632" s="112" t="s">
        <v>1748</v>
      </c>
      <c r="C632" s="112" t="s">
        <v>1706</v>
      </c>
      <c r="D632" s="112">
        <v>80</v>
      </c>
      <c r="E632" s="112" t="s">
        <v>1707</v>
      </c>
      <c r="F632" s="112" t="s">
        <v>440</v>
      </c>
      <c r="G632" s="112">
        <v>-5.2313322141039098</v>
      </c>
      <c r="H632" s="112">
        <v>-3.4336194123944401</v>
      </c>
      <c r="I632" s="112">
        <v>0</v>
      </c>
      <c r="J632" s="112">
        <v>1</v>
      </c>
      <c r="K632" s="112" t="s">
        <v>1749</v>
      </c>
      <c r="L632" s="112">
        <v>1.12938702399505E-2</v>
      </c>
      <c r="M632" s="229">
        <v>5.2808139827298102E-4</v>
      </c>
      <c r="N632" s="112" t="s">
        <v>2338</v>
      </c>
      <c r="O632" s="112" t="s">
        <v>1710</v>
      </c>
      <c r="P632" s="112" t="s">
        <v>2334</v>
      </c>
      <c r="Q632" s="112" t="s">
        <v>2339</v>
      </c>
    </row>
    <row r="633" spans="1:18">
      <c r="A633" s="112" t="s">
        <v>2352</v>
      </c>
      <c r="B633" s="112" t="s">
        <v>1748</v>
      </c>
      <c r="C633" s="112" t="s">
        <v>1706</v>
      </c>
      <c r="D633" s="112">
        <v>80</v>
      </c>
      <c r="E633" s="112" t="s">
        <v>1707</v>
      </c>
      <c r="F633" s="112" t="s">
        <v>440</v>
      </c>
      <c r="G633" s="112">
        <v>3.3630068363786498</v>
      </c>
      <c r="H633" s="112">
        <v>2.5639744900751702</v>
      </c>
      <c r="I633" s="112">
        <v>2.5629648203284301</v>
      </c>
      <c r="J633" s="112" t="s">
        <v>848</v>
      </c>
      <c r="K633" s="112" t="s">
        <v>1749</v>
      </c>
      <c r="L633" s="112">
        <v>1.5252308981769399E-2</v>
      </c>
      <c r="M633" s="229">
        <v>8.4456316181946896E-4</v>
      </c>
      <c r="N633" s="112" t="s">
        <v>2352</v>
      </c>
      <c r="O633" s="112" t="s">
        <v>1710</v>
      </c>
      <c r="P633" s="112" t="s">
        <v>2334</v>
      </c>
      <c r="Q633" s="112" t="s">
        <v>2353</v>
      </c>
      <c r="R633" s="112" t="s">
        <v>2354</v>
      </c>
    </row>
    <row r="634" spans="1:18">
      <c r="A634" s="112" t="s">
        <v>2333</v>
      </c>
      <c r="B634" s="112" t="s">
        <v>1705</v>
      </c>
      <c r="C634" s="112" t="s">
        <v>1706</v>
      </c>
      <c r="D634" s="112">
        <v>80</v>
      </c>
      <c r="E634" s="112" t="s">
        <v>1707</v>
      </c>
      <c r="F634" s="112" t="s">
        <v>1708</v>
      </c>
      <c r="G634" s="112">
        <v>8.6913857996198498</v>
      </c>
      <c r="H634" s="112">
        <v>2.5522406391358001</v>
      </c>
      <c r="I634" s="112">
        <v>6.6461641856046999E-2</v>
      </c>
      <c r="J634" s="112" t="s">
        <v>848</v>
      </c>
      <c r="K634" s="112" t="s">
        <v>1709</v>
      </c>
      <c r="L634" s="112">
        <v>1.73641270787422E-2</v>
      </c>
      <c r="M634" s="112">
        <v>1.6095912537670901E-3</v>
      </c>
      <c r="N634" s="112" t="s">
        <v>2333</v>
      </c>
      <c r="O634" s="112" t="s">
        <v>1710</v>
      </c>
      <c r="P634" s="112" t="s">
        <v>2334</v>
      </c>
      <c r="Q634" s="112" t="s">
        <v>2335</v>
      </c>
    </row>
    <row r="635" spans="1:18">
      <c r="A635" s="112" t="s">
        <v>2355</v>
      </c>
      <c r="B635" s="112" t="s">
        <v>1731</v>
      </c>
      <c r="C635" s="112" t="s">
        <v>1706</v>
      </c>
      <c r="D635" s="112">
        <v>30</v>
      </c>
      <c r="E635" s="112" t="s">
        <v>1707</v>
      </c>
      <c r="F635" s="112" t="s">
        <v>1708</v>
      </c>
      <c r="G635" s="112">
        <v>-2.6997275103976799</v>
      </c>
      <c r="H635" s="112">
        <v>-1.6251129014891901</v>
      </c>
      <c r="I635" s="112">
        <v>-3.26720775645137</v>
      </c>
      <c r="J635" s="112" t="s">
        <v>848</v>
      </c>
      <c r="K635" s="112" t="s">
        <v>1732</v>
      </c>
      <c r="L635" s="112">
        <v>2.1871850635067702E-2</v>
      </c>
      <c r="M635" s="112">
        <v>1.70384845964756E-3</v>
      </c>
      <c r="N635" s="112" t="s">
        <v>2356</v>
      </c>
      <c r="O635" s="112" t="s">
        <v>1710</v>
      </c>
      <c r="P635" s="112" t="s">
        <v>2334</v>
      </c>
      <c r="Q635" s="112" t="s">
        <v>2355</v>
      </c>
    </row>
    <row r="636" spans="1:18">
      <c r="A636" s="112" t="s">
        <v>2338</v>
      </c>
      <c r="B636" s="112" t="s">
        <v>1731</v>
      </c>
      <c r="C636" s="112" t="s">
        <v>1706</v>
      </c>
      <c r="D636" s="112">
        <v>30</v>
      </c>
      <c r="E636" s="112" t="s">
        <v>1707</v>
      </c>
      <c r="F636" s="112" t="s">
        <v>1708</v>
      </c>
      <c r="G636" s="112">
        <v>2.0950833527967601</v>
      </c>
      <c r="H636" s="112">
        <v>1.3927734359985</v>
      </c>
      <c r="I636" s="112">
        <v>0.49466042412056899</v>
      </c>
      <c r="J636" s="112" t="s">
        <v>848</v>
      </c>
      <c r="K636" s="112" t="s">
        <v>1732</v>
      </c>
      <c r="L636" s="112">
        <v>2.3005216895941399E-2</v>
      </c>
      <c r="M636" s="112">
        <v>1.88357499227501E-3</v>
      </c>
      <c r="N636" s="112" t="s">
        <v>2338</v>
      </c>
      <c r="O636" s="112" t="s">
        <v>1710</v>
      </c>
      <c r="P636" s="112" t="s">
        <v>2334</v>
      </c>
      <c r="Q636" s="112" t="s">
        <v>2339</v>
      </c>
    </row>
    <row r="637" spans="1:18">
      <c r="A637" s="112" t="s">
        <v>2357</v>
      </c>
      <c r="B637" s="112" t="s">
        <v>1735</v>
      </c>
      <c r="C637" s="112" t="s">
        <v>1706</v>
      </c>
      <c r="D637" s="112">
        <v>30</v>
      </c>
      <c r="E637" s="112" t="s">
        <v>1707</v>
      </c>
      <c r="F637" s="112" t="s">
        <v>440</v>
      </c>
      <c r="G637" s="112">
        <v>4.9671393806907096</v>
      </c>
      <c r="H637" s="112">
        <v>2.2018026285226902</v>
      </c>
      <c r="I637" s="112">
        <v>2.4548902626703599</v>
      </c>
      <c r="J637" s="112" t="s">
        <v>848</v>
      </c>
      <c r="K637" s="112" t="s">
        <v>1736</v>
      </c>
      <c r="L637" s="112">
        <v>2.6330627686830602E-2</v>
      </c>
      <c r="M637" s="229">
        <v>6.0629734805202199E-4</v>
      </c>
      <c r="N637" s="112" t="s">
        <v>2357</v>
      </c>
      <c r="O637" s="112" t="s">
        <v>1710</v>
      </c>
      <c r="P637" s="112" t="s">
        <v>2334</v>
      </c>
      <c r="Q637" s="112" t="s">
        <v>2358</v>
      </c>
    </row>
    <row r="638" spans="1:18">
      <c r="A638" s="112" t="s">
        <v>2345</v>
      </c>
      <c r="B638" s="112" t="s">
        <v>1720</v>
      </c>
      <c r="C638" s="112" t="s">
        <v>1706</v>
      </c>
      <c r="D638" s="112">
        <v>55</v>
      </c>
      <c r="E638" s="112" t="s">
        <v>1707</v>
      </c>
      <c r="F638" s="112" t="s">
        <v>1721</v>
      </c>
      <c r="G638" s="112">
        <v>-2.88835171448775</v>
      </c>
      <c r="H638" s="112">
        <v>-1.8794363506518399</v>
      </c>
      <c r="I638" s="112">
        <v>-4.0978123812517504</v>
      </c>
      <c r="J638" s="112" t="s">
        <v>848</v>
      </c>
      <c r="K638" s="112" t="s">
        <v>1722</v>
      </c>
      <c r="L638" s="112">
        <v>3.1971113593947199E-2</v>
      </c>
      <c r="M638" s="112">
        <v>1.0341533454182399E-3</v>
      </c>
      <c r="N638" s="112" t="s">
        <v>2345</v>
      </c>
      <c r="O638" s="112" t="s">
        <v>1710</v>
      </c>
      <c r="P638" s="112" t="s">
        <v>2334</v>
      </c>
      <c r="Q638" s="112" t="s">
        <v>2346</v>
      </c>
    </row>
    <row r="639" spans="1:18">
      <c r="A639" s="112" t="s">
        <v>2359</v>
      </c>
      <c r="B639" s="112" t="s">
        <v>1705</v>
      </c>
      <c r="C639" s="112" t="s">
        <v>1706</v>
      </c>
      <c r="D639" s="112">
        <v>80</v>
      </c>
      <c r="E639" s="112" t="s">
        <v>1707</v>
      </c>
      <c r="F639" s="112" t="s">
        <v>1708</v>
      </c>
      <c r="G639" s="112">
        <v>-3.39709309765033</v>
      </c>
      <c r="H639" s="112">
        <v>-2.1078364840406101</v>
      </c>
      <c r="I639" s="112">
        <v>0</v>
      </c>
      <c r="J639" s="112">
        <v>1</v>
      </c>
      <c r="K639" s="112" t="s">
        <v>1709</v>
      </c>
      <c r="L639" s="112">
        <v>3.51151051879059E-2</v>
      </c>
      <c r="M639" s="112">
        <v>4.5241500653277903E-3</v>
      </c>
      <c r="N639" s="112" t="s">
        <v>2359</v>
      </c>
      <c r="O639" s="112" t="s">
        <v>1710</v>
      </c>
      <c r="P639" s="112" t="s">
        <v>2334</v>
      </c>
      <c r="Q639" s="112" t="s">
        <v>2360</v>
      </c>
      <c r="R639" s="112" t="s">
        <v>2361</v>
      </c>
    </row>
    <row r="640" spans="1:18">
      <c r="A640" s="112" t="s">
        <v>2342</v>
      </c>
      <c r="B640" s="112" t="s">
        <v>1796</v>
      </c>
      <c r="C640" s="112" t="s">
        <v>1706</v>
      </c>
      <c r="D640" s="112">
        <v>80</v>
      </c>
      <c r="E640" s="112" t="s">
        <v>1707</v>
      </c>
      <c r="F640" s="112" t="s">
        <v>1721</v>
      </c>
      <c r="G640" s="112">
        <v>-4.0595012973434601</v>
      </c>
      <c r="H640" s="112">
        <v>-2.1441640674876399</v>
      </c>
      <c r="I640" s="112">
        <v>0</v>
      </c>
      <c r="J640" s="112">
        <v>1</v>
      </c>
      <c r="K640" s="112" t="s">
        <v>1797</v>
      </c>
      <c r="L640" s="112">
        <v>3.6168528888981102E-2</v>
      </c>
      <c r="M640" s="112">
        <v>2.0495000165066798E-3</v>
      </c>
      <c r="N640" s="112" t="s">
        <v>2342</v>
      </c>
      <c r="O640" s="112" t="s">
        <v>1710</v>
      </c>
      <c r="P640" s="112" t="s">
        <v>2334</v>
      </c>
      <c r="Q640" s="112" t="s">
        <v>2343</v>
      </c>
      <c r="R640" s="112" t="s">
        <v>2344</v>
      </c>
    </row>
    <row r="641" spans="1:18">
      <c r="A641" s="112" t="s">
        <v>2347</v>
      </c>
      <c r="B641" s="112" t="s">
        <v>1731</v>
      </c>
      <c r="C641" s="112" t="s">
        <v>1706</v>
      </c>
      <c r="D641" s="112">
        <v>30</v>
      </c>
      <c r="E641" s="112" t="s">
        <v>1707</v>
      </c>
      <c r="F641" s="112" t="s">
        <v>1708</v>
      </c>
      <c r="G641" s="112">
        <v>2.7059716864472798</v>
      </c>
      <c r="H641" s="112">
        <v>1.4365724605638299</v>
      </c>
      <c r="I641" s="112">
        <v>1.38786299273679</v>
      </c>
      <c r="J641" s="112" t="s">
        <v>848</v>
      </c>
      <c r="K641" s="112" t="s">
        <v>1732</v>
      </c>
      <c r="L641" s="112">
        <v>4.2220542082544499E-2</v>
      </c>
      <c r="M641" s="112">
        <v>4.1616432577388897E-3</v>
      </c>
      <c r="N641" s="112" t="s">
        <v>2347</v>
      </c>
      <c r="O641" s="112" t="s">
        <v>1710</v>
      </c>
      <c r="P641" s="112" t="s">
        <v>2334</v>
      </c>
      <c r="Q641" s="112" t="s">
        <v>2348</v>
      </c>
    </row>
    <row r="642" spans="1:18">
      <c r="A642" s="112" t="s">
        <v>2362</v>
      </c>
      <c r="B642" s="112" t="s">
        <v>1755</v>
      </c>
      <c r="C642" s="112" t="s">
        <v>1706</v>
      </c>
      <c r="D642" s="112">
        <v>30</v>
      </c>
      <c r="E642" s="112" t="s">
        <v>1707</v>
      </c>
      <c r="F642" s="112" t="s">
        <v>1721</v>
      </c>
      <c r="G642" s="112">
        <v>-7.2104650181547703</v>
      </c>
      <c r="H642" s="112">
        <v>-2.5146048772820699</v>
      </c>
      <c r="I642" s="112">
        <v>0</v>
      </c>
      <c r="J642" s="112">
        <v>1</v>
      </c>
      <c r="K642" s="112" t="s">
        <v>1756</v>
      </c>
      <c r="L642" s="112">
        <v>4.4621187023174198E-2</v>
      </c>
      <c r="M642" s="112">
        <v>4.2162793831469697E-3</v>
      </c>
      <c r="N642" s="112" t="s">
        <v>2362</v>
      </c>
      <c r="O642" s="112" t="s">
        <v>1710</v>
      </c>
      <c r="P642" s="112" t="s">
        <v>2334</v>
      </c>
      <c r="Q642" s="112" t="s">
        <v>2363</v>
      </c>
    </row>
    <row r="643" spans="1:18">
      <c r="A643" s="112" t="s">
        <v>2333</v>
      </c>
      <c r="B643" s="112" t="s">
        <v>1796</v>
      </c>
      <c r="C643" s="112" t="s">
        <v>1706</v>
      </c>
      <c r="D643" s="112">
        <v>80</v>
      </c>
      <c r="E643" s="112" t="s">
        <v>1707</v>
      </c>
      <c r="F643" s="112" t="s">
        <v>1721</v>
      </c>
      <c r="G643" s="112">
        <v>10.3002786942325</v>
      </c>
      <c r="H643" s="112">
        <v>1.35114648872742</v>
      </c>
      <c r="I643" s="112">
        <v>1.4758540066688299</v>
      </c>
      <c r="J643" s="112" t="s">
        <v>848</v>
      </c>
      <c r="K643" s="112" t="s">
        <v>1797</v>
      </c>
      <c r="L643" s="112">
        <v>4.5529344004529203E-2</v>
      </c>
      <c r="M643" s="112">
        <v>2.9233383756134801E-3</v>
      </c>
      <c r="N643" s="112" t="s">
        <v>2333</v>
      </c>
      <c r="O643" s="112" t="s">
        <v>1710</v>
      </c>
      <c r="P643" s="112" t="s">
        <v>2334</v>
      </c>
      <c r="Q643" s="112" t="s">
        <v>2335</v>
      </c>
    </row>
    <row r="644" spans="1:18">
      <c r="A644" s="112" t="s">
        <v>2364</v>
      </c>
      <c r="B644" s="112" t="s">
        <v>1748</v>
      </c>
      <c r="C644" s="112" t="s">
        <v>1706</v>
      </c>
      <c r="D644" s="112">
        <v>80</v>
      </c>
      <c r="E644" s="112" t="s">
        <v>1707</v>
      </c>
      <c r="F644" s="112" t="s">
        <v>440</v>
      </c>
      <c r="G644" s="112">
        <v>-4.8332610937191998</v>
      </c>
      <c r="H644" s="112">
        <v>-2.5019367538906501</v>
      </c>
      <c r="I644" s="112">
        <v>0</v>
      </c>
      <c r="J644" s="112">
        <v>1</v>
      </c>
      <c r="K644" s="112" t="s">
        <v>1749</v>
      </c>
      <c r="L644" s="112">
        <v>4.8458603064194999E-2</v>
      </c>
      <c r="M644" s="112">
        <v>4.1444857883851001E-3</v>
      </c>
      <c r="N644" s="112" t="s">
        <v>2364</v>
      </c>
      <c r="O644" s="112" t="s">
        <v>1710</v>
      </c>
      <c r="P644" s="112" t="s">
        <v>2334</v>
      </c>
      <c r="Q644" s="112" t="s">
        <v>2365</v>
      </c>
    </row>
    <row r="645" spans="1:18">
      <c r="A645" s="112" t="s">
        <v>1510</v>
      </c>
      <c r="B645" s="112" t="s">
        <v>1705</v>
      </c>
      <c r="C645" s="112" t="s">
        <v>1706</v>
      </c>
      <c r="D645" s="112">
        <v>80</v>
      </c>
      <c r="E645" s="112" t="s">
        <v>1707</v>
      </c>
      <c r="F645" s="112" t="s">
        <v>1708</v>
      </c>
      <c r="G645" s="112">
        <v>-5.7620810775625104</v>
      </c>
      <c r="H645" s="112">
        <v>-3.37423151720047</v>
      </c>
      <c r="I645" s="112">
        <v>0</v>
      </c>
      <c r="J645" s="112">
        <v>1</v>
      </c>
      <c r="K645" s="112" t="s">
        <v>1709</v>
      </c>
      <c r="L645" s="112">
        <v>5.1465603685181801E-3</v>
      </c>
      <c r="M645" s="229">
        <v>2.8215791494068902E-4</v>
      </c>
      <c r="N645" s="112" t="s">
        <v>1510</v>
      </c>
      <c r="O645" s="112" t="s">
        <v>1817</v>
      </c>
      <c r="P645" s="112" t="s">
        <v>1512</v>
      </c>
      <c r="Q645" s="112" t="s">
        <v>1511</v>
      </c>
      <c r="R645" s="112" t="s">
        <v>2366</v>
      </c>
    </row>
    <row r="646" spans="1:18">
      <c r="A646" s="112" t="s">
        <v>1510</v>
      </c>
      <c r="B646" s="112" t="s">
        <v>1731</v>
      </c>
      <c r="C646" s="112" t="s">
        <v>1706</v>
      </c>
      <c r="D646" s="112">
        <v>30</v>
      </c>
      <c r="E646" s="112" t="s">
        <v>1707</v>
      </c>
      <c r="F646" s="112" t="s">
        <v>1708</v>
      </c>
      <c r="G646" s="112">
        <v>4.4025941156750399</v>
      </c>
      <c r="H646" s="112">
        <v>2.2092549259888101</v>
      </c>
      <c r="I646" s="112">
        <v>2.0656292974614301</v>
      </c>
      <c r="J646" s="112" t="s">
        <v>848</v>
      </c>
      <c r="K646" s="112" t="s">
        <v>1732</v>
      </c>
      <c r="L646" s="112">
        <v>1.1814027923593901E-2</v>
      </c>
      <c r="M646" s="229">
        <v>7.9046331010685104E-4</v>
      </c>
      <c r="N646" s="112" t="s">
        <v>1510</v>
      </c>
      <c r="O646" s="112" t="s">
        <v>1817</v>
      </c>
      <c r="P646" s="112" t="s">
        <v>1512</v>
      </c>
      <c r="Q646" s="112" t="s">
        <v>1511</v>
      </c>
      <c r="R646" s="112" t="s">
        <v>2366</v>
      </c>
    </row>
    <row r="647" spans="1:18">
      <c r="A647" s="112" t="s">
        <v>1514</v>
      </c>
      <c r="B647" s="112" t="s">
        <v>1731</v>
      </c>
      <c r="C647" s="112" t="s">
        <v>1706</v>
      </c>
      <c r="D647" s="112">
        <v>30</v>
      </c>
      <c r="E647" s="112" t="s">
        <v>1707</v>
      </c>
      <c r="F647" s="112" t="s">
        <v>1708</v>
      </c>
      <c r="G647" s="112">
        <v>5.17408994589944</v>
      </c>
      <c r="H647" s="112">
        <v>1.6702494253308899</v>
      </c>
      <c r="I647" s="112">
        <v>2.1919412741916999</v>
      </c>
      <c r="J647" s="112" t="s">
        <v>848</v>
      </c>
      <c r="K647" s="112" t="s">
        <v>1732</v>
      </c>
      <c r="L647" s="112">
        <v>3.4181703988062001E-2</v>
      </c>
      <c r="M647" s="112">
        <v>3.1186130837628301E-3</v>
      </c>
      <c r="N647" s="112" t="s">
        <v>1514</v>
      </c>
      <c r="O647" s="112" t="s">
        <v>1817</v>
      </c>
      <c r="P647" s="112" t="s">
        <v>1512</v>
      </c>
      <c r="Q647" s="112" t="s">
        <v>1511</v>
      </c>
      <c r="R647" s="112" t="s">
        <v>2366</v>
      </c>
    </row>
    <row r="648" spans="1:18">
      <c r="A648" s="112" t="s">
        <v>2367</v>
      </c>
      <c r="B648" s="112" t="s">
        <v>1720</v>
      </c>
      <c r="C648" s="112" t="s">
        <v>1706</v>
      </c>
      <c r="D648" s="112">
        <v>55</v>
      </c>
      <c r="E648" s="112" t="s">
        <v>1707</v>
      </c>
      <c r="F648" s="112" t="s">
        <v>1721</v>
      </c>
      <c r="G648" s="112">
        <v>3.6985311810868202</v>
      </c>
      <c r="H648" s="112">
        <v>1.8925809985992501</v>
      </c>
      <c r="I648" s="112">
        <v>1.47484417078074</v>
      </c>
      <c r="J648" s="112" t="s">
        <v>848</v>
      </c>
      <c r="K648" s="112" t="s">
        <v>1722</v>
      </c>
      <c r="L648" s="112">
        <v>3.7568463133131003E-2</v>
      </c>
      <c r="M648" s="112">
        <v>1.33878843402057E-3</v>
      </c>
      <c r="N648" s="112" t="s">
        <v>2367</v>
      </c>
      <c r="O648" s="112" t="s">
        <v>1710</v>
      </c>
      <c r="P648" s="112" t="s">
        <v>1724</v>
      </c>
      <c r="Q648" s="112" t="s">
        <v>2368</v>
      </c>
    </row>
    <row r="649" spans="1:18">
      <c r="A649" s="112" t="s">
        <v>2369</v>
      </c>
      <c r="B649" s="112" t="s">
        <v>1720</v>
      </c>
      <c r="C649" s="112" t="s">
        <v>1706</v>
      </c>
      <c r="D649" s="112">
        <v>55</v>
      </c>
      <c r="E649" s="112" t="s">
        <v>1707</v>
      </c>
      <c r="F649" s="112" t="s">
        <v>1721</v>
      </c>
      <c r="G649" s="112">
        <v>7.9173158355893802</v>
      </c>
      <c r="H649" s="112">
        <v>6.9268832742473903</v>
      </c>
      <c r="I649" s="112">
        <v>2.7433203759154399</v>
      </c>
      <c r="J649" s="112" t="s">
        <v>848</v>
      </c>
      <c r="K649" s="112" t="s">
        <v>1722</v>
      </c>
      <c r="L649" s="229">
        <v>1.4522786513303401E-6</v>
      </c>
      <c r="M649" s="229">
        <v>5.5734378066405599E-9</v>
      </c>
      <c r="N649" s="112" t="s">
        <v>2369</v>
      </c>
      <c r="O649" s="112" t="s">
        <v>1710</v>
      </c>
      <c r="P649" s="112" t="s">
        <v>2370</v>
      </c>
      <c r="Q649" s="112" t="s">
        <v>2371</v>
      </c>
    </row>
    <row r="650" spans="1:18">
      <c r="A650" s="112" t="s">
        <v>2372</v>
      </c>
      <c r="B650" s="112" t="s">
        <v>1748</v>
      </c>
      <c r="C650" s="112" t="s">
        <v>1706</v>
      </c>
      <c r="D650" s="112">
        <v>80</v>
      </c>
      <c r="E650" s="112" t="s">
        <v>1707</v>
      </c>
      <c r="F650" s="112" t="s">
        <v>440</v>
      </c>
      <c r="G650" s="112">
        <v>2.9093436390982399</v>
      </c>
      <c r="H650" s="112">
        <v>2.1982103806225699</v>
      </c>
      <c r="I650" s="112">
        <v>2.4482140085303201</v>
      </c>
      <c r="J650" s="112" t="s">
        <v>848</v>
      </c>
      <c r="K650" s="112" t="s">
        <v>1749</v>
      </c>
      <c r="L650" s="112">
        <v>2.5003462167012099E-2</v>
      </c>
      <c r="M650" s="112">
        <v>1.5490083469694999E-3</v>
      </c>
      <c r="N650" s="112" t="s">
        <v>2372</v>
      </c>
      <c r="O650" s="112" t="s">
        <v>1710</v>
      </c>
      <c r="P650" s="112" t="s">
        <v>2370</v>
      </c>
      <c r="Q650" s="112" t="s">
        <v>2373</v>
      </c>
    </row>
    <row r="651" spans="1:18">
      <c r="A651" s="112" t="s">
        <v>2374</v>
      </c>
      <c r="B651" s="112" t="s">
        <v>1755</v>
      </c>
      <c r="C651" s="112" t="s">
        <v>1706</v>
      </c>
      <c r="D651" s="112">
        <v>30</v>
      </c>
      <c r="E651" s="112" t="s">
        <v>1707</v>
      </c>
      <c r="F651" s="112" t="s">
        <v>1721</v>
      </c>
      <c r="G651" s="112">
        <v>-6.5700165634015004</v>
      </c>
      <c r="H651" s="112">
        <v>-2.68959737551365</v>
      </c>
      <c r="I651" s="112">
        <v>0</v>
      </c>
      <c r="J651" s="112">
        <v>1</v>
      </c>
      <c r="K651" s="112" t="s">
        <v>1756</v>
      </c>
      <c r="L651" s="112">
        <v>3.79527964598175E-2</v>
      </c>
      <c r="M651" s="112">
        <v>3.1677612307478898E-3</v>
      </c>
      <c r="N651" s="112" t="s">
        <v>2374</v>
      </c>
      <c r="O651" s="112" t="s">
        <v>1710</v>
      </c>
      <c r="P651" s="112" t="s">
        <v>2370</v>
      </c>
      <c r="Q651" s="112" t="s">
        <v>2375</v>
      </c>
    </row>
    <row r="652" spans="1:18">
      <c r="A652" s="112" t="s">
        <v>2369</v>
      </c>
      <c r="B652" s="112" t="s">
        <v>1748</v>
      </c>
      <c r="C652" s="112" t="s">
        <v>1706</v>
      </c>
      <c r="D652" s="112">
        <v>80</v>
      </c>
      <c r="E652" s="112" t="s">
        <v>1707</v>
      </c>
      <c r="F652" s="112" t="s">
        <v>440</v>
      </c>
      <c r="G652" s="112">
        <v>-6.1445463969024603</v>
      </c>
      <c r="H652" s="112">
        <v>-2.53814717799143</v>
      </c>
      <c r="I652" s="112">
        <v>0</v>
      </c>
      <c r="J652" s="112">
        <v>1</v>
      </c>
      <c r="K652" s="112" t="s">
        <v>1749</v>
      </c>
      <c r="L652" s="112">
        <v>4.7436807278117402E-2</v>
      </c>
      <c r="M652" s="112">
        <v>4.0310883377786197E-3</v>
      </c>
      <c r="N652" s="112" t="s">
        <v>2369</v>
      </c>
      <c r="O652" s="112" t="s">
        <v>1710</v>
      </c>
      <c r="P652" s="112" t="s">
        <v>2370</v>
      </c>
      <c r="Q652" s="112" t="s">
        <v>2371</v>
      </c>
    </row>
    <row r="653" spans="1:18">
      <c r="A653" s="112" t="s">
        <v>2376</v>
      </c>
      <c r="B653" s="112" t="s">
        <v>1796</v>
      </c>
      <c r="C653" s="112" t="s">
        <v>1706</v>
      </c>
      <c r="D653" s="112">
        <v>80</v>
      </c>
      <c r="E653" s="112" t="s">
        <v>1707</v>
      </c>
      <c r="F653" s="112" t="s">
        <v>1721</v>
      </c>
      <c r="G653" s="112">
        <v>6.6069675057579902</v>
      </c>
      <c r="H653" s="112">
        <v>1.7149698796989401</v>
      </c>
      <c r="I653" s="112">
        <v>3.2193061884746199</v>
      </c>
      <c r="J653" s="112" t="s">
        <v>848</v>
      </c>
      <c r="K653" s="112" t="s">
        <v>1797</v>
      </c>
      <c r="L653" s="112">
        <v>4.9289594321308798E-2</v>
      </c>
      <c r="M653" s="112">
        <v>3.5727664522842198E-3</v>
      </c>
      <c r="N653" s="112" t="s">
        <v>2376</v>
      </c>
      <c r="O653" s="112" t="s">
        <v>1710</v>
      </c>
      <c r="P653" s="112" t="s">
        <v>2370</v>
      </c>
      <c r="Q653" s="112" t="s">
        <v>2377</v>
      </c>
    </row>
    <row r="654" spans="1:18">
      <c r="A654" s="112" t="s">
        <v>2378</v>
      </c>
      <c r="B654" s="112" t="s">
        <v>1705</v>
      </c>
      <c r="C654" s="112" t="s">
        <v>1706</v>
      </c>
      <c r="D654" s="112">
        <v>80</v>
      </c>
      <c r="E654" s="112" t="s">
        <v>1707</v>
      </c>
      <c r="F654" s="112" t="s">
        <v>1708</v>
      </c>
      <c r="G654" s="112">
        <v>4.1332853692644198</v>
      </c>
      <c r="H654" s="112">
        <v>2.93203301357065</v>
      </c>
      <c r="I654" s="112">
        <v>1.2932339254735301</v>
      </c>
      <c r="J654" s="112" t="s">
        <v>848</v>
      </c>
      <c r="K654" s="112" t="s">
        <v>1709</v>
      </c>
      <c r="L654" s="112">
        <v>5.6851179804044702E-3</v>
      </c>
      <c r="M654" s="229">
        <v>3.2103462279696303E-4</v>
      </c>
      <c r="N654" s="112" t="s">
        <v>2378</v>
      </c>
      <c r="O654" s="112" t="s">
        <v>1710</v>
      </c>
      <c r="P654" s="112" t="s">
        <v>2379</v>
      </c>
      <c r="Q654" s="112" t="s">
        <v>2380</v>
      </c>
      <c r="R654" s="112" t="s">
        <v>2190</v>
      </c>
    </row>
    <row r="655" spans="1:18">
      <c r="A655" s="112" t="s">
        <v>2378</v>
      </c>
      <c r="B655" s="112" t="s">
        <v>1796</v>
      </c>
      <c r="C655" s="112" t="s">
        <v>1706</v>
      </c>
      <c r="D655" s="112">
        <v>80</v>
      </c>
      <c r="E655" s="112" t="s">
        <v>1707</v>
      </c>
      <c r="F655" s="112" t="s">
        <v>1721</v>
      </c>
      <c r="G655" s="112">
        <v>4.7212914445924703</v>
      </c>
      <c r="H655" s="112">
        <v>2.5249417120528399</v>
      </c>
      <c r="I655" s="112">
        <v>1.7660783041838399</v>
      </c>
      <c r="J655" s="112" t="s">
        <v>848</v>
      </c>
      <c r="K655" s="112" t="s">
        <v>1797</v>
      </c>
      <c r="L655" s="112">
        <v>2.4455794360203301E-2</v>
      </c>
      <c r="M655" s="112">
        <v>1.0441014390621501E-3</v>
      </c>
      <c r="N655" s="112" t="s">
        <v>2378</v>
      </c>
      <c r="O655" s="112" t="s">
        <v>1710</v>
      </c>
      <c r="P655" s="112" t="s">
        <v>2379</v>
      </c>
      <c r="Q655" s="112" t="s">
        <v>2380</v>
      </c>
      <c r="R655" s="112" t="s">
        <v>2190</v>
      </c>
    </row>
    <row r="656" spans="1:18">
      <c r="A656" s="112" t="s">
        <v>2378</v>
      </c>
      <c r="B656" s="112" t="s">
        <v>1748</v>
      </c>
      <c r="C656" s="112" t="s">
        <v>1706</v>
      </c>
      <c r="D656" s="112">
        <v>80</v>
      </c>
      <c r="E656" s="112" t="s">
        <v>1707</v>
      </c>
      <c r="F656" s="112" t="s">
        <v>440</v>
      </c>
      <c r="G656" s="112">
        <v>4.3678295979686501</v>
      </c>
      <c r="H656" s="112">
        <v>2.7454057273129</v>
      </c>
      <c r="I656" s="112">
        <v>1.65859062373017</v>
      </c>
      <c r="J656" s="112" t="s">
        <v>848</v>
      </c>
      <c r="K656" s="112" t="s">
        <v>1749</v>
      </c>
      <c r="L656" s="112">
        <v>2.9059072482725299E-2</v>
      </c>
      <c r="M656" s="112">
        <v>1.9725936341486298E-3</v>
      </c>
      <c r="N656" s="112" t="s">
        <v>2378</v>
      </c>
      <c r="O656" s="112" t="s">
        <v>1710</v>
      </c>
      <c r="P656" s="112" t="s">
        <v>2379</v>
      </c>
      <c r="Q656" s="112" t="s">
        <v>2380</v>
      </c>
      <c r="R656" s="112" t="s">
        <v>2190</v>
      </c>
    </row>
    <row r="657" spans="1:18">
      <c r="A657" s="112" t="s">
        <v>2381</v>
      </c>
      <c r="B657" s="112" t="s">
        <v>1705</v>
      </c>
      <c r="C657" s="112" t="s">
        <v>1706</v>
      </c>
      <c r="D657" s="112">
        <v>80</v>
      </c>
      <c r="E657" s="112" t="s">
        <v>1707</v>
      </c>
      <c r="F657" s="112" t="s">
        <v>1708</v>
      </c>
      <c r="G657" s="112">
        <v>-4.1616914597985302</v>
      </c>
      <c r="H657" s="112">
        <v>-2.8892132423732999</v>
      </c>
      <c r="I657" s="112">
        <v>0</v>
      </c>
      <c r="J657" s="112">
        <v>1</v>
      </c>
      <c r="K657" s="112" t="s">
        <v>1709</v>
      </c>
      <c r="L657" s="112">
        <v>7.04107028773957E-3</v>
      </c>
      <c r="M657" s="112">
        <v>4.28486185273625E-4</v>
      </c>
      <c r="N657" s="112" t="s">
        <v>2381</v>
      </c>
      <c r="O657" s="112" t="s">
        <v>2033</v>
      </c>
      <c r="P657" s="112" t="s">
        <v>2382</v>
      </c>
      <c r="Q657" s="112" t="s">
        <v>2383</v>
      </c>
    </row>
    <row r="658" spans="1:18">
      <c r="A658" s="112" t="s">
        <v>2384</v>
      </c>
      <c r="B658" s="112" t="s">
        <v>1762</v>
      </c>
      <c r="C658" s="112" t="s">
        <v>1706</v>
      </c>
      <c r="D658" s="112">
        <v>55</v>
      </c>
      <c r="E658" s="112" t="s">
        <v>1707</v>
      </c>
      <c r="F658" s="112" t="s">
        <v>1708</v>
      </c>
      <c r="G658" s="112">
        <v>3.1978471731397899</v>
      </c>
      <c r="H658" s="112">
        <v>2.3316101409552701</v>
      </c>
      <c r="I658" s="112">
        <v>1.5724145211910801</v>
      </c>
      <c r="J658" s="112" t="s">
        <v>848</v>
      </c>
      <c r="K658" s="112" t="s">
        <v>1763</v>
      </c>
      <c r="L658" s="112">
        <v>7.0686028624181597E-3</v>
      </c>
      <c r="M658" s="229">
        <v>1.6983006877238399E-4</v>
      </c>
      <c r="N658" s="112" t="s">
        <v>2384</v>
      </c>
      <c r="O658" s="112" t="s">
        <v>2033</v>
      </c>
      <c r="P658" s="112" t="s">
        <v>2382</v>
      </c>
      <c r="Q658" s="112" t="s">
        <v>2385</v>
      </c>
    </row>
    <row r="659" spans="1:18">
      <c r="A659" s="112" t="s">
        <v>2386</v>
      </c>
      <c r="B659" s="112" t="s">
        <v>1705</v>
      </c>
      <c r="C659" s="112" t="s">
        <v>1706</v>
      </c>
      <c r="D659" s="112">
        <v>80</v>
      </c>
      <c r="E659" s="112" t="s">
        <v>1707</v>
      </c>
      <c r="F659" s="112" t="s">
        <v>1708</v>
      </c>
      <c r="G659" s="112">
        <v>-4.2833007479855096</v>
      </c>
      <c r="H659" s="112">
        <v>-2.8014991832406801</v>
      </c>
      <c r="I659" s="112">
        <v>0</v>
      </c>
      <c r="J659" s="112">
        <v>1</v>
      </c>
      <c r="K659" s="112" t="s">
        <v>1709</v>
      </c>
      <c r="L659" s="112">
        <v>1.0033177779341601E-2</v>
      </c>
      <c r="M659" s="229">
        <v>7.6458975401781095E-4</v>
      </c>
      <c r="N659" s="112" t="s">
        <v>2386</v>
      </c>
      <c r="O659" s="112" t="s">
        <v>2033</v>
      </c>
      <c r="P659" s="112" t="s">
        <v>2382</v>
      </c>
      <c r="Q659" s="112" t="s">
        <v>2387</v>
      </c>
    </row>
    <row r="660" spans="1:18">
      <c r="A660" s="112" t="s">
        <v>2388</v>
      </c>
      <c r="B660" s="112" t="s">
        <v>1755</v>
      </c>
      <c r="C660" s="112" t="s">
        <v>1706</v>
      </c>
      <c r="D660" s="112">
        <v>30</v>
      </c>
      <c r="E660" s="112" t="s">
        <v>1707</v>
      </c>
      <c r="F660" s="112" t="s">
        <v>1721</v>
      </c>
      <c r="G660" s="112">
        <v>-7.5276044019420603</v>
      </c>
      <c r="H660" s="112">
        <v>-3.6858460573726202</v>
      </c>
      <c r="I660" s="112">
        <v>0</v>
      </c>
      <c r="J660" s="112">
        <v>1</v>
      </c>
      <c r="K660" s="112" t="s">
        <v>1756</v>
      </c>
      <c r="L660" s="112">
        <v>1.35435250253095E-2</v>
      </c>
      <c r="M660" s="229">
        <v>6.5589579048244803E-4</v>
      </c>
      <c r="N660" s="112" t="s">
        <v>2388</v>
      </c>
      <c r="O660" s="112" t="s">
        <v>2033</v>
      </c>
      <c r="P660" s="112" t="s">
        <v>2382</v>
      </c>
      <c r="Q660" s="112" t="s">
        <v>2389</v>
      </c>
    </row>
    <row r="661" spans="1:18">
      <c r="A661" s="112" t="s">
        <v>2390</v>
      </c>
      <c r="B661" s="112" t="s">
        <v>1705</v>
      </c>
      <c r="C661" s="112" t="s">
        <v>1706</v>
      </c>
      <c r="D661" s="112">
        <v>80</v>
      </c>
      <c r="E661" s="112" t="s">
        <v>1707</v>
      </c>
      <c r="F661" s="112" t="s">
        <v>1708</v>
      </c>
      <c r="G661" s="112">
        <v>2.01859470821798</v>
      </c>
      <c r="H661" s="112">
        <v>1.4857032054641901</v>
      </c>
      <c r="I661" s="112">
        <v>1.4448896213353699</v>
      </c>
      <c r="J661" s="112" t="s">
        <v>848</v>
      </c>
      <c r="K661" s="112" t="s">
        <v>1709</v>
      </c>
      <c r="L661" s="112">
        <v>4.4312484439014602E-2</v>
      </c>
      <c r="M661" s="112">
        <v>6.48653143926365E-3</v>
      </c>
      <c r="N661" s="112" t="s">
        <v>2390</v>
      </c>
      <c r="O661" s="112" t="s">
        <v>2033</v>
      </c>
      <c r="P661" s="112" t="s">
        <v>2382</v>
      </c>
      <c r="Q661" s="112" t="s">
        <v>2391</v>
      </c>
      <c r="R661" s="112" t="s">
        <v>2392</v>
      </c>
    </row>
    <row r="662" spans="1:18">
      <c r="A662" s="112" t="s">
        <v>2393</v>
      </c>
      <c r="B662" s="112" t="s">
        <v>1705</v>
      </c>
      <c r="C662" s="112" t="s">
        <v>1706</v>
      </c>
      <c r="D662" s="112">
        <v>80</v>
      </c>
      <c r="E662" s="112" t="s">
        <v>1707</v>
      </c>
      <c r="F662" s="112" t="s">
        <v>1708</v>
      </c>
      <c r="G662" s="112">
        <v>2.87709264702525</v>
      </c>
      <c r="H662" s="112">
        <v>2.7152325180456698</v>
      </c>
      <c r="I662" s="112">
        <v>1.4213724974464199</v>
      </c>
      <c r="J662" s="112" t="s">
        <v>848</v>
      </c>
      <c r="K662" s="112" t="s">
        <v>1709</v>
      </c>
      <c r="L662" s="229">
        <v>1.7871812202397198E-8</v>
      </c>
      <c r="M662" s="229">
        <v>1.0777956920305301E-10</v>
      </c>
      <c r="N662" s="112" t="s">
        <v>2393</v>
      </c>
      <c r="O662" s="112" t="s">
        <v>2394</v>
      </c>
      <c r="P662" s="112" t="s">
        <v>2395</v>
      </c>
      <c r="Q662" s="112" t="s">
        <v>2396</v>
      </c>
    </row>
    <row r="663" spans="1:18">
      <c r="A663" s="112" t="s">
        <v>2393</v>
      </c>
      <c r="B663" s="112" t="s">
        <v>1796</v>
      </c>
      <c r="C663" s="112" t="s">
        <v>1706</v>
      </c>
      <c r="D663" s="112">
        <v>80</v>
      </c>
      <c r="E663" s="112" t="s">
        <v>1707</v>
      </c>
      <c r="F663" s="112" t="s">
        <v>1721</v>
      </c>
      <c r="G663" s="112">
        <v>3.1156104097191202</v>
      </c>
      <c r="H663" s="112">
        <v>2.88673941153619</v>
      </c>
      <c r="I663" s="112">
        <v>1.6415316145424601</v>
      </c>
      <c r="J663" s="112" t="s">
        <v>848</v>
      </c>
      <c r="K663" s="112" t="s">
        <v>1797</v>
      </c>
      <c r="L663" s="229">
        <v>1.26743836370704E-5</v>
      </c>
      <c r="M663" s="229">
        <v>4.6872720551295903E-8</v>
      </c>
      <c r="N663" s="112" t="s">
        <v>2393</v>
      </c>
      <c r="O663" s="112" t="s">
        <v>2394</v>
      </c>
      <c r="P663" s="112" t="s">
        <v>2395</v>
      </c>
      <c r="Q663" s="112" t="s">
        <v>2396</v>
      </c>
    </row>
    <row r="664" spans="1:18">
      <c r="A664" s="112" t="s">
        <v>2397</v>
      </c>
      <c r="B664" s="112" t="s">
        <v>1735</v>
      </c>
      <c r="C664" s="112" t="s">
        <v>1706</v>
      </c>
      <c r="D664" s="112">
        <v>30</v>
      </c>
      <c r="E664" s="112" t="s">
        <v>1707</v>
      </c>
      <c r="F664" s="112" t="s">
        <v>440</v>
      </c>
      <c r="G664" s="112">
        <v>6.9905016832887199</v>
      </c>
      <c r="H664" s="112">
        <v>5.2694740426162996</v>
      </c>
      <c r="I664" s="112">
        <v>2.9461920381714299</v>
      </c>
      <c r="J664" s="112" t="s">
        <v>848</v>
      </c>
      <c r="K664" s="112" t="s">
        <v>1736</v>
      </c>
      <c r="L664" s="229">
        <v>5.9992600152617399E-5</v>
      </c>
      <c r="M664" s="229">
        <v>2.6312543926586498E-7</v>
      </c>
      <c r="N664" s="112" t="s">
        <v>2397</v>
      </c>
      <c r="O664" s="112" t="s">
        <v>2394</v>
      </c>
      <c r="P664" s="112" t="s">
        <v>2395</v>
      </c>
      <c r="Q664" s="112" t="s">
        <v>2398</v>
      </c>
    </row>
    <row r="665" spans="1:18">
      <c r="A665" s="112" t="s">
        <v>2399</v>
      </c>
      <c r="B665" s="112" t="s">
        <v>1705</v>
      </c>
      <c r="C665" s="112" t="s">
        <v>1706</v>
      </c>
      <c r="D665" s="112">
        <v>80</v>
      </c>
      <c r="E665" s="112" t="s">
        <v>1707</v>
      </c>
      <c r="F665" s="112" t="s">
        <v>1708</v>
      </c>
      <c r="G665" s="112">
        <v>3.6993063640309201</v>
      </c>
      <c r="H665" s="112">
        <v>3.0945111065683801</v>
      </c>
      <c r="I665" s="112">
        <v>1.87280360378335</v>
      </c>
      <c r="J665" s="112" t="s">
        <v>848</v>
      </c>
      <c r="K665" s="112" t="s">
        <v>1709</v>
      </c>
      <c r="L665" s="229">
        <v>2.9841795697234499E-4</v>
      </c>
      <c r="M665" s="229">
        <v>7.1924347424961504E-6</v>
      </c>
      <c r="N665" s="112" t="s">
        <v>2399</v>
      </c>
      <c r="O665" s="112" t="s">
        <v>2394</v>
      </c>
      <c r="P665" s="112" t="s">
        <v>2395</v>
      </c>
      <c r="Q665" s="112" t="s">
        <v>2400</v>
      </c>
    </row>
    <row r="666" spans="1:18">
      <c r="A666" s="112" t="s">
        <v>2401</v>
      </c>
      <c r="B666" s="112" t="s">
        <v>1705</v>
      </c>
      <c r="C666" s="112" t="s">
        <v>1706</v>
      </c>
      <c r="D666" s="112">
        <v>80</v>
      </c>
      <c r="E666" s="112" t="s">
        <v>1707</v>
      </c>
      <c r="F666" s="112" t="s">
        <v>1708</v>
      </c>
      <c r="G666" s="112">
        <v>3.8025729879677401</v>
      </c>
      <c r="H666" s="112">
        <v>3.05921018902287</v>
      </c>
      <c r="I666" s="112">
        <v>1.86577332435758</v>
      </c>
      <c r="J666" s="112" t="s">
        <v>848</v>
      </c>
      <c r="K666" s="112" t="s">
        <v>1709</v>
      </c>
      <c r="L666" s="229">
        <v>9.9564524935698805E-4</v>
      </c>
      <c r="M666" s="229">
        <v>3.0568055901311001E-5</v>
      </c>
      <c r="N666" s="112" t="s">
        <v>2401</v>
      </c>
      <c r="O666" s="112" t="s">
        <v>2394</v>
      </c>
      <c r="P666" s="112" t="s">
        <v>2395</v>
      </c>
      <c r="Q666" s="112" t="s">
        <v>2402</v>
      </c>
    </row>
    <row r="667" spans="1:18">
      <c r="A667" s="112" t="s">
        <v>2393</v>
      </c>
      <c r="B667" s="112" t="s">
        <v>1748</v>
      </c>
      <c r="C667" s="112" t="s">
        <v>1706</v>
      </c>
      <c r="D667" s="112">
        <v>80</v>
      </c>
      <c r="E667" s="112" t="s">
        <v>1707</v>
      </c>
      <c r="F667" s="112" t="s">
        <v>440</v>
      </c>
      <c r="G667" s="112">
        <v>2.2012418847236401</v>
      </c>
      <c r="H667" s="112">
        <v>1.97366975925372</v>
      </c>
      <c r="I667" s="112">
        <v>0.90672808457583998</v>
      </c>
      <c r="J667" s="112" t="s">
        <v>848</v>
      </c>
      <c r="K667" s="112" t="s">
        <v>1749</v>
      </c>
      <c r="L667" s="112">
        <v>1.61391559782082E-3</v>
      </c>
      <c r="M667" s="229">
        <v>3.2738419473339097E-5</v>
      </c>
      <c r="N667" s="112" t="s">
        <v>2393</v>
      </c>
      <c r="O667" s="112" t="s">
        <v>2394</v>
      </c>
      <c r="P667" s="112" t="s">
        <v>2395</v>
      </c>
      <c r="Q667" s="112" t="s">
        <v>2396</v>
      </c>
    </row>
    <row r="668" spans="1:18">
      <c r="A668" s="112" t="s">
        <v>2397</v>
      </c>
      <c r="B668" s="112" t="s">
        <v>1705</v>
      </c>
      <c r="C668" s="112" t="s">
        <v>1706</v>
      </c>
      <c r="D668" s="112">
        <v>80</v>
      </c>
      <c r="E668" s="112" t="s">
        <v>1707</v>
      </c>
      <c r="F668" s="112" t="s">
        <v>1708</v>
      </c>
      <c r="G668" s="112">
        <v>-5.5791589447697101</v>
      </c>
      <c r="H668" s="112">
        <v>-3.6652700209756599</v>
      </c>
      <c r="I668" s="112">
        <v>0</v>
      </c>
      <c r="J668" s="112">
        <v>1</v>
      </c>
      <c r="K668" s="112" t="s">
        <v>1709</v>
      </c>
      <c r="L668" s="112">
        <v>1.9059568912610199E-3</v>
      </c>
      <c r="M668" s="229">
        <v>7.5235140444514099E-5</v>
      </c>
      <c r="N668" s="112" t="s">
        <v>2397</v>
      </c>
      <c r="O668" s="112" t="s">
        <v>2394</v>
      </c>
      <c r="P668" s="112" t="s">
        <v>2395</v>
      </c>
      <c r="Q668" s="112" t="s">
        <v>2398</v>
      </c>
    </row>
    <row r="669" spans="1:18">
      <c r="A669" s="112" t="s">
        <v>2403</v>
      </c>
      <c r="B669" s="112" t="s">
        <v>1731</v>
      </c>
      <c r="C669" s="112" t="s">
        <v>1706</v>
      </c>
      <c r="D669" s="112">
        <v>30</v>
      </c>
      <c r="E669" s="112" t="s">
        <v>1707</v>
      </c>
      <c r="F669" s="112" t="s">
        <v>1708</v>
      </c>
      <c r="G669" s="112">
        <v>-4.6336773392330404</v>
      </c>
      <c r="H669" s="112">
        <v>-2.8997854837973001</v>
      </c>
      <c r="I669" s="112">
        <v>0</v>
      </c>
      <c r="J669" s="112">
        <v>1</v>
      </c>
      <c r="K669" s="112" t="s">
        <v>1732</v>
      </c>
      <c r="L669" s="112">
        <v>2.8500880472192001E-3</v>
      </c>
      <c r="M669" s="229">
        <v>1.0874739766814101E-4</v>
      </c>
      <c r="N669" s="112" t="s">
        <v>2403</v>
      </c>
      <c r="O669" s="112" t="s">
        <v>2394</v>
      </c>
      <c r="P669" s="112" t="s">
        <v>2395</v>
      </c>
      <c r="Q669" s="112" t="s">
        <v>2404</v>
      </c>
    </row>
    <row r="670" spans="1:18">
      <c r="A670" s="112" t="s">
        <v>2403</v>
      </c>
      <c r="B670" s="112" t="s">
        <v>1705</v>
      </c>
      <c r="C670" s="112" t="s">
        <v>1706</v>
      </c>
      <c r="D670" s="112">
        <v>80</v>
      </c>
      <c r="E670" s="112" t="s">
        <v>1707</v>
      </c>
      <c r="F670" s="112" t="s">
        <v>1708</v>
      </c>
      <c r="G670" s="112">
        <v>2.9568861052700202</v>
      </c>
      <c r="H670" s="112">
        <v>2.43621344175684</v>
      </c>
      <c r="I670" s="112">
        <v>1.3311281688165699</v>
      </c>
      <c r="J670" s="112" t="s">
        <v>848</v>
      </c>
      <c r="K670" s="112" t="s">
        <v>1709</v>
      </c>
      <c r="L670" s="112">
        <v>3.3558762943948798E-3</v>
      </c>
      <c r="M670" s="229">
        <v>1.7054517494736001E-4</v>
      </c>
      <c r="N670" s="112" t="s">
        <v>2403</v>
      </c>
      <c r="O670" s="112" t="s">
        <v>2394</v>
      </c>
      <c r="P670" s="112" t="s">
        <v>2395</v>
      </c>
      <c r="Q670" s="112" t="s">
        <v>2404</v>
      </c>
    </row>
    <row r="671" spans="1:18">
      <c r="A671" s="112" t="s">
        <v>2393</v>
      </c>
      <c r="B671" s="112" t="s">
        <v>1755</v>
      </c>
      <c r="C671" s="112" t="s">
        <v>1706</v>
      </c>
      <c r="D671" s="112">
        <v>30</v>
      </c>
      <c r="E671" s="112" t="s">
        <v>1707</v>
      </c>
      <c r="F671" s="112" t="s">
        <v>1721</v>
      </c>
      <c r="G671" s="112">
        <v>-8.0079768212121802</v>
      </c>
      <c r="H671" s="112">
        <v>-4.7390773258852104</v>
      </c>
      <c r="I671" s="112">
        <v>0</v>
      </c>
      <c r="J671" s="112">
        <v>1</v>
      </c>
      <c r="K671" s="112" t="s">
        <v>1756</v>
      </c>
      <c r="L671" s="112">
        <v>4.49647755510131E-3</v>
      </c>
      <c r="M671" s="229">
        <v>1.14377807442958E-4</v>
      </c>
      <c r="N671" s="112" t="s">
        <v>2393</v>
      </c>
      <c r="O671" s="112" t="s">
        <v>2394</v>
      </c>
      <c r="P671" s="112" t="s">
        <v>2395</v>
      </c>
      <c r="Q671" s="112" t="s">
        <v>2396</v>
      </c>
    </row>
    <row r="672" spans="1:18">
      <c r="A672" s="112" t="s">
        <v>2405</v>
      </c>
      <c r="B672" s="112" t="s">
        <v>1748</v>
      </c>
      <c r="C672" s="112" t="s">
        <v>1706</v>
      </c>
      <c r="D672" s="112">
        <v>80</v>
      </c>
      <c r="E672" s="112" t="s">
        <v>1707</v>
      </c>
      <c r="F672" s="112" t="s">
        <v>440</v>
      </c>
      <c r="G672" s="112">
        <v>-2.84375315304999</v>
      </c>
      <c r="H672" s="112">
        <v>-2.43067624065189</v>
      </c>
      <c r="I672" s="112">
        <v>-3.3885857246151798</v>
      </c>
      <c r="J672" s="112" t="s">
        <v>848</v>
      </c>
      <c r="K672" s="112" t="s">
        <v>1749</v>
      </c>
      <c r="L672" s="112">
        <v>4.6897991899919299E-3</v>
      </c>
      <c r="M672" s="229">
        <v>1.4331748257614401E-4</v>
      </c>
      <c r="N672" s="112" t="s">
        <v>2405</v>
      </c>
      <c r="O672" s="112" t="s">
        <v>2394</v>
      </c>
      <c r="P672" s="112" t="s">
        <v>2395</v>
      </c>
      <c r="Q672" s="112" t="s">
        <v>2406</v>
      </c>
    </row>
    <row r="673" spans="1:17">
      <c r="A673" s="112" t="s">
        <v>2407</v>
      </c>
      <c r="B673" s="112" t="s">
        <v>1731</v>
      </c>
      <c r="C673" s="112" t="s">
        <v>1706</v>
      </c>
      <c r="D673" s="112">
        <v>30</v>
      </c>
      <c r="E673" s="112" t="s">
        <v>1707</v>
      </c>
      <c r="F673" s="112" t="s">
        <v>1708</v>
      </c>
      <c r="G673" s="112">
        <v>-4.9650013483375801</v>
      </c>
      <c r="H673" s="112">
        <v>-2.8145813007614202</v>
      </c>
      <c r="I673" s="112">
        <v>0</v>
      </c>
      <c r="J673" s="112">
        <v>1</v>
      </c>
      <c r="K673" s="112" t="s">
        <v>1732</v>
      </c>
      <c r="L673" s="112">
        <v>4.7186036504611997E-3</v>
      </c>
      <c r="M673" s="229">
        <v>2.0629825180871699E-4</v>
      </c>
      <c r="N673" s="112" t="s">
        <v>2407</v>
      </c>
      <c r="O673" s="112" t="s">
        <v>2394</v>
      </c>
      <c r="P673" s="112" t="s">
        <v>2395</v>
      </c>
      <c r="Q673" s="112" t="s">
        <v>2408</v>
      </c>
    </row>
    <row r="674" spans="1:17">
      <c r="A674" s="112" t="s">
        <v>2397</v>
      </c>
      <c r="B674" s="112" t="s">
        <v>1748</v>
      </c>
      <c r="C674" s="112" t="s">
        <v>1706</v>
      </c>
      <c r="D674" s="112">
        <v>80</v>
      </c>
      <c r="E674" s="112" t="s">
        <v>1707</v>
      </c>
      <c r="F674" s="112" t="s">
        <v>440</v>
      </c>
      <c r="G674" s="112">
        <v>-7.1148282518295201</v>
      </c>
      <c r="H674" s="112">
        <v>-4.2752734671614396</v>
      </c>
      <c r="I674" s="112">
        <v>0</v>
      </c>
      <c r="J674" s="112">
        <v>1</v>
      </c>
      <c r="K674" s="112" t="s">
        <v>1749</v>
      </c>
      <c r="L674" s="112">
        <v>4.7591819251732604E-3</v>
      </c>
      <c r="M674" s="229">
        <v>1.5133363577853501E-4</v>
      </c>
      <c r="N674" s="112" t="s">
        <v>2397</v>
      </c>
      <c r="O674" s="112" t="s">
        <v>2394</v>
      </c>
      <c r="P674" s="112" t="s">
        <v>2395</v>
      </c>
      <c r="Q674" s="112" t="s">
        <v>2398</v>
      </c>
    </row>
    <row r="675" spans="1:17">
      <c r="A675" s="112" t="s">
        <v>2397</v>
      </c>
      <c r="B675" s="112" t="s">
        <v>1731</v>
      </c>
      <c r="C675" s="112" t="s">
        <v>1706</v>
      </c>
      <c r="D675" s="112">
        <v>30</v>
      </c>
      <c r="E675" s="112" t="s">
        <v>1707</v>
      </c>
      <c r="F675" s="112" t="s">
        <v>1708</v>
      </c>
      <c r="G675" s="112">
        <v>3.7971595473641502</v>
      </c>
      <c r="H675" s="112">
        <v>2.2233918743999501</v>
      </c>
      <c r="I675" s="112">
        <v>-9.64090029070752E-2</v>
      </c>
      <c r="J675" s="112" t="s">
        <v>848</v>
      </c>
      <c r="K675" s="112" t="s">
        <v>1732</v>
      </c>
      <c r="L675" s="112">
        <v>8.7531290283846801E-3</v>
      </c>
      <c r="M675" s="229">
        <v>5.0015597397270605E-4</v>
      </c>
      <c r="N675" s="112" t="s">
        <v>2397</v>
      </c>
      <c r="O675" s="112" t="s">
        <v>2394</v>
      </c>
      <c r="P675" s="112" t="s">
        <v>2395</v>
      </c>
      <c r="Q675" s="112" t="s">
        <v>2398</v>
      </c>
    </row>
    <row r="676" spans="1:17">
      <c r="A676" s="112" t="s">
        <v>2409</v>
      </c>
      <c r="B676" s="112" t="s">
        <v>1705</v>
      </c>
      <c r="C676" s="112" t="s">
        <v>1706</v>
      </c>
      <c r="D676" s="112">
        <v>80</v>
      </c>
      <c r="E676" s="112" t="s">
        <v>1707</v>
      </c>
      <c r="F676" s="112" t="s">
        <v>1708</v>
      </c>
      <c r="G676" s="112">
        <v>-3.4838980324826498</v>
      </c>
      <c r="H676" s="112">
        <v>-2.5479413137543401</v>
      </c>
      <c r="I676" s="112">
        <v>-6.2858596500882404</v>
      </c>
      <c r="J676" s="112" t="s">
        <v>848</v>
      </c>
      <c r="K676" s="112" t="s">
        <v>1709</v>
      </c>
      <c r="L676" s="112">
        <v>9.4052863317448995E-3</v>
      </c>
      <c r="M676" s="229">
        <v>6.9579187795752598E-4</v>
      </c>
      <c r="N676" s="112" t="s">
        <v>2409</v>
      </c>
      <c r="O676" s="112" t="s">
        <v>2394</v>
      </c>
      <c r="P676" s="112" t="s">
        <v>2395</v>
      </c>
      <c r="Q676" s="112" t="s">
        <v>2410</v>
      </c>
    </row>
    <row r="677" spans="1:17">
      <c r="A677" s="112" t="s">
        <v>2393</v>
      </c>
      <c r="B677" s="112" t="s">
        <v>1731</v>
      </c>
      <c r="C677" s="112" t="s">
        <v>1706</v>
      </c>
      <c r="D677" s="112">
        <v>30</v>
      </c>
      <c r="E677" s="112" t="s">
        <v>1707</v>
      </c>
      <c r="F677" s="112" t="s">
        <v>1708</v>
      </c>
      <c r="G677" s="112">
        <v>-2.05264946517809</v>
      </c>
      <c r="H677" s="112">
        <v>-1.4719135104219001</v>
      </c>
      <c r="I677" s="112">
        <v>-3.7781505171571901</v>
      </c>
      <c r="J677" s="112" t="s">
        <v>848</v>
      </c>
      <c r="K677" s="112" t="s">
        <v>1732</v>
      </c>
      <c r="L677" s="112">
        <v>1.1695472286050401E-2</v>
      </c>
      <c r="M677" s="229">
        <v>7.5617447532826403E-4</v>
      </c>
      <c r="N677" s="112" t="s">
        <v>2393</v>
      </c>
      <c r="O677" s="112" t="s">
        <v>2394</v>
      </c>
      <c r="P677" s="112" t="s">
        <v>2395</v>
      </c>
      <c r="Q677" s="112" t="s">
        <v>2396</v>
      </c>
    </row>
    <row r="678" spans="1:17">
      <c r="A678" s="112" t="s">
        <v>2411</v>
      </c>
      <c r="B678" s="112" t="s">
        <v>1705</v>
      </c>
      <c r="C678" s="112" t="s">
        <v>1706</v>
      </c>
      <c r="D678" s="112">
        <v>80</v>
      </c>
      <c r="E678" s="112" t="s">
        <v>1707</v>
      </c>
      <c r="F678" s="112" t="s">
        <v>1708</v>
      </c>
      <c r="G678" s="112">
        <v>3.2109822667946899</v>
      </c>
      <c r="H678" s="112">
        <v>2.3641326655609598</v>
      </c>
      <c r="I678" s="112">
        <v>1.79645101172313</v>
      </c>
      <c r="J678" s="112" t="s">
        <v>848</v>
      </c>
      <c r="K678" s="112" t="s">
        <v>1709</v>
      </c>
      <c r="L678" s="112">
        <v>1.25587868289399E-2</v>
      </c>
      <c r="M678" s="112">
        <v>1.0458576198677601E-3</v>
      </c>
      <c r="N678" s="112" t="s">
        <v>2411</v>
      </c>
      <c r="O678" s="112" t="s">
        <v>2394</v>
      </c>
      <c r="P678" s="112" t="s">
        <v>2395</v>
      </c>
      <c r="Q678" s="112" t="s">
        <v>2408</v>
      </c>
    </row>
    <row r="679" spans="1:17">
      <c r="A679" s="112" t="s">
        <v>2412</v>
      </c>
      <c r="B679" s="112" t="s">
        <v>1755</v>
      </c>
      <c r="C679" s="112" t="s">
        <v>1706</v>
      </c>
      <c r="D679" s="112">
        <v>30</v>
      </c>
      <c r="E679" s="112" t="s">
        <v>1707</v>
      </c>
      <c r="F679" s="112" t="s">
        <v>1721</v>
      </c>
      <c r="G679" s="112">
        <v>-8.6166096905969294</v>
      </c>
      <c r="H679" s="112">
        <v>-3.8825122626579498</v>
      </c>
      <c r="I679" s="112">
        <v>0</v>
      </c>
      <c r="J679" s="112">
        <v>1</v>
      </c>
      <c r="K679" s="112" t="s">
        <v>1756</v>
      </c>
      <c r="L679" s="112">
        <v>1.2670197820879499E-2</v>
      </c>
      <c r="M679" s="229">
        <v>5.7408686469804105E-4</v>
      </c>
      <c r="N679" s="112" t="s">
        <v>2412</v>
      </c>
      <c r="O679" s="112" t="s">
        <v>2394</v>
      </c>
      <c r="P679" s="112" t="s">
        <v>2395</v>
      </c>
      <c r="Q679" s="112" t="s">
        <v>2413</v>
      </c>
    </row>
    <row r="680" spans="1:17">
      <c r="A680" s="112" t="s">
        <v>2414</v>
      </c>
      <c r="B680" s="112" t="s">
        <v>1743</v>
      </c>
      <c r="C680" s="112" t="s">
        <v>1706</v>
      </c>
      <c r="D680" s="112">
        <v>55</v>
      </c>
      <c r="E680" s="112" t="s">
        <v>1707</v>
      </c>
      <c r="F680" s="112" t="s">
        <v>440</v>
      </c>
      <c r="G680" s="112">
        <v>-4.6322931947081196</v>
      </c>
      <c r="H680" s="112">
        <v>-2.4968521881074301</v>
      </c>
      <c r="I680" s="112">
        <v>-5.8216267815271499</v>
      </c>
      <c r="J680" s="112" t="s">
        <v>848</v>
      </c>
      <c r="K680" s="112" t="s">
        <v>1744</v>
      </c>
      <c r="L680" s="112">
        <v>1.6792192651575201E-2</v>
      </c>
      <c r="M680" s="229">
        <v>5.1061263073207499E-4</v>
      </c>
      <c r="N680" s="112" t="s">
        <v>2414</v>
      </c>
      <c r="O680" s="112" t="s">
        <v>2394</v>
      </c>
      <c r="P680" s="112" t="s">
        <v>2395</v>
      </c>
      <c r="Q680" s="112" t="s">
        <v>2415</v>
      </c>
    </row>
    <row r="681" spans="1:17">
      <c r="A681" s="112" t="s">
        <v>2411</v>
      </c>
      <c r="B681" s="112" t="s">
        <v>1731</v>
      </c>
      <c r="C681" s="112" t="s">
        <v>1706</v>
      </c>
      <c r="D681" s="112">
        <v>30</v>
      </c>
      <c r="E681" s="112" t="s">
        <v>1707</v>
      </c>
      <c r="F681" s="112" t="s">
        <v>1708</v>
      </c>
      <c r="G681" s="112">
        <v>-4.2767001574376398</v>
      </c>
      <c r="H681" s="112">
        <v>-2.0101739810500598</v>
      </c>
      <c r="I681" s="112">
        <v>0</v>
      </c>
      <c r="J681" s="112">
        <v>1</v>
      </c>
      <c r="K681" s="112" t="s">
        <v>1732</v>
      </c>
      <c r="L681" s="112">
        <v>1.7220122724388501E-2</v>
      </c>
      <c r="M681" s="112">
        <v>1.3004067240198001E-3</v>
      </c>
      <c r="N681" s="112" t="s">
        <v>2411</v>
      </c>
      <c r="O681" s="112" t="s">
        <v>2394</v>
      </c>
      <c r="P681" s="112" t="s">
        <v>2395</v>
      </c>
      <c r="Q681" s="112" t="s">
        <v>2408</v>
      </c>
    </row>
    <row r="682" spans="1:17">
      <c r="A682" s="112" t="s">
        <v>2416</v>
      </c>
      <c r="B682" s="112" t="s">
        <v>1748</v>
      </c>
      <c r="C682" s="112" t="s">
        <v>1706</v>
      </c>
      <c r="D682" s="112">
        <v>80</v>
      </c>
      <c r="E682" s="112" t="s">
        <v>1707</v>
      </c>
      <c r="F682" s="112" t="s">
        <v>440</v>
      </c>
      <c r="G682" s="112">
        <v>2.5958346513181301</v>
      </c>
      <c r="H682" s="112">
        <v>2.0546011641655499</v>
      </c>
      <c r="I682" s="112">
        <v>1.9176553489347801</v>
      </c>
      <c r="J682" s="112" t="s">
        <v>848</v>
      </c>
      <c r="K682" s="112" t="s">
        <v>1749</v>
      </c>
      <c r="L682" s="112">
        <v>1.9164505087992601E-2</v>
      </c>
      <c r="M682" s="112">
        <v>1.1032198652627301E-3</v>
      </c>
      <c r="N682" s="112" t="s">
        <v>2416</v>
      </c>
      <c r="O682" s="112" t="s">
        <v>2394</v>
      </c>
      <c r="P682" s="112" t="s">
        <v>2395</v>
      </c>
      <c r="Q682" s="112" t="s">
        <v>2417</v>
      </c>
    </row>
    <row r="683" spans="1:17">
      <c r="A683" s="112" t="s">
        <v>2407</v>
      </c>
      <c r="B683" s="112" t="s">
        <v>1705</v>
      </c>
      <c r="C683" s="112" t="s">
        <v>1706</v>
      </c>
      <c r="D683" s="112">
        <v>80</v>
      </c>
      <c r="E683" s="112" t="s">
        <v>1707</v>
      </c>
      <c r="F683" s="112" t="s">
        <v>1708</v>
      </c>
      <c r="G683" s="112">
        <v>3.0583076477092401</v>
      </c>
      <c r="H683" s="112">
        <v>2.19458692123745</v>
      </c>
      <c r="I683" s="112">
        <v>0.87031695325052205</v>
      </c>
      <c r="J683" s="112" t="s">
        <v>848</v>
      </c>
      <c r="K683" s="112" t="s">
        <v>1709</v>
      </c>
      <c r="L683" s="112">
        <v>1.9762684967113E-2</v>
      </c>
      <c r="M683" s="112">
        <v>1.9069257424407301E-3</v>
      </c>
      <c r="N683" s="112" t="s">
        <v>2407</v>
      </c>
      <c r="O683" s="112" t="s">
        <v>2394</v>
      </c>
      <c r="P683" s="112" t="s">
        <v>2395</v>
      </c>
      <c r="Q683" s="112" t="s">
        <v>2408</v>
      </c>
    </row>
    <row r="684" spans="1:17">
      <c r="A684" s="112" t="s">
        <v>2416</v>
      </c>
      <c r="B684" s="112" t="s">
        <v>1705</v>
      </c>
      <c r="C684" s="112" t="s">
        <v>1706</v>
      </c>
      <c r="D684" s="112">
        <v>80</v>
      </c>
      <c r="E684" s="112" t="s">
        <v>1707</v>
      </c>
      <c r="F684" s="112" t="s">
        <v>1708</v>
      </c>
      <c r="G684" s="112">
        <v>2.0535752842606598</v>
      </c>
      <c r="H684" s="112">
        <v>1.6467381499071001</v>
      </c>
      <c r="I684" s="112">
        <v>1.2714356983270201</v>
      </c>
      <c r="J684" s="112" t="s">
        <v>848</v>
      </c>
      <c r="K684" s="112" t="s">
        <v>1709</v>
      </c>
      <c r="L684" s="112">
        <v>2.01233935868428E-2</v>
      </c>
      <c r="M684" s="112">
        <v>1.99276527164925E-3</v>
      </c>
      <c r="N684" s="112" t="s">
        <v>2416</v>
      </c>
      <c r="O684" s="112" t="s">
        <v>2394</v>
      </c>
      <c r="P684" s="112" t="s">
        <v>2395</v>
      </c>
      <c r="Q684" s="112" t="s">
        <v>2417</v>
      </c>
    </row>
    <row r="685" spans="1:17">
      <c r="A685" s="112" t="s">
        <v>2418</v>
      </c>
      <c r="B685" s="112" t="s">
        <v>1705</v>
      </c>
      <c r="C685" s="112" t="s">
        <v>1706</v>
      </c>
      <c r="D685" s="112">
        <v>80</v>
      </c>
      <c r="E685" s="112" t="s">
        <v>1707</v>
      </c>
      <c r="F685" s="112" t="s">
        <v>1708</v>
      </c>
      <c r="G685" s="112">
        <v>2.1526090859016902</v>
      </c>
      <c r="H685" s="112">
        <v>1.6904759135968499</v>
      </c>
      <c r="I685" s="112">
        <v>1.0995833793070899</v>
      </c>
      <c r="J685" s="112" t="s">
        <v>848</v>
      </c>
      <c r="K685" s="112" t="s">
        <v>1709</v>
      </c>
      <c r="L685" s="112">
        <v>2.2676542746258601E-2</v>
      </c>
      <c r="M685" s="112">
        <v>2.4118691298103999E-3</v>
      </c>
      <c r="N685" s="112" t="s">
        <v>2418</v>
      </c>
      <c r="O685" s="112" t="s">
        <v>2394</v>
      </c>
      <c r="P685" s="112" t="s">
        <v>2395</v>
      </c>
      <c r="Q685" s="112" t="s">
        <v>2419</v>
      </c>
    </row>
    <row r="686" spans="1:17">
      <c r="A686" s="112" t="s">
        <v>2420</v>
      </c>
      <c r="B686" s="112" t="s">
        <v>1705</v>
      </c>
      <c r="C686" s="112" t="s">
        <v>1706</v>
      </c>
      <c r="D686" s="112">
        <v>80</v>
      </c>
      <c r="E686" s="112" t="s">
        <v>1707</v>
      </c>
      <c r="F686" s="112" t="s">
        <v>1708</v>
      </c>
      <c r="G686" s="112">
        <v>2.3699384428745902</v>
      </c>
      <c r="H686" s="112">
        <v>1.81059828394571</v>
      </c>
      <c r="I686" s="112">
        <v>1.4135888740399201</v>
      </c>
      <c r="J686" s="112" t="s">
        <v>848</v>
      </c>
      <c r="K686" s="112" t="s">
        <v>1709</v>
      </c>
      <c r="L686" s="112">
        <v>2.3513259037177301E-2</v>
      </c>
      <c r="M686" s="112">
        <v>2.5782082277606699E-3</v>
      </c>
      <c r="N686" s="112" t="s">
        <v>2420</v>
      </c>
      <c r="O686" s="112" t="s">
        <v>2394</v>
      </c>
      <c r="P686" s="112" t="s">
        <v>2395</v>
      </c>
      <c r="Q686" s="112" t="s">
        <v>2421</v>
      </c>
    </row>
    <row r="687" spans="1:17">
      <c r="A687" s="112" t="s">
        <v>2401</v>
      </c>
      <c r="B687" s="112" t="s">
        <v>1731</v>
      </c>
      <c r="C687" s="112" t="s">
        <v>1706</v>
      </c>
      <c r="D687" s="112">
        <v>30</v>
      </c>
      <c r="E687" s="112" t="s">
        <v>1707</v>
      </c>
      <c r="F687" s="112" t="s">
        <v>1708</v>
      </c>
      <c r="G687" s="112">
        <v>-3.16667737548027</v>
      </c>
      <c r="H687" s="112">
        <v>-1.6810253114817</v>
      </c>
      <c r="I687" s="112">
        <v>-4.9861352485738699</v>
      </c>
      <c r="J687" s="112" t="s">
        <v>848</v>
      </c>
      <c r="K687" s="112" t="s">
        <v>1732</v>
      </c>
      <c r="L687" s="112">
        <v>2.6433147311922402E-2</v>
      </c>
      <c r="M687" s="112">
        <v>2.2272763235801E-3</v>
      </c>
      <c r="N687" s="112" t="s">
        <v>2401</v>
      </c>
      <c r="O687" s="112" t="s">
        <v>2394</v>
      </c>
      <c r="P687" s="112" t="s">
        <v>2395</v>
      </c>
      <c r="Q687" s="112" t="s">
        <v>2402</v>
      </c>
    </row>
    <row r="688" spans="1:17">
      <c r="A688" s="112" t="s">
        <v>2422</v>
      </c>
      <c r="B688" s="112" t="s">
        <v>1705</v>
      </c>
      <c r="C688" s="112" t="s">
        <v>1706</v>
      </c>
      <c r="D688" s="112">
        <v>80</v>
      </c>
      <c r="E688" s="112" t="s">
        <v>1707</v>
      </c>
      <c r="F688" s="112" t="s">
        <v>1708</v>
      </c>
      <c r="G688" s="112">
        <v>1.91376595196984</v>
      </c>
      <c r="H688" s="112">
        <v>1.5066303257929701</v>
      </c>
      <c r="I688" s="112">
        <v>1.52986643824975</v>
      </c>
      <c r="J688" s="112" t="s">
        <v>848</v>
      </c>
      <c r="K688" s="112" t="s">
        <v>1709</v>
      </c>
      <c r="L688" s="112">
        <v>2.7680342695931101E-2</v>
      </c>
      <c r="M688" s="112">
        <v>3.2475840662989299E-3</v>
      </c>
      <c r="N688" s="112" t="s">
        <v>2422</v>
      </c>
      <c r="O688" s="112" t="s">
        <v>2394</v>
      </c>
      <c r="P688" s="112" t="s">
        <v>2395</v>
      </c>
      <c r="Q688" s="112" t="s">
        <v>2423</v>
      </c>
    </row>
    <row r="689" spans="1:17">
      <c r="A689" s="112" t="s">
        <v>2407</v>
      </c>
      <c r="B689" s="112" t="s">
        <v>1748</v>
      </c>
      <c r="C689" s="112" t="s">
        <v>1706</v>
      </c>
      <c r="D689" s="112">
        <v>80</v>
      </c>
      <c r="E689" s="112" t="s">
        <v>1707</v>
      </c>
      <c r="F689" s="112" t="s">
        <v>440</v>
      </c>
      <c r="G689" s="112">
        <v>3.7333163610679501</v>
      </c>
      <c r="H689" s="112">
        <v>2.5296167742306399</v>
      </c>
      <c r="I689" s="112">
        <v>1.7184503652107801</v>
      </c>
      <c r="J689" s="112" t="s">
        <v>848</v>
      </c>
      <c r="K689" s="112" t="s">
        <v>1749</v>
      </c>
      <c r="L689" s="112">
        <v>2.9542472351440099E-2</v>
      </c>
      <c r="M689" s="112">
        <v>2.04076289269816E-3</v>
      </c>
      <c r="N689" s="112" t="s">
        <v>2407</v>
      </c>
      <c r="O689" s="112" t="s">
        <v>2394</v>
      </c>
      <c r="P689" s="112" t="s">
        <v>2395</v>
      </c>
      <c r="Q689" s="112" t="s">
        <v>2408</v>
      </c>
    </row>
    <row r="690" spans="1:17">
      <c r="A690" s="112" t="s">
        <v>2407</v>
      </c>
      <c r="B690" s="112" t="s">
        <v>1796</v>
      </c>
      <c r="C690" s="112" t="s">
        <v>1706</v>
      </c>
      <c r="D690" s="112">
        <v>80</v>
      </c>
      <c r="E690" s="112" t="s">
        <v>1707</v>
      </c>
      <c r="F690" s="112" t="s">
        <v>1721</v>
      </c>
      <c r="G690" s="112">
        <v>3.8917613460576801</v>
      </c>
      <c r="H690" s="112">
        <v>2.2106443898899499</v>
      </c>
      <c r="I690" s="112">
        <v>1.63895400436435</v>
      </c>
      <c r="J690" s="112" t="s">
        <v>848</v>
      </c>
      <c r="K690" s="112" t="s">
        <v>1797</v>
      </c>
      <c r="L690" s="112">
        <v>3.1316942690129801E-2</v>
      </c>
      <c r="M690" s="112">
        <v>1.61390813136539E-3</v>
      </c>
      <c r="N690" s="112" t="s">
        <v>2407</v>
      </c>
      <c r="O690" s="112" t="s">
        <v>2394</v>
      </c>
      <c r="P690" s="112" t="s">
        <v>2395</v>
      </c>
      <c r="Q690" s="112" t="s">
        <v>2408</v>
      </c>
    </row>
    <row r="691" spans="1:17">
      <c r="A691" s="112" t="s">
        <v>2420</v>
      </c>
      <c r="B691" s="112" t="s">
        <v>1755</v>
      </c>
      <c r="C691" s="112" t="s">
        <v>1706</v>
      </c>
      <c r="D691" s="112">
        <v>30</v>
      </c>
      <c r="E691" s="112" t="s">
        <v>1707</v>
      </c>
      <c r="F691" s="112" t="s">
        <v>1721</v>
      </c>
      <c r="G691" s="112">
        <v>-4.8016621730477302</v>
      </c>
      <c r="H691" s="112">
        <v>-2.5410841492510801</v>
      </c>
      <c r="I691" s="112">
        <v>-5.8607145146446404</v>
      </c>
      <c r="J691" s="112" t="s">
        <v>848</v>
      </c>
      <c r="K691" s="112" t="s">
        <v>1756</v>
      </c>
      <c r="L691" s="112">
        <v>3.6016897561014997E-2</v>
      </c>
      <c r="M691" s="112">
        <v>2.8916587072039001E-3</v>
      </c>
      <c r="N691" s="112" t="s">
        <v>2420</v>
      </c>
      <c r="O691" s="112" t="s">
        <v>2394</v>
      </c>
      <c r="P691" s="112" t="s">
        <v>2395</v>
      </c>
      <c r="Q691" s="112" t="s">
        <v>2421</v>
      </c>
    </row>
    <row r="692" spans="1:17">
      <c r="A692" s="112" t="s">
        <v>2424</v>
      </c>
      <c r="B692" s="112" t="s">
        <v>1705</v>
      </c>
      <c r="C692" s="112" t="s">
        <v>1706</v>
      </c>
      <c r="D692" s="112">
        <v>80</v>
      </c>
      <c r="E692" s="112" t="s">
        <v>1707</v>
      </c>
      <c r="F692" s="112" t="s">
        <v>1708</v>
      </c>
      <c r="G692" s="112">
        <v>-3.47489595017923</v>
      </c>
      <c r="H692" s="112">
        <v>-2.0969904315971601</v>
      </c>
      <c r="I692" s="112">
        <v>-2.73184601032807</v>
      </c>
      <c r="J692" s="112" t="s">
        <v>848</v>
      </c>
      <c r="K692" s="112" t="s">
        <v>1709</v>
      </c>
      <c r="L692" s="112">
        <v>3.68947735031986E-2</v>
      </c>
      <c r="M692" s="112">
        <v>4.9961672452248102E-3</v>
      </c>
      <c r="N692" s="112" t="s">
        <v>2424</v>
      </c>
      <c r="O692" s="112" t="s">
        <v>2394</v>
      </c>
      <c r="P692" s="112" t="s">
        <v>2395</v>
      </c>
      <c r="Q692" s="112" t="s">
        <v>2425</v>
      </c>
    </row>
    <row r="693" spans="1:17">
      <c r="A693" s="112" t="s">
        <v>2403</v>
      </c>
      <c r="B693" s="112" t="s">
        <v>1748</v>
      </c>
      <c r="C693" s="112" t="s">
        <v>1706</v>
      </c>
      <c r="D693" s="112">
        <v>80</v>
      </c>
      <c r="E693" s="112" t="s">
        <v>1707</v>
      </c>
      <c r="F693" s="112" t="s">
        <v>440</v>
      </c>
      <c r="G693" s="112">
        <v>2.81307785685705</v>
      </c>
      <c r="H693" s="112">
        <v>2.0120030248537999</v>
      </c>
      <c r="I693" s="112">
        <v>1.4139631467290601</v>
      </c>
      <c r="J693" s="112" t="s">
        <v>848</v>
      </c>
      <c r="K693" s="112" t="s">
        <v>1749</v>
      </c>
      <c r="L693" s="112">
        <v>3.9337517544526503E-2</v>
      </c>
      <c r="M693" s="112">
        <v>3.0193270045140901E-3</v>
      </c>
      <c r="N693" s="112" t="s">
        <v>2403</v>
      </c>
      <c r="O693" s="112" t="s">
        <v>2394</v>
      </c>
      <c r="P693" s="112" t="s">
        <v>2395</v>
      </c>
      <c r="Q693" s="112" t="s">
        <v>2404</v>
      </c>
    </row>
    <row r="694" spans="1:17">
      <c r="A694" s="112" t="s">
        <v>2403</v>
      </c>
      <c r="B694" s="112" t="s">
        <v>1755</v>
      </c>
      <c r="C694" s="112" t="s">
        <v>1706</v>
      </c>
      <c r="D694" s="112">
        <v>30</v>
      </c>
      <c r="E694" s="112" t="s">
        <v>1707</v>
      </c>
      <c r="F694" s="112" t="s">
        <v>1721</v>
      </c>
      <c r="G694" s="112">
        <v>-6.8695810396462003</v>
      </c>
      <c r="H694" s="112">
        <v>-2.6194851081909998</v>
      </c>
      <c r="I694" s="112">
        <v>0</v>
      </c>
      <c r="J694" s="112">
        <v>1</v>
      </c>
      <c r="K694" s="112" t="s">
        <v>1756</v>
      </c>
      <c r="L694" s="112">
        <v>4.10385345171351E-2</v>
      </c>
      <c r="M694" s="112">
        <v>3.58842511676062E-3</v>
      </c>
      <c r="N694" s="112" t="s">
        <v>2403</v>
      </c>
      <c r="O694" s="112" t="s">
        <v>2394</v>
      </c>
      <c r="P694" s="112" t="s">
        <v>2395</v>
      </c>
      <c r="Q694" s="112" t="s">
        <v>2404</v>
      </c>
    </row>
    <row r="695" spans="1:17">
      <c r="A695" s="112" t="s">
        <v>2409</v>
      </c>
      <c r="B695" s="112" t="s">
        <v>1748</v>
      </c>
      <c r="C695" s="112" t="s">
        <v>1706</v>
      </c>
      <c r="D695" s="112">
        <v>80</v>
      </c>
      <c r="E695" s="112" t="s">
        <v>1707</v>
      </c>
      <c r="F695" s="112" t="s">
        <v>440</v>
      </c>
      <c r="G695" s="112">
        <v>2.26746962182323</v>
      </c>
      <c r="H695" s="112">
        <v>1.6846760783101999</v>
      </c>
      <c r="I695" s="112">
        <v>1.5080627156961399</v>
      </c>
      <c r="J695" s="112" t="s">
        <v>848</v>
      </c>
      <c r="K695" s="112" t="s">
        <v>1749</v>
      </c>
      <c r="L695" s="112">
        <v>4.1253272914878E-2</v>
      </c>
      <c r="M695" s="112">
        <v>3.2794542613252802E-3</v>
      </c>
      <c r="N695" s="112" t="s">
        <v>2409</v>
      </c>
      <c r="O695" s="112" t="s">
        <v>2394</v>
      </c>
      <c r="P695" s="112" t="s">
        <v>2395</v>
      </c>
      <c r="Q695" s="112" t="s">
        <v>2410</v>
      </c>
    </row>
    <row r="696" spans="1:17">
      <c r="A696" s="112" t="s">
        <v>2418</v>
      </c>
      <c r="B696" s="112" t="s">
        <v>1735</v>
      </c>
      <c r="C696" s="112" t="s">
        <v>1706</v>
      </c>
      <c r="D696" s="112">
        <v>30</v>
      </c>
      <c r="E696" s="112" t="s">
        <v>1707</v>
      </c>
      <c r="F696" s="112" t="s">
        <v>440</v>
      </c>
      <c r="G696" s="112">
        <v>-5.1075265895866204</v>
      </c>
      <c r="H696" s="112">
        <v>-1.8914365934111299</v>
      </c>
      <c r="I696" s="112">
        <v>0</v>
      </c>
      <c r="J696" s="112">
        <v>1</v>
      </c>
      <c r="K696" s="112" t="s">
        <v>1736</v>
      </c>
      <c r="L696" s="112">
        <v>4.3517275822007602E-2</v>
      </c>
      <c r="M696" s="112">
        <v>1.09747515779185E-3</v>
      </c>
      <c r="N696" s="112" t="s">
        <v>2418</v>
      </c>
      <c r="O696" s="112" t="s">
        <v>2394</v>
      </c>
      <c r="P696" s="112" t="s">
        <v>2395</v>
      </c>
      <c r="Q696" s="112" t="s">
        <v>2419</v>
      </c>
    </row>
    <row r="697" spans="1:17">
      <c r="A697" s="112" t="s">
        <v>2426</v>
      </c>
      <c r="B697" s="112" t="s">
        <v>1796</v>
      </c>
      <c r="C697" s="112" t="s">
        <v>1706</v>
      </c>
      <c r="D697" s="112">
        <v>80</v>
      </c>
      <c r="E697" s="112" t="s">
        <v>1707</v>
      </c>
      <c r="F697" s="112" t="s">
        <v>1721</v>
      </c>
      <c r="G697" s="112">
        <v>-2.0128748524629501</v>
      </c>
      <c r="H697" s="112">
        <v>-1.2610389413543801</v>
      </c>
      <c r="I697" s="112">
        <v>-2.5955222445495001</v>
      </c>
      <c r="J697" s="112" t="s">
        <v>848</v>
      </c>
      <c r="K697" s="112" t="s">
        <v>1797</v>
      </c>
      <c r="L697" s="112">
        <v>4.5529344004529203E-2</v>
      </c>
      <c r="M697" s="112">
        <v>3.0512184746934799E-3</v>
      </c>
      <c r="N697" s="112" t="s">
        <v>2426</v>
      </c>
      <c r="O697" s="112" t="s">
        <v>2394</v>
      </c>
      <c r="P697" s="112" t="s">
        <v>2395</v>
      </c>
      <c r="Q697" s="112" t="s">
        <v>2427</v>
      </c>
    </row>
    <row r="698" spans="1:17">
      <c r="A698" s="112" t="s">
        <v>2399</v>
      </c>
      <c r="B698" s="112" t="s">
        <v>1796</v>
      </c>
      <c r="C698" s="112" t="s">
        <v>1706</v>
      </c>
      <c r="D698" s="112">
        <v>80</v>
      </c>
      <c r="E698" s="112" t="s">
        <v>1707</v>
      </c>
      <c r="F698" s="112" t="s">
        <v>1721</v>
      </c>
      <c r="G698" s="112">
        <v>3.1415665368339298</v>
      </c>
      <c r="H698" s="112">
        <v>1.7759102775295399</v>
      </c>
      <c r="I698" s="112">
        <v>1.1593957625951901</v>
      </c>
      <c r="J698" s="112" t="s">
        <v>848</v>
      </c>
      <c r="K698" s="112" t="s">
        <v>1797</v>
      </c>
      <c r="L698" s="112">
        <v>4.5529344004529203E-2</v>
      </c>
      <c r="M698" s="112">
        <v>3.0462030559039398E-3</v>
      </c>
      <c r="N698" s="112" t="s">
        <v>2399</v>
      </c>
      <c r="O698" s="112" t="s">
        <v>2394</v>
      </c>
      <c r="P698" s="112" t="s">
        <v>2395</v>
      </c>
      <c r="Q698" s="112" t="s">
        <v>2400</v>
      </c>
    </row>
    <row r="699" spans="1:17">
      <c r="A699" s="112" t="s">
        <v>2428</v>
      </c>
      <c r="B699" s="112" t="s">
        <v>1748</v>
      </c>
      <c r="C699" s="112" t="s">
        <v>1706</v>
      </c>
      <c r="D699" s="112">
        <v>80</v>
      </c>
      <c r="E699" s="112" t="s">
        <v>1707</v>
      </c>
      <c r="F699" s="112" t="s">
        <v>440</v>
      </c>
      <c r="G699" s="112">
        <v>2.1712784878004698</v>
      </c>
      <c r="H699" s="112">
        <v>1.5984964267532</v>
      </c>
      <c r="I699" s="112">
        <v>1.9443143600311401</v>
      </c>
      <c r="J699" s="112" t="s">
        <v>848</v>
      </c>
      <c r="K699" s="112" t="s">
        <v>1749</v>
      </c>
      <c r="L699" s="112">
        <v>4.6894656754836297E-2</v>
      </c>
      <c r="M699" s="112">
        <v>3.89130517345509E-3</v>
      </c>
      <c r="N699" s="112" t="s">
        <v>2428</v>
      </c>
      <c r="O699" s="112" t="s">
        <v>2394</v>
      </c>
      <c r="P699" s="112" t="s">
        <v>2395</v>
      </c>
      <c r="Q699" s="112" t="s">
        <v>2429</v>
      </c>
    </row>
    <row r="700" spans="1:17">
      <c r="A700" s="112" t="s">
        <v>2430</v>
      </c>
      <c r="B700" s="112" t="s">
        <v>1743</v>
      </c>
      <c r="C700" s="112" t="s">
        <v>1706</v>
      </c>
      <c r="D700" s="112">
        <v>55</v>
      </c>
      <c r="E700" s="112" t="s">
        <v>1707</v>
      </c>
      <c r="F700" s="112" t="s">
        <v>440</v>
      </c>
      <c r="G700" s="112">
        <v>-2.3658363831096199</v>
      </c>
      <c r="H700" s="112">
        <v>-1.6539606333882</v>
      </c>
      <c r="I700" s="112">
        <v>-2.4871334670546501</v>
      </c>
      <c r="J700" s="112" t="s">
        <v>848</v>
      </c>
      <c r="K700" s="112" t="s">
        <v>1744</v>
      </c>
      <c r="L700" s="112">
        <v>4.8659886264732E-2</v>
      </c>
      <c r="M700" s="112">
        <v>1.8831745893745601E-3</v>
      </c>
      <c r="N700" s="112" t="s">
        <v>2430</v>
      </c>
      <c r="O700" s="112" t="s">
        <v>2394</v>
      </c>
      <c r="P700" s="112" t="s">
        <v>2395</v>
      </c>
      <c r="Q700" s="112" t="s">
        <v>2431</v>
      </c>
    </row>
    <row r="701" spans="1:17">
      <c r="A701" s="112" t="s">
        <v>2432</v>
      </c>
      <c r="B701" s="112" t="s">
        <v>1720</v>
      </c>
      <c r="C701" s="112" t="s">
        <v>1706</v>
      </c>
      <c r="D701" s="112">
        <v>55</v>
      </c>
      <c r="E701" s="112" t="s">
        <v>1707</v>
      </c>
      <c r="F701" s="112" t="s">
        <v>1721</v>
      </c>
      <c r="G701" s="112">
        <v>5.69759465265264</v>
      </c>
      <c r="H701" s="112">
        <v>3.3671180309742001</v>
      </c>
      <c r="I701" s="112">
        <v>2.6803820659268101</v>
      </c>
      <c r="J701" s="112" t="s">
        <v>848</v>
      </c>
      <c r="K701" s="112" t="s">
        <v>1722</v>
      </c>
      <c r="L701" s="112">
        <v>2.1346193732986601E-3</v>
      </c>
      <c r="M701" s="229">
        <v>2.45762098899516E-5</v>
      </c>
      <c r="N701" s="112" t="s">
        <v>2432</v>
      </c>
      <c r="O701" s="112" t="s">
        <v>2394</v>
      </c>
      <c r="P701" s="112" t="s">
        <v>2433</v>
      </c>
      <c r="Q701" s="112" t="s">
        <v>2434</v>
      </c>
    </row>
    <row r="702" spans="1:17">
      <c r="A702" s="112" t="s">
        <v>2435</v>
      </c>
      <c r="B702" s="112" t="s">
        <v>1731</v>
      </c>
      <c r="C702" s="112" t="s">
        <v>1706</v>
      </c>
      <c r="D702" s="112">
        <v>30</v>
      </c>
      <c r="E702" s="112" t="s">
        <v>1707</v>
      </c>
      <c r="F702" s="112" t="s">
        <v>1708</v>
      </c>
      <c r="G702" s="112">
        <v>-5.5758467521064201</v>
      </c>
      <c r="H702" s="112">
        <v>-3.21897907778752</v>
      </c>
      <c r="I702" s="112">
        <v>0</v>
      </c>
      <c r="J702" s="112">
        <v>1</v>
      </c>
      <c r="K702" s="112" t="s">
        <v>1732</v>
      </c>
      <c r="L702" s="112">
        <v>3.1002792695179701E-3</v>
      </c>
      <c r="M702" s="229">
        <v>1.2075809555356101E-4</v>
      </c>
      <c r="N702" s="112" t="s">
        <v>2435</v>
      </c>
      <c r="O702" s="112" t="s">
        <v>2394</v>
      </c>
      <c r="P702" s="112" t="s">
        <v>2433</v>
      </c>
      <c r="Q702" s="112" t="s">
        <v>2436</v>
      </c>
    </row>
    <row r="703" spans="1:17">
      <c r="A703" s="112" t="s">
        <v>2437</v>
      </c>
      <c r="B703" s="112" t="s">
        <v>1705</v>
      </c>
      <c r="C703" s="112" t="s">
        <v>1706</v>
      </c>
      <c r="D703" s="112">
        <v>80</v>
      </c>
      <c r="E703" s="112" t="s">
        <v>1707</v>
      </c>
      <c r="F703" s="112" t="s">
        <v>1708</v>
      </c>
      <c r="G703" s="112">
        <v>2.3957951305096898</v>
      </c>
      <c r="H703" s="112">
        <v>2.04227384617284</v>
      </c>
      <c r="I703" s="112">
        <v>1.6534310564263099</v>
      </c>
      <c r="J703" s="112" t="s">
        <v>848</v>
      </c>
      <c r="K703" s="112" t="s">
        <v>1709</v>
      </c>
      <c r="L703" s="112">
        <v>4.62406403354001E-3</v>
      </c>
      <c r="M703" s="229">
        <v>2.4337179123894799E-4</v>
      </c>
      <c r="N703" s="112" t="s">
        <v>2437</v>
      </c>
      <c r="O703" s="112" t="s">
        <v>2394</v>
      </c>
      <c r="P703" s="112" t="s">
        <v>2433</v>
      </c>
      <c r="Q703" s="112" t="s">
        <v>2438</v>
      </c>
    </row>
    <row r="704" spans="1:17">
      <c r="A704" s="112" t="s">
        <v>2439</v>
      </c>
      <c r="B704" s="112" t="s">
        <v>1705</v>
      </c>
      <c r="C704" s="112" t="s">
        <v>1706</v>
      </c>
      <c r="D704" s="112">
        <v>80</v>
      </c>
      <c r="E704" s="112" t="s">
        <v>1707</v>
      </c>
      <c r="F704" s="112" t="s">
        <v>1708</v>
      </c>
      <c r="G704" s="112">
        <v>1.6690027734423201</v>
      </c>
      <c r="H704" s="112">
        <v>1.4525464157125201</v>
      </c>
      <c r="I704" s="112">
        <v>1.19948107695939</v>
      </c>
      <c r="J704" s="112" t="s">
        <v>848</v>
      </c>
      <c r="K704" s="112" t="s">
        <v>1709</v>
      </c>
      <c r="L704" s="112">
        <v>7.3876603983511098E-3</v>
      </c>
      <c r="M704" s="229">
        <v>4.6172877489694398E-4</v>
      </c>
      <c r="N704" s="112" t="s">
        <v>2439</v>
      </c>
      <c r="O704" s="112" t="s">
        <v>2394</v>
      </c>
      <c r="P704" s="112" t="s">
        <v>2433</v>
      </c>
      <c r="Q704" s="112" t="s">
        <v>2440</v>
      </c>
    </row>
    <row r="705" spans="1:18">
      <c r="A705" s="112" t="s">
        <v>2441</v>
      </c>
      <c r="B705" s="112" t="s">
        <v>1731</v>
      </c>
      <c r="C705" s="112" t="s">
        <v>1706</v>
      </c>
      <c r="D705" s="112">
        <v>30</v>
      </c>
      <c r="E705" s="112" t="s">
        <v>1707</v>
      </c>
      <c r="F705" s="112" t="s">
        <v>1708</v>
      </c>
      <c r="G705" s="112">
        <v>-13.065786283400101</v>
      </c>
      <c r="H705" s="112">
        <v>-4.5153717520320003</v>
      </c>
      <c r="I705" s="112">
        <v>0</v>
      </c>
      <c r="J705" s="112">
        <v>1</v>
      </c>
      <c r="K705" s="112" t="s">
        <v>1732</v>
      </c>
      <c r="L705" s="112">
        <v>7.4230082469507099E-3</v>
      </c>
      <c r="M705" s="229">
        <v>3.9534304653870999E-4</v>
      </c>
      <c r="N705" s="112" t="s">
        <v>2441</v>
      </c>
      <c r="O705" s="112" t="s">
        <v>2394</v>
      </c>
      <c r="P705" s="112" t="s">
        <v>2433</v>
      </c>
      <c r="Q705" s="112" t="s">
        <v>2442</v>
      </c>
    </row>
    <row r="706" spans="1:18">
      <c r="A706" s="112" t="s">
        <v>2443</v>
      </c>
      <c r="B706" s="112" t="s">
        <v>1748</v>
      </c>
      <c r="C706" s="112" t="s">
        <v>1706</v>
      </c>
      <c r="D706" s="112">
        <v>80</v>
      </c>
      <c r="E706" s="112" t="s">
        <v>1707</v>
      </c>
      <c r="F706" s="112" t="s">
        <v>440</v>
      </c>
      <c r="G706" s="112">
        <v>-7.3134309405764002</v>
      </c>
      <c r="H706" s="112">
        <v>-4.0031216823334503</v>
      </c>
      <c r="I706" s="112">
        <v>0</v>
      </c>
      <c r="J706" s="112">
        <v>1</v>
      </c>
      <c r="K706" s="112" t="s">
        <v>1749</v>
      </c>
      <c r="L706" s="112">
        <v>7.9275087543279298E-3</v>
      </c>
      <c r="M706" s="229">
        <v>3.04235533334953E-4</v>
      </c>
      <c r="N706" s="112" t="s">
        <v>2443</v>
      </c>
      <c r="O706" s="112" t="s">
        <v>2394</v>
      </c>
      <c r="P706" s="112" t="s">
        <v>2433</v>
      </c>
      <c r="Q706" s="112" t="s">
        <v>2434</v>
      </c>
    </row>
    <row r="707" spans="1:18">
      <c r="A707" s="112" t="s">
        <v>2435</v>
      </c>
      <c r="B707" s="112" t="s">
        <v>1705</v>
      </c>
      <c r="C707" s="112" t="s">
        <v>1706</v>
      </c>
      <c r="D707" s="112">
        <v>80</v>
      </c>
      <c r="E707" s="112" t="s">
        <v>1707</v>
      </c>
      <c r="F707" s="112" t="s">
        <v>1708</v>
      </c>
      <c r="G707" s="112">
        <v>3.8723779388894899</v>
      </c>
      <c r="H707" s="112">
        <v>2.7277743610476399</v>
      </c>
      <c r="I707" s="112">
        <v>1.7686145182747901</v>
      </c>
      <c r="J707" s="112" t="s">
        <v>848</v>
      </c>
      <c r="K707" s="112" t="s">
        <v>1709</v>
      </c>
      <c r="L707" s="112">
        <v>8.7504315210601997E-3</v>
      </c>
      <c r="M707" s="229">
        <v>5.90789257794085E-4</v>
      </c>
      <c r="N707" s="112" t="s">
        <v>2435</v>
      </c>
      <c r="O707" s="112" t="s">
        <v>2394</v>
      </c>
      <c r="P707" s="112" t="s">
        <v>2433</v>
      </c>
      <c r="Q707" s="112" t="s">
        <v>2436</v>
      </c>
    </row>
    <row r="708" spans="1:18">
      <c r="A708" s="112" t="s">
        <v>2444</v>
      </c>
      <c r="B708" s="112" t="s">
        <v>1705</v>
      </c>
      <c r="C708" s="112" t="s">
        <v>1706</v>
      </c>
      <c r="D708" s="112">
        <v>80</v>
      </c>
      <c r="E708" s="112" t="s">
        <v>1707</v>
      </c>
      <c r="F708" s="112" t="s">
        <v>1708</v>
      </c>
      <c r="G708" s="112">
        <v>-3.6595717510996901</v>
      </c>
      <c r="H708" s="112">
        <v>-2.6126243488041299</v>
      </c>
      <c r="I708" s="112">
        <v>-6.8212162545390704</v>
      </c>
      <c r="J708" s="112" t="s">
        <v>848</v>
      </c>
      <c r="K708" s="112" t="s">
        <v>1709</v>
      </c>
      <c r="L708" s="112">
        <v>9.6529653536436E-3</v>
      </c>
      <c r="M708" s="229">
        <v>7.1973864478921598E-4</v>
      </c>
      <c r="N708" s="112" t="s">
        <v>2444</v>
      </c>
      <c r="O708" s="112" t="s">
        <v>2394</v>
      </c>
      <c r="P708" s="112" t="s">
        <v>2433</v>
      </c>
      <c r="Q708" s="112" t="s">
        <v>2445</v>
      </c>
    </row>
    <row r="709" spans="1:18">
      <c r="A709" s="112" t="s">
        <v>2446</v>
      </c>
      <c r="B709" s="112" t="s">
        <v>1705</v>
      </c>
      <c r="C709" s="112" t="s">
        <v>1706</v>
      </c>
      <c r="D709" s="112">
        <v>80</v>
      </c>
      <c r="E709" s="112" t="s">
        <v>1707</v>
      </c>
      <c r="F709" s="112" t="s">
        <v>1708</v>
      </c>
      <c r="G709" s="112">
        <v>3.5683073992050001</v>
      </c>
      <c r="H709" s="112">
        <v>2.4640649380769202</v>
      </c>
      <c r="I709" s="112">
        <v>2.1478022108928498</v>
      </c>
      <c r="J709" s="112" t="s">
        <v>848</v>
      </c>
      <c r="K709" s="112" t="s">
        <v>1709</v>
      </c>
      <c r="L709" s="112">
        <v>1.50609931738568E-2</v>
      </c>
      <c r="M709" s="112">
        <v>1.3046255051915401E-3</v>
      </c>
      <c r="N709" s="112" t="s">
        <v>2446</v>
      </c>
      <c r="O709" s="112" t="s">
        <v>2394</v>
      </c>
      <c r="P709" s="112" t="s">
        <v>2433</v>
      </c>
      <c r="Q709" s="112" t="s">
        <v>2447</v>
      </c>
    </row>
    <row r="710" spans="1:18">
      <c r="A710" s="112" t="s">
        <v>2448</v>
      </c>
      <c r="B710" s="112" t="s">
        <v>1755</v>
      </c>
      <c r="C710" s="112" t="s">
        <v>1706</v>
      </c>
      <c r="D710" s="112">
        <v>30</v>
      </c>
      <c r="E710" s="112" t="s">
        <v>1707</v>
      </c>
      <c r="F710" s="112" t="s">
        <v>1721</v>
      </c>
      <c r="G710" s="112">
        <v>-7.5628493475902001</v>
      </c>
      <c r="H710" s="112">
        <v>-3.48958189291187</v>
      </c>
      <c r="I710" s="112">
        <v>0</v>
      </c>
      <c r="J710" s="112">
        <v>1</v>
      </c>
      <c r="K710" s="112" t="s">
        <v>1756</v>
      </c>
      <c r="L710" s="112">
        <v>1.7360687670023901E-2</v>
      </c>
      <c r="M710" s="229">
        <v>9.1081509238599603E-4</v>
      </c>
      <c r="N710" s="112" t="s">
        <v>2448</v>
      </c>
      <c r="O710" s="112" t="s">
        <v>2394</v>
      </c>
      <c r="P710" s="112" t="s">
        <v>2433</v>
      </c>
      <c r="Q710" s="112" t="s">
        <v>2449</v>
      </c>
      <c r="R710" s="112" t="s">
        <v>2450</v>
      </c>
    </row>
    <row r="711" spans="1:18">
      <c r="A711" s="112" t="s">
        <v>2451</v>
      </c>
      <c r="B711" s="112" t="s">
        <v>1705</v>
      </c>
      <c r="C711" s="112" t="s">
        <v>1706</v>
      </c>
      <c r="D711" s="112">
        <v>80</v>
      </c>
      <c r="E711" s="112" t="s">
        <v>1707</v>
      </c>
      <c r="F711" s="112" t="s">
        <v>1708</v>
      </c>
      <c r="G711" s="112">
        <v>1.9100696557441901</v>
      </c>
      <c r="H711" s="112">
        <v>1.56357440846704</v>
      </c>
      <c r="I711" s="112">
        <v>1.5631593424657799</v>
      </c>
      <c r="J711" s="112" t="s">
        <v>848</v>
      </c>
      <c r="K711" s="112" t="s">
        <v>1709</v>
      </c>
      <c r="L711" s="112">
        <v>1.7810012873978001E-2</v>
      </c>
      <c r="M711" s="112">
        <v>1.6794529683795099E-3</v>
      </c>
      <c r="N711" s="112" t="s">
        <v>2451</v>
      </c>
      <c r="O711" s="112" t="s">
        <v>2394</v>
      </c>
      <c r="P711" s="112" t="s">
        <v>2433</v>
      </c>
      <c r="Q711" s="112" t="s">
        <v>2452</v>
      </c>
    </row>
    <row r="712" spans="1:18">
      <c r="A712" s="112" t="s">
        <v>2444</v>
      </c>
      <c r="B712" s="112" t="s">
        <v>1720</v>
      </c>
      <c r="C712" s="112" t="s">
        <v>1706</v>
      </c>
      <c r="D712" s="112">
        <v>55</v>
      </c>
      <c r="E712" s="112" t="s">
        <v>1707</v>
      </c>
      <c r="F712" s="112" t="s">
        <v>1721</v>
      </c>
      <c r="G712" s="112">
        <v>2.5873307631915399</v>
      </c>
      <c r="H712" s="112">
        <v>1.90292224411031</v>
      </c>
      <c r="I712" s="112">
        <v>1.1554235206059</v>
      </c>
      <c r="J712" s="112" t="s">
        <v>848</v>
      </c>
      <c r="K712" s="112" t="s">
        <v>1722</v>
      </c>
      <c r="L712" s="112">
        <v>2.1677399926744501E-2</v>
      </c>
      <c r="M712" s="229">
        <v>5.8234243224258896E-4</v>
      </c>
      <c r="N712" s="112" t="s">
        <v>2444</v>
      </c>
      <c r="O712" s="112" t="s">
        <v>2394</v>
      </c>
      <c r="P712" s="112" t="s">
        <v>2433</v>
      </c>
      <c r="Q712" s="112" t="s">
        <v>2445</v>
      </c>
    </row>
    <row r="713" spans="1:18">
      <c r="A713" s="112" t="s">
        <v>2453</v>
      </c>
      <c r="B713" s="112" t="s">
        <v>1755</v>
      </c>
      <c r="C713" s="112" t="s">
        <v>1706</v>
      </c>
      <c r="D713" s="112">
        <v>30</v>
      </c>
      <c r="E713" s="112" t="s">
        <v>1707</v>
      </c>
      <c r="F713" s="112" t="s">
        <v>1721</v>
      </c>
      <c r="G713" s="112">
        <v>-3.61377126174128</v>
      </c>
      <c r="H713" s="112">
        <v>-2.3444547238061801</v>
      </c>
      <c r="I713" s="112">
        <v>-4.2919356706645004</v>
      </c>
      <c r="J713" s="112" t="s">
        <v>848</v>
      </c>
      <c r="K713" s="112" t="s">
        <v>1756</v>
      </c>
      <c r="L713" s="112">
        <v>2.4566453252849001E-2</v>
      </c>
      <c r="M713" s="112">
        <v>1.56225457887752E-3</v>
      </c>
      <c r="N713" s="112" t="s">
        <v>2453</v>
      </c>
      <c r="O713" s="112" t="s">
        <v>2394</v>
      </c>
      <c r="P713" s="112" t="s">
        <v>2433</v>
      </c>
      <c r="Q713" s="112" t="s">
        <v>2454</v>
      </c>
    </row>
    <row r="714" spans="1:18">
      <c r="A714" s="112" t="s">
        <v>2455</v>
      </c>
      <c r="B714" s="112" t="s">
        <v>1705</v>
      </c>
      <c r="C714" s="112" t="s">
        <v>1706</v>
      </c>
      <c r="D714" s="112">
        <v>80</v>
      </c>
      <c r="E714" s="112" t="s">
        <v>1707</v>
      </c>
      <c r="F714" s="112" t="s">
        <v>1708</v>
      </c>
      <c r="G714" s="112">
        <v>2.4708771241471199</v>
      </c>
      <c r="H714" s="112">
        <v>1.7280779129797299</v>
      </c>
      <c r="I714" s="112">
        <v>1.7476876507763299</v>
      </c>
      <c r="J714" s="112" t="s">
        <v>848</v>
      </c>
      <c r="K714" s="112" t="s">
        <v>1709</v>
      </c>
      <c r="L714" s="112">
        <v>4.1748593220987798E-2</v>
      </c>
      <c r="M714" s="112">
        <v>5.8823401632641797E-3</v>
      </c>
      <c r="N714" s="112" t="s">
        <v>2455</v>
      </c>
      <c r="O714" s="112" t="s">
        <v>2394</v>
      </c>
      <c r="P714" s="112" t="s">
        <v>2433</v>
      </c>
      <c r="Q714" s="112" t="s">
        <v>2456</v>
      </c>
    </row>
    <row r="715" spans="1:18">
      <c r="A715" s="112" t="s">
        <v>2441</v>
      </c>
      <c r="B715" s="112" t="s">
        <v>1796</v>
      </c>
      <c r="C715" s="112" t="s">
        <v>1706</v>
      </c>
      <c r="D715" s="112">
        <v>80</v>
      </c>
      <c r="E715" s="112" t="s">
        <v>1707</v>
      </c>
      <c r="F715" s="112" t="s">
        <v>1721</v>
      </c>
      <c r="G715" s="112">
        <v>13.369030994755001</v>
      </c>
      <c r="H715" s="112">
        <v>1.1726840412628401</v>
      </c>
      <c r="I715" s="112">
        <v>3.2752522484130102</v>
      </c>
      <c r="J715" s="112" t="s">
        <v>848</v>
      </c>
      <c r="K715" s="112" t="s">
        <v>1797</v>
      </c>
      <c r="L715" s="112">
        <v>4.50660465358683E-2</v>
      </c>
      <c r="M715" s="112">
        <v>2.7332957218500001E-3</v>
      </c>
      <c r="N715" s="112" t="s">
        <v>2441</v>
      </c>
      <c r="O715" s="112" t="s">
        <v>2394</v>
      </c>
      <c r="P715" s="112" t="s">
        <v>2433</v>
      </c>
      <c r="Q715" s="112" t="s">
        <v>2457</v>
      </c>
    </row>
    <row r="716" spans="1:18">
      <c r="A716" s="112" t="s">
        <v>2458</v>
      </c>
      <c r="B716" s="112" t="s">
        <v>1731</v>
      </c>
      <c r="C716" s="112" t="s">
        <v>1706</v>
      </c>
      <c r="D716" s="112">
        <v>30</v>
      </c>
      <c r="E716" s="112" t="s">
        <v>1707</v>
      </c>
      <c r="F716" s="112" t="s">
        <v>1708</v>
      </c>
      <c r="G716" s="112">
        <v>1.2325473950999699</v>
      </c>
      <c r="H716" s="112">
        <v>0.93365534812651196</v>
      </c>
      <c r="I716" s="112">
        <v>1.1194191054928999</v>
      </c>
      <c r="J716" s="112" t="s">
        <v>848</v>
      </c>
      <c r="K716" s="112" t="s">
        <v>1732</v>
      </c>
      <c r="L716" s="112">
        <v>4.5474785779920902E-2</v>
      </c>
      <c r="M716" s="112">
        <v>4.5185597953021498E-3</v>
      </c>
      <c r="N716" s="112" t="s">
        <v>2458</v>
      </c>
      <c r="O716" s="112" t="s">
        <v>2394</v>
      </c>
      <c r="P716" s="112" t="s">
        <v>2433</v>
      </c>
      <c r="Q716" s="112" t="s">
        <v>2459</v>
      </c>
    </row>
    <row r="717" spans="1:18">
      <c r="A717" s="112" t="s">
        <v>2460</v>
      </c>
      <c r="B717" s="112" t="s">
        <v>1705</v>
      </c>
      <c r="C717" s="112" t="s">
        <v>1706</v>
      </c>
      <c r="D717" s="112">
        <v>80</v>
      </c>
      <c r="E717" s="112" t="s">
        <v>1707</v>
      </c>
      <c r="F717" s="112" t="s">
        <v>1708</v>
      </c>
      <c r="G717" s="112">
        <v>2.2353355636036301</v>
      </c>
      <c r="H717" s="112">
        <v>2.0423732297378199</v>
      </c>
      <c r="I717" s="112">
        <v>1.56159074808634</v>
      </c>
      <c r="J717" s="112" t="s">
        <v>848</v>
      </c>
      <c r="K717" s="112" t="s">
        <v>1709</v>
      </c>
      <c r="L717" s="229">
        <v>3.16472152800108E-4</v>
      </c>
      <c r="M717" s="229">
        <v>7.8077011381605597E-6</v>
      </c>
      <c r="N717" s="112" t="s">
        <v>2460</v>
      </c>
      <c r="O717" s="112" t="s">
        <v>2033</v>
      </c>
      <c r="P717" s="112" t="s">
        <v>2461</v>
      </c>
      <c r="Q717" s="112" t="s">
        <v>2462</v>
      </c>
    </row>
    <row r="718" spans="1:18">
      <c r="A718" s="112" t="s">
        <v>2463</v>
      </c>
      <c r="B718" s="112" t="s">
        <v>1748</v>
      </c>
      <c r="C718" s="112" t="s">
        <v>1706</v>
      </c>
      <c r="D718" s="112">
        <v>80</v>
      </c>
      <c r="E718" s="112" t="s">
        <v>1707</v>
      </c>
      <c r="F718" s="112" t="s">
        <v>440</v>
      </c>
      <c r="G718" s="112">
        <v>5.489519678193</v>
      </c>
      <c r="H718" s="112">
        <v>3.6914459481040902</v>
      </c>
      <c r="I718" s="112">
        <v>2.4710756662555302</v>
      </c>
      <c r="J718" s="112" t="s">
        <v>848</v>
      </c>
      <c r="K718" s="112" t="s">
        <v>1749</v>
      </c>
      <c r="L718" s="112">
        <v>7.6155027271130899E-3</v>
      </c>
      <c r="M718" s="229">
        <v>2.8808645184802802E-4</v>
      </c>
      <c r="N718" s="112" t="s">
        <v>2463</v>
      </c>
      <c r="O718" s="112" t="s">
        <v>2033</v>
      </c>
      <c r="P718" s="112" t="s">
        <v>2461</v>
      </c>
      <c r="Q718" s="112" t="s">
        <v>2464</v>
      </c>
    </row>
    <row r="719" spans="1:18">
      <c r="A719" s="112" t="s">
        <v>2465</v>
      </c>
      <c r="B719" s="112" t="s">
        <v>1705</v>
      </c>
      <c r="C719" s="112" t="s">
        <v>1706</v>
      </c>
      <c r="D719" s="112">
        <v>80</v>
      </c>
      <c r="E719" s="112" t="s">
        <v>1707</v>
      </c>
      <c r="F719" s="112" t="s">
        <v>1708</v>
      </c>
      <c r="G719" s="112">
        <v>2.0193903254898702</v>
      </c>
      <c r="H719" s="112">
        <v>1.71384380501471</v>
      </c>
      <c r="I719" s="112">
        <v>1.5558843982663599</v>
      </c>
      <c r="J719" s="112" t="s">
        <v>848</v>
      </c>
      <c r="K719" s="112" t="s">
        <v>1709</v>
      </c>
      <c r="L719" s="112">
        <v>8.7655041531294609E-3</v>
      </c>
      <c r="M719" s="229">
        <v>6.0551180005170597E-4</v>
      </c>
      <c r="N719" s="112" t="s">
        <v>2465</v>
      </c>
      <c r="O719" s="112" t="s">
        <v>2033</v>
      </c>
      <c r="P719" s="112" t="s">
        <v>2461</v>
      </c>
      <c r="Q719" s="112" t="s">
        <v>2466</v>
      </c>
    </row>
    <row r="720" spans="1:18">
      <c r="A720" s="112" t="s">
        <v>2463</v>
      </c>
      <c r="B720" s="112" t="s">
        <v>1705</v>
      </c>
      <c r="C720" s="112" t="s">
        <v>1706</v>
      </c>
      <c r="D720" s="112">
        <v>80</v>
      </c>
      <c r="E720" s="112" t="s">
        <v>1707</v>
      </c>
      <c r="F720" s="112" t="s">
        <v>1708</v>
      </c>
      <c r="G720" s="112">
        <v>4.1872113432031002</v>
      </c>
      <c r="H720" s="112">
        <v>2.8021725325082998</v>
      </c>
      <c r="I720" s="112">
        <v>0.77923804222775706</v>
      </c>
      <c r="J720" s="112" t="s">
        <v>848</v>
      </c>
      <c r="K720" s="112" t="s">
        <v>1709</v>
      </c>
      <c r="L720" s="112">
        <v>9.3779813882080999E-3</v>
      </c>
      <c r="M720" s="229">
        <v>6.7866970572558595E-4</v>
      </c>
      <c r="N720" s="112" t="s">
        <v>2463</v>
      </c>
      <c r="O720" s="112" t="s">
        <v>2033</v>
      </c>
      <c r="P720" s="112" t="s">
        <v>2461</v>
      </c>
      <c r="Q720" s="112" t="s">
        <v>2464</v>
      </c>
    </row>
    <row r="721" spans="1:17">
      <c r="A721" s="112" t="s">
        <v>2467</v>
      </c>
      <c r="B721" s="112" t="s">
        <v>1755</v>
      </c>
      <c r="C721" s="112" t="s">
        <v>1706</v>
      </c>
      <c r="D721" s="112">
        <v>30</v>
      </c>
      <c r="E721" s="112" t="s">
        <v>1707</v>
      </c>
      <c r="F721" s="112" t="s">
        <v>1721</v>
      </c>
      <c r="G721" s="112">
        <v>3.3786627436049099</v>
      </c>
      <c r="H721" s="112">
        <v>2.3846658343912899</v>
      </c>
      <c r="I721" s="112">
        <v>2.4113188977009501</v>
      </c>
      <c r="J721" s="112" t="s">
        <v>848</v>
      </c>
      <c r="K721" s="112" t="s">
        <v>1756</v>
      </c>
      <c r="L721" s="112">
        <v>1.35435250253095E-2</v>
      </c>
      <c r="M721" s="229">
        <v>6.5672100679164101E-4</v>
      </c>
      <c r="N721" s="112" t="s">
        <v>2467</v>
      </c>
      <c r="O721" s="112" t="s">
        <v>2033</v>
      </c>
      <c r="P721" s="112" t="s">
        <v>2461</v>
      </c>
      <c r="Q721" s="112" t="s">
        <v>2468</v>
      </c>
    </row>
    <row r="722" spans="1:17">
      <c r="A722" s="112" t="s">
        <v>2469</v>
      </c>
      <c r="B722" s="112" t="s">
        <v>1796</v>
      </c>
      <c r="C722" s="112" t="s">
        <v>1706</v>
      </c>
      <c r="D722" s="112">
        <v>80</v>
      </c>
      <c r="E722" s="112" t="s">
        <v>1707</v>
      </c>
      <c r="F722" s="112" t="s">
        <v>1721</v>
      </c>
      <c r="G722" s="112">
        <v>-3.5732714071215499</v>
      </c>
      <c r="H722" s="112">
        <v>-2.5041688009508198</v>
      </c>
      <c r="I722" s="112">
        <v>-5.2699032117231202</v>
      </c>
      <c r="J722" s="112" t="s">
        <v>848</v>
      </c>
      <c r="K722" s="112" t="s">
        <v>1797</v>
      </c>
      <c r="L722" s="112">
        <v>1.4316938440770101E-2</v>
      </c>
      <c r="M722" s="229">
        <v>4.5534641490615102E-4</v>
      </c>
      <c r="N722" s="112" t="s">
        <v>2469</v>
      </c>
      <c r="O722" s="112" t="s">
        <v>2056</v>
      </c>
      <c r="P722" s="112" t="s">
        <v>2461</v>
      </c>
      <c r="Q722" s="112" t="s">
        <v>2470</v>
      </c>
    </row>
    <row r="723" spans="1:17">
      <c r="A723" s="112" t="s">
        <v>2471</v>
      </c>
      <c r="B723" s="112" t="s">
        <v>1731</v>
      </c>
      <c r="C723" s="112" t="s">
        <v>1706</v>
      </c>
      <c r="D723" s="112">
        <v>30</v>
      </c>
      <c r="E723" s="112" t="s">
        <v>1707</v>
      </c>
      <c r="F723" s="112" t="s">
        <v>1708</v>
      </c>
      <c r="G723" s="112">
        <v>2.2375904041311201</v>
      </c>
      <c r="H723" s="112">
        <v>1.5100474890315401</v>
      </c>
      <c r="I723" s="112">
        <v>1.6575649524402301</v>
      </c>
      <c r="J723" s="112" t="s">
        <v>848</v>
      </c>
      <c r="K723" s="112" t="s">
        <v>1732</v>
      </c>
      <c r="L723" s="112">
        <v>1.6017809637586099E-2</v>
      </c>
      <c r="M723" s="112">
        <v>1.1841464994399901E-3</v>
      </c>
      <c r="N723" s="112" t="s">
        <v>2471</v>
      </c>
      <c r="O723" s="112" t="s">
        <v>2033</v>
      </c>
      <c r="P723" s="112" t="s">
        <v>2461</v>
      </c>
      <c r="Q723" s="112" t="s">
        <v>2472</v>
      </c>
    </row>
    <row r="724" spans="1:17">
      <c r="A724" s="112" t="s">
        <v>2473</v>
      </c>
      <c r="B724" s="112" t="s">
        <v>1705</v>
      </c>
      <c r="C724" s="112" t="s">
        <v>1706</v>
      </c>
      <c r="D724" s="112">
        <v>80</v>
      </c>
      <c r="E724" s="112" t="s">
        <v>1707</v>
      </c>
      <c r="F724" s="112" t="s">
        <v>1708</v>
      </c>
      <c r="G724" s="112">
        <v>1.4497389990071701</v>
      </c>
      <c r="H724" s="112">
        <v>1.2090893004455801</v>
      </c>
      <c r="I724" s="112">
        <v>1.02010344209245</v>
      </c>
      <c r="J724" s="112" t="s">
        <v>848</v>
      </c>
      <c r="K724" s="112" t="s">
        <v>1709</v>
      </c>
      <c r="L724" s="112">
        <v>2.02955671366171E-2</v>
      </c>
      <c r="M724" s="112">
        <v>2.04735984272892E-3</v>
      </c>
      <c r="N724" s="112" t="s">
        <v>2473</v>
      </c>
      <c r="O724" s="112" t="s">
        <v>2033</v>
      </c>
      <c r="P724" s="112" t="s">
        <v>2461</v>
      </c>
      <c r="Q724" s="112" t="s">
        <v>2474</v>
      </c>
    </row>
    <row r="725" spans="1:17">
      <c r="A725" s="112" t="s">
        <v>2475</v>
      </c>
      <c r="B725" s="112" t="s">
        <v>1705</v>
      </c>
      <c r="C725" s="112" t="s">
        <v>1706</v>
      </c>
      <c r="D725" s="112">
        <v>80</v>
      </c>
      <c r="E725" s="112" t="s">
        <v>1707</v>
      </c>
      <c r="F725" s="112" t="s">
        <v>1708</v>
      </c>
      <c r="G725" s="112">
        <v>3.3757030426135199</v>
      </c>
      <c r="H725" s="112">
        <v>2.2825800914577501</v>
      </c>
      <c r="I725" s="112">
        <v>1.70589220077795</v>
      </c>
      <c r="J725" s="112" t="s">
        <v>848</v>
      </c>
      <c r="K725" s="112" t="s">
        <v>1709</v>
      </c>
      <c r="L725" s="112">
        <v>2.1577711959956801E-2</v>
      </c>
      <c r="M725" s="112">
        <v>2.2240185572762498E-3</v>
      </c>
      <c r="N725" s="112" t="s">
        <v>2475</v>
      </c>
      <c r="O725" s="112" t="s">
        <v>2033</v>
      </c>
      <c r="P725" s="112" t="s">
        <v>2461</v>
      </c>
      <c r="Q725" s="112" t="s">
        <v>2476</v>
      </c>
    </row>
    <row r="726" spans="1:17">
      <c r="A726" s="112" t="s">
        <v>2477</v>
      </c>
      <c r="B726" s="112" t="s">
        <v>1705</v>
      </c>
      <c r="C726" s="112" t="s">
        <v>1706</v>
      </c>
      <c r="D726" s="112">
        <v>80</v>
      </c>
      <c r="E726" s="112" t="s">
        <v>1707</v>
      </c>
      <c r="F726" s="112" t="s">
        <v>1708</v>
      </c>
      <c r="G726" s="112">
        <v>1.96280696827836</v>
      </c>
      <c r="H726" s="112">
        <v>1.4735854894732301</v>
      </c>
      <c r="I726" s="112">
        <v>1.47210766310264</v>
      </c>
      <c r="J726" s="112" t="s">
        <v>848</v>
      </c>
      <c r="K726" s="112" t="s">
        <v>1709</v>
      </c>
      <c r="L726" s="112">
        <v>4.0351745656522102E-2</v>
      </c>
      <c r="M726" s="112">
        <v>5.6191575640113E-3</v>
      </c>
      <c r="N726" s="112" t="s">
        <v>2477</v>
      </c>
      <c r="O726" s="112" t="s">
        <v>2033</v>
      </c>
      <c r="P726" s="112" t="s">
        <v>2461</v>
      </c>
      <c r="Q726" s="112" t="s">
        <v>2478</v>
      </c>
    </row>
    <row r="727" spans="1:17">
      <c r="A727" s="112" t="s">
        <v>2463</v>
      </c>
      <c r="B727" s="112" t="s">
        <v>1796</v>
      </c>
      <c r="C727" s="112" t="s">
        <v>1706</v>
      </c>
      <c r="D727" s="112">
        <v>80</v>
      </c>
      <c r="E727" s="112" t="s">
        <v>1707</v>
      </c>
      <c r="F727" s="112" t="s">
        <v>1721</v>
      </c>
      <c r="G727" s="112">
        <v>4.5566176053806604</v>
      </c>
      <c r="H727" s="112">
        <v>1.9596742978709101</v>
      </c>
      <c r="I727" s="112">
        <v>1.23012185873199</v>
      </c>
      <c r="J727" s="112" t="s">
        <v>848</v>
      </c>
      <c r="K727" s="112" t="s">
        <v>1797</v>
      </c>
      <c r="L727" s="112">
        <v>4.7220768402018998E-2</v>
      </c>
      <c r="M727" s="112">
        <v>3.28310076167883E-3</v>
      </c>
      <c r="N727" s="112" t="s">
        <v>2463</v>
      </c>
      <c r="O727" s="112" t="s">
        <v>2033</v>
      </c>
      <c r="P727" s="112" t="s">
        <v>2461</v>
      </c>
      <c r="Q727" s="112" t="s">
        <v>2464</v>
      </c>
    </row>
    <row r="728" spans="1:17">
      <c r="A728" s="112" t="s">
        <v>2479</v>
      </c>
      <c r="B728" s="112" t="s">
        <v>1743</v>
      </c>
      <c r="C728" s="112" t="s">
        <v>1706</v>
      </c>
      <c r="D728" s="112">
        <v>55</v>
      </c>
      <c r="E728" s="112" t="s">
        <v>1707</v>
      </c>
      <c r="F728" s="112" t="s">
        <v>440</v>
      </c>
      <c r="G728" s="112">
        <v>-19.9382362056121</v>
      </c>
      <c r="H728" s="112">
        <v>-19.006229003655299</v>
      </c>
      <c r="I728" s="112">
        <v>0</v>
      </c>
      <c r="J728" s="112">
        <v>1</v>
      </c>
      <c r="K728" s="112" t="s">
        <v>1744</v>
      </c>
      <c r="L728" s="229">
        <v>3.6369752813428398E-8</v>
      </c>
      <c r="M728" s="229">
        <v>1.00538362994964E-10</v>
      </c>
      <c r="N728" s="112" t="s">
        <v>2479</v>
      </c>
      <c r="O728" s="112" t="s">
        <v>2056</v>
      </c>
      <c r="P728" s="112" t="s">
        <v>2480</v>
      </c>
      <c r="Q728" s="112" t="s">
        <v>2481</v>
      </c>
    </row>
    <row r="729" spans="1:17">
      <c r="A729" s="112" t="s">
        <v>2479</v>
      </c>
      <c r="B729" s="112" t="s">
        <v>1735</v>
      </c>
      <c r="C729" s="112" t="s">
        <v>1706</v>
      </c>
      <c r="D729" s="112">
        <v>30</v>
      </c>
      <c r="E729" s="112" t="s">
        <v>1707</v>
      </c>
      <c r="F729" s="112" t="s">
        <v>440</v>
      </c>
      <c r="G729" s="112">
        <v>-15.242938787913699</v>
      </c>
      <c r="H729" s="112">
        <v>-13.8106283412236</v>
      </c>
      <c r="I729" s="112">
        <v>0</v>
      </c>
      <c r="J729" s="112">
        <v>1</v>
      </c>
      <c r="K729" s="112" t="s">
        <v>1736</v>
      </c>
      <c r="L729" s="229">
        <v>1.3333145862783299E-4</v>
      </c>
      <c r="M729" s="229">
        <v>7.67660149015572E-7</v>
      </c>
      <c r="N729" s="112" t="s">
        <v>2479</v>
      </c>
      <c r="O729" s="112" t="s">
        <v>2056</v>
      </c>
      <c r="P729" s="112" t="s">
        <v>2480</v>
      </c>
      <c r="Q729" s="112" t="s">
        <v>2481</v>
      </c>
    </row>
    <row r="730" spans="1:17">
      <c r="A730" s="112" t="s">
        <v>2482</v>
      </c>
      <c r="B730" s="112" t="s">
        <v>1748</v>
      </c>
      <c r="C730" s="112" t="s">
        <v>1706</v>
      </c>
      <c r="D730" s="112">
        <v>80</v>
      </c>
      <c r="E730" s="112" t="s">
        <v>1707</v>
      </c>
      <c r="F730" s="112" t="s">
        <v>440</v>
      </c>
      <c r="G730" s="112">
        <v>6.2799804177955796</v>
      </c>
      <c r="H730" s="112">
        <v>4.8893726630289898</v>
      </c>
      <c r="I730" s="112">
        <v>3.04724145991189</v>
      </c>
      <c r="J730" s="112" t="s">
        <v>848</v>
      </c>
      <c r="K730" s="112" t="s">
        <v>1749</v>
      </c>
      <c r="L730" s="229">
        <v>2.34965511087164E-4</v>
      </c>
      <c r="M730" s="229">
        <v>1.80346335264271E-6</v>
      </c>
      <c r="N730" s="112" t="s">
        <v>2482</v>
      </c>
      <c r="O730" s="112" t="s">
        <v>2056</v>
      </c>
      <c r="P730" s="112" t="s">
        <v>2480</v>
      </c>
      <c r="Q730" s="112" t="s">
        <v>2483</v>
      </c>
    </row>
    <row r="731" spans="1:17">
      <c r="A731" s="112" t="s">
        <v>2484</v>
      </c>
      <c r="B731" s="112" t="s">
        <v>1748</v>
      </c>
      <c r="C731" s="112" t="s">
        <v>1706</v>
      </c>
      <c r="D731" s="112">
        <v>80</v>
      </c>
      <c r="E731" s="112" t="s">
        <v>1707</v>
      </c>
      <c r="F731" s="112" t="s">
        <v>440</v>
      </c>
      <c r="G731" s="112">
        <v>3.5083299091866902</v>
      </c>
      <c r="H731" s="112">
        <v>3.07537059854165</v>
      </c>
      <c r="I731" s="112">
        <v>2.6893497428833002</v>
      </c>
      <c r="J731" s="112" t="s">
        <v>848</v>
      </c>
      <c r="K731" s="112" t="s">
        <v>1749</v>
      </c>
      <c r="L731" s="229">
        <v>9.4441797610775096E-4</v>
      </c>
      <c r="M731" s="229">
        <v>1.10936426522288E-5</v>
      </c>
      <c r="N731" s="112" t="s">
        <v>2484</v>
      </c>
      <c r="O731" s="112" t="s">
        <v>2033</v>
      </c>
      <c r="P731" s="112" t="s">
        <v>2480</v>
      </c>
      <c r="Q731" s="112" t="s">
        <v>2485</v>
      </c>
    </row>
    <row r="732" spans="1:17">
      <c r="A732" s="112" t="s">
        <v>2486</v>
      </c>
      <c r="B732" s="112" t="s">
        <v>1796</v>
      </c>
      <c r="C732" s="112" t="s">
        <v>1706</v>
      </c>
      <c r="D732" s="112">
        <v>80</v>
      </c>
      <c r="E732" s="112" t="s">
        <v>1707</v>
      </c>
      <c r="F732" s="112" t="s">
        <v>1721</v>
      </c>
      <c r="G732" s="112">
        <v>17.706757882615101</v>
      </c>
      <c r="H732" s="112">
        <v>5.9126821334771096</v>
      </c>
      <c r="I732" s="112">
        <v>3.3263798618459202</v>
      </c>
      <c r="J732" s="112" t="s">
        <v>848</v>
      </c>
      <c r="K732" s="112" t="s">
        <v>1797</v>
      </c>
      <c r="L732" s="112">
        <v>3.7956536943194699E-3</v>
      </c>
      <c r="M732" s="229">
        <v>7.2993340275374498E-5</v>
      </c>
      <c r="N732" s="112" t="s">
        <v>2486</v>
      </c>
      <c r="O732" s="112" t="s">
        <v>2033</v>
      </c>
      <c r="P732" s="112" t="s">
        <v>2480</v>
      </c>
      <c r="Q732" s="112" t="s">
        <v>2487</v>
      </c>
    </row>
    <row r="733" spans="1:17">
      <c r="A733" s="112" t="s">
        <v>2488</v>
      </c>
      <c r="B733" s="112" t="s">
        <v>1748</v>
      </c>
      <c r="C733" s="112" t="s">
        <v>1706</v>
      </c>
      <c r="D733" s="112">
        <v>80</v>
      </c>
      <c r="E733" s="112" t="s">
        <v>1707</v>
      </c>
      <c r="F733" s="112" t="s">
        <v>440</v>
      </c>
      <c r="G733" s="112">
        <v>-5.8370761009167902</v>
      </c>
      <c r="H733" s="112">
        <v>-3.9995326452206101</v>
      </c>
      <c r="I733" s="112">
        <v>0</v>
      </c>
      <c r="J733" s="112">
        <v>1</v>
      </c>
      <c r="K733" s="112" t="s">
        <v>1749</v>
      </c>
      <c r="L733" s="112">
        <v>4.6897991899919299E-3</v>
      </c>
      <c r="M733" s="229">
        <v>1.3679288153181001E-4</v>
      </c>
      <c r="N733" s="112" t="s">
        <v>2488</v>
      </c>
      <c r="O733" s="112" t="s">
        <v>2033</v>
      </c>
      <c r="P733" s="112" t="s">
        <v>2480</v>
      </c>
      <c r="Q733" s="112" t="s">
        <v>2489</v>
      </c>
    </row>
    <row r="734" spans="1:17">
      <c r="A734" s="112" t="s">
        <v>2482</v>
      </c>
      <c r="B734" s="112" t="s">
        <v>1705</v>
      </c>
      <c r="C734" s="112" t="s">
        <v>1706</v>
      </c>
      <c r="D734" s="112">
        <v>80</v>
      </c>
      <c r="E734" s="112" t="s">
        <v>1707</v>
      </c>
      <c r="F734" s="112" t="s">
        <v>1708</v>
      </c>
      <c r="G734" s="112">
        <v>3.7760938331158198</v>
      </c>
      <c r="H734" s="112">
        <v>2.7210800522827099</v>
      </c>
      <c r="I734" s="112">
        <v>0.28467616603575902</v>
      </c>
      <c r="J734" s="112" t="s">
        <v>848</v>
      </c>
      <c r="K734" s="112" t="s">
        <v>1709</v>
      </c>
      <c r="L734" s="112">
        <v>7.7367763694104596E-3</v>
      </c>
      <c r="M734" s="229">
        <v>5.0051513793335201E-4</v>
      </c>
      <c r="N734" s="112" t="s">
        <v>2482</v>
      </c>
      <c r="O734" s="112" t="s">
        <v>2056</v>
      </c>
      <c r="P734" s="112" t="s">
        <v>2480</v>
      </c>
      <c r="Q734" s="112" t="s">
        <v>2483</v>
      </c>
    </row>
    <row r="735" spans="1:17">
      <c r="A735" s="112" t="s">
        <v>2479</v>
      </c>
      <c r="B735" s="112" t="s">
        <v>1705</v>
      </c>
      <c r="C735" s="112" t="s">
        <v>1706</v>
      </c>
      <c r="D735" s="112">
        <v>80</v>
      </c>
      <c r="E735" s="112" t="s">
        <v>1707</v>
      </c>
      <c r="F735" s="112" t="s">
        <v>1708</v>
      </c>
      <c r="G735" s="112">
        <v>7.7365170426330003</v>
      </c>
      <c r="H735" s="112">
        <v>3.2575163034011099</v>
      </c>
      <c r="I735" s="112">
        <v>1.74475529683221</v>
      </c>
      <c r="J735" s="112" t="s">
        <v>848</v>
      </c>
      <c r="K735" s="112" t="s">
        <v>1709</v>
      </c>
      <c r="L735" s="112">
        <v>7.8541615846955404E-3</v>
      </c>
      <c r="M735" s="229">
        <v>5.1672115688786396E-4</v>
      </c>
      <c r="N735" s="112" t="s">
        <v>2479</v>
      </c>
      <c r="O735" s="112" t="s">
        <v>2056</v>
      </c>
      <c r="P735" s="112" t="s">
        <v>2480</v>
      </c>
      <c r="Q735" s="112" t="s">
        <v>2481</v>
      </c>
    </row>
    <row r="736" spans="1:17">
      <c r="A736" s="112" t="s">
        <v>2490</v>
      </c>
      <c r="B736" s="112" t="s">
        <v>1755</v>
      </c>
      <c r="C736" s="112" t="s">
        <v>1706</v>
      </c>
      <c r="D736" s="112">
        <v>30</v>
      </c>
      <c r="E736" s="112" t="s">
        <v>1707</v>
      </c>
      <c r="F736" s="112" t="s">
        <v>1721</v>
      </c>
      <c r="G736" s="112">
        <v>2.6556034902611998</v>
      </c>
      <c r="H736" s="112">
        <v>2.0560436279579202</v>
      </c>
      <c r="I736" s="112">
        <v>1.95843803975957</v>
      </c>
      <c r="J736" s="112" t="s">
        <v>848</v>
      </c>
      <c r="K736" s="112" t="s">
        <v>1756</v>
      </c>
      <c r="L736" s="112">
        <v>8.2074101885959792E-3</v>
      </c>
      <c r="M736" s="229">
        <v>3.1316032516105503E-4</v>
      </c>
      <c r="N736" s="112" t="s">
        <v>2490</v>
      </c>
      <c r="O736" s="112" t="s">
        <v>2033</v>
      </c>
      <c r="P736" s="112" t="s">
        <v>2480</v>
      </c>
      <c r="Q736" s="112" t="s">
        <v>2491</v>
      </c>
    </row>
    <row r="737" spans="1:17">
      <c r="A737" s="112" t="s">
        <v>2488</v>
      </c>
      <c r="B737" s="112" t="s">
        <v>1705</v>
      </c>
      <c r="C737" s="112" t="s">
        <v>1706</v>
      </c>
      <c r="D737" s="112">
        <v>80</v>
      </c>
      <c r="E737" s="112" t="s">
        <v>1707</v>
      </c>
      <c r="F737" s="112" t="s">
        <v>1708</v>
      </c>
      <c r="G737" s="112">
        <v>-3.4652731925987701</v>
      </c>
      <c r="H737" s="112">
        <v>-2.5291611473466098</v>
      </c>
      <c r="I737" s="112">
        <v>-5.3317175868118403</v>
      </c>
      <c r="J737" s="112" t="s">
        <v>848</v>
      </c>
      <c r="K737" s="112" t="s">
        <v>1709</v>
      </c>
      <c r="L737" s="112">
        <v>9.83248254988465E-3</v>
      </c>
      <c r="M737" s="229">
        <v>7.4390492976101003E-4</v>
      </c>
      <c r="N737" s="112" t="s">
        <v>2488</v>
      </c>
      <c r="O737" s="112" t="s">
        <v>2033</v>
      </c>
      <c r="P737" s="112" t="s">
        <v>2480</v>
      </c>
      <c r="Q737" s="112" t="s">
        <v>2489</v>
      </c>
    </row>
    <row r="738" spans="1:17">
      <c r="A738" s="112" t="s">
        <v>2488</v>
      </c>
      <c r="B738" s="112" t="s">
        <v>1731</v>
      </c>
      <c r="C738" s="112" t="s">
        <v>1706</v>
      </c>
      <c r="D738" s="112">
        <v>30</v>
      </c>
      <c r="E738" s="112" t="s">
        <v>1707</v>
      </c>
      <c r="F738" s="112" t="s">
        <v>1708</v>
      </c>
      <c r="G738" s="112">
        <v>2.2776661816339701</v>
      </c>
      <c r="H738" s="112">
        <v>1.5649398766006299</v>
      </c>
      <c r="I738" s="112">
        <v>0.87306232109114801</v>
      </c>
      <c r="J738" s="112" t="s">
        <v>848</v>
      </c>
      <c r="K738" s="112" t="s">
        <v>1732</v>
      </c>
      <c r="L738" s="112">
        <v>1.24581392581368E-2</v>
      </c>
      <c r="M738" s="229">
        <v>8.7146818554221801E-4</v>
      </c>
      <c r="N738" s="112" t="s">
        <v>2488</v>
      </c>
      <c r="O738" s="112" t="s">
        <v>2033</v>
      </c>
      <c r="P738" s="112" t="s">
        <v>2480</v>
      </c>
      <c r="Q738" s="112" t="s">
        <v>2489</v>
      </c>
    </row>
    <row r="739" spans="1:17">
      <c r="A739" s="112" t="s">
        <v>2488</v>
      </c>
      <c r="B739" s="112" t="s">
        <v>1720</v>
      </c>
      <c r="C739" s="112" t="s">
        <v>1706</v>
      </c>
      <c r="D739" s="112">
        <v>55</v>
      </c>
      <c r="E739" s="112" t="s">
        <v>1707</v>
      </c>
      <c r="F739" s="112" t="s">
        <v>1721</v>
      </c>
      <c r="G739" s="112">
        <v>2.4834672115101202</v>
      </c>
      <c r="H739" s="112">
        <v>1.8845515480805599</v>
      </c>
      <c r="I739" s="112">
        <v>1.0170581400377701</v>
      </c>
      <c r="J739" s="112" t="s">
        <v>848</v>
      </c>
      <c r="K739" s="112" t="s">
        <v>1722</v>
      </c>
      <c r="L739" s="112">
        <v>1.9157010945603601E-2</v>
      </c>
      <c r="M739" s="229">
        <v>4.9362911976062003E-4</v>
      </c>
      <c r="N739" s="112" t="s">
        <v>2488</v>
      </c>
      <c r="O739" s="112" t="s">
        <v>2033</v>
      </c>
      <c r="P739" s="112" t="s">
        <v>2480</v>
      </c>
      <c r="Q739" s="112" t="s">
        <v>2489</v>
      </c>
    </row>
    <row r="740" spans="1:17">
      <c r="A740" s="112" t="s">
        <v>2492</v>
      </c>
      <c r="B740" s="112" t="s">
        <v>1705</v>
      </c>
      <c r="C740" s="112" t="s">
        <v>1706</v>
      </c>
      <c r="D740" s="112">
        <v>80</v>
      </c>
      <c r="E740" s="112" t="s">
        <v>1707</v>
      </c>
      <c r="F740" s="112" t="s">
        <v>1708</v>
      </c>
      <c r="G740" s="112">
        <v>2.7022195240659599</v>
      </c>
      <c r="H740" s="112">
        <v>1.9538780640312301</v>
      </c>
      <c r="I740" s="112">
        <v>1.8882916359606301</v>
      </c>
      <c r="J740" s="112" t="s">
        <v>848</v>
      </c>
      <c r="K740" s="112" t="s">
        <v>1709</v>
      </c>
      <c r="L740" s="112">
        <v>2.65928990705834E-2</v>
      </c>
      <c r="M740" s="112">
        <v>3.0471030185043402E-3</v>
      </c>
      <c r="N740" s="112" t="s">
        <v>2492</v>
      </c>
      <c r="O740" s="112" t="s">
        <v>2033</v>
      </c>
      <c r="P740" s="112" t="s">
        <v>2480</v>
      </c>
      <c r="Q740" s="112" t="s">
        <v>2493</v>
      </c>
    </row>
    <row r="741" spans="1:17">
      <c r="A741" s="112" t="s">
        <v>2486</v>
      </c>
      <c r="B741" s="112" t="s">
        <v>1720</v>
      </c>
      <c r="C741" s="112" t="s">
        <v>1706</v>
      </c>
      <c r="D741" s="112">
        <v>55</v>
      </c>
      <c r="E741" s="112" t="s">
        <v>1707</v>
      </c>
      <c r="F741" s="112" t="s">
        <v>1721</v>
      </c>
      <c r="G741" s="112">
        <v>11.915317934146699</v>
      </c>
      <c r="H741" s="112">
        <v>1.22819888114527</v>
      </c>
      <c r="I741" s="112">
        <v>-2.3655209827493899</v>
      </c>
      <c r="J741" s="112" t="s">
        <v>848</v>
      </c>
      <c r="K741" s="112" t="s">
        <v>1722</v>
      </c>
      <c r="L741" s="112">
        <v>3.01878156435548E-2</v>
      </c>
      <c r="M741" s="229">
        <v>9.2681890133720999E-4</v>
      </c>
      <c r="N741" s="112" t="s">
        <v>2486</v>
      </c>
      <c r="O741" s="112" t="s">
        <v>2033</v>
      </c>
      <c r="P741" s="112" t="s">
        <v>2480</v>
      </c>
      <c r="Q741" s="112" t="s">
        <v>2487</v>
      </c>
    </row>
    <row r="742" spans="1:17">
      <c r="A742" s="112" t="s">
        <v>2494</v>
      </c>
      <c r="B742" s="112" t="s">
        <v>1796</v>
      </c>
      <c r="C742" s="112" t="s">
        <v>1706</v>
      </c>
      <c r="D742" s="112">
        <v>80</v>
      </c>
      <c r="E742" s="112" t="s">
        <v>1707</v>
      </c>
      <c r="F742" s="112" t="s">
        <v>1721</v>
      </c>
      <c r="G742" s="112">
        <v>-4.7450851038676296</v>
      </c>
      <c r="H742" s="112">
        <v>-2.3038996464146799</v>
      </c>
      <c r="I742" s="112">
        <v>-7.1874722299480496</v>
      </c>
      <c r="J742" s="112" t="s">
        <v>848</v>
      </c>
      <c r="K742" s="112" t="s">
        <v>1797</v>
      </c>
      <c r="L742" s="112">
        <v>3.1791604281162698E-2</v>
      </c>
      <c r="M742" s="112">
        <v>1.6695295147652E-3</v>
      </c>
      <c r="N742" s="112" t="s">
        <v>2494</v>
      </c>
      <c r="O742" s="112" t="s">
        <v>2056</v>
      </c>
      <c r="P742" s="112" t="s">
        <v>2480</v>
      </c>
      <c r="Q742" s="112" t="s">
        <v>2495</v>
      </c>
    </row>
    <row r="743" spans="1:17">
      <c r="A743" s="112" t="s">
        <v>2496</v>
      </c>
      <c r="B743" s="112" t="s">
        <v>1755</v>
      </c>
      <c r="C743" s="112" t="s">
        <v>1706</v>
      </c>
      <c r="D743" s="112">
        <v>30</v>
      </c>
      <c r="E743" s="112" t="s">
        <v>1707</v>
      </c>
      <c r="F743" s="112" t="s">
        <v>1721</v>
      </c>
      <c r="G743" s="112">
        <v>-2.1305532370387898</v>
      </c>
      <c r="H743" s="112">
        <v>-1.5913340743767299</v>
      </c>
      <c r="I743" s="112">
        <v>-2.7203308447372501</v>
      </c>
      <c r="J743" s="112" t="s">
        <v>848</v>
      </c>
      <c r="K743" s="112" t="s">
        <v>1756</v>
      </c>
      <c r="L743" s="112">
        <v>3.6309850355940199E-2</v>
      </c>
      <c r="M743" s="112">
        <v>2.9440419207519002E-3</v>
      </c>
      <c r="N743" s="112" t="s">
        <v>2496</v>
      </c>
      <c r="O743" s="112" t="s">
        <v>2056</v>
      </c>
      <c r="P743" s="112" t="s">
        <v>2480</v>
      </c>
      <c r="Q743" s="112" t="s">
        <v>2497</v>
      </c>
    </row>
    <row r="744" spans="1:17">
      <c r="A744" s="112" t="s">
        <v>2498</v>
      </c>
      <c r="B744" s="112" t="s">
        <v>1705</v>
      </c>
      <c r="C744" s="112" t="s">
        <v>1706</v>
      </c>
      <c r="D744" s="112">
        <v>80</v>
      </c>
      <c r="E744" s="112" t="s">
        <v>1707</v>
      </c>
      <c r="F744" s="112" t="s">
        <v>1708</v>
      </c>
      <c r="G744" s="112">
        <v>5.6972041256078203</v>
      </c>
      <c r="H744" s="112">
        <v>2.2142159962915802</v>
      </c>
      <c r="I744" s="112">
        <v>1.91530984011355</v>
      </c>
      <c r="J744" s="112" t="s">
        <v>848</v>
      </c>
      <c r="K744" s="112" t="s">
        <v>1709</v>
      </c>
      <c r="L744" s="112">
        <v>3.6381104044632802E-2</v>
      </c>
      <c r="M744" s="112">
        <v>4.8667704971986896E-3</v>
      </c>
      <c r="N744" s="112" t="s">
        <v>2498</v>
      </c>
      <c r="O744" s="112" t="s">
        <v>2033</v>
      </c>
      <c r="P744" s="112" t="s">
        <v>2480</v>
      </c>
      <c r="Q744" s="112" t="s">
        <v>2499</v>
      </c>
    </row>
    <row r="745" spans="1:17">
      <c r="A745" s="112" t="s">
        <v>2500</v>
      </c>
      <c r="B745" s="112" t="s">
        <v>1748</v>
      </c>
      <c r="C745" s="112" t="s">
        <v>1706</v>
      </c>
      <c r="D745" s="112">
        <v>80</v>
      </c>
      <c r="E745" s="112" t="s">
        <v>1707</v>
      </c>
      <c r="F745" s="112" t="s">
        <v>440</v>
      </c>
      <c r="G745" s="112">
        <v>2.6391260328638499</v>
      </c>
      <c r="H745" s="112">
        <v>1.93248526927234</v>
      </c>
      <c r="I745" s="112">
        <v>2.1898146116409101</v>
      </c>
      <c r="J745" s="112" t="s">
        <v>848</v>
      </c>
      <c r="K745" s="112" t="s">
        <v>1749</v>
      </c>
      <c r="L745" s="112">
        <v>3.7015934057008398E-2</v>
      </c>
      <c r="M745" s="112">
        <v>2.80054764247103E-3</v>
      </c>
      <c r="N745" s="112" t="s">
        <v>2500</v>
      </c>
      <c r="O745" s="112" t="s">
        <v>2033</v>
      </c>
      <c r="P745" s="112" t="s">
        <v>2480</v>
      </c>
      <c r="Q745" s="112" t="s">
        <v>2501</v>
      </c>
    </row>
    <row r="746" spans="1:17">
      <c r="A746" s="112" t="s">
        <v>2502</v>
      </c>
      <c r="B746" s="112" t="s">
        <v>1705</v>
      </c>
      <c r="C746" s="112" t="s">
        <v>1706</v>
      </c>
      <c r="D746" s="112">
        <v>80</v>
      </c>
      <c r="E746" s="112" t="s">
        <v>1707</v>
      </c>
      <c r="F746" s="112" t="s">
        <v>1708</v>
      </c>
      <c r="G746" s="112">
        <v>0.93400857744969501</v>
      </c>
      <c r="H746" s="112">
        <v>0.78003033744343198</v>
      </c>
      <c r="I746" s="112">
        <v>0.73771964739735096</v>
      </c>
      <c r="J746" s="112" t="s">
        <v>848</v>
      </c>
      <c r="K746" s="112" t="s">
        <v>1709</v>
      </c>
      <c r="L746" s="112">
        <v>3.8299095594433598E-2</v>
      </c>
      <c r="M746" s="112">
        <v>5.2283304841085404E-3</v>
      </c>
      <c r="N746" s="112" t="s">
        <v>2502</v>
      </c>
      <c r="O746" s="112" t="s">
        <v>2056</v>
      </c>
      <c r="P746" s="112" t="s">
        <v>2480</v>
      </c>
      <c r="Q746" s="112" t="s">
        <v>2503</v>
      </c>
    </row>
    <row r="747" spans="1:17">
      <c r="A747" s="112" t="s">
        <v>2504</v>
      </c>
      <c r="B747" s="112" t="s">
        <v>1705</v>
      </c>
      <c r="C747" s="112" t="s">
        <v>1706</v>
      </c>
      <c r="D747" s="112">
        <v>80</v>
      </c>
      <c r="E747" s="112" t="s">
        <v>1707</v>
      </c>
      <c r="F747" s="112" t="s">
        <v>1708</v>
      </c>
      <c r="G747" s="112">
        <v>-3.5158782674554399</v>
      </c>
      <c r="H747" s="112">
        <v>-2.08808494618052</v>
      </c>
      <c r="I747" s="112">
        <v>0</v>
      </c>
      <c r="J747" s="112">
        <v>1</v>
      </c>
      <c r="K747" s="112" t="s">
        <v>1709</v>
      </c>
      <c r="L747" s="112">
        <v>3.86078735973375E-2</v>
      </c>
      <c r="M747" s="112">
        <v>5.2916493417403399E-3</v>
      </c>
      <c r="N747" s="112" t="s">
        <v>2504</v>
      </c>
      <c r="O747" s="112" t="s">
        <v>2033</v>
      </c>
      <c r="P747" s="112" t="s">
        <v>2480</v>
      </c>
      <c r="Q747" s="112" t="s">
        <v>2505</v>
      </c>
    </row>
    <row r="748" spans="1:17">
      <c r="A748" s="112" t="s">
        <v>2504</v>
      </c>
      <c r="B748" s="112" t="s">
        <v>1748</v>
      </c>
      <c r="C748" s="112" t="s">
        <v>1706</v>
      </c>
      <c r="D748" s="112">
        <v>80</v>
      </c>
      <c r="E748" s="112" t="s">
        <v>1707</v>
      </c>
      <c r="F748" s="112" t="s">
        <v>440</v>
      </c>
      <c r="G748" s="112">
        <v>-4.9963238602685198</v>
      </c>
      <c r="H748" s="112">
        <v>-2.63663228960979</v>
      </c>
      <c r="I748" s="112">
        <v>0</v>
      </c>
      <c r="J748" s="112">
        <v>1</v>
      </c>
      <c r="K748" s="112" t="s">
        <v>1749</v>
      </c>
      <c r="L748" s="112">
        <v>4.1253272914878E-2</v>
      </c>
      <c r="M748" s="112">
        <v>3.2789944746079102E-3</v>
      </c>
      <c r="N748" s="112" t="s">
        <v>2504</v>
      </c>
      <c r="O748" s="112" t="s">
        <v>2033</v>
      </c>
      <c r="P748" s="112" t="s">
        <v>2480</v>
      </c>
      <c r="Q748" s="112" t="s">
        <v>2505</v>
      </c>
    </row>
    <row r="749" spans="1:17">
      <c r="A749" s="112" t="s">
        <v>2506</v>
      </c>
      <c r="B749" s="112" t="s">
        <v>1735</v>
      </c>
      <c r="C749" s="112" t="s">
        <v>1706</v>
      </c>
      <c r="D749" s="112">
        <v>30</v>
      </c>
      <c r="E749" s="112" t="s">
        <v>1707</v>
      </c>
      <c r="F749" s="112" t="s">
        <v>440</v>
      </c>
      <c r="G749" s="112">
        <v>4.7388489908996396</v>
      </c>
      <c r="H749" s="112">
        <v>1.8310721012036399</v>
      </c>
      <c r="I749" s="112">
        <v>1.7224403007062601</v>
      </c>
      <c r="J749" s="112" t="s">
        <v>848</v>
      </c>
      <c r="K749" s="112" t="s">
        <v>1736</v>
      </c>
      <c r="L749" s="112">
        <v>4.7744753698737402E-2</v>
      </c>
      <c r="M749" s="112">
        <v>1.36114429404295E-3</v>
      </c>
      <c r="N749" s="112" t="s">
        <v>2506</v>
      </c>
      <c r="O749" s="112" t="s">
        <v>2056</v>
      </c>
      <c r="P749" s="112" t="s">
        <v>2480</v>
      </c>
      <c r="Q749" s="112" t="s">
        <v>2507</v>
      </c>
    </row>
    <row r="750" spans="1:17">
      <c r="A750" s="112" t="s">
        <v>2506</v>
      </c>
      <c r="B750" s="112" t="s">
        <v>1762</v>
      </c>
      <c r="C750" s="112" t="s">
        <v>1706</v>
      </c>
      <c r="D750" s="112">
        <v>55</v>
      </c>
      <c r="E750" s="112" t="s">
        <v>1707</v>
      </c>
      <c r="F750" s="112" t="s">
        <v>1708</v>
      </c>
      <c r="G750" s="112">
        <v>3.77236617788216</v>
      </c>
      <c r="H750" s="112">
        <v>1.65186598584939</v>
      </c>
      <c r="I750" s="112">
        <v>1.4214049743008701</v>
      </c>
      <c r="J750" s="112" t="s">
        <v>848</v>
      </c>
      <c r="K750" s="112" t="s">
        <v>1763</v>
      </c>
      <c r="L750" s="112">
        <v>4.9905879344027702E-2</v>
      </c>
      <c r="M750" s="112">
        <v>1.9443849095075699E-3</v>
      </c>
      <c r="N750" s="112" t="s">
        <v>2506</v>
      </c>
      <c r="O750" s="112" t="s">
        <v>2056</v>
      </c>
      <c r="P750" s="112" t="s">
        <v>2480</v>
      </c>
      <c r="Q750" s="112" t="s">
        <v>2507</v>
      </c>
    </row>
    <row r="751" spans="1:17">
      <c r="A751" s="112" t="s">
        <v>2508</v>
      </c>
      <c r="B751" s="112" t="s">
        <v>1705</v>
      </c>
      <c r="C751" s="112" t="s">
        <v>1706</v>
      </c>
      <c r="D751" s="112">
        <v>80</v>
      </c>
      <c r="E751" s="112" t="s">
        <v>1707</v>
      </c>
      <c r="F751" s="112" t="s">
        <v>1708</v>
      </c>
      <c r="G751" s="112">
        <v>-13.1643071375854</v>
      </c>
      <c r="H751" s="112">
        <v>-9.17090929097896</v>
      </c>
      <c r="I751" s="112">
        <v>0</v>
      </c>
      <c r="J751" s="112">
        <v>1</v>
      </c>
      <c r="K751" s="112" t="s">
        <v>1709</v>
      </c>
      <c r="L751" s="229">
        <v>1.80180188302866E-4</v>
      </c>
      <c r="M751" s="229">
        <v>3.8525369209494401E-6</v>
      </c>
      <c r="N751" s="112" t="s">
        <v>2508</v>
      </c>
      <c r="O751" s="112" t="s">
        <v>1710</v>
      </c>
      <c r="P751" s="112" t="s">
        <v>2509</v>
      </c>
      <c r="Q751" s="112" t="s">
        <v>2510</v>
      </c>
    </row>
    <row r="752" spans="1:17">
      <c r="A752" s="112" t="s">
        <v>2508</v>
      </c>
      <c r="B752" s="112" t="s">
        <v>1762</v>
      </c>
      <c r="C752" s="112" t="s">
        <v>1706</v>
      </c>
      <c r="D752" s="112">
        <v>55</v>
      </c>
      <c r="E752" s="112" t="s">
        <v>1707</v>
      </c>
      <c r="F752" s="112" t="s">
        <v>1708</v>
      </c>
      <c r="G752" s="112">
        <v>11.2939192170171</v>
      </c>
      <c r="H752" s="112">
        <v>2.5507707176082199</v>
      </c>
      <c r="I752" s="112">
        <v>2.0975042870676401</v>
      </c>
      <c r="J752" s="112" t="s">
        <v>848</v>
      </c>
      <c r="K752" s="112" t="s">
        <v>1763</v>
      </c>
      <c r="L752" s="112">
        <v>1.8043598836595899E-3</v>
      </c>
      <c r="M752" s="229">
        <v>2.5776569766565602E-5</v>
      </c>
      <c r="N752" s="112" t="s">
        <v>2508</v>
      </c>
      <c r="O752" s="112" t="s">
        <v>1710</v>
      </c>
      <c r="P752" s="112" t="s">
        <v>2509</v>
      </c>
      <c r="Q752" s="112" t="s">
        <v>2510</v>
      </c>
    </row>
    <row r="753" spans="1:18">
      <c r="A753" s="112" t="s">
        <v>2508</v>
      </c>
      <c r="B753" s="112" t="s">
        <v>1731</v>
      </c>
      <c r="C753" s="112" t="s">
        <v>1706</v>
      </c>
      <c r="D753" s="112">
        <v>30</v>
      </c>
      <c r="E753" s="112" t="s">
        <v>1707</v>
      </c>
      <c r="F753" s="112" t="s">
        <v>1708</v>
      </c>
      <c r="G753" s="112">
        <v>10.582865653791099</v>
      </c>
      <c r="H753" s="112">
        <v>6.4432962258886404</v>
      </c>
      <c r="I753" s="112">
        <v>1.22690039110621</v>
      </c>
      <c r="J753" s="112" t="s">
        <v>848</v>
      </c>
      <c r="K753" s="112" t="s">
        <v>1732</v>
      </c>
      <c r="L753" s="112">
        <v>2.1373120473158298E-3</v>
      </c>
      <c r="M753" s="229">
        <v>7.6453928560582301E-5</v>
      </c>
      <c r="N753" s="112" t="s">
        <v>2508</v>
      </c>
      <c r="O753" s="112" t="s">
        <v>1710</v>
      </c>
      <c r="P753" s="112" t="s">
        <v>2509</v>
      </c>
      <c r="Q753" s="112" t="s">
        <v>2510</v>
      </c>
    </row>
    <row r="754" spans="1:18">
      <c r="A754" s="112" t="s">
        <v>2508</v>
      </c>
      <c r="B754" s="112" t="s">
        <v>1796</v>
      </c>
      <c r="C754" s="112" t="s">
        <v>1706</v>
      </c>
      <c r="D754" s="112">
        <v>80</v>
      </c>
      <c r="E754" s="112" t="s">
        <v>1707</v>
      </c>
      <c r="F754" s="112" t="s">
        <v>1721</v>
      </c>
      <c r="G754" s="112">
        <v>-12.170226454471599</v>
      </c>
      <c r="H754" s="112">
        <v>-2.1237592963180201</v>
      </c>
      <c r="I754" s="112">
        <v>0</v>
      </c>
      <c r="J754" s="112">
        <v>1</v>
      </c>
      <c r="K754" s="112" t="s">
        <v>1797</v>
      </c>
      <c r="L754" s="112">
        <v>1.9431451484763201E-2</v>
      </c>
      <c r="M754" s="229">
        <v>7.0424639256908201E-4</v>
      </c>
      <c r="N754" s="112" t="s">
        <v>2508</v>
      </c>
      <c r="O754" s="112" t="s">
        <v>1710</v>
      </c>
      <c r="P754" s="112" t="s">
        <v>2509</v>
      </c>
      <c r="Q754" s="112" t="s">
        <v>2510</v>
      </c>
    </row>
    <row r="755" spans="1:18">
      <c r="A755" s="112" t="s">
        <v>2508</v>
      </c>
      <c r="B755" s="112" t="s">
        <v>1743</v>
      </c>
      <c r="C755" s="112" t="s">
        <v>1706</v>
      </c>
      <c r="D755" s="112">
        <v>55</v>
      </c>
      <c r="E755" s="112" t="s">
        <v>1707</v>
      </c>
      <c r="F755" s="112" t="s">
        <v>440</v>
      </c>
      <c r="G755" s="112">
        <v>-12.034937986608799</v>
      </c>
      <c r="H755" s="112">
        <v>-2.7654543225197701</v>
      </c>
      <c r="I755" s="112">
        <v>0</v>
      </c>
      <c r="J755" s="112">
        <v>1</v>
      </c>
      <c r="K755" s="112" t="s">
        <v>1744</v>
      </c>
      <c r="L755" s="112">
        <v>2.48563610810719E-2</v>
      </c>
      <c r="M755" s="229">
        <v>8.0735934402928998E-4</v>
      </c>
      <c r="N755" s="112" t="s">
        <v>2508</v>
      </c>
      <c r="O755" s="112" t="s">
        <v>1710</v>
      </c>
      <c r="P755" s="112" t="s">
        <v>2509</v>
      </c>
      <c r="Q755" s="112" t="s">
        <v>2510</v>
      </c>
    </row>
    <row r="756" spans="1:18">
      <c r="A756" s="112" t="s">
        <v>2511</v>
      </c>
      <c r="B756" s="112" t="s">
        <v>1796</v>
      </c>
      <c r="C756" s="112" t="s">
        <v>1706</v>
      </c>
      <c r="D756" s="112">
        <v>80</v>
      </c>
      <c r="E756" s="112" t="s">
        <v>1707</v>
      </c>
      <c r="F756" s="112" t="s">
        <v>1721</v>
      </c>
      <c r="G756" s="112">
        <v>3.77632501885294</v>
      </c>
      <c r="H756" s="112">
        <v>2.2389393503850599</v>
      </c>
      <c r="I756" s="112">
        <v>2.1336513227387499</v>
      </c>
      <c r="J756" s="112" t="s">
        <v>848</v>
      </c>
      <c r="K756" s="112" t="s">
        <v>1797</v>
      </c>
      <c r="L756" s="112">
        <v>2.8011747818701801E-2</v>
      </c>
      <c r="M756" s="112">
        <v>1.3881561419031201E-3</v>
      </c>
      <c r="N756" s="112" t="s">
        <v>2511</v>
      </c>
      <c r="O756" s="112" t="s">
        <v>1710</v>
      </c>
      <c r="P756" s="112" t="s">
        <v>2509</v>
      </c>
      <c r="Q756" s="112" t="s">
        <v>2512</v>
      </c>
    </row>
    <row r="757" spans="1:18">
      <c r="A757" s="112" t="s">
        <v>2511</v>
      </c>
      <c r="B757" s="112" t="s">
        <v>1755</v>
      </c>
      <c r="C757" s="112" t="s">
        <v>1706</v>
      </c>
      <c r="D757" s="112">
        <v>30</v>
      </c>
      <c r="E757" s="112" t="s">
        <v>1707</v>
      </c>
      <c r="F757" s="112" t="s">
        <v>1721</v>
      </c>
      <c r="G757" s="112">
        <v>-7.4026227856027296</v>
      </c>
      <c r="H757" s="112">
        <v>-2.5856563523784399</v>
      </c>
      <c r="I757" s="112">
        <v>0</v>
      </c>
      <c r="J757" s="112">
        <v>1</v>
      </c>
      <c r="K757" s="112" t="s">
        <v>1756</v>
      </c>
      <c r="L757" s="112">
        <v>4.1735134500680199E-2</v>
      </c>
      <c r="M757" s="112">
        <v>3.7346173239893501E-3</v>
      </c>
      <c r="N757" s="112" t="s">
        <v>2511</v>
      </c>
      <c r="O757" s="112" t="s">
        <v>1710</v>
      </c>
      <c r="P757" s="112" t="s">
        <v>2509</v>
      </c>
      <c r="Q757" s="112" t="s">
        <v>2512</v>
      </c>
    </row>
    <row r="758" spans="1:18">
      <c r="A758" s="112" t="s">
        <v>2513</v>
      </c>
      <c r="B758" s="112" t="s">
        <v>1731</v>
      </c>
      <c r="C758" s="112" t="s">
        <v>1706</v>
      </c>
      <c r="D758" s="112">
        <v>30</v>
      </c>
      <c r="E758" s="112" t="s">
        <v>1707</v>
      </c>
      <c r="F758" s="112" t="s">
        <v>1708</v>
      </c>
      <c r="G758" s="112">
        <v>2.9401213097495602</v>
      </c>
      <c r="H758" s="112">
        <v>2.5281465884042098</v>
      </c>
      <c r="I758" s="112">
        <v>0.83452405449436995</v>
      </c>
      <c r="J758" s="112" t="s">
        <v>848</v>
      </c>
      <c r="K758" s="112" t="s">
        <v>1732</v>
      </c>
      <c r="L758" s="229">
        <v>2.2019873731111801E-5</v>
      </c>
      <c r="M758" s="229">
        <v>2.97565861231241E-7</v>
      </c>
      <c r="N758" s="112" t="s">
        <v>2513</v>
      </c>
      <c r="O758" s="112" t="s">
        <v>1710</v>
      </c>
      <c r="P758" s="112" t="s">
        <v>2514</v>
      </c>
      <c r="Q758" s="112" t="s">
        <v>2515</v>
      </c>
      <c r="R758" s="112" t="s">
        <v>2516</v>
      </c>
    </row>
    <row r="759" spans="1:18">
      <c r="A759" s="112" t="s">
        <v>2513</v>
      </c>
      <c r="B759" s="112" t="s">
        <v>1705</v>
      </c>
      <c r="C759" s="112" t="s">
        <v>1706</v>
      </c>
      <c r="D759" s="112">
        <v>80</v>
      </c>
      <c r="E759" s="112" t="s">
        <v>1707</v>
      </c>
      <c r="F759" s="112" t="s">
        <v>1708</v>
      </c>
      <c r="G759" s="112">
        <v>-4.9486709494234997</v>
      </c>
      <c r="H759" s="112">
        <v>-3.85027714143183</v>
      </c>
      <c r="I759" s="112">
        <v>0</v>
      </c>
      <c r="J759" s="112">
        <v>1</v>
      </c>
      <c r="K759" s="112" t="s">
        <v>1709</v>
      </c>
      <c r="L759" s="229">
        <v>1.60098835975353E-4</v>
      </c>
      <c r="M759" s="229">
        <v>2.9991397180441E-6</v>
      </c>
      <c r="N759" s="112" t="s">
        <v>2513</v>
      </c>
      <c r="O759" s="112" t="s">
        <v>1710</v>
      </c>
      <c r="P759" s="112" t="s">
        <v>2514</v>
      </c>
      <c r="Q759" s="112" t="s">
        <v>2515</v>
      </c>
      <c r="R759" s="112" t="s">
        <v>2516</v>
      </c>
    </row>
    <row r="760" spans="1:18">
      <c r="A760" s="112" t="s">
        <v>2517</v>
      </c>
      <c r="B760" s="112" t="s">
        <v>1705</v>
      </c>
      <c r="C760" s="112" t="s">
        <v>1706</v>
      </c>
      <c r="D760" s="112">
        <v>80</v>
      </c>
      <c r="E760" s="112" t="s">
        <v>1707</v>
      </c>
      <c r="F760" s="112" t="s">
        <v>1708</v>
      </c>
      <c r="G760" s="112">
        <v>-2.3707544011323298</v>
      </c>
      <c r="H760" s="112">
        <v>-2.1643305794474901</v>
      </c>
      <c r="I760" s="112">
        <v>-3.1079056365412199</v>
      </c>
      <c r="J760" s="112" t="s">
        <v>848</v>
      </c>
      <c r="K760" s="112" t="s">
        <v>1709</v>
      </c>
      <c r="L760" s="229">
        <v>2.1457827638915E-4</v>
      </c>
      <c r="M760" s="229">
        <v>4.7056639559024199E-6</v>
      </c>
      <c r="N760" s="112" t="s">
        <v>2517</v>
      </c>
      <c r="O760" s="112" t="s">
        <v>1710</v>
      </c>
      <c r="P760" s="112" t="s">
        <v>2514</v>
      </c>
      <c r="Q760" s="112" t="s">
        <v>2518</v>
      </c>
      <c r="R760" s="112" t="s">
        <v>2519</v>
      </c>
    </row>
    <row r="761" spans="1:18">
      <c r="A761" s="112" t="s">
        <v>2513</v>
      </c>
      <c r="B761" s="112" t="s">
        <v>1735</v>
      </c>
      <c r="C761" s="112" t="s">
        <v>1706</v>
      </c>
      <c r="D761" s="112">
        <v>30</v>
      </c>
      <c r="E761" s="112" t="s">
        <v>1707</v>
      </c>
      <c r="F761" s="112" t="s">
        <v>440</v>
      </c>
      <c r="G761" s="112">
        <v>3.37241296755318</v>
      </c>
      <c r="H761" s="112">
        <v>2.7767942679236999</v>
      </c>
      <c r="I761" s="112">
        <v>1.27028973520227</v>
      </c>
      <c r="J761" s="112" t="s">
        <v>848</v>
      </c>
      <c r="K761" s="112" t="s">
        <v>1736</v>
      </c>
      <c r="L761" s="229">
        <v>3.0623745121113101E-4</v>
      </c>
      <c r="M761" s="229">
        <v>2.6436185730307099E-6</v>
      </c>
      <c r="N761" s="112" t="s">
        <v>2513</v>
      </c>
      <c r="O761" s="112" t="s">
        <v>1710</v>
      </c>
      <c r="P761" s="112" t="s">
        <v>2514</v>
      </c>
      <c r="Q761" s="112" t="s">
        <v>2515</v>
      </c>
      <c r="R761" s="112" t="s">
        <v>2516</v>
      </c>
    </row>
    <row r="762" spans="1:18">
      <c r="A762" s="112" t="s">
        <v>2520</v>
      </c>
      <c r="B762" s="112" t="s">
        <v>1735</v>
      </c>
      <c r="C762" s="112" t="s">
        <v>1706</v>
      </c>
      <c r="D762" s="112">
        <v>30</v>
      </c>
      <c r="E762" s="112" t="s">
        <v>1707</v>
      </c>
      <c r="F762" s="112" t="s">
        <v>440</v>
      </c>
      <c r="G762" s="112">
        <v>2.94019011667136</v>
      </c>
      <c r="H762" s="112">
        <v>2.51552708802424</v>
      </c>
      <c r="I762" s="112">
        <v>1.9240277201522999</v>
      </c>
      <c r="J762" s="112" t="s">
        <v>848</v>
      </c>
      <c r="K762" s="112" t="s">
        <v>1736</v>
      </c>
      <c r="L762" s="229">
        <v>3.0623745121113101E-4</v>
      </c>
      <c r="M762" s="229">
        <v>2.6862934316765799E-6</v>
      </c>
      <c r="N762" s="112" t="s">
        <v>2520</v>
      </c>
      <c r="O762" s="112" t="s">
        <v>1710</v>
      </c>
      <c r="P762" s="112" t="s">
        <v>2514</v>
      </c>
      <c r="Q762" s="112" t="s">
        <v>2521</v>
      </c>
      <c r="R762" s="112" t="s">
        <v>2522</v>
      </c>
    </row>
    <row r="763" spans="1:18">
      <c r="A763" s="112" t="s">
        <v>2513</v>
      </c>
      <c r="B763" s="112" t="s">
        <v>1748</v>
      </c>
      <c r="C763" s="112" t="s">
        <v>1706</v>
      </c>
      <c r="D763" s="112">
        <v>80</v>
      </c>
      <c r="E763" s="112" t="s">
        <v>1707</v>
      </c>
      <c r="F763" s="112" t="s">
        <v>440</v>
      </c>
      <c r="G763" s="112">
        <v>-6.3339209047038301</v>
      </c>
      <c r="H763" s="112">
        <v>-4.6282011864282904</v>
      </c>
      <c r="I763" s="112">
        <v>0</v>
      </c>
      <c r="J763" s="112">
        <v>1</v>
      </c>
      <c r="K763" s="112" t="s">
        <v>1749</v>
      </c>
      <c r="L763" s="112">
        <v>1.0077846509841701E-3</v>
      </c>
      <c r="M763" s="229">
        <v>1.5470378414230699E-5</v>
      </c>
      <c r="N763" s="112" t="s">
        <v>2513</v>
      </c>
      <c r="O763" s="112" t="s">
        <v>1710</v>
      </c>
      <c r="P763" s="112" t="s">
        <v>2514</v>
      </c>
      <c r="Q763" s="112" t="s">
        <v>2515</v>
      </c>
      <c r="R763" s="112" t="s">
        <v>2516</v>
      </c>
    </row>
    <row r="764" spans="1:18">
      <c r="A764" s="112" t="s">
        <v>2513</v>
      </c>
      <c r="B764" s="112" t="s">
        <v>1755</v>
      </c>
      <c r="C764" s="112" t="s">
        <v>1706</v>
      </c>
      <c r="D764" s="112">
        <v>30</v>
      </c>
      <c r="E764" s="112" t="s">
        <v>1707</v>
      </c>
      <c r="F764" s="112" t="s">
        <v>1721</v>
      </c>
      <c r="G764" s="112">
        <v>4.0207166868919098</v>
      </c>
      <c r="H764" s="112">
        <v>3.1915868924235302</v>
      </c>
      <c r="I764" s="112">
        <v>1.54219224072098</v>
      </c>
      <c r="J764" s="112" t="s">
        <v>848</v>
      </c>
      <c r="K764" s="112" t="s">
        <v>1756</v>
      </c>
      <c r="L764" s="112">
        <v>1.64498439835848E-3</v>
      </c>
      <c r="M764" s="229">
        <v>2.5848952607357898E-5</v>
      </c>
      <c r="N764" s="112" t="s">
        <v>2513</v>
      </c>
      <c r="O764" s="112" t="s">
        <v>1710</v>
      </c>
      <c r="P764" s="112" t="s">
        <v>2514</v>
      </c>
      <c r="Q764" s="112" t="s">
        <v>2515</v>
      </c>
      <c r="R764" s="112" t="s">
        <v>2516</v>
      </c>
    </row>
    <row r="765" spans="1:18">
      <c r="A765" s="112" t="s">
        <v>2523</v>
      </c>
      <c r="B765" s="112" t="s">
        <v>1735</v>
      </c>
      <c r="C765" s="112" t="s">
        <v>1706</v>
      </c>
      <c r="D765" s="112">
        <v>30</v>
      </c>
      <c r="E765" s="112" t="s">
        <v>1707</v>
      </c>
      <c r="F765" s="112" t="s">
        <v>440</v>
      </c>
      <c r="G765" s="112">
        <v>5.4235601892142</v>
      </c>
      <c r="H765" s="112">
        <v>3.0013388010705802</v>
      </c>
      <c r="I765" s="112">
        <v>3.1586876413768201</v>
      </c>
      <c r="J765" s="112" t="s">
        <v>848</v>
      </c>
      <c r="K765" s="112" t="s">
        <v>1736</v>
      </c>
      <c r="L765" s="112">
        <v>4.8304347940450803E-3</v>
      </c>
      <c r="M765" s="229">
        <v>8.4744470070966297E-5</v>
      </c>
      <c r="N765" s="112" t="s">
        <v>2523</v>
      </c>
      <c r="O765" s="112" t="s">
        <v>1710</v>
      </c>
      <c r="P765" s="112" t="s">
        <v>2514</v>
      </c>
      <c r="Q765" s="112" t="s">
        <v>2524</v>
      </c>
    </row>
    <row r="766" spans="1:18">
      <c r="A766" s="112" t="s">
        <v>2513</v>
      </c>
      <c r="B766" s="112" t="s">
        <v>1743</v>
      </c>
      <c r="C766" s="112" t="s">
        <v>1706</v>
      </c>
      <c r="D766" s="112">
        <v>55</v>
      </c>
      <c r="E766" s="112" t="s">
        <v>1707</v>
      </c>
      <c r="F766" s="112" t="s">
        <v>440</v>
      </c>
      <c r="G766" s="112">
        <v>2.5828051772145999</v>
      </c>
      <c r="H766" s="112">
        <v>2.10417813985215</v>
      </c>
      <c r="I766" s="112">
        <v>0.84897203789754705</v>
      </c>
      <c r="J766" s="112" t="s">
        <v>848</v>
      </c>
      <c r="K766" s="112" t="s">
        <v>1744</v>
      </c>
      <c r="L766" s="112">
        <v>8.4289277477051696E-3</v>
      </c>
      <c r="M766" s="229">
        <v>2.1552890578098899E-4</v>
      </c>
      <c r="N766" s="112" t="s">
        <v>2513</v>
      </c>
      <c r="O766" s="112" t="s">
        <v>1710</v>
      </c>
      <c r="P766" s="112" t="s">
        <v>2514</v>
      </c>
      <c r="Q766" s="112" t="s">
        <v>2515</v>
      </c>
      <c r="R766" s="112" t="s">
        <v>2516</v>
      </c>
    </row>
    <row r="767" spans="1:18">
      <c r="A767" s="112" t="s">
        <v>2525</v>
      </c>
      <c r="B767" s="112" t="s">
        <v>1755</v>
      </c>
      <c r="C767" s="112" t="s">
        <v>1706</v>
      </c>
      <c r="D767" s="112">
        <v>30</v>
      </c>
      <c r="E767" s="112" t="s">
        <v>1707</v>
      </c>
      <c r="F767" s="112" t="s">
        <v>1721</v>
      </c>
      <c r="G767" s="112">
        <v>2.3700660822681701</v>
      </c>
      <c r="H767" s="112">
        <v>1.8084475079460001</v>
      </c>
      <c r="I767" s="112">
        <v>1.5594043679101099</v>
      </c>
      <c r="J767" s="112" t="s">
        <v>848</v>
      </c>
      <c r="K767" s="112" t="s">
        <v>1756</v>
      </c>
      <c r="L767" s="112">
        <v>1.73804438917502E-2</v>
      </c>
      <c r="M767" s="229">
        <v>9.3831113570650099E-4</v>
      </c>
      <c r="N767" s="112" t="s">
        <v>2525</v>
      </c>
      <c r="O767" s="112" t="s">
        <v>1710</v>
      </c>
      <c r="P767" s="112" t="s">
        <v>2514</v>
      </c>
      <c r="Q767" s="112" t="s">
        <v>2526</v>
      </c>
      <c r="R767" s="112" t="s">
        <v>2519</v>
      </c>
    </row>
    <row r="768" spans="1:18">
      <c r="A768" s="112" t="s">
        <v>2513</v>
      </c>
      <c r="B768" s="112" t="s">
        <v>1796</v>
      </c>
      <c r="C768" s="112" t="s">
        <v>1706</v>
      </c>
      <c r="D768" s="112">
        <v>80</v>
      </c>
      <c r="E768" s="112" t="s">
        <v>1707</v>
      </c>
      <c r="F768" s="112" t="s">
        <v>1721</v>
      </c>
      <c r="G768" s="112">
        <v>-4.0196374446018899</v>
      </c>
      <c r="H768" s="112">
        <v>-2.3953175472033901</v>
      </c>
      <c r="I768" s="112">
        <v>0</v>
      </c>
      <c r="J768" s="112">
        <v>1</v>
      </c>
      <c r="K768" s="112" t="s">
        <v>1797</v>
      </c>
      <c r="L768" s="112">
        <v>2.4647907127059901E-2</v>
      </c>
      <c r="M768" s="112">
        <v>1.0756113317282E-3</v>
      </c>
      <c r="N768" s="112" t="s">
        <v>2513</v>
      </c>
      <c r="O768" s="112" t="s">
        <v>1710</v>
      </c>
      <c r="P768" s="112" t="s">
        <v>2514</v>
      </c>
      <c r="Q768" s="112" t="s">
        <v>2515</v>
      </c>
      <c r="R768" s="112" t="s">
        <v>2516</v>
      </c>
    </row>
    <row r="769" spans="1:18">
      <c r="A769" s="112" t="s">
        <v>2525</v>
      </c>
      <c r="B769" s="112" t="s">
        <v>1705</v>
      </c>
      <c r="C769" s="112" t="s">
        <v>1706</v>
      </c>
      <c r="D769" s="112">
        <v>80</v>
      </c>
      <c r="E769" s="112" t="s">
        <v>1707</v>
      </c>
      <c r="F769" s="112" t="s">
        <v>1708</v>
      </c>
      <c r="G769" s="112">
        <v>-1.26685015289694</v>
      </c>
      <c r="H769" s="112">
        <v>-1.0277372221930501</v>
      </c>
      <c r="I769" s="112">
        <v>-1.6232262314636201</v>
      </c>
      <c r="J769" s="112" t="s">
        <v>848</v>
      </c>
      <c r="K769" s="112" t="s">
        <v>1709</v>
      </c>
      <c r="L769" s="112">
        <v>3.5215587375788601E-2</v>
      </c>
      <c r="M769" s="112">
        <v>4.5679053474209598E-3</v>
      </c>
      <c r="N769" s="112" t="s">
        <v>2525</v>
      </c>
      <c r="O769" s="112" t="s">
        <v>1710</v>
      </c>
      <c r="P769" s="112" t="s">
        <v>2514</v>
      </c>
      <c r="Q769" s="112" t="s">
        <v>2526</v>
      </c>
      <c r="R769" s="112" t="s">
        <v>2519</v>
      </c>
    </row>
    <row r="770" spans="1:18">
      <c r="A770" s="112" t="s">
        <v>2520</v>
      </c>
      <c r="B770" s="112" t="s">
        <v>1762</v>
      </c>
      <c r="C770" s="112" t="s">
        <v>1706</v>
      </c>
      <c r="D770" s="112">
        <v>55</v>
      </c>
      <c r="E770" s="112" t="s">
        <v>1707</v>
      </c>
      <c r="F770" s="112" t="s">
        <v>1708</v>
      </c>
      <c r="G770" s="112">
        <v>1.6668677953314299</v>
      </c>
      <c r="H770" s="112">
        <v>1.28095169677039</v>
      </c>
      <c r="I770" s="112">
        <v>1.34713324632201</v>
      </c>
      <c r="J770" s="112" t="s">
        <v>848</v>
      </c>
      <c r="K770" s="112" t="s">
        <v>1763</v>
      </c>
      <c r="L770" s="112">
        <v>3.9639461438370202E-2</v>
      </c>
      <c r="M770" s="112">
        <v>1.4414349613952799E-3</v>
      </c>
      <c r="N770" s="112" t="s">
        <v>2520</v>
      </c>
      <c r="O770" s="112" t="s">
        <v>1710</v>
      </c>
      <c r="P770" s="112" t="s">
        <v>2514</v>
      </c>
      <c r="Q770" s="112" t="s">
        <v>2521</v>
      </c>
      <c r="R770" s="112" t="s">
        <v>2522</v>
      </c>
    </row>
    <row r="771" spans="1:18">
      <c r="A771" s="112" t="s">
        <v>2527</v>
      </c>
      <c r="B771" s="112" t="s">
        <v>1748</v>
      </c>
      <c r="C771" s="112" t="s">
        <v>1706</v>
      </c>
      <c r="D771" s="112">
        <v>80</v>
      </c>
      <c r="E771" s="112" t="s">
        <v>1707</v>
      </c>
      <c r="F771" s="112" t="s">
        <v>440</v>
      </c>
      <c r="G771" s="112">
        <v>-4.8038656991600401</v>
      </c>
      <c r="H771" s="112">
        <v>-2.6455748207502401</v>
      </c>
      <c r="I771" s="112">
        <v>0</v>
      </c>
      <c r="J771" s="112">
        <v>1</v>
      </c>
      <c r="K771" s="112" t="s">
        <v>1749</v>
      </c>
      <c r="L771" s="112">
        <v>3.9755414686367299E-2</v>
      </c>
      <c r="M771" s="112">
        <v>3.07319817476852E-3</v>
      </c>
      <c r="N771" s="112" t="s">
        <v>2527</v>
      </c>
      <c r="O771" s="112" t="s">
        <v>1710</v>
      </c>
      <c r="P771" s="112" t="s">
        <v>2514</v>
      </c>
      <c r="Q771" s="112" t="s">
        <v>2528</v>
      </c>
    </row>
    <row r="772" spans="1:18">
      <c r="A772" s="112" t="s">
        <v>2529</v>
      </c>
      <c r="B772" s="112" t="s">
        <v>1705</v>
      </c>
      <c r="C772" s="112" t="s">
        <v>1706</v>
      </c>
      <c r="D772" s="112">
        <v>80</v>
      </c>
      <c r="E772" s="112" t="s">
        <v>1707</v>
      </c>
      <c r="F772" s="112" t="s">
        <v>1708</v>
      </c>
      <c r="G772" s="112">
        <v>3.9402980936220802</v>
      </c>
      <c r="H772" s="112">
        <v>2.1052153446995598</v>
      </c>
      <c r="I772" s="112">
        <v>1.38834576122175</v>
      </c>
      <c r="J772" s="112" t="s">
        <v>848</v>
      </c>
      <c r="K772" s="112" t="s">
        <v>1709</v>
      </c>
      <c r="L772" s="112">
        <v>4.2821138423874798E-2</v>
      </c>
      <c r="M772" s="112">
        <v>6.1038903455084698E-3</v>
      </c>
      <c r="N772" s="112" t="s">
        <v>2529</v>
      </c>
      <c r="O772" s="112" t="s">
        <v>1710</v>
      </c>
      <c r="P772" s="112" t="s">
        <v>2514</v>
      </c>
      <c r="Q772" s="112" t="s">
        <v>2530</v>
      </c>
    </row>
    <row r="773" spans="1:18">
      <c r="A773" s="112" t="s">
        <v>2531</v>
      </c>
      <c r="B773" s="112" t="s">
        <v>1755</v>
      </c>
      <c r="C773" s="112" t="s">
        <v>1706</v>
      </c>
      <c r="D773" s="112">
        <v>30</v>
      </c>
      <c r="E773" s="112" t="s">
        <v>1707</v>
      </c>
      <c r="F773" s="112" t="s">
        <v>1721</v>
      </c>
      <c r="G773" s="112">
        <v>-7.2601869541992201</v>
      </c>
      <c r="H773" s="112">
        <v>-2.51238202177456</v>
      </c>
      <c r="I773" s="112">
        <v>0</v>
      </c>
      <c r="J773" s="112">
        <v>1</v>
      </c>
      <c r="K773" s="112" t="s">
        <v>1756</v>
      </c>
      <c r="L773" s="112">
        <v>4.4621187023174198E-2</v>
      </c>
      <c r="M773" s="112">
        <v>4.2209230967867502E-3</v>
      </c>
      <c r="N773" s="112" t="s">
        <v>2531</v>
      </c>
      <c r="O773" s="112" t="s">
        <v>1710</v>
      </c>
      <c r="P773" s="112" t="s">
        <v>2514</v>
      </c>
      <c r="Q773" s="112" t="s">
        <v>2532</v>
      </c>
    </row>
    <row r="774" spans="1:18">
      <c r="A774" s="112" t="s">
        <v>2520</v>
      </c>
      <c r="B774" s="112" t="s">
        <v>1705</v>
      </c>
      <c r="C774" s="112" t="s">
        <v>1706</v>
      </c>
      <c r="D774" s="112">
        <v>80</v>
      </c>
      <c r="E774" s="112" t="s">
        <v>1707</v>
      </c>
      <c r="F774" s="112" t="s">
        <v>1708</v>
      </c>
      <c r="G774" s="112">
        <v>-1.5757442447209999</v>
      </c>
      <c r="H774" s="112">
        <v>-1.2067918788868901</v>
      </c>
      <c r="I774" s="112">
        <v>-2.5595221283309799</v>
      </c>
      <c r="J774" s="112" t="s">
        <v>848</v>
      </c>
      <c r="K774" s="112" t="s">
        <v>1709</v>
      </c>
      <c r="L774" s="112">
        <v>4.7630216230847698E-2</v>
      </c>
      <c r="M774" s="112">
        <v>7.1288646003406899E-3</v>
      </c>
      <c r="N774" s="112" t="s">
        <v>2520</v>
      </c>
      <c r="O774" s="112" t="s">
        <v>1710</v>
      </c>
      <c r="P774" s="112" t="s">
        <v>2514</v>
      </c>
      <c r="Q774" s="112" t="s">
        <v>2521</v>
      </c>
      <c r="R774" s="112" t="s">
        <v>2522</v>
      </c>
    </row>
    <row r="775" spans="1:18">
      <c r="A775" s="112" t="s">
        <v>2533</v>
      </c>
      <c r="B775" s="112" t="s">
        <v>1735</v>
      </c>
      <c r="C775" s="112" t="s">
        <v>1706</v>
      </c>
      <c r="D775" s="112">
        <v>30</v>
      </c>
      <c r="E775" s="112" t="s">
        <v>1707</v>
      </c>
      <c r="F775" s="112" t="s">
        <v>440</v>
      </c>
      <c r="G775" s="112">
        <v>4.8316850630586003</v>
      </c>
      <c r="H775" s="112">
        <v>1.7402181907518</v>
      </c>
      <c r="I775" s="112">
        <v>2.7316686658431499</v>
      </c>
      <c r="J775" s="112" t="s">
        <v>848</v>
      </c>
      <c r="K775" s="112" t="s">
        <v>1736</v>
      </c>
      <c r="L775" s="112">
        <v>4.9948686719749398E-2</v>
      </c>
      <c r="M775" s="112">
        <v>1.5876439709518401E-3</v>
      </c>
      <c r="N775" s="112" t="s">
        <v>2533</v>
      </c>
      <c r="O775" s="112" t="s">
        <v>1710</v>
      </c>
      <c r="P775" s="112" t="s">
        <v>2514</v>
      </c>
      <c r="Q775" s="112" t="s">
        <v>2534</v>
      </c>
      <c r="R775" s="112" t="s">
        <v>2519</v>
      </c>
    </row>
    <row r="776" spans="1:18">
      <c r="A776" s="112" t="s">
        <v>2535</v>
      </c>
      <c r="B776" s="112" t="s">
        <v>1735</v>
      </c>
      <c r="C776" s="112" t="s">
        <v>1706</v>
      </c>
      <c r="D776" s="112">
        <v>30</v>
      </c>
      <c r="E776" s="112" t="s">
        <v>1707</v>
      </c>
      <c r="F776" s="112" t="s">
        <v>440</v>
      </c>
      <c r="G776" s="112">
        <v>-18.654815413980199</v>
      </c>
      <c r="H776" s="112">
        <v>-18.055893826107599</v>
      </c>
      <c r="I776" s="112">
        <v>0</v>
      </c>
      <c r="J776" s="112">
        <v>1</v>
      </c>
      <c r="K776" s="112" t="s">
        <v>1736</v>
      </c>
      <c r="L776" s="229">
        <v>1.7917705113380199E-14</v>
      </c>
      <c r="M776" s="229">
        <v>9.8233032419847506E-18</v>
      </c>
      <c r="N776" s="112" t="s">
        <v>2535</v>
      </c>
      <c r="O776" s="112" t="s">
        <v>1710</v>
      </c>
      <c r="P776" s="112" t="s">
        <v>2536</v>
      </c>
      <c r="Q776" s="112" t="s">
        <v>2537</v>
      </c>
    </row>
    <row r="777" spans="1:18">
      <c r="A777" s="112" t="s">
        <v>2535</v>
      </c>
      <c r="B777" s="112" t="s">
        <v>1743</v>
      </c>
      <c r="C777" s="112" t="s">
        <v>1706</v>
      </c>
      <c r="D777" s="112">
        <v>55</v>
      </c>
      <c r="E777" s="112" t="s">
        <v>1707</v>
      </c>
      <c r="F777" s="112" t="s">
        <v>440</v>
      </c>
      <c r="G777" s="112">
        <v>-16.171735373091199</v>
      </c>
      <c r="H777" s="112">
        <v>-15.786610167870499</v>
      </c>
      <c r="I777" s="112">
        <v>0</v>
      </c>
      <c r="J777" s="112">
        <v>1</v>
      </c>
      <c r="K777" s="112" t="s">
        <v>1744</v>
      </c>
      <c r="L777" s="229">
        <v>5.0637779082424603E-11</v>
      </c>
      <c r="M777" s="229">
        <v>1.0498502919645701E-13</v>
      </c>
      <c r="N777" s="112" t="s">
        <v>2535</v>
      </c>
      <c r="O777" s="112" t="s">
        <v>1710</v>
      </c>
      <c r="P777" s="112" t="s">
        <v>2536</v>
      </c>
      <c r="Q777" s="112" t="s">
        <v>2537</v>
      </c>
    </row>
    <row r="778" spans="1:18">
      <c r="A778" s="112" t="s">
        <v>2538</v>
      </c>
      <c r="B778" s="112" t="s">
        <v>1705</v>
      </c>
      <c r="C778" s="112" t="s">
        <v>1706</v>
      </c>
      <c r="D778" s="112">
        <v>80</v>
      </c>
      <c r="E778" s="112" t="s">
        <v>1707</v>
      </c>
      <c r="F778" s="112" t="s">
        <v>1708</v>
      </c>
      <c r="G778" s="112">
        <v>-5.7520513025997104</v>
      </c>
      <c r="H778" s="112">
        <v>-4.5471186900167799</v>
      </c>
      <c r="I778" s="112">
        <v>0</v>
      </c>
      <c r="J778" s="112">
        <v>1</v>
      </c>
      <c r="K778" s="112" t="s">
        <v>1709</v>
      </c>
      <c r="L778" s="229">
        <v>8.62950553214564E-6</v>
      </c>
      <c r="M778" s="229">
        <v>9.9352859745097794E-8</v>
      </c>
      <c r="N778" s="112" t="s">
        <v>2538</v>
      </c>
      <c r="O778" s="112" t="s">
        <v>1710</v>
      </c>
      <c r="P778" s="112" t="s">
        <v>2536</v>
      </c>
      <c r="Q778" s="112" t="s">
        <v>2539</v>
      </c>
    </row>
    <row r="779" spans="1:18">
      <c r="A779" s="112" t="s">
        <v>2538</v>
      </c>
      <c r="B779" s="112" t="s">
        <v>1731</v>
      </c>
      <c r="C779" s="112" t="s">
        <v>1706</v>
      </c>
      <c r="D779" s="112">
        <v>30</v>
      </c>
      <c r="E779" s="112" t="s">
        <v>1707</v>
      </c>
      <c r="F779" s="112" t="s">
        <v>1708</v>
      </c>
      <c r="G779" s="112">
        <v>3.0335207712837202</v>
      </c>
      <c r="H779" s="112">
        <v>2.5775812929853701</v>
      </c>
      <c r="I779" s="112">
        <v>1.0684653863361999</v>
      </c>
      <c r="J779" s="112" t="s">
        <v>848</v>
      </c>
      <c r="K779" s="112" t="s">
        <v>1732</v>
      </c>
      <c r="L779" s="229">
        <v>3.7844419555753297E-5</v>
      </c>
      <c r="M779" s="229">
        <v>5.41494079494086E-7</v>
      </c>
      <c r="N779" s="112" t="s">
        <v>2538</v>
      </c>
      <c r="O779" s="112" t="s">
        <v>1710</v>
      </c>
      <c r="P779" s="112" t="s">
        <v>2536</v>
      </c>
      <c r="Q779" s="112" t="s">
        <v>2539</v>
      </c>
    </row>
    <row r="780" spans="1:18">
      <c r="A780" s="112" t="s">
        <v>2540</v>
      </c>
      <c r="B780" s="112" t="s">
        <v>1796</v>
      </c>
      <c r="C780" s="112" t="s">
        <v>1706</v>
      </c>
      <c r="D780" s="112">
        <v>80</v>
      </c>
      <c r="E780" s="112" t="s">
        <v>1707</v>
      </c>
      <c r="F780" s="112" t="s">
        <v>1721</v>
      </c>
      <c r="G780" s="112">
        <v>-6.9221191992316298</v>
      </c>
      <c r="H780" s="112">
        <v>-4.9334462280386298</v>
      </c>
      <c r="I780" s="112">
        <v>0</v>
      </c>
      <c r="J780" s="112">
        <v>1</v>
      </c>
      <c r="K780" s="112" t="s">
        <v>1797</v>
      </c>
      <c r="L780" s="229">
        <v>1.03078219349973E-4</v>
      </c>
      <c r="M780" s="229">
        <v>7.0636975437247903E-7</v>
      </c>
      <c r="N780" s="112" t="s">
        <v>2540</v>
      </c>
      <c r="O780" s="112" t="s">
        <v>1710</v>
      </c>
      <c r="P780" s="112" t="s">
        <v>2536</v>
      </c>
      <c r="Q780" s="112" t="s">
        <v>2541</v>
      </c>
    </row>
    <row r="781" spans="1:18">
      <c r="A781" s="112" t="s">
        <v>2542</v>
      </c>
      <c r="B781" s="112" t="s">
        <v>1731</v>
      </c>
      <c r="C781" s="112" t="s">
        <v>1706</v>
      </c>
      <c r="D781" s="112">
        <v>30</v>
      </c>
      <c r="E781" s="112" t="s">
        <v>1707</v>
      </c>
      <c r="F781" s="112" t="s">
        <v>1708</v>
      </c>
      <c r="G781" s="112">
        <v>-5.2167030818119899</v>
      </c>
      <c r="H781" s="112">
        <v>-3.81386170131004</v>
      </c>
      <c r="I781" s="112">
        <v>0</v>
      </c>
      <c r="J781" s="112">
        <v>1</v>
      </c>
      <c r="K781" s="112" t="s">
        <v>1732</v>
      </c>
      <c r="L781" s="229">
        <v>2.7873006189761798E-4</v>
      </c>
      <c r="M781" s="229">
        <v>6.4498187195781799E-6</v>
      </c>
      <c r="N781" s="112" t="s">
        <v>2542</v>
      </c>
      <c r="O781" s="112" t="s">
        <v>1710</v>
      </c>
      <c r="P781" s="112" t="s">
        <v>2536</v>
      </c>
      <c r="Q781" s="112" t="s">
        <v>2543</v>
      </c>
      <c r="R781" s="112" t="s">
        <v>2544</v>
      </c>
    </row>
    <row r="782" spans="1:18">
      <c r="A782" s="112" t="s">
        <v>2545</v>
      </c>
      <c r="B782" s="112" t="s">
        <v>1731</v>
      </c>
      <c r="C782" s="112" t="s">
        <v>1706</v>
      </c>
      <c r="D782" s="112">
        <v>30</v>
      </c>
      <c r="E782" s="112" t="s">
        <v>1707</v>
      </c>
      <c r="F782" s="112" t="s">
        <v>1708</v>
      </c>
      <c r="G782" s="112">
        <v>2.7867461928117701</v>
      </c>
      <c r="H782" s="112">
        <v>2.2014673084558201</v>
      </c>
      <c r="I782" s="112">
        <v>0.85949472915873804</v>
      </c>
      <c r="J782" s="112" t="s">
        <v>848</v>
      </c>
      <c r="K782" s="112" t="s">
        <v>1732</v>
      </c>
      <c r="L782" s="229">
        <v>7.6902288345347396E-4</v>
      </c>
      <c r="M782" s="229">
        <v>2.0784402255499299E-5</v>
      </c>
      <c r="N782" s="112" t="s">
        <v>2545</v>
      </c>
      <c r="O782" s="112" t="s">
        <v>1710</v>
      </c>
      <c r="P782" s="112" t="s">
        <v>2536</v>
      </c>
      <c r="Q782" s="112" t="s">
        <v>2546</v>
      </c>
    </row>
    <row r="783" spans="1:18">
      <c r="A783" s="112" t="s">
        <v>2545</v>
      </c>
      <c r="B783" s="112" t="s">
        <v>1735</v>
      </c>
      <c r="C783" s="112" t="s">
        <v>1706</v>
      </c>
      <c r="D783" s="112">
        <v>30</v>
      </c>
      <c r="E783" s="112" t="s">
        <v>1707</v>
      </c>
      <c r="F783" s="112" t="s">
        <v>440</v>
      </c>
      <c r="G783" s="112">
        <v>3.6263886012151101</v>
      </c>
      <c r="H783" s="112">
        <v>2.8409684777280901</v>
      </c>
      <c r="I783" s="112">
        <v>1.6065231654065899</v>
      </c>
      <c r="J783" s="112" t="s">
        <v>848</v>
      </c>
      <c r="K783" s="112" t="s">
        <v>1736</v>
      </c>
      <c r="L783" s="229">
        <v>8.0501833543897099E-4</v>
      </c>
      <c r="M783" s="229">
        <v>8.8269554324448605E-6</v>
      </c>
      <c r="N783" s="112" t="s">
        <v>2545</v>
      </c>
      <c r="O783" s="112" t="s">
        <v>1710</v>
      </c>
      <c r="P783" s="112" t="s">
        <v>2536</v>
      </c>
      <c r="Q783" s="112" t="s">
        <v>2546</v>
      </c>
    </row>
    <row r="784" spans="1:18">
      <c r="A784" s="112" t="s">
        <v>2547</v>
      </c>
      <c r="B784" s="112" t="s">
        <v>1762</v>
      </c>
      <c r="C784" s="112" t="s">
        <v>1706</v>
      </c>
      <c r="D784" s="112">
        <v>55</v>
      </c>
      <c r="E784" s="112" t="s">
        <v>1707</v>
      </c>
      <c r="F784" s="112" t="s">
        <v>1708</v>
      </c>
      <c r="G784" s="112">
        <v>4.8822864344648096</v>
      </c>
      <c r="H784" s="112">
        <v>3.2833409539651202</v>
      </c>
      <c r="I784" s="112">
        <v>2.3776332158987099</v>
      </c>
      <c r="J784" s="112" t="s">
        <v>848</v>
      </c>
      <c r="K784" s="112" t="s">
        <v>1763</v>
      </c>
      <c r="L784" s="229">
        <v>8.5597582834905897E-4</v>
      </c>
      <c r="M784" s="229">
        <v>1.05607407393715E-5</v>
      </c>
      <c r="N784" s="112" t="s">
        <v>2547</v>
      </c>
      <c r="O784" s="112" t="s">
        <v>1710</v>
      </c>
      <c r="P784" s="112" t="s">
        <v>2536</v>
      </c>
      <c r="Q784" s="112" t="s">
        <v>2548</v>
      </c>
    </row>
    <row r="785" spans="1:18">
      <c r="A785" s="112" t="s">
        <v>2545</v>
      </c>
      <c r="B785" s="112" t="s">
        <v>1705</v>
      </c>
      <c r="C785" s="112" t="s">
        <v>1706</v>
      </c>
      <c r="D785" s="112">
        <v>80</v>
      </c>
      <c r="E785" s="112" t="s">
        <v>1707</v>
      </c>
      <c r="F785" s="112" t="s">
        <v>1708</v>
      </c>
      <c r="G785" s="112">
        <v>-4.5780651171018096</v>
      </c>
      <c r="H785" s="112">
        <v>-3.43668015279825</v>
      </c>
      <c r="I785" s="112">
        <v>0</v>
      </c>
      <c r="J785" s="112">
        <v>1</v>
      </c>
      <c r="K785" s="112" t="s">
        <v>1709</v>
      </c>
      <c r="L785" s="112">
        <v>1.0299799812957401E-3</v>
      </c>
      <c r="M785" s="229">
        <v>3.2566556125007501E-5</v>
      </c>
      <c r="N785" s="112" t="s">
        <v>2545</v>
      </c>
      <c r="O785" s="112" t="s">
        <v>1710</v>
      </c>
      <c r="P785" s="112" t="s">
        <v>2536</v>
      </c>
      <c r="Q785" s="112" t="s">
        <v>2546</v>
      </c>
    </row>
    <row r="786" spans="1:18">
      <c r="A786" s="112" t="s">
        <v>2549</v>
      </c>
      <c r="B786" s="112" t="s">
        <v>1748</v>
      </c>
      <c r="C786" s="112" t="s">
        <v>1706</v>
      </c>
      <c r="D786" s="112">
        <v>80</v>
      </c>
      <c r="E786" s="112" t="s">
        <v>1707</v>
      </c>
      <c r="F786" s="112" t="s">
        <v>440</v>
      </c>
      <c r="G786" s="112">
        <v>-4.8477017911584701</v>
      </c>
      <c r="H786" s="112">
        <v>-3.8396188017334798</v>
      </c>
      <c r="I786" s="112">
        <v>-6.2242816648533204</v>
      </c>
      <c r="J786" s="112" t="s">
        <v>848</v>
      </c>
      <c r="K786" s="112" t="s">
        <v>1749</v>
      </c>
      <c r="L786" s="112">
        <v>1.5815429980478E-3</v>
      </c>
      <c r="M786" s="229">
        <v>3.0858922978115399E-5</v>
      </c>
      <c r="N786" s="112" t="s">
        <v>2549</v>
      </c>
      <c r="O786" s="112" t="s">
        <v>1710</v>
      </c>
      <c r="P786" s="112" t="s">
        <v>2536</v>
      </c>
      <c r="Q786" s="112" t="s">
        <v>2550</v>
      </c>
      <c r="R786" s="112" t="s">
        <v>2551</v>
      </c>
    </row>
    <row r="787" spans="1:18">
      <c r="A787" s="112" t="s">
        <v>2552</v>
      </c>
      <c r="B787" s="112" t="s">
        <v>1762</v>
      </c>
      <c r="C787" s="112" t="s">
        <v>1706</v>
      </c>
      <c r="D787" s="112">
        <v>55</v>
      </c>
      <c r="E787" s="112" t="s">
        <v>1707</v>
      </c>
      <c r="F787" s="112" t="s">
        <v>1708</v>
      </c>
      <c r="G787" s="112">
        <v>3.6095850618067198</v>
      </c>
      <c r="H787" s="112">
        <v>2.68950455065887</v>
      </c>
      <c r="I787" s="112">
        <v>2.0792885890077799</v>
      </c>
      <c r="J787" s="112" t="s">
        <v>848</v>
      </c>
      <c r="K787" s="112" t="s">
        <v>1763</v>
      </c>
      <c r="L787" s="112">
        <v>2.4232027581736E-3</v>
      </c>
      <c r="M787" s="229">
        <v>3.77641988286795E-5</v>
      </c>
      <c r="N787" s="112" t="s">
        <v>2552</v>
      </c>
      <c r="O787" s="112" t="s">
        <v>1710</v>
      </c>
      <c r="P787" s="112" t="s">
        <v>2536</v>
      </c>
      <c r="Q787" s="112" t="s">
        <v>2553</v>
      </c>
      <c r="R787" s="112" t="s">
        <v>2554</v>
      </c>
    </row>
    <row r="788" spans="1:18">
      <c r="A788" s="112" t="s">
        <v>2538</v>
      </c>
      <c r="B788" s="112" t="s">
        <v>1755</v>
      </c>
      <c r="C788" s="112" t="s">
        <v>1706</v>
      </c>
      <c r="D788" s="112">
        <v>30</v>
      </c>
      <c r="E788" s="112" t="s">
        <v>1707</v>
      </c>
      <c r="F788" s="112" t="s">
        <v>1721</v>
      </c>
      <c r="G788" s="112">
        <v>4.1483451445545301</v>
      </c>
      <c r="H788" s="112">
        <v>3.1514345719049599</v>
      </c>
      <c r="I788" s="112">
        <v>1.7739538301993001</v>
      </c>
      <c r="J788" s="112" t="s">
        <v>848</v>
      </c>
      <c r="K788" s="112" t="s">
        <v>1756</v>
      </c>
      <c r="L788" s="112">
        <v>3.20458102107175E-3</v>
      </c>
      <c r="M788" s="229">
        <v>7.3873489356980003E-5</v>
      </c>
      <c r="N788" s="112" t="s">
        <v>2538</v>
      </c>
      <c r="O788" s="112" t="s">
        <v>1710</v>
      </c>
      <c r="P788" s="112" t="s">
        <v>2536</v>
      </c>
      <c r="Q788" s="112" t="s">
        <v>2539</v>
      </c>
    </row>
    <row r="789" spans="1:18">
      <c r="A789" s="112" t="s">
        <v>2545</v>
      </c>
      <c r="B789" s="112" t="s">
        <v>1748</v>
      </c>
      <c r="C789" s="112" t="s">
        <v>1706</v>
      </c>
      <c r="D789" s="112">
        <v>80</v>
      </c>
      <c r="E789" s="112" t="s">
        <v>1707</v>
      </c>
      <c r="F789" s="112" t="s">
        <v>440</v>
      </c>
      <c r="G789" s="112">
        <v>-5.9862826458066998</v>
      </c>
      <c r="H789" s="112">
        <v>-4.1850950211937699</v>
      </c>
      <c r="I789" s="112">
        <v>0</v>
      </c>
      <c r="J789" s="112">
        <v>1</v>
      </c>
      <c r="K789" s="112" t="s">
        <v>1749</v>
      </c>
      <c r="L789" s="112">
        <v>3.2882074929909801E-3</v>
      </c>
      <c r="M789" s="229">
        <v>7.7518049450993605E-5</v>
      </c>
      <c r="N789" s="112" t="s">
        <v>2545</v>
      </c>
      <c r="O789" s="112" t="s">
        <v>1710</v>
      </c>
      <c r="P789" s="112" t="s">
        <v>2536</v>
      </c>
      <c r="Q789" s="112" t="s">
        <v>2546</v>
      </c>
    </row>
    <row r="790" spans="1:18">
      <c r="A790" s="112" t="s">
        <v>2555</v>
      </c>
      <c r="B790" s="112" t="s">
        <v>1720</v>
      </c>
      <c r="C790" s="112" t="s">
        <v>1706</v>
      </c>
      <c r="D790" s="112">
        <v>55</v>
      </c>
      <c r="E790" s="112" t="s">
        <v>1707</v>
      </c>
      <c r="F790" s="112" t="s">
        <v>1721</v>
      </c>
      <c r="G790" s="112">
        <v>4.8085791895326704</v>
      </c>
      <c r="H790" s="112">
        <v>2.8786732012974299</v>
      </c>
      <c r="I790" s="112">
        <v>1.5945667921759901</v>
      </c>
      <c r="J790" s="112" t="s">
        <v>848</v>
      </c>
      <c r="K790" s="112" t="s">
        <v>1722</v>
      </c>
      <c r="L790" s="112">
        <v>4.64946002904795E-3</v>
      </c>
      <c r="M790" s="229">
        <v>7.7392413109193399E-5</v>
      </c>
      <c r="N790" s="112" t="s">
        <v>2555</v>
      </c>
      <c r="O790" s="112" t="s">
        <v>1710</v>
      </c>
      <c r="P790" s="112" t="s">
        <v>2536</v>
      </c>
      <c r="Q790" s="112" t="s">
        <v>2556</v>
      </c>
    </row>
    <row r="791" spans="1:18">
      <c r="A791" s="112" t="s">
        <v>2538</v>
      </c>
      <c r="B791" s="112" t="s">
        <v>1748</v>
      </c>
      <c r="C791" s="112" t="s">
        <v>1706</v>
      </c>
      <c r="D791" s="112">
        <v>80</v>
      </c>
      <c r="E791" s="112" t="s">
        <v>1707</v>
      </c>
      <c r="F791" s="112" t="s">
        <v>440</v>
      </c>
      <c r="G791" s="112">
        <v>-3.7992501504533802</v>
      </c>
      <c r="H791" s="112">
        <v>-3.0818047350258899</v>
      </c>
      <c r="I791" s="112">
        <v>-5.6621803873847298</v>
      </c>
      <c r="J791" s="112" t="s">
        <v>848</v>
      </c>
      <c r="K791" s="112" t="s">
        <v>1749</v>
      </c>
      <c r="L791" s="112">
        <v>4.6897991899919299E-3</v>
      </c>
      <c r="M791" s="229">
        <v>1.3457592731418801E-4</v>
      </c>
      <c r="N791" s="112" t="s">
        <v>2538</v>
      </c>
      <c r="O791" s="112" t="s">
        <v>1710</v>
      </c>
      <c r="P791" s="112" t="s">
        <v>2536</v>
      </c>
      <c r="Q791" s="112" t="s">
        <v>2539</v>
      </c>
    </row>
    <row r="792" spans="1:18">
      <c r="A792" s="112" t="s">
        <v>2535</v>
      </c>
      <c r="B792" s="112" t="s">
        <v>1720</v>
      </c>
      <c r="C792" s="112" t="s">
        <v>1706</v>
      </c>
      <c r="D792" s="112">
        <v>55</v>
      </c>
      <c r="E792" s="112" t="s">
        <v>1707</v>
      </c>
      <c r="F792" s="112" t="s">
        <v>1721</v>
      </c>
      <c r="G792" s="112">
        <v>5.51783918550165</v>
      </c>
      <c r="H792" s="112">
        <v>2.9606936095180298</v>
      </c>
      <c r="I792" s="112">
        <v>0.87608143857481902</v>
      </c>
      <c r="J792" s="112" t="s">
        <v>848</v>
      </c>
      <c r="K792" s="112" t="s">
        <v>1722</v>
      </c>
      <c r="L792" s="112">
        <v>4.7848816017781104E-3</v>
      </c>
      <c r="M792" s="229">
        <v>8.3945291259265102E-5</v>
      </c>
      <c r="N792" s="112" t="s">
        <v>2535</v>
      </c>
      <c r="O792" s="112" t="s">
        <v>1710</v>
      </c>
      <c r="P792" s="112" t="s">
        <v>2536</v>
      </c>
      <c r="Q792" s="112" t="s">
        <v>2537</v>
      </c>
    </row>
    <row r="793" spans="1:18">
      <c r="A793" s="112" t="s">
        <v>2535</v>
      </c>
      <c r="B793" s="112" t="s">
        <v>1796</v>
      </c>
      <c r="C793" s="112" t="s">
        <v>1706</v>
      </c>
      <c r="D793" s="112">
        <v>80</v>
      </c>
      <c r="E793" s="112" t="s">
        <v>1707</v>
      </c>
      <c r="F793" s="112" t="s">
        <v>1721</v>
      </c>
      <c r="G793" s="112">
        <v>6.7922300292485902</v>
      </c>
      <c r="H793" s="112">
        <v>3.6711938521288001</v>
      </c>
      <c r="I793" s="112">
        <v>2.0727809291983399</v>
      </c>
      <c r="J793" s="112" t="s">
        <v>848</v>
      </c>
      <c r="K793" s="112" t="s">
        <v>1797</v>
      </c>
      <c r="L793" s="112">
        <v>4.8672871305924801E-3</v>
      </c>
      <c r="M793" s="229">
        <v>1.08001933371134E-4</v>
      </c>
      <c r="N793" s="112" t="s">
        <v>2535</v>
      </c>
      <c r="O793" s="112" t="s">
        <v>1710</v>
      </c>
      <c r="P793" s="112" t="s">
        <v>2536</v>
      </c>
      <c r="Q793" s="112" t="s">
        <v>2537</v>
      </c>
    </row>
    <row r="794" spans="1:18">
      <c r="A794" s="112" t="s">
        <v>2538</v>
      </c>
      <c r="B794" s="112" t="s">
        <v>1796</v>
      </c>
      <c r="C794" s="112" t="s">
        <v>1706</v>
      </c>
      <c r="D794" s="112">
        <v>80</v>
      </c>
      <c r="E794" s="112" t="s">
        <v>1707</v>
      </c>
      <c r="F794" s="112" t="s">
        <v>1721</v>
      </c>
      <c r="G794" s="112">
        <v>-4.7936142613176003</v>
      </c>
      <c r="H794" s="112">
        <v>-3.2645031071587001</v>
      </c>
      <c r="I794" s="112">
        <v>0</v>
      </c>
      <c r="J794" s="112">
        <v>1</v>
      </c>
      <c r="K794" s="112" t="s">
        <v>1797</v>
      </c>
      <c r="L794" s="112">
        <v>5.9647276893256499E-3</v>
      </c>
      <c r="M794" s="229">
        <v>1.3676520589430099E-4</v>
      </c>
      <c r="N794" s="112" t="s">
        <v>2538</v>
      </c>
      <c r="O794" s="112" t="s">
        <v>1710</v>
      </c>
      <c r="P794" s="112" t="s">
        <v>2536</v>
      </c>
      <c r="Q794" s="112" t="s">
        <v>2539</v>
      </c>
    </row>
    <row r="795" spans="1:18">
      <c r="A795" s="112" t="s">
        <v>2557</v>
      </c>
      <c r="B795" s="112" t="s">
        <v>1748</v>
      </c>
      <c r="C795" s="112" t="s">
        <v>1706</v>
      </c>
      <c r="D795" s="112">
        <v>80</v>
      </c>
      <c r="E795" s="112" t="s">
        <v>1707</v>
      </c>
      <c r="F795" s="112" t="s">
        <v>440</v>
      </c>
      <c r="G795" s="112">
        <v>-5.6278641806151999</v>
      </c>
      <c r="H795" s="112">
        <v>-3.62611597939748</v>
      </c>
      <c r="I795" s="112">
        <v>0</v>
      </c>
      <c r="J795" s="112">
        <v>1</v>
      </c>
      <c r="K795" s="112" t="s">
        <v>1749</v>
      </c>
      <c r="L795" s="112">
        <v>9.3404082195408505E-3</v>
      </c>
      <c r="M795" s="229">
        <v>4.0144386470721601E-4</v>
      </c>
      <c r="N795" s="112" t="s">
        <v>2557</v>
      </c>
      <c r="O795" s="112" t="s">
        <v>1710</v>
      </c>
      <c r="P795" s="112" t="s">
        <v>2536</v>
      </c>
      <c r="Q795" s="112" t="s">
        <v>2558</v>
      </c>
    </row>
    <row r="796" spans="1:18">
      <c r="A796" s="112" t="s">
        <v>2538</v>
      </c>
      <c r="B796" s="112" t="s">
        <v>1762</v>
      </c>
      <c r="C796" s="112" t="s">
        <v>1706</v>
      </c>
      <c r="D796" s="112">
        <v>55</v>
      </c>
      <c r="E796" s="112" t="s">
        <v>1707</v>
      </c>
      <c r="F796" s="112" t="s">
        <v>1708</v>
      </c>
      <c r="G796" s="112">
        <v>2.2553655794154199</v>
      </c>
      <c r="H796" s="112">
        <v>1.80210881584889</v>
      </c>
      <c r="I796" s="112">
        <v>0.23305037474575099</v>
      </c>
      <c r="J796" s="112" t="s">
        <v>848</v>
      </c>
      <c r="K796" s="112" t="s">
        <v>1763</v>
      </c>
      <c r="L796" s="112">
        <v>1.40810017757104E-2</v>
      </c>
      <c r="M796" s="229">
        <v>3.7731720189634898E-4</v>
      </c>
      <c r="N796" s="112" t="s">
        <v>2538</v>
      </c>
      <c r="O796" s="112" t="s">
        <v>1710</v>
      </c>
      <c r="P796" s="112" t="s">
        <v>2536</v>
      </c>
      <c r="Q796" s="112" t="s">
        <v>2539</v>
      </c>
    </row>
    <row r="797" spans="1:18">
      <c r="A797" s="112" t="s">
        <v>2545</v>
      </c>
      <c r="B797" s="112" t="s">
        <v>1755</v>
      </c>
      <c r="C797" s="112" t="s">
        <v>1706</v>
      </c>
      <c r="D797" s="112">
        <v>30</v>
      </c>
      <c r="E797" s="112" t="s">
        <v>1707</v>
      </c>
      <c r="F797" s="112" t="s">
        <v>1721</v>
      </c>
      <c r="G797" s="112">
        <v>3.7379986364823399</v>
      </c>
      <c r="H797" s="112">
        <v>2.5509709967963099</v>
      </c>
      <c r="I797" s="112">
        <v>1.3773970744531201</v>
      </c>
      <c r="J797" s="112" t="s">
        <v>848</v>
      </c>
      <c r="K797" s="112" t="s">
        <v>1756</v>
      </c>
      <c r="L797" s="112">
        <v>1.4643732237661701E-2</v>
      </c>
      <c r="M797" s="229">
        <v>7.21710173875223E-4</v>
      </c>
      <c r="N797" s="112" t="s">
        <v>2545</v>
      </c>
      <c r="O797" s="112" t="s">
        <v>1710</v>
      </c>
      <c r="P797" s="112" t="s">
        <v>2536</v>
      </c>
      <c r="Q797" s="112" t="s">
        <v>2546</v>
      </c>
    </row>
    <row r="798" spans="1:18">
      <c r="A798" s="112" t="s">
        <v>2535</v>
      </c>
      <c r="B798" s="112" t="s">
        <v>1705</v>
      </c>
      <c r="C798" s="112" t="s">
        <v>1706</v>
      </c>
      <c r="D798" s="112">
        <v>80</v>
      </c>
      <c r="E798" s="112" t="s">
        <v>1707</v>
      </c>
      <c r="F798" s="112" t="s">
        <v>1708</v>
      </c>
      <c r="G798" s="112">
        <v>4.5246006998454202</v>
      </c>
      <c r="H798" s="112">
        <v>2.7160563698912701</v>
      </c>
      <c r="I798" s="112">
        <v>-0.11746281448899799</v>
      </c>
      <c r="J798" s="112" t="s">
        <v>848</v>
      </c>
      <c r="K798" s="112" t="s">
        <v>1709</v>
      </c>
      <c r="L798" s="112">
        <v>1.49538879618678E-2</v>
      </c>
      <c r="M798" s="112">
        <v>1.27895094410712E-3</v>
      </c>
      <c r="N798" s="112" t="s">
        <v>2535</v>
      </c>
      <c r="O798" s="112" t="s">
        <v>1710</v>
      </c>
      <c r="P798" s="112" t="s">
        <v>2536</v>
      </c>
      <c r="Q798" s="112" t="s">
        <v>2537</v>
      </c>
    </row>
    <row r="799" spans="1:18">
      <c r="A799" s="112" t="s">
        <v>2559</v>
      </c>
      <c r="B799" s="112" t="s">
        <v>1705</v>
      </c>
      <c r="C799" s="112" t="s">
        <v>1706</v>
      </c>
      <c r="D799" s="112">
        <v>80</v>
      </c>
      <c r="E799" s="112" t="s">
        <v>1707</v>
      </c>
      <c r="F799" s="112" t="s">
        <v>1708</v>
      </c>
      <c r="G799" s="112">
        <v>-3.6875837010884598</v>
      </c>
      <c r="H799" s="112">
        <v>-2.5061517156834499</v>
      </c>
      <c r="I799" s="112">
        <v>0</v>
      </c>
      <c r="J799" s="112">
        <v>1</v>
      </c>
      <c r="K799" s="112" t="s">
        <v>1709</v>
      </c>
      <c r="L799" s="112">
        <v>1.50098660451497E-2</v>
      </c>
      <c r="M799" s="112">
        <v>1.2919676365616801E-3</v>
      </c>
      <c r="N799" s="112" t="s">
        <v>2559</v>
      </c>
      <c r="O799" s="112" t="s">
        <v>1710</v>
      </c>
      <c r="P799" s="112" t="s">
        <v>2536</v>
      </c>
      <c r="Q799" s="112" t="s">
        <v>2560</v>
      </c>
    </row>
    <row r="800" spans="1:18">
      <c r="A800" s="112" t="s">
        <v>2538</v>
      </c>
      <c r="B800" s="112" t="s">
        <v>1720</v>
      </c>
      <c r="C800" s="112" t="s">
        <v>1706</v>
      </c>
      <c r="D800" s="112">
        <v>55</v>
      </c>
      <c r="E800" s="112" t="s">
        <v>1707</v>
      </c>
      <c r="F800" s="112" t="s">
        <v>1721</v>
      </c>
      <c r="G800" s="112">
        <v>2.2211414798895199</v>
      </c>
      <c r="H800" s="112">
        <v>1.7751162965877501</v>
      </c>
      <c r="I800" s="112">
        <v>0.15983773226026299</v>
      </c>
      <c r="J800" s="112" t="s">
        <v>848</v>
      </c>
      <c r="K800" s="112" t="s">
        <v>1722</v>
      </c>
      <c r="L800" s="112">
        <v>1.7776087645192101E-2</v>
      </c>
      <c r="M800" s="229">
        <v>4.1906346970573498E-4</v>
      </c>
      <c r="N800" s="112" t="s">
        <v>2538</v>
      </c>
      <c r="O800" s="112" t="s">
        <v>1710</v>
      </c>
      <c r="P800" s="112" t="s">
        <v>2536</v>
      </c>
      <c r="Q800" s="112" t="s">
        <v>2539</v>
      </c>
    </row>
    <row r="801" spans="1:18">
      <c r="A801" s="112" t="s">
        <v>2542</v>
      </c>
      <c r="B801" s="112" t="s">
        <v>1755</v>
      </c>
      <c r="C801" s="112" t="s">
        <v>1706</v>
      </c>
      <c r="D801" s="112">
        <v>30</v>
      </c>
      <c r="E801" s="112" t="s">
        <v>1707</v>
      </c>
      <c r="F801" s="112" t="s">
        <v>1721</v>
      </c>
      <c r="G801" s="112">
        <v>-7.4414159170072498</v>
      </c>
      <c r="H801" s="112">
        <v>-3.3067671262182299</v>
      </c>
      <c r="I801" s="112">
        <v>0</v>
      </c>
      <c r="J801" s="112">
        <v>1</v>
      </c>
      <c r="K801" s="112" t="s">
        <v>1756</v>
      </c>
      <c r="L801" s="112">
        <v>2.07662129963457E-2</v>
      </c>
      <c r="M801" s="112">
        <v>1.2050346174350001E-3</v>
      </c>
      <c r="N801" s="112" t="s">
        <v>2542</v>
      </c>
      <c r="O801" s="112" t="s">
        <v>1710</v>
      </c>
      <c r="P801" s="112" t="s">
        <v>2536</v>
      </c>
      <c r="Q801" s="112" t="s">
        <v>2543</v>
      </c>
      <c r="R801" s="112" t="s">
        <v>2544</v>
      </c>
    </row>
    <row r="802" spans="1:18">
      <c r="A802" s="112" t="s">
        <v>2561</v>
      </c>
      <c r="B802" s="112" t="s">
        <v>1705</v>
      </c>
      <c r="C802" s="112" t="s">
        <v>1706</v>
      </c>
      <c r="D802" s="112">
        <v>80</v>
      </c>
      <c r="E802" s="112" t="s">
        <v>1707</v>
      </c>
      <c r="F802" s="112" t="s">
        <v>1708</v>
      </c>
      <c r="G802" s="112">
        <v>-4.0241131296782502</v>
      </c>
      <c r="H802" s="112">
        <v>-2.4181290332439001</v>
      </c>
      <c r="I802" s="112">
        <v>0</v>
      </c>
      <c r="J802" s="112">
        <v>1</v>
      </c>
      <c r="K802" s="112" t="s">
        <v>1709</v>
      </c>
      <c r="L802" s="112">
        <v>2.32006471037919E-2</v>
      </c>
      <c r="M802" s="112">
        <v>2.5184912974511001E-3</v>
      </c>
      <c r="N802" s="112" t="s">
        <v>2561</v>
      </c>
      <c r="O802" s="112" t="s">
        <v>1710</v>
      </c>
      <c r="P802" s="112" t="s">
        <v>2536</v>
      </c>
      <c r="Q802" s="112" t="s">
        <v>2562</v>
      </c>
    </row>
    <row r="803" spans="1:18">
      <c r="A803" s="112" t="s">
        <v>2549</v>
      </c>
      <c r="B803" s="112" t="s">
        <v>1796</v>
      </c>
      <c r="C803" s="112" t="s">
        <v>1706</v>
      </c>
      <c r="D803" s="112">
        <v>80</v>
      </c>
      <c r="E803" s="112" t="s">
        <v>1707</v>
      </c>
      <c r="F803" s="112" t="s">
        <v>1721</v>
      </c>
      <c r="G803" s="112">
        <v>-4.0954158189393297</v>
      </c>
      <c r="H803" s="112">
        <v>-2.3893043801098499</v>
      </c>
      <c r="I803" s="112">
        <v>-3.7480381077471399</v>
      </c>
      <c r="J803" s="112" t="s">
        <v>848</v>
      </c>
      <c r="K803" s="112" t="s">
        <v>1797</v>
      </c>
      <c r="L803" s="112">
        <v>2.52049900486002E-2</v>
      </c>
      <c r="M803" s="112">
        <v>1.1442458360658801E-3</v>
      </c>
      <c r="N803" s="112" t="s">
        <v>2549</v>
      </c>
      <c r="O803" s="112" t="s">
        <v>1710</v>
      </c>
      <c r="P803" s="112" t="s">
        <v>2536</v>
      </c>
      <c r="Q803" s="112" t="s">
        <v>2550</v>
      </c>
      <c r="R803" s="112" t="s">
        <v>2551</v>
      </c>
    </row>
    <row r="804" spans="1:18">
      <c r="A804" s="112" t="s">
        <v>2549</v>
      </c>
      <c r="B804" s="112" t="s">
        <v>1705</v>
      </c>
      <c r="C804" s="112" t="s">
        <v>1706</v>
      </c>
      <c r="D804" s="112">
        <v>80</v>
      </c>
      <c r="E804" s="112" t="s">
        <v>1707</v>
      </c>
      <c r="F804" s="112" t="s">
        <v>1708</v>
      </c>
      <c r="G804" s="112">
        <v>-2.6864186258598002</v>
      </c>
      <c r="H804" s="112">
        <v>-1.95196938267992</v>
      </c>
      <c r="I804" s="112">
        <v>-4.0754014817020003</v>
      </c>
      <c r="J804" s="112" t="s">
        <v>848</v>
      </c>
      <c r="K804" s="112" t="s">
        <v>1709</v>
      </c>
      <c r="L804" s="112">
        <v>2.59089254499217E-2</v>
      </c>
      <c r="M804" s="112">
        <v>2.9545265863945799E-3</v>
      </c>
      <c r="N804" s="112" t="s">
        <v>2549</v>
      </c>
      <c r="O804" s="112" t="s">
        <v>1710</v>
      </c>
      <c r="P804" s="112" t="s">
        <v>2536</v>
      </c>
      <c r="Q804" s="112" t="s">
        <v>2550</v>
      </c>
      <c r="R804" s="112" t="s">
        <v>2551</v>
      </c>
    </row>
    <row r="805" spans="1:18">
      <c r="A805" s="112" t="s">
        <v>2561</v>
      </c>
      <c r="B805" s="112" t="s">
        <v>1748</v>
      </c>
      <c r="C805" s="112" t="s">
        <v>1706</v>
      </c>
      <c r="D805" s="112">
        <v>80</v>
      </c>
      <c r="E805" s="112" t="s">
        <v>1707</v>
      </c>
      <c r="F805" s="112" t="s">
        <v>440</v>
      </c>
      <c r="G805" s="112">
        <v>-5.5331137596749702</v>
      </c>
      <c r="H805" s="112">
        <v>-2.9523517938676802</v>
      </c>
      <c r="I805" s="112">
        <v>0</v>
      </c>
      <c r="J805" s="112">
        <v>1</v>
      </c>
      <c r="K805" s="112" t="s">
        <v>1749</v>
      </c>
      <c r="L805" s="112">
        <v>2.9059072482725299E-2</v>
      </c>
      <c r="M805" s="112">
        <v>1.93620208828333E-3</v>
      </c>
      <c r="N805" s="112" t="s">
        <v>2561</v>
      </c>
      <c r="O805" s="112" t="s">
        <v>1710</v>
      </c>
      <c r="P805" s="112" t="s">
        <v>2536</v>
      </c>
      <c r="Q805" s="112" t="s">
        <v>2562</v>
      </c>
    </row>
    <row r="806" spans="1:18">
      <c r="A806" s="112" t="s">
        <v>2555</v>
      </c>
      <c r="B806" s="112" t="s">
        <v>1743</v>
      </c>
      <c r="C806" s="112" t="s">
        <v>1706</v>
      </c>
      <c r="D806" s="112">
        <v>55</v>
      </c>
      <c r="E806" s="112" t="s">
        <v>1707</v>
      </c>
      <c r="F806" s="112" t="s">
        <v>440</v>
      </c>
      <c r="G806" s="112">
        <v>4.8795512196797803</v>
      </c>
      <c r="H806" s="112">
        <v>2.1465962163899399</v>
      </c>
      <c r="I806" s="112">
        <v>1.9235422819976999</v>
      </c>
      <c r="J806" s="112" t="s">
        <v>848</v>
      </c>
      <c r="K806" s="112" t="s">
        <v>1744</v>
      </c>
      <c r="L806" s="112">
        <v>3.2630370651604797E-2</v>
      </c>
      <c r="M806" s="112">
        <v>1.1049676309112899E-3</v>
      </c>
      <c r="N806" s="112" t="s">
        <v>2555</v>
      </c>
      <c r="O806" s="112" t="s">
        <v>1710</v>
      </c>
      <c r="P806" s="112" t="s">
        <v>2536</v>
      </c>
      <c r="Q806" s="112" t="s">
        <v>2556</v>
      </c>
    </row>
    <row r="807" spans="1:18">
      <c r="A807" s="112" t="s">
        <v>2563</v>
      </c>
      <c r="B807" s="112" t="s">
        <v>1796</v>
      </c>
      <c r="C807" s="112" t="s">
        <v>1706</v>
      </c>
      <c r="D807" s="112">
        <v>80</v>
      </c>
      <c r="E807" s="112" t="s">
        <v>1707</v>
      </c>
      <c r="F807" s="112" t="s">
        <v>1721</v>
      </c>
      <c r="G807" s="112">
        <v>-2.1844948873942598</v>
      </c>
      <c r="H807" s="112">
        <v>-1.43007559001108</v>
      </c>
      <c r="I807" s="112">
        <v>-3.15586785685305</v>
      </c>
      <c r="J807" s="112" t="s">
        <v>848</v>
      </c>
      <c r="K807" s="112" t="s">
        <v>1797</v>
      </c>
      <c r="L807" s="112">
        <v>3.5106686271841797E-2</v>
      </c>
      <c r="M807" s="112">
        <v>1.9474862946657801E-3</v>
      </c>
      <c r="N807" s="112" t="s">
        <v>2563</v>
      </c>
      <c r="O807" s="112" t="s">
        <v>1710</v>
      </c>
      <c r="P807" s="112" t="s">
        <v>2536</v>
      </c>
      <c r="Q807" s="112" t="s">
        <v>2553</v>
      </c>
      <c r="R807" s="112" t="s">
        <v>2554</v>
      </c>
    </row>
    <row r="808" spans="1:18">
      <c r="A808" s="112" t="s">
        <v>2549</v>
      </c>
      <c r="B808" s="112" t="s">
        <v>1720</v>
      </c>
      <c r="C808" s="112" t="s">
        <v>1706</v>
      </c>
      <c r="D808" s="112">
        <v>55</v>
      </c>
      <c r="E808" s="112" t="s">
        <v>1707</v>
      </c>
      <c r="F808" s="112" t="s">
        <v>1721</v>
      </c>
      <c r="G808" s="112">
        <v>2.5574060766695901</v>
      </c>
      <c r="H808" s="112">
        <v>1.71785253932516</v>
      </c>
      <c r="I808" s="112">
        <v>1.06255772267589</v>
      </c>
      <c r="J808" s="112" t="s">
        <v>848</v>
      </c>
      <c r="K808" s="112" t="s">
        <v>1722</v>
      </c>
      <c r="L808" s="112">
        <v>3.7932445453922603E-2</v>
      </c>
      <c r="M808" s="112">
        <v>1.37255559208272E-3</v>
      </c>
      <c r="N808" s="112" t="s">
        <v>2549</v>
      </c>
      <c r="O808" s="112" t="s">
        <v>1710</v>
      </c>
      <c r="P808" s="112" t="s">
        <v>2536</v>
      </c>
      <c r="Q808" s="112" t="s">
        <v>2550</v>
      </c>
      <c r="R808" s="112" t="s">
        <v>2551</v>
      </c>
    </row>
    <row r="809" spans="1:18">
      <c r="A809" s="112" t="s">
        <v>2535</v>
      </c>
      <c r="B809" s="112" t="s">
        <v>1762</v>
      </c>
      <c r="C809" s="112" t="s">
        <v>1706</v>
      </c>
      <c r="D809" s="112">
        <v>55</v>
      </c>
      <c r="E809" s="112" t="s">
        <v>1707</v>
      </c>
      <c r="F809" s="112" t="s">
        <v>1708</v>
      </c>
      <c r="G809" s="112">
        <v>4.4309582627378497</v>
      </c>
      <c r="H809" s="112">
        <v>1.60418868469497</v>
      </c>
      <c r="I809" s="112">
        <v>-4.3627757255819402E-3</v>
      </c>
      <c r="J809" s="112" t="s">
        <v>848</v>
      </c>
      <c r="K809" s="112" t="s">
        <v>1763</v>
      </c>
      <c r="L809" s="112">
        <v>4.8112401044184003E-2</v>
      </c>
      <c r="M809" s="112">
        <v>1.81202549387186E-3</v>
      </c>
      <c r="N809" s="112" t="s">
        <v>2535</v>
      </c>
      <c r="O809" s="112" t="s">
        <v>1710</v>
      </c>
      <c r="P809" s="112" t="s">
        <v>2536</v>
      </c>
      <c r="Q809" s="112" t="s">
        <v>2537</v>
      </c>
    </row>
    <row r="810" spans="1:18">
      <c r="A810" s="112" t="s">
        <v>2564</v>
      </c>
      <c r="B810" s="112" t="s">
        <v>1743</v>
      </c>
      <c r="C810" s="112" t="s">
        <v>1706</v>
      </c>
      <c r="D810" s="112">
        <v>55</v>
      </c>
      <c r="E810" s="112" t="s">
        <v>1707</v>
      </c>
      <c r="F810" s="112" t="s">
        <v>440</v>
      </c>
      <c r="G810" s="112">
        <v>3.7520750754960801</v>
      </c>
      <c r="H810" s="112">
        <v>2.4291043933070302</v>
      </c>
      <c r="I810" s="112">
        <v>2.2073083970011802</v>
      </c>
      <c r="J810" s="112" t="s">
        <v>848</v>
      </c>
      <c r="K810" s="112" t="s">
        <v>1744</v>
      </c>
      <c r="L810" s="112">
        <v>1.5713403787857599E-2</v>
      </c>
      <c r="M810" s="229">
        <v>4.4616038207867498E-4</v>
      </c>
      <c r="N810" s="112" t="s">
        <v>2564</v>
      </c>
      <c r="O810" s="112" t="s">
        <v>2394</v>
      </c>
      <c r="P810" s="112" t="s">
        <v>2565</v>
      </c>
      <c r="Q810" s="112" t="s">
        <v>2566</v>
      </c>
    </row>
    <row r="811" spans="1:18">
      <c r="A811" s="112" t="s">
        <v>2564</v>
      </c>
      <c r="B811" s="112" t="s">
        <v>1731</v>
      </c>
      <c r="C811" s="112" t="s">
        <v>1706</v>
      </c>
      <c r="D811" s="112">
        <v>30</v>
      </c>
      <c r="E811" s="112" t="s">
        <v>1707</v>
      </c>
      <c r="F811" s="112" t="s">
        <v>1708</v>
      </c>
      <c r="G811" s="112">
        <v>2.83628143019153</v>
      </c>
      <c r="H811" s="112">
        <v>1.7180983471462801</v>
      </c>
      <c r="I811" s="112">
        <v>0.96520759644191301</v>
      </c>
      <c r="J811" s="112" t="s">
        <v>848</v>
      </c>
      <c r="K811" s="112" t="s">
        <v>1732</v>
      </c>
      <c r="L811" s="112">
        <v>1.7254902496830201E-2</v>
      </c>
      <c r="M811" s="112">
        <v>1.3167493161333099E-3</v>
      </c>
      <c r="N811" s="112" t="s">
        <v>2564</v>
      </c>
      <c r="O811" s="112" t="s">
        <v>2394</v>
      </c>
      <c r="P811" s="112" t="s">
        <v>2565</v>
      </c>
      <c r="Q811" s="112" t="s">
        <v>2566</v>
      </c>
    </row>
    <row r="812" spans="1:18">
      <c r="A812" s="112" t="s">
        <v>2567</v>
      </c>
      <c r="B812" s="112" t="s">
        <v>1705</v>
      </c>
      <c r="C812" s="112" t="s">
        <v>1706</v>
      </c>
      <c r="D812" s="112">
        <v>80</v>
      </c>
      <c r="E812" s="112" t="s">
        <v>1707</v>
      </c>
      <c r="F812" s="112" t="s">
        <v>1708</v>
      </c>
      <c r="G812" s="112">
        <v>6.12125998177578</v>
      </c>
      <c r="H812" s="112">
        <v>3.6153931787445401</v>
      </c>
      <c r="I812" s="112">
        <v>2.1496872802728899</v>
      </c>
      <c r="J812" s="112" t="s">
        <v>848</v>
      </c>
      <c r="K812" s="112" t="s">
        <v>1709</v>
      </c>
      <c r="L812" s="112">
        <v>3.1391773314591201E-3</v>
      </c>
      <c r="M812" s="229">
        <v>1.5317257812492399E-4</v>
      </c>
      <c r="N812" s="112" t="s">
        <v>2567</v>
      </c>
      <c r="O812" s="112" t="s">
        <v>1710</v>
      </c>
      <c r="P812" s="112" t="s">
        <v>2565</v>
      </c>
      <c r="Q812" s="112" t="s">
        <v>2568</v>
      </c>
      <c r="R812" s="112" t="s">
        <v>2522</v>
      </c>
    </row>
    <row r="813" spans="1:18">
      <c r="A813" s="112" t="s">
        <v>2569</v>
      </c>
      <c r="B813" s="112" t="s">
        <v>1748</v>
      </c>
      <c r="C813" s="112" t="s">
        <v>1706</v>
      </c>
      <c r="D813" s="112">
        <v>80</v>
      </c>
      <c r="E813" s="112" t="s">
        <v>1707</v>
      </c>
      <c r="F813" s="112" t="s">
        <v>440</v>
      </c>
      <c r="G813" s="112">
        <v>5.7143292108725596</v>
      </c>
      <c r="H813" s="112">
        <v>3.7976051318962498</v>
      </c>
      <c r="I813" s="112">
        <v>2.7531427117818899</v>
      </c>
      <c r="J813" s="112" t="s">
        <v>848</v>
      </c>
      <c r="K813" s="112" t="s">
        <v>1749</v>
      </c>
      <c r="L813" s="112">
        <v>6.9060786352518498E-3</v>
      </c>
      <c r="M813" s="229">
        <v>2.49891003249244E-4</v>
      </c>
      <c r="N813" s="112" t="s">
        <v>2569</v>
      </c>
      <c r="O813" s="112" t="s">
        <v>1710</v>
      </c>
      <c r="P813" s="112" t="s">
        <v>2565</v>
      </c>
      <c r="Q813" s="112" t="s">
        <v>2570</v>
      </c>
    </row>
    <row r="814" spans="1:18">
      <c r="A814" s="112" t="s">
        <v>2571</v>
      </c>
      <c r="B814" s="112" t="s">
        <v>1731</v>
      </c>
      <c r="C814" s="112" t="s">
        <v>1706</v>
      </c>
      <c r="D814" s="112">
        <v>30</v>
      </c>
      <c r="E814" s="112" t="s">
        <v>1707</v>
      </c>
      <c r="F814" s="112" t="s">
        <v>1708</v>
      </c>
      <c r="G814" s="112">
        <v>-4.3518613103245301</v>
      </c>
      <c r="H814" s="112">
        <v>-2.3368021020407101</v>
      </c>
      <c r="I814" s="112">
        <v>0</v>
      </c>
      <c r="J814" s="112">
        <v>1</v>
      </c>
      <c r="K814" s="112" t="s">
        <v>1732</v>
      </c>
      <c r="L814" s="112">
        <v>9.0733256167398902E-3</v>
      </c>
      <c r="M814" s="229">
        <v>5.3372503627881695E-4</v>
      </c>
      <c r="N814" s="112" t="s">
        <v>2571</v>
      </c>
      <c r="O814" s="112" t="s">
        <v>1710</v>
      </c>
      <c r="P814" s="112" t="s">
        <v>2565</v>
      </c>
      <c r="Q814" s="112" t="s">
        <v>2572</v>
      </c>
      <c r="R814" s="112" t="s">
        <v>2573</v>
      </c>
    </row>
    <row r="815" spans="1:18">
      <c r="A815" s="112" t="s">
        <v>2574</v>
      </c>
      <c r="B815" s="112" t="s">
        <v>1705</v>
      </c>
      <c r="C815" s="112" t="s">
        <v>1706</v>
      </c>
      <c r="D815" s="112">
        <v>80</v>
      </c>
      <c r="E815" s="112" t="s">
        <v>1707</v>
      </c>
      <c r="F815" s="112" t="s">
        <v>1708</v>
      </c>
      <c r="G815" s="112">
        <v>5.8694779560850598</v>
      </c>
      <c r="H815" s="112">
        <v>2.2037890167222902</v>
      </c>
      <c r="I815" s="112">
        <v>1.99460912548119</v>
      </c>
      <c r="J815" s="112" t="s">
        <v>848</v>
      </c>
      <c r="K815" s="112" t="s">
        <v>1709</v>
      </c>
      <c r="L815" s="112">
        <v>3.63711836103967E-2</v>
      </c>
      <c r="M815" s="112">
        <v>4.8455030796745596E-3</v>
      </c>
      <c r="N815" s="112" t="s">
        <v>2574</v>
      </c>
      <c r="O815" s="112" t="s">
        <v>1710</v>
      </c>
      <c r="P815" s="112" t="s">
        <v>2565</v>
      </c>
      <c r="Q815" s="112" t="s">
        <v>2575</v>
      </c>
    </row>
    <row r="816" spans="1:18">
      <c r="A816" s="112" t="s">
        <v>2569</v>
      </c>
      <c r="B816" s="112" t="s">
        <v>1796</v>
      </c>
      <c r="C816" s="112" t="s">
        <v>1706</v>
      </c>
      <c r="D816" s="112">
        <v>80</v>
      </c>
      <c r="E816" s="112" t="s">
        <v>1707</v>
      </c>
      <c r="F816" s="112" t="s">
        <v>1721</v>
      </c>
      <c r="G816" s="112">
        <v>4.7464760729141204</v>
      </c>
      <c r="H816" s="112">
        <v>2.0418307360121499</v>
      </c>
      <c r="I816" s="112">
        <v>1.39728618986359</v>
      </c>
      <c r="J816" s="112" t="s">
        <v>848</v>
      </c>
      <c r="K816" s="112" t="s">
        <v>1797</v>
      </c>
      <c r="L816" s="112">
        <v>4.5313182495470797E-2</v>
      </c>
      <c r="M816" s="112">
        <v>2.7967681086666601E-3</v>
      </c>
      <c r="N816" s="112" t="s">
        <v>2569</v>
      </c>
      <c r="O816" s="112" t="s">
        <v>1710</v>
      </c>
      <c r="P816" s="112" t="s">
        <v>2565</v>
      </c>
      <c r="Q816" s="112" t="s">
        <v>2570</v>
      </c>
    </row>
    <row r="817" spans="1:17">
      <c r="A817" s="112" t="s">
        <v>2576</v>
      </c>
      <c r="B817" s="112" t="s">
        <v>1705</v>
      </c>
      <c r="C817" s="112" t="s">
        <v>1706</v>
      </c>
      <c r="D817" s="112">
        <v>80</v>
      </c>
      <c r="E817" s="112" t="s">
        <v>1707</v>
      </c>
      <c r="F817" s="112" t="s">
        <v>1708</v>
      </c>
      <c r="G817" s="112">
        <v>4.6771822557103402</v>
      </c>
      <c r="H817" s="112">
        <v>2.0499203650645499</v>
      </c>
      <c r="I817" s="112">
        <v>1.4482561484168199</v>
      </c>
      <c r="J817" s="112" t="s">
        <v>848</v>
      </c>
      <c r="K817" s="112" t="s">
        <v>1709</v>
      </c>
      <c r="L817" s="112">
        <v>4.95542948002873E-2</v>
      </c>
      <c r="M817" s="112">
        <v>7.5255151642980196E-3</v>
      </c>
      <c r="N817" s="112" t="s">
        <v>2576</v>
      </c>
      <c r="O817" s="112" t="s">
        <v>1710</v>
      </c>
      <c r="P817" s="112" t="s">
        <v>2565</v>
      </c>
      <c r="Q817" s="112" t="s">
        <v>2577</v>
      </c>
    </row>
    <row r="818" spans="1:17">
      <c r="A818" s="112" t="s">
        <v>2578</v>
      </c>
      <c r="B818" s="112" t="s">
        <v>1748</v>
      </c>
      <c r="C818" s="112" t="s">
        <v>1706</v>
      </c>
      <c r="D818" s="112">
        <v>80</v>
      </c>
      <c r="E818" s="112" t="s">
        <v>1707</v>
      </c>
      <c r="F818" s="112" t="s">
        <v>440</v>
      </c>
      <c r="G818" s="112">
        <v>-6.6750791693364198</v>
      </c>
      <c r="H818" s="112">
        <v>-3.9701769337575201</v>
      </c>
      <c r="I818" s="112">
        <v>0</v>
      </c>
      <c r="J818" s="112">
        <v>1</v>
      </c>
      <c r="K818" s="112" t="s">
        <v>1749</v>
      </c>
      <c r="L818" s="112">
        <v>7.5275677109858299E-3</v>
      </c>
      <c r="M818" s="229">
        <v>2.7650605078730799E-4</v>
      </c>
      <c r="N818" s="112" t="s">
        <v>2578</v>
      </c>
      <c r="O818" s="112" t="s">
        <v>1464</v>
      </c>
      <c r="P818" s="112" t="s">
        <v>1464</v>
      </c>
      <c r="Q818" s="112" t="s">
        <v>2579</v>
      </c>
    </row>
    <row r="819" spans="1:17">
      <c r="A819" s="112" t="s">
        <v>1492</v>
      </c>
      <c r="B819" s="112" t="s">
        <v>1748</v>
      </c>
      <c r="C819" s="112" t="s">
        <v>1706</v>
      </c>
      <c r="D819" s="112">
        <v>80</v>
      </c>
      <c r="E819" s="112" t="s">
        <v>1707</v>
      </c>
      <c r="F819" s="112" t="s">
        <v>440</v>
      </c>
      <c r="G819" s="112">
        <v>-4.8098889008464196</v>
      </c>
      <c r="H819" s="112">
        <v>-3.0014138429438799</v>
      </c>
      <c r="I819" s="112">
        <v>-5.3569398172144398</v>
      </c>
      <c r="J819" s="112" t="s">
        <v>848</v>
      </c>
      <c r="K819" s="112" t="s">
        <v>1749</v>
      </c>
      <c r="L819" s="112">
        <v>2.2588170276669099E-2</v>
      </c>
      <c r="M819" s="112">
        <v>1.3374574505922499E-3</v>
      </c>
      <c r="N819" s="112" t="s">
        <v>1492</v>
      </c>
      <c r="O819" s="112" t="s">
        <v>1464</v>
      </c>
      <c r="P819" s="112" t="s">
        <v>1464</v>
      </c>
      <c r="Q819" s="112" t="s">
        <v>2580</v>
      </c>
    </row>
    <row r="820" spans="1:17">
      <c r="A820" s="112" t="s">
        <v>1492</v>
      </c>
      <c r="B820" s="112" t="s">
        <v>1796</v>
      </c>
      <c r="C820" s="112" t="s">
        <v>1706</v>
      </c>
      <c r="D820" s="112">
        <v>80</v>
      </c>
      <c r="E820" s="112" t="s">
        <v>1707</v>
      </c>
      <c r="F820" s="112" t="s">
        <v>1721</v>
      </c>
      <c r="G820" s="112">
        <v>2.8530384272700799</v>
      </c>
      <c r="H820" s="112">
        <v>1.71158644417326</v>
      </c>
      <c r="I820" s="112">
        <v>1.9357157242735299</v>
      </c>
      <c r="J820" s="112" t="s">
        <v>848</v>
      </c>
      <c r="K820" s="112" t="s">
        <v>1797</v>
      </c>
      <c r="L820" s="112">
        <v>4.4044576594227801E-2</v>
      </c>
      <c r="M820" s="112">
        <v>2.6387653137074302E-3</v>
      </c>
      <c r="N820" s="112" t="s">
        <v>1492</v>
      </c>
      <c r="O820" s="112" t="s">
        <v>1464</v>
      </c>
      <c r="P820" s="112" t="s">
        <v>1464</v>
      </c>
      <c r="Q820" s="112" t="s">
        <v>2580</v>
      </c>
    </row>
    <row r="821" spans="1:17">
      <c r="A821" s="112" t="s">
        <v>2581</v>
      </c>
      <c r="B821" s="112" t="s">
        <v>1796</v>
      </c>
      <c r="C821" s="112" t="s">
        <v>1706</v>
      </c>
      <c r="D821" s="112">
        <v>80</v>
      </c>
      <c r="E821" s="112" t="s">
        <v>1707</v>
      </c>
      <c r="F821" s="112" t="s">
        <v>1721</v>
      </c>
      <c r="G821" s="112">
        <v>5.6467569939992996</v>
      </c>
      <c r="H821" s="112">
        <v>1.8936491691933901</v>
      </c>
      <c r="I821" s="112">
        <v>3.0510381912820099</v>
      </c>
      <c r="J821" s="112" t="s">
        <v>848</v>
      </c>
      <c r="K821" s="112" t="s">
        <v>1797</v>
      </c>
      <c r="L821" s="112">
        <v>4.7220768402018998E-2</v>
      </c>
      <c r="M821" s="112">
        <v>3.2788647951641002E-3</v>
      </c>
      <c r="N821" s="112" t="s">
        <v>2581</v>
      </c>
      <c r="O821" s="112" t="s">
        <v>1464</v>
      </c>
      <c r="P821" s="112" t="s">
        <v>1464</v>
      </c>
      <c r="Q821" s="112" t="s">
        <v>2582</v>
      </c>
    </row>
    <row r="822" spans="1:17">
      <c r="A822" s="112" t="s">
        <v>1494</v>
      </c>
      <c r="B822" s="112" t="s">
        <v>1705</v>
      </c>
      <c r="C822" s="112" t="s">
        <v>1706</v>
      </c>
      <c r="D822" s="112">
        <v>80</v>
      </c>
      <c r="E822" s="112" t="s">
        <v>1707</v>
      </c>
      <c r="F822" s="112" t="s">
        <v>1708</v>
      </c>
      <c r="G822" s="112">
        <v>-6.8823687179873803</v>
      </c>
      <c r="H822" s="112">
        <v>-5.3291345112553099</v>
      </c>
      <c r="I822" s="112">
        <v>0</v>
      </c>
      <c r="J822" s="112">
        <v>1</v>
      </c>
      <c r="K822" s="112" t="s">
        <v>1709</v>
      </c>
      <c r="L822" s="229">
        <v>2.4728942392765E-6</v>
      </c>
      <c r="M822" s="229">
        <v>2.3047808151151601E-8</v>
      </c>
      <c r="N822" s="112" t="s">
        <v>1494</v>
      </c>
      <c r="O822" s="112" t="s">
        <v>2583</v>
      </c>
      <c r="P822" s="112" t="s">
        <v>1464</v>
      </c>
      <c r="Q822" s="112" t="s">
        <v>2584</v>
      </c>
    </row>
    <row r="823" spans="1:17">
      <c r="A823" s="112" t="s">
        <v>1494</v>
      </c>
      <c r="B823" s="112" t="s">
        <v>1743</v>
      </c>
      <c r="C823" s="112" t="s">
        <v>1706</v>
      </c>
      <c r="D823" s="112">
        <v>55</v>
      </c>
      <c r="E823" s="112" t="s">
        <v>1707</v>
      </c>
      <c r="F823" s="112" t="s">
        <v>440</v>
      </c>
      <c r="G823" s="112">
        <v>5.2297773210298297</v>
      </c>
      <c r="H823" s="112">
        <v>3.9367503622899598</v>
      </c>
      <c r="I823" s="112">
        <v>2.10430789070824</v>
      </c>
      <c r="J823" s="112" t="s">
        <v>848</v>
      </c>
      <c r="K823" s="112" t="s">
        <v>1744</v>
      </c>
      <c r="L823" s="229">
        <v>7.9833749526059795E-5</v>
      </c>
      <c r="M823" s="229">
        <v>6.2016601037303898E-7</v>
      </c>
      <c r="N823" s="112" t="s">
        <v>1494</v>
      </c>
      <c r="O823" s="112" t="s">
        <v>2583</v>
      </c>
      <c r="P823" s="112" t="s">
        <v>1464</v>
      </c>
      <c r="Q823" s="112" t="s">
        <v>2584</v>
      </c>
    </row>
    <row r="824" spans="1:17">
      <c r="A824" s="112" t="s">
        <v>1494</v>
      </c>
      <c r="B824" s="112" t="s">
        <v>1748</v>
      </c>
      <c r="C824" s="112" t="s">
        <v>1706</v>
      </c>
      <c r="D824" s="112">
        <v>80</v>
      </c>
      <c r="E824" s="112" t="s">
        <v>1707</v>
      </c>
      <c r="F824" s="112" t="s">
        <v>440</v>
      </c>
      <c r="G824" s="112">
        <v>-8.3541869652489993</v>
      </c>
      <c r="H824" s="112">
        <v>-6.0250299917516497</v>
      </c>
      <c r="I824" s="112">
        <v>0</v>
      </c>
      <c r="J824" s="112">
        <v>1</v>
      </c>
      <c r="K824" s="112" t="s">
        <v>1749</v>
      </c>
      <c r="L824" s="229">
        <v>1.0117393686751501E-4</v>
      </c>
      <c r="M824" s="229">
        <v>5.5468167142277899E-7</v>
      </c>
      <c r="N824" s="112" t="s">
        <v>1494</v>
      </c>
      <c r="O824" s="112" t="s">
        <v>2583</v>
      </c>
      <c r="P824" s="112" t="s">
        <v>1464</v>
      </c>
      <c r="Q824" s="112" t="s">
        <v>2584</v>
      </c>
    </row>
    <row r="825" spans="1:17">
      <c r="A825" s="112" t="s">
        <v>2585</v>
      </c>
      <c r="B825" s="112" t="s">
        <v>1748</v>
      </c>
      <c r="C825" s="112" t="s">
        <v>1706</v>
      </c>
      <c r="D825" s="112">
        <v>80</v>
      </c>
      <c r="E825" s="112" t="s">
        <v>1707</v>
      </c>
      <c r="F825" s="112" t="s">
        <v>440</v>
      </c>
      <c r="G825" s="112">
        <v>-14.3530441375368</v>
      </c>
      <c r="H825" s="112">
        <v>-9.2216885117243095</v>
      </c>
      <c r="I825" s="112">
        <v>0</v>
      </c>
      <c r="J825" s="112">
        <v>1</v>
      </c>
      <c r="K825" s="112" t="s">
        <v>1749</v>
      </c>
      <c r="L825" s="229">
        <v>1.3464410002417E-4</v>
      </c>
      <c r="M825" s="229">
        <v>8.1199841023348502E-7</v>
      </c>
      <c r="N825" s="112" t="s">
        <v>2585</v>
      </c>
      <c r="O825" s="112" t="s">
        <v>2583</v>
      </c>
      <c r="P825" s="112" t="s">
        <v>1464</v>
      </c>
      <c r="Q825" s="112" t="s">
        <v>2586</v>
      </c>
    </row>
    <row r="826" spans="1:17">
      <c r="A826" s="112" t="s">
        <v>2585</v>
      </c>
      <c r="B826" s="112" t="s">
        <v>1731</v>
      </c>
      <c r="C826" s="112" t="s">
        <v>1706</v>
      </c>
      <c r="D826" s="112">
        <v>30</v>
      </c>
      <c r="E826" s="112" t="s">
        <v>1707</v>
      </c>
      <c r="F826" s="112" t="s">
        <v>1708</v>
      </c>
      <c r="G826" s="112">
        <v>9.4316333557547001</v>
      </c>
      <c r="H826" s="112">
        <v>7.6892242433114104</v>
      </c>
      <c r="I826" s="112">
        <v>1.80956923264882</v>
      </c>
      <c r="J826" s="112" t="s">
        <v>848</v>
      </c>
      <c r="K826" s="112" t="s">
        <v>1732</v>
      </c>
      <c r="L826" s="229">
        <v>2.7118557489148301E-4</v>
      </c>
      <c r="M826" s="229">
        <v>5.8203581256518603E-6</v>
      </c>
      <c r="N826" s="112" t="s">
        <v>2585</v>
      </c>
      <c r="O826" s="112" t="s">
        <v>2583</v>
      </c>
      <c r="P826" s="112" t="s">
        <v>1464</v>
      </c>
      <c r="Q826" s="112" t="s">
        <v>2586</v>
      </c>
    </row>
    <row r="827" spans="1:17">
      <c r="A827" s="112" t="s">
        <v>2585</v>
      </c>
      <c r="B827" s="112" t="s">
        <v>1796</v>
      </c>
      <c r="C827" s="112" t="s">
        <v>1706</v>
      </c>
      <c r="D827" s="112">
        <v>80</v>
      </c>
      <c r="E827" s="112" t="s">
        <v>1707</v>
      </c>
      <c r="F827" s="112" t="s">
        <v>1721</v>
      </c>
      <c r="G827" s="112">
        <v>-13.260501965614701</v>
      </c>
      <c r="H827" s="112">
        <v>-8.9417763770702408</v>
      </c>
      <c r="I827" s="112">
        <v>0</v>
      </c>
      <c r="J827" s="112">
        <v>1</v>
      </c>
      <c r="K827" s="112" t="s">
        <v>1797</v>
      </c>
      <c r="L827" s="229">
        <v>5.0108836376725396E-4</v>
      </c>
      <c r="M827" s="229">
        <v>5.1887848319094304E-6</v>
      </c>
      <c r="N827" s="112" t="s">
        <v>2585</v>
      </c>
      <c r="O827" s="112" t="s">
        <v>2583</v>
      </c>
      <c r="P827" s="112" t="s">
        <v>1464</v>
      </c>
      <c r="Q827" s="112" t="s">
        <v>2586</v>
      </c>
    </row>
    <row r="828" spans="1:17">
      <c r="A828" s="112" t="s">
        <v>1494</v>
      </c>
      <c r="B828" s="112" t="s">
        <v>1762</v>
      </c>
      <c r="C828" s="112" t="s">
        <v>1706</v>
      </c>
      <c r="D828" s="112">
        <v>55</v>
      </c>
      <c r="E828" s="112" t="s">
        <v>1707</v>
      </c>
      <c r="F828" s="112" t="s">
        <v>1708</v>
      </c>
      <c r="G828" s="112">
        <v>3.8221361854218201</v>
      </c>
      <c r="H828" s="112">
        <v>2.93893648796023</v>
      </c>
      <c r="I828" s="112">
        <v>0.73837695913533896</v>
      </c>
      <c r="J828" s="112" t="s">
        <v>848</v>
      </c>
      <c r="K828" s="112" t="s">
        <v>1763</v>
      </c>
      <c r="L828" s="229">
        <v>6.3393207108877097E-4</v>
      </c>
      <c r="M828" s="229">
        <v>6.9547072313574498E-6</v>
      </c>
      <c r="N828" s="112" t="s">
        <v>1494</v>
      </c>
      <c r="O828" s="112" t="s">
        <v>2583</v>
      </c>
      <c r="P828" s="112" t="s">
        <v>1464</v>
      </c>
      <c r="Q828" s="112" t="s">
        <v>2584</v>
      </c>
    </row>
    <row r="829" spans="1:17">
      <c r="A829" s="112" t="s">
        <v>2587</v>
      </c>
      <c r="B829" s="112" t="s">
        <v>1705</v>
      </c>
      <c r="C829" s="112" t="s">
        <v>1706</v>
      </c>
      <c r="D829" s="112">
        <v>80</v>
      </c>
      <c r="E829" s="112" t="s">
        <v>1707</v>
      </c>
      <c r="F829" s="112" t="s">
        <v>1708</v>
      </c>
      <c r="G829" s="112">
        <v>5.6037719080237904</v>
      </c>
      <c r="H829" s="112">
        <v>3.6916287708308602</v>
      </c>
      <c r="I829" s="112">
        <v>2.36254760631433</v>
      </c>
      <c r="J829" s="112" t="s">
        <v>848</v>
      </c>
      <c r="K829" s="112" t="s">
        <v>1709</v>
      </c>
      <c r="L829" s="112">
        <v>1.7844573697263001E-3</v>
      </c>
      <c r="M829" s="229">
        <v>6.8482464846952298E-5</v>
      </c>
      <c r="N829" s="112" t="s">
        <v>2587</v>
      </c>
      <c r="O829" s="112" t="s">
        <v>2583</v>
      </c>
      <c r="P829" s="112" t="s">
        <v>1464</v>
      </c>
      <c r="Q829" s="112" t="s">
        <v>2588</v>
      </c>
    </row>
    <row r="830" spans="1:17">
      <c r="A830" s="112" t="s">
        <v>2585</v>
      </c>
      <c r="B830" s="112" t="s">
        <v>1720</v>
      </c>
      <c r="C830" s="112" t="s">
        <v>1706</v>
      </c>
      <c r="D830" s="112">
        <v>55</v>
      </c>
      <c r="E830" s="112" t="s">
        <v>1707</v>
      </c>
      <c r="F830" s="112" t="s">
        <v>1721</v>
      </c>
      <c r="G830" s="112">
        <v>8.8679428927351207</v>
      </c>
      <c r="H830" s="112">
        <v>4.7354666191397898</v>
      </c>
      <c r="I830" s="112">
        <v>1.12109420368724</v>
      </c>
      <c r="J830" s="112" t="s">
        <v>848</v>
      </c>
      <c r="K830" s="112" t="s">
        <v>1722</v>
      </c>
      <c r="L830" s="112">
        <v>1.9971291093848101E-3</v>
      </c>
      <c r="M830" s="229">
        <v>2.1898345497640499E-5</v>
      </c>
      <c r="N830" s="112" t="s">
        <v>2585</v>
      </c>
      <c r="O830" s="112" t="s">
        <v>2583</v>
      </c>
      <c r="P830" s="112" t="s">
        <v>1464</v>
      </c>
      <c r="Q830" s="112" t="s">
        <v>2586</v>
      </c>
    </row>
    <row r="831" spans="1:17">
      <c r="A831" s="112" t="s">
        <v>1494</v>
      </c>
      <c r="B831" s="112" t="s">
        <v>1796</v>
      </c>
      <c r="C831" s="112" t="s">
        <v>1706</v>
      </c>
      <c r="D831" s="112">
        <v>80</v>
      </c>
      <c r="E831" s="112" t="s">
        <v>1707</v>
      </c>
      <c r="F831" s="112" t="s">
        <v>1721</v>
      </c>
      <c r="G831" s="112">
        <v>-5.7690985204044001</v>
      </c>
      <c r="H831" s="112">
        <v>-3.7036892411659399</v>
      </c>
      <c r="I831" s="112">
        <v>0</v>
      </c>
      <c r="J831" s="112">
        <v>1</v>
      </c>
      <c r="K831" s="112" t="s">
        <v>1797</v>
      </c>
      <c r="L831" s="112">
        <v>3.77055232726781E-3</v>
      </c>
      <c r="M831" s="229">
        <v>6.6932881549132793E-5</v>
      </c>
      <c r="N831" s="112" t="s">
        <v>1494</v>
      </c>
      <c r="O831" s="112" t="s">
        <v>2583</v>
      </c>
      <c r="P831" s="112" t="s">
        <v>1464</v>
      </c>
      <c r="Q831" s="112" t="s">
        <v>2584</v>
      </c>
    </row>
    <row r="832" spans="1:17">
      <c r="A832" s="112" t="s">
        <v>1494</v>
      </c>
      <c r="B832" s="112" t="s">
        <v>1735</v>
      </c>
      <c r="C832" s="112" t="s">
        <v>1706</v>
      </c>
      <c r="D832" s="112">
        <v>30</v>
      </c>
      <c r="E832" s="112" t="s">
        <v>1707</v>
      </c>
      <c r="F832" s="112" t="s">
        <v>440</v>
      </c>
      <c r="G832" s="112">
        <v>4.1232170847155301</v>
      </c>
      <c r="H832" s="112">
        <v>2.7545423196844601</v>
      </c>
      <c r="I832" s="112">
        <v>0.66183960887557602</v>
      </c>
      <c r="J832" s="112" t="s">
        <v>848</v>
      </c>
      <c r="K832" s="112" t="s">
        <v>1736</v>
      </c>
      <c r="L832" s="112">
        <v>4.9336258660848398E-3</v>
      </c>
      <c r="M832" s="229">
        <v>8.9259678498245605E-5</v>
      </c>
      <c r="N832" s="112" t="s">
        <v>1494</v>
      </c>
      <c r="O832" s="112" t="s">
        <v>2583</v>
      </c>
      <c r="P832" s="112" t="s">
        <v>1464</v>
      </c>
      <c r="Q832" s="112" t="s">
        <v>2584</v>
      </c>
    </row>
    <row r="833" spans="1:18">
      <c r="A833" s="112" t="s">
        <v>1494</v>
      </c>
      <c r="B833" s="112" t="s">
        <v>1720</v>
      </c>
      <c r="C833" s="112" t="s">
        <v>1706</v>
      </c>
      <c r="D833" s="112">
        <v>55</v>
      </c>
      <c r="E833" s="112" t="s">
        <v>1707</v>
      </c>
      <c r="F833" s="112" t="s">
        <v>1721</v>
      </c>
      <c r="G833" s="112">
        <v>3.1602179734351399</v>
      </c>
      <c r="H833" s="112">
        <v>2.28731188382574</v>
      </c>
      <c r="I833" s="112">
        <v>-0.31190562300052299</v>
      </c>
      <c r="J833" s="112" t="s">
        <v>848</v>
      </c>
      <c r="K833" s="112" t="s">
        <v>1722</v>
      </c>
      <c r="L833" s="112">
        <v>9.0890339299145098E-3</v>
      </c>
      <c r="M833" s="229">
        <v>2.0430394250356001E-4</v>
      </c>
      <c r="N833" s="112" t="s">
        <v>1494</v>
      </c>
      <c r="O833" s="112" t="s">
        <v>2583</v>
      </c>
      <c r="P833" s="112" t="s">
        <v>1464</v>
      </c>
      <c r="Q833" s="112" t="s">
        <v>2584</v>
      </c>
    </row>
    <row r="834" spans="1:18">
      <c r="A834" s="112" t="s">
        <v>2589</v>
      </c>
      <c r="B834" s="112" t="s">
        <v>1705</v>
      </c>
      <c r="C834" s="112" t="s">
        <v>1706</v>
      </c>
      <c r="D834" s="112">
        <v>80</v>
      </c>
      <c r="E834" s="112" t="s">
        <v>1707</v>
      </c>
      <c r="F834" s="112" t="s">
        <v>1708</v>
      </c>
      <c r="G834" s="112">
        <v>4.3801966067320501</v>
      </c>
      <c r="H834" s="112">
        <v>2.7662634097506702</v>
      </c>
      <c r="I834" s="112">
        <v>2.0189434223734799</v>
      </c>
      <c r="J834" s="112" t="s">
        <v>848</v>
      </c>
      <c r="K834" s="112" t="s">
        <v>1709</v>
      </c>
      <c r="L834" s="112">
        <v>1.20754100080063E-2</v>
      </c>
      <c r="M834" s="229">
        <v>9.6656242388647195E-4</v>
      </c>
      <c r="N834" s="112" t="s">
        <v>2589</v>
      </c>
      <c r="O834" s="112" t="s">
        <v>2583</v>
      </c>
      <c r="P834" s="112" t="s">
        <v>1464</v>
      </c>
      <c r="Q834" s="112" t="s">
        <v>2590</v>
      </c>
    </row>
    <row r="835" spans="1:18">
      <c r="A835" s="112" t="s">
        <v>2591</v>
      </c>
      <c r="B835" s="112" t="s">
        <v>1705</v>
      </c>
      <c r="C835" s="112" t="s">
        <v>1706</v>
      </c>
      <c r="D835" s="112">
        <v>80</v>
      </c>
      <c r="E835" s="112" t="s">
        <v>1707</v>
      </c>
      <c r="F835" s="112" t="s">
        <v>1708</v>
      </c>
      <c r="G835" s="112">
        <v>5.5657587259620804</v>
      </c>
      <c r="H835" s="112">
        <v>2.0930413749858601</v>
      </c>
      <c r="I835" s="112">
        <v>2.5898489840269701</v>
      </c>
      <c r="J835" s="112" t="s">
        <v>848</v>
      </c>
      <c r="K835" s="112" t="s">
        <v>1709</v>
      </c>
      <c r="L835" s="112">
        <v>4.3776600846844503E-2</v>
      </c>
      <c r="M835" s="112">
        <v>6.3120866352632202E-3</v>
      </c>
      <c r="N835" s="112" t="s">
        <v>2591</v>
      </c>
      <c r="O835" s="112" t="s">
        <v>2583</v>
      </c>
      <c r="P835" s="112" t="s">
        <v>1464</v>
      </c>
      <c r="Q835" s="112" t="s">
        <v>2592</v>
      </c>
    </row>
    <row r="836" spans="1:18">
      <c r="A836" s="112" t="s">
        <v>2593</v>
      </c>
      <c r="B836" s="112" t="s">
        <v>1735</v>
      </c>
      <c r="C836" s="112" t="s">
        <v>1706</v>
      </c>
      <c r="D836" s="112">
        <v>30</v>
      </c>
      <c r="E836" s="112" t="s">
        <v>1707</v>
      </c>
      <c r="F836" s="112" t="s">
        <v>440</v>
      </c>
      <c r="G836" s="112">
        <v>2.3657095672899402</v>
      </c>
      <c r="H836" s="112">
        <v>1.87177396869933</v>
      </c>
      <c r="I836" s="112">
        <v>1.8947503040714999</v>
      </c>
      <c r="J836" s="112" t="s">
        <v>848</v>
      </c>
      <c r="K836" s="112" t="s">
        <v>1736</v>
      </c>
      <c r="L836" s="112">
        <v>1.9320325268989798E-2</v>
      </c>
      <c r="M836" s="229">
        <v>4.0250677643728801E-4</v>
      </c>
      <c r="N836" s="112" t="s">
        <v>2593</v>
      </c>
      <c r="O836" s="112" t="s">
        <v>2033</v>
      </c>
      <c r="P836" s="112" t="s">
        <v>2594</v>
      </c>
      <c r="Q836" s="112" t="s">
        <v>2595</v>
      </c>
    </row>
    <row r="837" spans="1:18">
      <c r="A837" s="112" t="s">
        <v>2596</v>
      </c>
      <c r="B837" s="112" t="s">
        <v>1705</v>
      </c>
      <c r="C837" s="112" t="s">
        <v>1706</v>
      </c>
      <c r="D837" s="112">
        <v>80</v>
      </c>
      <c r="E837" s="112" t="s">
        <v>1707</v>
      </c>
      <c r="F837" s="112" t="s">
        <v>1708</v>
      </c>
      <c r="G837" s="112">
        <v>1.63332291460704</v>
      </c>
      <c r="H837" s="112">
        <v>1.3330595947458701</v>
      </c>
      <c r="I837" s="112">
        <v>1.2903384104111399</v>
      </c>
      <c r="J837" s="112" t="s">
        <v>848</v>
      </c>
      <c r="K837" s="112" t="s">
        <v>1709</v>
      </c>
      <c r="L837" s="112">
        <v>2.3410208756051501E-2</v>
      </c>
      <c r="M837" s="112">
        <v>2.55407431055606E-3</v>
      </c>
      <c r="N837" s="112" t="s">
        <v>2596</v>
      </c>
      <c r="O837" s="112" t="s">
        <v>2033</v>
      </c>
      <c r="P837" s="112" t="s">
        <v>2594</v>
      </c>
      <c r="Q837" s="112" t="s">
        <v>2597</v>
      </c>
    </row>
    <row r="838" spans="1:18">
      <c r="A838" s="112" t="s">
        <v>2598</v>
      </c>
      <c r="B838" s="112" t="s">
        <v>1705</v>
      </c>
      <c r="C838" s="112" t="s">
        <v>1706</v>
      </c>
      <c r="D838" s="112">
        <v>80</v>
      </c>
      <c r="E838" s="112" t="s">
        <v>1707</v>
      </c>
      <c r="F838" s="112" t="s">
        <v>1708</v>
      </c>
      <c r="G838" s="112">
        <v>-4.2066265556415896</v>
      </c>
      <c r="H838" s="112">
        <v>-2.4378215306806701</v>
      </c>
      <c r="I838" s="112">
        <v>0</v>
      </c>
      <c r="J838" s="112">
        <v>1</v>
      </c>
      <c r="K838" s="112" t="s">
        <v>1709</v>
      </c>
      <c r="L838" s="112">
        <v>2.3720712331143701E-2</v>
      </c>
      <c r="M838" s="112">
        <v>2.6139600759648501E-3</v>
      </c>
      <c r="N838" s="112" t="s">
        <v>2598</v>
      </c>
      <c r="O838" s="112" t="s">
        <v>2033</v>
      </c>
      <c r="P838" s="112" t="s">
        <v>2594</v>
      </c>
      <c r="Q838" s="112" t="s">
        <v>2599</v>
      </c>
    </row>
    <row r="839" spans="1:18">
      <c r="A839" s="112" t="s">
        <v>2600</v>
      </c>
      <c r="B839" s="112" t="s">
        <v>1705</v>
      </c>
      <c r="C839" s="112" t="s">
        <v>1706</v>
      </c>
      <c r="D839" s="112">
        <v>80</v>
      </c>
      <c r="E839" s="112" t="s">
        <v>1707</v>
      </c>
      <c r="F839" s="112" t="s">
        <v>1708</v>
      </c>
      <c r="G839" s="112">
        <v>1.0252577276530901</v>
      </c>
      <c r="H839" s="112">
        <v>0.86984534158259896</v>
      </c>
      <c r="I839" s="112">
        <v>0.83809787470869401</v>
      </c>
      <c r="J839" s="112" t="s">
        <v>848</v>
      </c>
      <c r="K839" s="112" t="s">
        <v>1709</v>
      </c>
      <c r="L839" s="112">
        <v>2.4854515263161799E-2</v>
      </c>
      <c r="M839" s="112">
        <v>2.8070340702913E-3</v>
      </c>
      <c r="N839" s="112" t="s">
        <v>2600</v>
      </c>
      <c r="O839" s="112" t="s">
        <v>2056</v>
      </c>
      <c r="P839" s="112" t="s">
        <v>2594</v>
      </c>
      <c r="Q839" s="112" t="s">
        <v>2601</v>
      </c>
      <c r="R839" s="112" t="s">
        <v>2602</v>
      </c>
    </row>
    <row r="840" spans="1:18">
      <c r="A840" s="112" t="s">
        <v>2603</v>
      </c>
      <c r="B840" s="112" t="s">
        <v>1731</v>
      </c>
      <c r="C840" s="112" t="s">
        <v>1706</v>
      </c>
      <c r="D840" s="112">
        <v>30</v>
      </c>
      <c r="E840" s="112" t="s">
        <v>1707</v>
      </c>
      <c r="F840" s="112" t="s">
        <v>1708</v>
      </c>
      <c r="G840" s="112">
        <v>3.2967261305750601</v>
      </c>
      <c r="H840" s="112">
        <v>1.69147724635539</v>
      </c>
      <c r="I840" s="112">
        <v>2.0990712290191502</v>
      </c>
      <c r="J840" s="112" t="s">
        <v>848</v>
      </c>
      <c r="K840" s="112" t="s">
        <v>1732</v>
      </c>
      <c r="L840" s="112">
        <v>2.7179573296696301E-2</v>
      </c>
      <c r="M840" s="112">
        <v>2.3333814912902999E-3</v>
      </c>
      <c r="N840" s="112" t="s">
        <v>2603</v>
      </c>
      <c r="O840" s="112" t="s">
        <v>2033</v>
      </c>
      <c r="P840" s="112" t="s">
        <v>2594</v>
      </c>
      <c r="Q840" s="112" t="s">
        <v>2604</v>
      </c>
    </row>
    <row r="841" spans="1:18">
      <c r="A841" s="112" t="s">
        <v>2598</v>
      </c>
      <c r="B841" s="112" t="s">
        <v>1748</v>
      </c>
      <c r="C841" s="112" t="s">
        <v>1706</v>
      </c>
      <c r="D841" s="112">
        <v>80</v>
      </c>
      <c r="E841" s="112" t="s">
        <v>1707</v>
      </c>
      <c r="F841" s="112" t="s">
        <v>440</v>
      </c>
      <c r="G841" s="112">
        <v>-5.73768810385371</v>
      </c>
      <c r="H841" s="112">
        <v>-2.9319212985990601</v>
      </c>
      <c r="I841" s="112">
        <v>0</v>
      </c>
      <c r="J841" s="112">
        <v>1</v>
      </c>
      <c r="K841" s="112" t="s">
        <v>1749</v>
      </c>
      <c r="L841" s="112">
        <v>2.96280671200038E-2</v>
      </c>
      <c r="M841" s="112">
        <v>2.0679782650056201E-3</v>
      </c>
      <c r="N841" s="112" t="s">
        <v>2598</v>
      </c>
      <c r="O841" s="112" t="s">
        <v>2033</v>
      </c>
      <c r="P841" s="112" t="s">
        <v>2594</v>
      </c>
      <c r="Q841" s="112" t="s">
        <v>2599</v>
      </c>
    </row>
    <row r="842" spans="1:18">
      <c r="A842" s="112" t="s">
        <v>2605</v>
      </c>
      <c r="B842" s="112" t="s">
        <v>1705</v>
      </c>
      <c r="C842" s="112" t="s">
        <v>1706</v>
      </c>
      <c r="D842" s="112">
        <v>80</v>
      </c>
      <c r="E842" s="112" t="s">
        <v>1707</v>
      </c>
      <c r="F842" s="112" t="s">
        <v>1708</v>
      </c>
      <c r="G842" s="112">
        <v>-4.0542092679055397</v>
      </c>
      <c r="H842" s="112">
        <v>-2.2683113639870398</v>
      </c>
      <c r="I842" s="112">
        <v>0</v>
      </c>
      <c r="J842" s="112">
        <v>1</v>
      </c>
      <c r="K842" s="112" t="s">
        <v>1709</v>
      </c>
      <c r="L842" s="112">
        <v>3.2291456035593399E-2</v>
      </c>
      <c r="M842" s="112">
        <v>4.0364320044491697E-3</v>
      </c>
      <c r="N842" s="112" t="s">
        <v>2605</v>
      </c>
      <c r="O842" s="112" t="s">
        <v>2033</v>
      </c>
      <c r="P842" s="112" t="s">
        <v>2594</v>
      </c>
      <c r="Q842" s="112" t="s">
        <v>2606</v>
      </c>
    </row>
    <row r="843" spans="1:18">
      <c r="A843" s="112" t="s">
        <v>2598</v>
      </c>
      <c r="B843" s="112" t="s">
        <v>1755</v>
      </c>
      <c r="C843" s="112" t="s">
        <v>1706</v>
      </c>
      <c r="D843" s="112">
        <v>30</v>
      </c>
      <c r="E843" s="112" t="s">
        <v>1707</v>
      </c>
      <c r="F843" s="112" t="s">
        <v>1721</v>
      </c>
      <c r="G843" s="112">
        <v>5.7882638311318804</v>
      </c>
      <c r="H843" s="112">
        <v>2.7508868730093701</v>
      </c>
      <c r="I843" s="112">
        <v>3.1221838626802199</v>
      </c>
      <c r="J843" s="112" t="s">
        <v>848</v>
      </c>
      <c r="K843" s="112" t="s">
        <v>1756</v>
      </c>
      <c r="L843" s="112">
        <v>3.3911884147721401E-2</v>
      </c>
      <c r="M843" s="112">
        <v>2.5609133497881799E-3</v>
      </c>
      <c r="N843" s="112" t="s">
        <v>2598</v>
      </c>
      <c r="O843" s="112" t="s">
        <v>2033</v>
      </c>
      <c r="P843" s="112" t="s">
        <v>2594</v>
      </c>
      <c r="Q843" s="112" t="s">
        <v>2599</v>
      </c>
    </row>
    <row r="844" spans="1:18">
      <c r="A844" s="112" t="s">
        <v>2598</v>
      </c>
      <c r="B844" s="112" t="s">
        <v>1731</v>
      </c>
      <c r="C844" s="112" t="s">
        <v>1706</v>
      </c>
      <c r="D844" s="112">
        <v>30</v>
      </c>
      <c r="E844" s="112" t="s">
        <v>1707</v>
      </c>
      <c r="F844" s="112" t="s">
        <v>1708</v>
      </c>
      <c r="G844" s="112">
        <v>3.1507245297669599</v>
      </c>
      <c r="H844" s="112">
        <v>1.5459749632049</v>
      </c>
      <c r="I844" s="112">
        <v>0.95261571744507501</v>
      </c>
      <c r="J844" s="112" t="s">
        <v>848</v>
      </c>
      <c r="K844" s="112" t="s">
        <v>1732</v>
      </c>
      <c r="L844" s="112">
        <v>3.8238373701373202E-2</v>
      </c>
      <c r="M844" s="112">
        <v>3.6171434582380098E-3</v>
      </c>
      <c r="N844" s="112" t="s">
        <v>2598</v>
      </c>
      <c r="O844" s="112" t="s">
        <v>2033</v>
      </c>
      <c r="P844" s="112" t="s">
        <v>2594</v>
      </c>
      <c r="Q844" s="112" t="s">
        <v>2599</v>
      </c>
    </row>
    <row r="845" spans="1:18">
      <c r="A845" s="112" t="s">
        <v>2607</v>
      </c>
      <c r="B845" s="112" t="s">
        <v>1755</v>
      </c>
      <c r="C845" s="112" t="s">
        <v>1706</v>
      </c>
      <c r="D845" s="112">
        <v>30</v>
      </c>
      <c r="E845" s="112" t="s">
        <v>1707</v>
      </c>
      <c r="F845" s="112" t="s">
        <v>1721</v>
      </c>
      <c r="G845" s="112">
        <v>-5.8336720345575701</v>
      </c>
      <c r="H845" s="112">
        <v>-2.4323952175317598</v>
      </c>
      <c r="I845" s="112">
        <v>-7.3865635184291296</v>
      </c>
      <c r="J845" s="112" t="s">
        <v>848</v>
      </c>
      <c r="K845" s="112" t="s">
        <v>1756</v>
      </c>
      <c r="L845" s="112">
        <v>4.9840128652188197E-2</v>
      </c>
      <c r="M845" s="112">
        <v>4.83346239711205E-3</v>
      </c>
      <c r="N845" s="112" t="s">
        <v>2607</v>
      </c>
      <c r="O845" s="112" t="s">
        <v>2033</v>
      </c>
      <c r="P845" s="112" t="s">
        <v>2594</v>
      </c>
      <c r="Q845" s="112" t="s">
        <v>2608</v>
      </c>
      <c r="R845" s="112" t="s">
        <v>2609</v>
      </c>
    </row>
    <row r="846" spans="1:18">
      <c r="A846" s="112" t="s">
        <v>2610</v>
      </c>
      <c r="B846" s="112" t="s">
        <v>1735</v>
      </c>
      <c r="C846" s="112" t="s">
        <v>1706</v>
      </c>
      <c r="D846" s="112">
        <v>30</v>
      </c>
      <c r="E846" s="112" t="s">
        <v>1707</v>
      </c>
      <c r="F846" s="112" t="s">
        <v>440</v>
      </c>
      <c r="G846" s="112">
        <v>5.6435286566338396</v>
      </c>
      <c r="H846" s="112">
        <v>4.8848694445088903</v>
      </c>
      <c r="I846" s="112">
        <v>3.1322443481179798</v>
      </c>
      <c r="J846" s="112" t="s">
        <v>848</v>
      </c>
      <c r="K846" s="112" t="s">
        <v>1736</v>
      </c>
      <c r="L846" s="229">
        <v>3.8281949664133101E-10</v>
      </c>
      <c r="M846" s="229">
        <v>4.1975822000146E-13</v>
      </c>
      <c r="N846" s="112" t="s">
        <v>2610</v>
      </c>
      <c r="O846" s="112" t="s">
        <v>2033</v>
      </c>
      <c r="P846" s="112" t="s">
        <v>2611</v>
      </c>
      <c r="Q846" s="112" t="s">
        <v>2612</v>
      </c>
    </row>
    <row r="847" spans="1:18">
      <c r="A847" s="112" t="s">
        <v>2613</v>
      </c>
      <c r="B847" s="112" t="s">
        <v>1735</v>
      </c>
      <c r="C847" s="112" t="s">
        <v>1706</v>
      </c>
      <c r="D847" s="112">
        <v>30</v>
      </c>
      <c r="E847" s="112" t="s">
        <v>1707</v>
      </c>
      <c r="F847" s="112" t="s">
        <v>440</v>
      </c>
      <c r="G847" s="112">
        <v>5.2961803594268604</v>
      </c>
      <c r="H847" s="112">
        <v>4.4206458483387401</v>
      </c>
      <c r="I847" s="112">
        <v>1.82591048308715</v>
      </c>
      <c r="J847" s="112" t="s">
        <v>848</v>
      </c>
      <c r="K847" s="112" t="s">
        <v>1736</v>
      </c>
      <c r="L847" s="229">
        <v>3.2038329469074301E-8</v>
      </c>
      <c r="M847" s="229">
        <v>5.2694620837293302E-11</v>
      </c>
      <c r="N847" s="112" t="s">
        <v>2613</v>
      </c>
      <c r="O847" s="112" t="s">
        <v>2033</v>
      </c>
      <c r="P847" s="112" t="s">
        <v>2611</v>
      </c>
      <c r="Q847" s="112" t="s">
        <v>2614</v>
      </c>
      <c r="R847" s="112" t="s">
        <v>2615</v>
      </c>
    </row>
    <row r="848" spans="1:18">
      <c r="A848" s="112" t="s">
        <v>2613</v>
      </c>
      <c r="B848" s="112" t="s">
        <v>1762</v>
      </c>
      <c r="C848" s="112" t="s">
        <v>1706</v>
      </c>
      <c r="D848" s="112">
        <v>55</v>
      </c>
      <c r="E848" s="112" t="s">
        <v>1707</v>
      </c>
      <c r="F848" s="112" t="s">
        <v>1708</v>
      </c>
      <c r="G848" s="112">
        <v>4.1405720334686302</v>
      </c>
      <c r="H848" s="112">
        <v>3.5372518108085398</v>
      </c>
      <c r="I848" s="112">
        <v>1.33141399298545</v>
      </c>
      <c r="J848" s="112" t="s">
        <v>848</v>
      </c>
      <c r="K848" s="112" t="s">
        <v>1763</v>
      </c>
      <c r="L848" s="229">
        <v>4.9617251555058798E-7</v>
      </c>
      <c r="M848" s="229">
        <v>6.4437989032543801E-10</v>
      </c>
      <c r="N848" s="112" t="s">
        <v>2613</v>
      </c>
      <c r="O848" s="112" t="s">
        <v>2033</v>
      </c>
      <c r="P848" s="112" t="s">
        <v>2611</v>
      </c>
      <c r="Q848" s="112" t="s">
        <v>2614</v>
      </c>
      <c r="R848" s="112" t="s">
        <v>2615</v>
      </c>
    </row>
    <row r="849" spans="1:18">
      <c r="A849" s="112" t="s">
        <v>2616</v>
      </c>
      <c r="B849" s="112" t="s">
        <v>1735</v>
      </c>
      <c r="C849" s="112" t="s">
        <v>1706</v>
      </c>
      <c r="D849" s="112">
        <v>30</v>
      </c>
      <c r="E849" s="112" t="s">
        <v>1707</v>
      </c>
      <c r="F849" s="112" t="s">
        <v>440</v>
      </c>
      <c r="G849" s="112">
        <v>-15.013796484925701</v>
      </c>
      <c r="H849" s="112">
        <v>-13.6006741513793</v>
      </c>
      <c r="I849" s="112">
        <v>0</v>
      </c>
      <c r="J849" s="112">
        <v>1</v>
      </c>
      <c r="K849" s="112" t="s">
        <v>1736</v>
      </c>
      <c r="L849" s="229">
        <v>1.3333145862783299E-4</v>
      </c>
      <c r="M849" s="229">
        <v>8.0047913862666295E-7</v>
      </c>
      <c r="N849" s="112" t="s">
        <v>2616</v>
      </c>
      <c r="O849" s="112" t="s">
        <v>2056</v>
      </c>
      <c r="P849" s="112" t="s">
        <v>2611</v>
      </c>
      <c r="Q849" s="112" t="s">
        <v>2617</v>
      </c>
    </row>
    <row r="850" spans="1:18">
      <c r="A850" s="112" t="s">
        <v>2613</v>
      </c>
      <c r="B850" s="112" t="s">
        <v>1705</v>
      </c>
      <c r="C850" s="112" t="s">
        <v>1706</v>
      </c>
      <c r="D850" s="112">
        <v>80</v>
      </c>
      <c r="E850" s="112" t="s">
        <v>1707</v>
      </c>
      <c r="F850" s="112" t="s">
        <v>1708</v>
      </c>
      <c r="G850" s="112">
        <v>-5.2158509216397704</v>
      </c>
      <c r="H850" s="112">
        <v>-3.99298207315422</v>
      </c>
      <c r="I850" s="112">
        <v>0</v>
      </c>
      <c r="J850" s="112">
        <v>1</v>
      </c>
      <c r="K850" s="112" t="s">
        <v>1709</v>
      </c>
      <c r="L850" s="229">
        <v>1.5736448964375499E-4</v>
      </c>
      <c r="M850" s="229">
        <v>2.6745061288138299E-6</v>
      </c>
      <c r="N850" s="112" t="s">
        <v>2613</v>
      </c>
      <c r="O850" s="112" t="s">
        <v>2033</v>
      </c>
      <c r="P850" s="112" t="s">
        <v>2611</v>
      </c>
      <c r="Q850" s="112" t="s">
        <v>2614</v>
      </c>
      <c r="R850" s="112" t="s">
        <v>2615</v>
      </c>
    </row>
    <row r="851" spans="1:18">
      <c r="A851" s="112" t="s">
        <v>2613</v>
      </c>
      <c r="B851" s="112" t="s">
        <v>1743</v>
      </c>
      <c r="C851" s="112" t="s">
        <v>1706</v>
      </c>
      <c r="D851" s="112">
        <v>55</v>
      </c>
      <c r="E851" s="112" t="s">
        <v>1707</v>
      </c>
      <c r="F851" s="112" t="s">
        <v>440</v>
      </c>
      <c r="G851" s="112">
        <v>3.7949992320978598</v>
      </c>
      <c r="H851" s="112">
        <v>3.0787344671557202</v>
      </c>
      <c r="I851" s="112">
        <v>0.67327928985708296</v>
      </c>
      <c r="J851" s="112" t="s">
        <v>848</v>
      </c>
      <c r="K851" s="112" t="s">
        <v>1744</v>
      </c>
      <c r="L851" s="229">
        <v>1.8660518360933301E-4</v>
      </c>
      <c r="M851" s="229">
        <v>2.4502408352296699E-6</v>
      </c>
      <c r="N851" s="112" t="s">
        <v>2613</v>
      </c>
      <c r="O851" s="112" t="s">
        <v>2033</v>
      </c>
      <c r="P851" s="112" t="s">
        <v>2611</v>
      </c>
      <c r="Q851" s="112" t="s">
        <v>2614</v>
      </c>
      <c r="R851" s="112" t="s">
        <v>2615</v>
      </c>
    </row>
    <row r="852" spans="1:18">
      <c r="A852" s="112" t="s">
        <v>2616</v>
      </c>
      <c r="B852" s="112" t="s">
        <v>1755</v>
      </c>
      <c r="C852" s="112" t="s">
        <v>1706</v>
      </c>
      <c r="D852" s="112">
        <v>30</v>
      </c>
      <c r="E852" s="112" t="s">
        <v>1707</v>
      </c>
      <c r="F852" s="112" t="s">
        <v>1721</v>
      </c>
      <c r="G852" s="112">
        <v>-21.196648464971201</v>
      </c>
      <c r="H852" s="112">
        <v>-17.5057567594455</v>
      </c>
      <c r="I852" s="112">
        <v>0</v>
      </c>
      <c r="J852" s="112">
        <v>1</v>
      </c>
      <c r="K852" s="112" t="s">
        <v>1756</v>
      </c>
      <c r="L852" s="229">
        <v>2.4115950641318999E-4</v>
      </c>
      <c r="M852" s="229">
        <v>1.72530648467306E-6</v>
      </c>
      <c r="N852" s="112" t="s">
        <v>2616</v>
      </c>
      <c r="O852" s="112" t="s">
        <v>2056</v>
      </c>
      <c r="P852" s="112" t="s">
        <v>2611</v>
      </c>
      <c r="Q852" s="112" t="s">
        <v>2617</v>
      </c>
    </row>
    <row r="853" spans="1:18">
      <c r="A853" s="112" t="s">
        <v>2618</v>
      </c>
      <c r="B853" s="112" t="s">
        <v>1731</v>
      </c>
      <c r="C853" s="112" t="s">
        <v>1706</v>
      </c>
      <c r="D853" s="112">
        <v>30</v>
      </c>
      <c r="E853" s="112" t="s">
        <v>1707</v>
      </c>
      <c r="F853" s="112" t="s">
        <v>1708</v>
      </c>
      <c r="G853" s="112">
        <v>4.6574562863537601</v>
      </c>
      <c r="H853" s="112">
        <v>3.4613962497759001</v>
      </c>
      <c r="I853" s="112">
        <v>2.4780042225538299</v>
      </c>
      <c r="J853" s="112" t="s">
        <v>848</v>
      </c>
      <c r="K853" s="112" t="s">
        <v>1732</v>
      </c>
      <c r="L853" s="229">
        <v>2.7873006189761798E-4</v>
      </c>
      <c r="M853" s="229">
        <v>6.5835594770812603E-6</v>
      </c>
      <c r="N853" s="112" t="s">
        <v>2618</v>
      </c>
      <c r="O853" s="112" t="s">
        <v>2033</v>
      </c>
      <c r="P853" s="112" t="s">
        <v>2611</v>
      </c>
      <c r="Q853" s="112" t="s">
        <v>2619</v>
      </c>
    </row>
    <row r="854" spans="1:18">
      <c r="A854" s="112" t="s">
        <v>2613</v>
      </c>
      <c r="B854" s="112" t="s">
        <v>1748</v>
      </c>
      <c r="C854" s="112" t="s">
        <v>1706</v>
      </c>
      <c r="D854" s="112">
        <v>80</v>
      </c>
      <c r="E854" s="112" t="s">
        <v>1707</v>
      </c>
      <c r="F854" s="112" t="s">
        <v>440</v>
      </c>
      <c r="G854" s="112">
        <v>-6.6279499326628804</v>
      </c>
      <c r="H854" s="112">
        <v>-4.7655933238772201</v>
      </c>
      <c r="I854" s="112">
        <v>0</v>
      </c>
      <c r="J854" s="112">
        <v>1</v>
      </c>
      <c r="K854" s="112" t="s">
        <v>1749</v>
      </c>
      <c r="L854" s="112">
        <v>1.00673981636797E-3</v>
      </c>
      <c r="M854" s="229">
        <v>1.37985172199557E-5</v>
      </c>
      <c r="N854" s="112" t="s">
        <v>2613</v>
      </c>
      <c r="O854" s="112" t="s">
        <v>2033</v>
      </c>
      <c r="P854" s="112" t="s">
        <v>2611</v>
      </c>
      <c r="Q854" s="112" t="s">
        <v>2614</v>
      </c>
      <c r="R854" s="112" t="s">
        <v>2615</v>
      </c>
    </row>
    <row r="855" spans="1:18">
      <c r="A855" s="112" t="s">
        <v>2613</v>
      </c>
      <c r="B855" s="112" t="s">
        <v>1720</v>
      </c>
      <c r="C855" s="112" t="s">
        <v>1706</v>
      </c>
      <c r="D855" s="112">
        <v>55</v>
      </c>
      <c r="E855" s="112" t="s">
        <v>1707</v>
      </c>
      <c r="F855" s="112" t="s">
        <v>1721</v>
      </c>
      <c r="G855" s="112">
        <v>2.9472168776442098</v>
      </c>
      <c r="H855" s="112">
        <v>2.4277533429745799</v>
      </c>
      <c r="I855" s="112">
        <v>-0.47480153307518103</v>
      </c>
      <c r="J855" s="112" t="s">
        <v>848</v>
      </c>
      <c r="K855" s="112" t="s">
        <v>1722</v>
      </c>
      <c r="L855" s="112">
        <v>1.41678962204449E-3</v>
      </c>
      <c r="M855" s="229">
        <v>1.4600960242539701E-5</v>
      </c>
      <c r="N855" s="112" t="s">
        <v>2613</v>
      </c>
      <c r="O855" s="112" t="s">
        <v>2033</v>
      </c>
      <c r="P855" s="112" t="s">
        <v>2611</v>
      </c>
      <c r="Q855" s="112" t="s">
        <v>2614</v>
      </c>
      <c r="R855" s="112" t="s">
        <v>2615</v>
      </c>
    </row>
    <row r="856" spans="1:18">
      <c r="A856" s="112" t="s">
        <v>2620</v>
      </c>
      <c r="B856" s="112" t="s">
        <v>1735</v>
      </c>
      <c r="C856" s="112" t="s">
        <v>1706</v>
      </c>
      <c r="D856" s="112">
        <v>30</v>
      </c>
      <c r="E856" s="112" t="s">
        <v>1707</v>
      </c>
      <c r="F856" s="112" t="s">
        <v>440</v>
      </c>
      <c r="G856" s="112">
        <v>2.3624849504436201</v>
      </c>
      <c r="H856" s="112">
        <v>2.0593623366610601</v>
      </c>
      <c r="I856" s="112">
        <v>1.71318573297419</v>
      </c>
      <c r="J856" s="112" t="s">
        <v>848</v>
      </c>
      <c r="K856" s="112" t="s">
        <v>1736</v>
      </c>
      <c r="L856" s="112">
        <v>1.71340752817465E-3</v>
      </c>
      <c r="M856" s="229">
        <v>2.5362940384164201E-5</v>
      </c>
      <c r="N856" s="112" t="s">
        <v>2620</v>
      </c>
      <c r="O856" s="112" t="s">
        <v>2033</v>
      </c>
      <c r="P856" s="112" t="s">
        <v>2611</v>
      </c>
      <c r="Q856" s="112" t="s">
        <v>2621</v>
      </c>
    </row>
    <row r="857" spans="1:18">
      <c r="A857" s="112" t="s">
        <v>2622</v>
      </c>
      <c r="B857" s="112" t="s">
        <v>1705</v>
      </c>
      <c r="C857" s="112" t="s">
        <v>1706</v>
      </c>
      <c r="D857" s="112">
        <v>80</v>
      </c>
      <c r="E857" s="112" t="s">
        <v>1707</v>
      </c>
      <c r="F857" s="112" t="s">
        <v>1708</v>
      </c>
      <c r="G857" s="112">
        <v>2.0839794704745702</v>
      </c>
      <c r="H857" s="112">
        <v>1.8455623296313599</v>
      </c>
      <c r="I857" s="112">
        <v>1.42762416065884</v>
      </c>
      <c r="J857" s="112" t="s">
        <v>848</v>
      </c>
      <c r="K857" s="112" t="s">
        <v>1709</v>
      </c>
      <c r="L857" s="112">
        <v>2.51900442769162E-3</v>
      </c>
      <c r="M857" s="229">
        <v>1.0772058407891799E-4</v>
      </c>
      <c r="N857" s="112" t="s">
        <v>2622</v>
      </c>
      <c r="O857" s="112" t="s">
        <v>2033</v>
      </c>
      <c r="P857" s="112" t="s">
        <v>2611</v>
      </c>
      <c r="Q857" s="112" t="s">
        <v>2623</v>
      </c>
      <c r="R857" s="112" t="s">
        <v>2624</v>
      </c>
    </row>
    <row r="858" spans="1:18">
      <c r="A858" s="112" t="s">
        <v>2622</v>
      </c>
      <c r="B858" s="112" t="s">
        <v>1755</v>
      </c>
      <c r="C858" s="112" t="s">
        <v>1706</v>
      </c>
      <c r="D858" s="112">
        <v>30</v>
      </c>
      <c r="E858" s="112" t="s">
        <v>1707</v>
      </c>
      <c r="F858" s="112" t="s">
        <v>1721</v>
      </c>
      <c r="G858" s="112">
        <v>-4.9466256288866797</v>
      </c>
      <c r="H858" s="112">
        <v>-3.67621008216289</v>
      </c>
      <c r="I858" s="112">
        <v>-5.8840249244314196</v>
      </c>
      <c r="J858" s="112" t="s">
        <v>848</v>
      </c>
      <c r="K858" s="112" t="s">
        <v>1756</v>
      </c>
      <c r="L858" s="112">
        <v>2.7504142286011702E-3</v>
      </c>
      <c r="M858" s="229">
        <v>5.9031147990645201E-5</v>
      </c>
      <c r="N858" s="112" t="s">
        <v>2622</v>
      </c>
      <c r="O858" s="112" t="s">
        <v>2033</v>
      </c>
      <c r="P858" s="112" t="s">
        <v>2611</v>
      </c>
      <c r="Q858" s="112" t="s">
        <v>2623</v>
      </c>
      <c r="R858" s="112" t="s">
        <v>2624</v>
      </c>
    </row>
    <row r="859" spans="1:18">
      <c r="A859" s="112" t="s">
        <v>2625</v>
      </c>
      <c r="B859" s="112" t="s">
        <v>1731</v>
      </c>
      <c r="C859" s="112" t="s">
        <v>1706</v>
      </c>
      <c r="D859" s="112">
        <v>30</v>
      </c>
      <c r="E859" s="112" t="s">
        <v>1707</v>
      </c>
      <c r="F859" s="112" t="s">
        <v>1708</v>
      </c>
      <c r="G859" s="112">
        <v>2.0199781354634299</v>
      </c>
      <c r="H859" s="112">
        <v>1.54728328783472</v>
      </c>
      <c r="I859" s="112">
        <v>1.5361011221299901</v>
      </c>
      <c r="J859" s="112" t="s">
        <v>848</v>
      </c>
      <c r="K859" s="112" t="s">
        <v>1732</v>
      </c>
      <c r="L859" s="112">
        <v>5.0837983206725099E-3</v>
      </c>
      <c r="M859" s="229">
        <v>2.26305807597504E-4</v>
      </c>
      <c r="N859" s="112" t="s">
        <v>2625</v>
      </c>
      <c r="O859" s="112" t="s">
        <v>2033</v>
      </c>
      <c r="P859" s="112" t="s">
        <v>2611</v>
      </c>
      <c r="Q859" s="112" t="s">
        <v>2626</v>
      </c>
    </row>
    <row r="860" spans="1:18">
      <c r="A860" s="112" t="s">
        <v>2627</v>
      </c>
      <c r="B860" s="112" t="s">
        <v>1731</v>
      </c>
      <c r="C860" s="112" t="s">
        <v>1706</v>
      </c>
      <c r="D860" s="112">
        <v>30</v>
      </c>
      <c r="E860" s="112" t="s">
        <v>1707</v>
      </c>
      <c r="F860" s="112" t="s">
        <v>1708</v>
      </c>
      <c r="G860" s="112">
        <v>-4.2864761116957197</v>
      </c>
      <c r="H860" s="112">
        <v>-2.5332704117834299</v>
      </c>
      <c r="I860" s="112">
        <v>-6.80803275970929</v>
      </c>
      <c r="J860" s="112" t="s">
        <v>848</v>
      </c>
      <c r="K860" s="112" t="s">
        <v>1732</v>
      </c>
      <c r="L860" s="112">
        <v>5.5315166133228797E-3</v>
      </c>
      <c r="M860" s="229">
        <v>2.6822139380977398E-4</v>
      </c>
      <c r="N860" s="112" t="s">
        <v>2627</v>
      </c>
      <c r="O860" s="112" t="s">
        <v>2033</v>
      </c>
      <c r="P860" s="112" t="s">
        <v>2611</v>
      </c>
      <c r="Q860" s="112" t="s">
        <v>2628</v>
      </c>
      <c r="R860" s="112" t="s">
        <v>2629</v>
      </c>
    </row>
    <row r="861" spans="1:18">
      <c r="A861" s="112" t="s">
        <v>2630</v>
      </c>
      <c r="B861" s="112" t="s">
        <v>1735</v>
      </c>
      <c r="C861" s="112" t="s">
        <v>1706</v>
      </c>
      <c r="D861" s="112">
        <v>30</v>
      </c>
      <c r="E861" s="112" t="s">
        <v>1707</v>
      </c>
      <c r="F861" s="112" t="s">
        <v>440</v>
      </c>
      <c r="G861" s="112">
        <v>3.23842238240865</v>
      </c>
      <c r="H861" s="112">
        <v>2.4371878939454601</v>
      </c>
      <c r="I861" s="112">
        <v>2.4300131422971498</v>
      </c>
      <c r="J861" s="112" t="s">
        <v>848</v>
      </c>
      <c r="K861" s="112" t="s">
        <v>1736</v>
      </c>
      <c r="L861" s="112">
        <v>5.6965555024281597E-3</v>
      </c>
      <c r="M861" s="229">
        <v>1.06185793356665E-4</v>
      </c>
      <c r="N861" s="112" t="s">
        <v>2630</v>
      </c>
      <c r="O861" s="112" t="s">
        <v>2033</v>
      </c>
      <c r="P861" s="112" t="s">
        <v>2611</v>
      </c>
      <c r="Q861" s="112" t="s">
        <v>2631</v>
      </c>
    </row>
    <row r="862" spans="1:18">
      <c r="A862" s="112" t="s">
        <v>2620</v>
      </c>
      <c r="B862" s="112" t="s">
        <v>1755</v>
      </c>
      <c r="C862" s="112" t="s">
        <v>1706</v>
      </c>
      <c r="D862" s="112">
        <v>30</v>
      </c>
      <c r="E862" s="112" t="s">
        <v>1707</v>
      </c>
      <c r="F862" s="112" t="s">
        <v>1721</v>
      </c>
      <c r="G862" s="112">
        <v>2.7113393284943101</v>
      </c>
      <c r="H862" s="112">
        <v>2.08979267711634</v>
      </c>
      <c r="I862" s="112">
        <v>1.6795266648062701</v>
      </c>
      <c r="J862" s="112" t="s">
        <v>848</v>
      </c>
      <c r="K862" s="112" t="s">
        <v>1756</v>
      </c>
      <c r="L862" s="112">
        <v>8.2074101885959792E-3</v>
      </c>
      <c r="M862" s="229">
        <v>3.1180022794299899E-4</v>
      </c>
      <c r="N862" s="112" t="s">
        <v>2620</v>
      </c>
      <c r="O862" s="112" t="s">
        <v>2033</v>
      </c>
      <c r="P862" s="112" t="s">
        <v>2611</v>
      </c>
      <c r="Q862" s="112" t="s">
        <v>2621</v>
      </c>
    </row>
    <row r="863" spans="1:18">
      <c r="A863" s="112" t="s">
        <v>2632</v>
      </c>
      <c r="B863" s="112" t="s">
        <v>1731</v>
      </c>
      <c r="C863" s="112" t="s">
        <v>1706</v>
      </c>
      <c r="D863" s="112">
        <v>30</v>
      </c>
      <c r="E863" s="112" t="s">
        <v>1707</v>
      </c>
      <c r="F863" s="112" t="s">
        <v>1708</v>
      </c>
      <c r="G863" s="112">
        <v>-3.07416906023444</v>
      </c>
      <c r="H863" s="112">
        <v>-1.8753774244794399</v>
      </c>
      <c r="I863" s="112">
        <v>-3.8640906093318699</v>
      </c>
      <c r="J863" s="112" t="s">
        <v>848</v>
      </c>
      <c r="K863" s="112" t="s">
        <v>1732</v>
      </c>
      <c r="L863" s="112">
        <v>1.24581392581368E-2</v>
      </c>
      <c r="M863" s="229">
        <v>8.81378691553404E-4</v>
      </c>
      <c r="N863" s="112" t="s">
        <v>2632</v>
      </c>
      <c r="O863" s="112" t="s">
        <v>2033</v>
      </c>
      <c r="P863" s="112" t="s">
        <v>2611</v>
      </c>
      <c r="Q863" s="112" t="s">
        <v>2633</v>
      </c>
    </row>
    <row r="864" spans="1:18">
      <c r="A864" s="112" t="s">
        <v>2613</v>
      </c>
      <c r="B864" s="112" t="s">
        <v>1755</v>
      </c>
      <c r="C864" s="112" t="s">
        <v>1706</v>
      </c>
      <c r="D864" s="112">
        <v>30</v>
      </c>
      <c r="E864" s="112" t="s">
        <v>1707</v>
      </c>
      <c r="F864" s="112" t="s">
        <v>1721</v>
      </c>
      <c r="G864" s="112">
        <v>-7.5361543677801004</v>
      </c>
      <c r="H864" s="112">
        <v>-3.5753540381502198</v>
      </c>
      <c r="I864" s="112">
        <v>0</v>
      </c>
      <c r="J864" s="112">
        <v>1</v>
      </c>
      <c r="K864" s="112" t="s">
        <v>1756</v>
      </c>
      <c r="L864" s="112">
        <v>1.57577286346775E-2</v>
      </c>
      <c r="M864" s="229">
        <v>7.8913903337415295E-4</v>
      </c>
      <c r="N864" s="112" t="s">
        <v>2613</v>
      </c>
      <c r="O864" s="112" t="s">
        <v>2033</v>
      </c>
      <c r="P864" s="112" t="s">
        <v>2611</v>
      </c>
      <c r="Q864" s="112" t="s">
        <v>2614</v>
      </c>
      <c r="R864" s="112" t="s">
        <v>2615</v>
      </c>
    </row>
    <row r="865" spans="1:18">
      <c r="A865" s="112" t="s">
        <v>2634</v>
      </c>
      <c r="B865" s="112" t="s">
        <v>1705</v>
      </c>
      <c r="C865" s="112" t="s">
        <v>1706</v>
      </c>
      <c r="D865" s="112">
        <v>80</v>
      </c>
      <c r="E865" s="112" t="s">
        <v>1707</v>
      </c>
      <c r="F865" s="112" t="s">
        <v>1708</v>
      </c>
      <c r="G865" s="112">
        <v>-2.5031585133206402</v>
      </c>
      <c r="H865" s="112">
        <v>-1.8866162131069899</v>
      </c>
      <c r="I865" s="112">
        <v>-3.7352183835674202</v>
      </c>
      <c r="J865" s="112" t="s">
        <v>848</v>
      </c>
      <c r="K865" s="112" t="s">
        <v>1709</v>
      </c>
      <c r="L865" s="112">
        <v>2.32006471037919E-2</v>
      </c>
      <c r="M865" s="112">
        <v>2.5132314993593099E-3</v>
      </c>
      <c r="N865" s="112" t="s">
        <v>2634</v>
      </c>
      <c r="O865" s="112" t="s">
        <v>2033</v>
      </c>
      <c r="P865" s="112" t="s">
        <v>2611</v>
      </c>
      <c r="Q865" s="112" t="s">
        <v>2635</v>
      </c>
    </row>
    <row r="866" spans="1:18">
      <c r="A866" s="112" t="s">
        <v>2610</v>
      </c>
      <c r="B866" s="112" t="s">
        <v>1755</v>
      </c>
      <c r="C866" s="112" t="s">
        <v>1706</v>
      </c>
      <c r="D866" s="112">
        <v>30</v>
      </c>
      <c r="E866" s="112" t="s">
        <v>1707</v>
      </c>
      <c r="F866" s="112" t="s">
        <v>1721</v>
      </c>
      <c r="G866" s="112">
        <v>-7.08366000504508</v>
      </c>
      <c r="H866" s="112">
        <v>-3.1543898364488698</v>
      </c>
      <c r="I866" s="112">
        <v>0</v>
      </c>
      <c r="J866" s="112">
        <v>1</v>
      </c>
      <c r="K866" s="112" t="s">
        <v>1756</v>
      </c>
      <c r="L866" s="112">
        <v>2.40690085235362E-2</v>
      </c>
      <c r="M866" s="112">
        <v>1.4923550594879301E-3</v>
      </c>
      <c r="N866" s="112" t="s">
        <v>2610</v>
      </c>
      <c r="O866" s="112" t="s">
        <v>2033</v>
      </c>
      <c r="P866" s="112" t="s">
        <v>2611</v>
      </c>
      <c r="Q866" s="112" t="s">
        <v>2636</v>
      </c>
    </row>
    <row r="867" spans="1:18">
      <c r="A867" s="112" t="s">
        <v>2613</v>
      </c>
      <c r="B867" s="112" t="s">
        <v>1796</v>
      </c>
      <c r="C867" s="112" t="s">
        <v>1706</v>
      </c>
      <c r="D867" s="112">
        <v>80</v>
      </c>
      <c r="E867" s="112" t="s">
        <v>1707</v>
      </c>
      <c r="F867" s="112" t="s">
        <v>1721</v>
      </c>
      <c r="G867" s="112">
        <v>-4.2344022105199297</v>
      </c>
      <c r="H867" s="112">
        <v>-2.4521341563454202</v>
      </c>
      <c r="I867" s="112">
        <v>0</v>
      </c>
      <c r="J867" s="112">
        <v>1</v>
      </c>
      <c r="K867" s="112" t="s">
        <v>1797</v>
      </c>
      <c r="L867" s="112">
        <v>2.4455794360203301E-2</v>
      </c>
      <c r="M867" s="112">
        <v>1.04913910716848E-3</v>
      </c>
      <c r="N867" s="112" t="s">
        <v>2613</v>
      </c>
      <c r="O867" s="112" t="s">
        <v>2033</v>
      </c>
      <c r="P867" s="112" t="s">
        <v>2611</v>
      </c>
      <c r="Q867" s="112" t="s">
        <v>2614</v>
      </c>
      <c r="R867" s="112" t="s">
        <v>2615</v>
      </c>
    </row>
    <row r="868" spans="1:18">
      <c r="A868" s="112" t="s">
        <v>2627</v>
      </c>
      <c r="B868" s="112" t="s">
        <v>1755</v>
      </c>
      <c r="C868" s="112" t="s">
        <v>1706</v>
      </c>
      <c r="D868" s="112">
        <v>30</v>
      </c>
      <c r="E868" s="112" t="s">
        <v>1707</v>
      </c>
      <c r="F868" s="112" t="s">
        <v>1721</v>
      </c>
      <c r="G868" s="112">
        <v>-7.6784714708755004</v>
      </c>
      <c r="H868" s="112">
        <v>-3.03171839266354</v>
      </c>
      <c r="I868" s="112">
        <v>0</v>
      </c>
      <c r="J868" s="112">
        <v>1</v>
      </c>
      <c r="K868" s="112" t="s">
        <v>1756</v>
      </c>
      <c r="L868" s="112">
        <v>2.7324526304767099E-2</v>
      </c>
      <c r="M868" s="112">
        <v>1.8723230856156801E-3</v>
      </c>
      <c r="N868" s="112" t="s">
        <v>2627</v>
      </c>
      <c r="O868" s="112" t="s">
        <v>2033</v>
      </c>
      <c r="P868" s="112" t="s">
        <v>2611</v>
      </c>
      <c r="Q868" s="112" t="s">
        <v>2628</v>
      </c>
      <c r="R868" s="112" t="s">
        <v>2629</v>
      </c>
    </row>
    <row r="869" spans="1:18">
      <c r="A869" s="112" t="s">
        <v>2637</v>
      </c>
      <c r="B869" s="112" t="s">
        <v>1735</v>
      </c>
      <c r="C869" s="112" t="s">
        <v>1706</v>
      </c>
      <c r="D869" s="112">
        <v>30</v>
      </c>
      <c r="E869" s="112" t="s">
        <v>1707</v>
      </c>
      <c r="F869" s="112" t="s">
        <v>440</v>
      </c>
      <c r="G869" s="112">
        <v>2.0894939648904001</v>
      </c>
      <c r="H869" s="112">
        <v>1.65171429489124</v>
      </c>
      <c r="I869" s="112">
        <v>1.6214204382230699</v>
      </c>
      <c r="J869" s="112" t="s">
        <v>848</v>
      </c>
      <c r="K869" s="112" t="s">
        <v>1736</v>
      </c>
      <c r="L869" s="112">
        <v>2.9488581617423602E-2</v>
      </c>
      <c r="M869" s="229">
        <v>7.11347363578203E-4</v>
      </c>
      <c r="N869" s="112" t="s">
        <v>2637</v>
      </c>
      <c r="O869" s="112" t="s">
        <v>2033</v>
      </c>
      <c r="P869" s="112" t="s">
        <v>2611</v>
      </c>
      <c r="Q869" s="112" t="s">
        <v>2638</v>
      </c>
    </row>
    <row r="870" spans="1:18">
      <c r="A870" s="112" t="s">
        <v>2639</v>
      </c>
      <c r="B870" s="112" t="s">
        <v>1705</v>
      </c>
      <c r="C870" s="112" t="s">
        <v>1706</v>
      </c>
      <c r="D870" s="112">
        <v>80</v>
      </c>
      <c r="E870" s="112" t="s">
        <v>1707</v>
      </c>
      <c r="F870" s="112" t="s">
        <v>1708</v>
      </c>
      <c r="G870" s="112">
        <v>-2.1045139961449002</v>
      </c>
      <c r="H870" s="112">
        <v>-1.59339720650467</v>
      </c>
      <c r="I870" s="112">
        <v>-2.4654274996333898</v>
      </c>
      <c r="J870" s="112" t="s">
        <v>848</v>
      </c>
      <c r="K870" s="112" t="s">
        <v>1709</v>
      </c>
      <c r="L870" s="112">
        <v>3.3553859622082197E-2</v>
      </c>
      <c r="M870" s="112">
        <v>4.2310239655037798E-3</v>
      </c>
      <c r="N870" s="112" t="s">
        <v>2639</v>
      </c>
      <c r="O870" s="112" t="s">
        <v>2033</v>
      </c>
      <c r="P870" s="112" t="s">
        <v>2611</v>
      </c>
      <c r="Q870" s="112" t="s">
        <v>2640</v>
      </c>
    </row>
    <row r="871" spans="1:18">
      <c r="A871" s="112" t="s">
        <v>2641</v>
      </c>
      <c r="B871" s="112" t="s">
        <v>1705</v>
      </c>
      <c r="C871" s="112" t="s">
        <v>1706</v>
      </c>
      <c r="D871" s="112">
        <v>80</v>
      </c>
      <c r="E871" s="112" t="s">
        <v>1707</v>
      </c>
      <c r="F871" s="112" t="s">
        <v>1708</v>
      </c>
      <c r="G871" s="112">
        <v>-1.9666227137588801</v>
      </c>
      <c r="H871" s="112">
        <v>-1.4929929730701199</v>
      </c>
      <c r="I871" s="112">
        <v>-2.7676620060277202</v>
      </c>
      <c r="J871" s="112" t="s">
        <v>848</v>
      </c>
      <c r="K871" s="112" t="s">
        <v>1709</v>
      </c>
      <c r="L871" s="112">
        <v>3.6571431211080502E-2</v>
      </c>
      <c r="M871" s="112">
        <v>4.9122810563128998E-3</v>
      </c>
      <c r="N871" s="112" t="s">
        <v>2641</v>
      </c>
      <c r="O871" s="112" t="s">
        <v>2033</v>
      </c>
      <c r="P871" s="112" t="s">
        <v>2611</v>
      </c>
      <c r="Q871" s="112" t="s">
        <v>2642</v>
      </c>
      <c r="R871" s="112" t="s">
        <v>2643</v>
      </c>
    </row>
    <row r="872" spans="1:18">
      <c r="A872" s="112" t="s">
        <v>2644</v>
      </c>
      <c r="B872" s="112" t="s">
        <v>1748</v>
      </c>
      <c r="C872" s="112" t="s">
        <v>1706</v>
      </c>
      <c r="D872" s="112">
        <v>80</v>
      </c>
      <c r="E872" s="112" t="s">
        <v>1707</v>
      </c>
      <c r="F872" s="112" t="s">
        <v>440</v>
      </c>
      <c r="G872" s="112">
        <v>-1.77071806758281</v>
      </c>
      <c r="H872" s="112">
        <v>-1.3714161690078099</v>
      </c>
      <c r="I872" s="112">
        <v>-1.89244714876015</v>
      </c>
      <c r="J872" s="112" t="s">
        <v>848</v>
      </c>
      <c r="K872" s="112" t="s">
        <v>1749</v>
      </c>
      <c r="L872" s="112">
        <v>4.00921700199608E-2</v>
      </c>
      <c r="M872" s="112">
        <v>3.1212106046241399E-3</v>
      </c>
      <c r="N872" s="112" t="s">
        <v>2644</v>
      </c>
      <c r="O872" s="112" t="s">
        <v>2033</v>
      </c>
      <c r="P872" s="112" t="s">
        <v>2611</v>
      </c>
      <c r="Q872" s="112" t="s">
        <v>2645</v>
      </c>
    </row>
    <row r="873" spans="1:18">
      <c r="A873" s="112" t="s">
        <v>2646</v>
      </c>
      <c r="B873" s="112" t="s">
        <v>1796</v>
      </c>
      <c r="C873" s="112" t="s">
        <v>1706</v>
      </c>
      <c r="D873" s="112">
        <v>80</v>
      </c>
      <c r="E873" s="112" t="s">
        <v>1707</v>
      </c>
      <c r="F873" s="112" t="s">
        <v>1721</v>
      </c>
      <c r="G873" s="112">
        <v>3.8776984229151701</v>
      </c>
      <c r="H873" s="112">
        <v>1.9439786541264199</v>
      </c>
      <c r="I873" s="112">
        <v>2.6900591830751801</v>
      </c>
      <c r="J873" s="112" t="s">
        <v>848</v>
      </c>
      <c r="K873" s="112" t="s">
        <v>1797</v>
      </c>
      <c r="L873" s="112">
        <v>4.5529344004529203E-2</v>
      </c>
      <c r="M873" s="112">
        <v>3.0644750772279199E-3</v>
      </c>
      <c r="N873" s="112" t="s">
        <v>2646</v>
      </c>
      <c r="O873" s="112" t="s">
        <v>2056</v>
      </c>
      <c r="P873" s="112" t="s">
        <v>2611</v>
      </c>
      <c r="Q873" s="112" t="s">
        <v>2647</v>
      </c>
      <c r="R873" s="112" t="s">
        <v>2648</v>
      </c>
    </row>
    <row r="874" spans="1:18">
      <c r="A874" s="112" t="s">
        <v>2620</v>
      </c>
      <c r="B874" s="112" t="s">
        <v>1731</v>
      </c>
      <c r="C874" s="112" t="s">
        <v>1706</v>
      </c>
      <c r="D874" s="112">
        <v>30</v>
      </c>
      <c r="E874" s="112" t="s">
        <v>1707</v>
      </c>
      <c r="F874" s="112" t="s">
        <v>1708</v>
      </c>
      <c r="G874" s="112">
        <v>1.2459392592010801</v>
      </c>
      <c r="H874" s="112">
        <v>0.93533228644558297</v>
      </c>
      <c r="I874" s="112">
        <v>0.62898342775112004</v>
      </c>
      <c r="J874" s="112" t="s">
        <v>848</v>
      </c>
      <c r="K874" s="112" t="s">
        <v>1732</v>
      </c>
      <c r="L874" s="112">
        <v>4.8112525116688398E-2</v>
      </c>
      <c r="M874" s="112">
        <v>4.8571468122570903E-3</v>
      </c>
      <c r="N874" s="112" t="s">
        <v>2620</v>
      </c>
      <c r="O874" s="112" t="s">
        <v>2033</v>
      </c>
      <c r="P874" s="112" t="s">
        <v>2611</v>
      </c>
      <c r="Q874" s="112" t="s">
        <v>2621</v>
      </c>
    </row>
    <row r="875" spans="1:18">
      <c r="A875" s="112" t="s">
        <v>2620</v>
      </c>
      <c r="B875" s="112" t="s">
        <v>1796</v>
      </c>
      <c r="C875" s="112" t="s">
        <v>1706</v>
      </c>
      <c r="D875" s="112">
        <v>80</v>
      </c>
      <c r="E875" s="112" t="s">
        <v>1707</v>
      </c>
      <c r="F875" s="112" t="s">
        <v>1721</v>
      </c>
      <c r="G875" s="112">
        <v>-2.2243788520821099</v>
      </c>
      <c r="H875" s="112">
        <v>-1.35191003469763</v>
      </c>
      <c r="I875" s="112">
        <v>-3.7449895121623999</v>
      </c>
      <c r="J875" s="112" t="s">
        <v>848</v>
      </c>
      <c r="K875" s="112" t="s">
        <v>1797</v>
      </c>
      <c r="L875" s="112">
        <v>4.8739030462605602E-2</v>
      </c>
      <c r="M875" s="112">
        <v>3.4607595594749502E-3</v>
      </c>
      <c r="N875" s="112" t="s">
        <v>2620</v>
      </c>
      <c r="O875" s="112" t="s">
        <v>2033</v>
      </c>
      <c r="P875" s="112" t="s">
        <v>2611</v>
      </c>
      <c r="Q875" s="112" t="s">
        <v>2621</v>
      </c>
    </row>
    <row r="876" spans="1:18">
      <c r="A876" s="112" t="s">
        <v>2649</v>
      </c>
      <c r="B876" s="112" t="s">
        <v>1705</v>
      </c>
      <c r="C876" s="112" t="s">
        <v>1706</v>
      </c>
      <c r="D876" s="112">
        <v>80</v>
      </c>
      <c r="E876" s="112" t="s">
        <v>1707</v>
      </c>
      <c r="F876" s="112" t="s">
        <v>1708</v>
      </c>
      <c r="G876" s="112">
        <v>2.47222979848347</v>
      </c>
      <c r="H876" s="112">
        <v>1.9475205216357001</v>
      </c>
      <c r="I876" s="112">
        <v>1.7235206218988299</v>
      </c>
      <c r="J876" s="112" t="s">
        <v>848</v>
      </c>
      <c r="K876" s="112" t="s">
        <v>1709</v>
      </c>
      <c r="L876" s="112">
        <v>1.5451829288185E-2</v>
      </c>
      <c r="M876" s="112">
        <v>1.37236641704275E-3</v>
      </c>
      <c r="N876" s="112" t="s">
        <v>2649</v>
      </c>
      <c r="O876" s="112" t="s">
        <v>2056</v>
      </c>
      <c r="P876" s="112" t="s">
        <v>2650</v>
      </c>
      <c r="Q876" s="112" t="s">
        <v>2651</v>
      </c>
    </row>
    <row r="877" spans="1:18">
      <c r="A877" s="112" t="s">
        <v>2649</v>
      </c>
      <c r="B877" s="112" t="s">
        <v>1755</v>
      </c>
      <c r="C877" s="112" t="s">
        <v>1706</v>
      </c>
      <c r="D877" s="112">
        <v>30</v>
      </c>
      <c r="E877" s="112" t="s">
        <v>1707</v>
      </c>
      <c r="F877" s="112" t="s">
        <v>1721</v>
      </c>
      <c r="G877" s="112">
        <v>-7.9345924724338897</v>
      </c>
      <c r="H877" s="112">
        <v>-3.5954214854771598</v>
      </c>
      <c r="I877" s="112">
        <v>0</v>
      </c>
      <c r="J877" s="112">
        <v>1</v>
      </c>
      <c r="K877" s="112" t="s">
        <v>1756</v>
      </c>
      <c r="L877" s="112">
        <v>1.5875464637021702E-2</v>
      </c>
      <c r="M877" s="229">
        <v>8.0765479870380805E-4</v>
      </c>
      <c r="N877" s="112" t="s">
        <v>2649</v>
      </c>
      <c r="O877" s="112" t="s">
        <v>2056</v>
      </c>
      <c r="P877" s="112" t="s">
        <v>2650</v>
      </c>
      <c r="Q877" s="112" t="s">
        <v>2651</v>
      </c>
    </row>
    <row r="878" spans="1:18">
      <c r="A878" s="112" t="s">
        <v>2309</v>
      </c>
      <c r="B878" s="112" t="s">
        <v>1796</v>
      </c>
      <c r="C878" s="112" t="s">
        <v>1706</v>
      </c>
      <c r="D878" s="112">
        <v>80</v>
      </c>
      <c r="E878" s="112" t="s">
        <v>1707</v>
      </c>
      <c r="F878" s="112" t="s">
        <v>1721</v>
      </c>
      <c r="G878" s="112">
        <v>-23.793816723818001</v>
      </c>
      <c r="H878" s="112">
        <v>-22.757070470586601</v>
      </c>
      <c r="I878" s="112">
        <v>0</v>
      </c>
      <c r="J878" s="112">
        <v>1</v>
      </c>
      <c r="K878" s="112" t="s">
        <v>1797</v>
      </c>
      <c r="L878" s="229">
        <v>5.9000796919544399E-18</v>
      </c>
      <c r="M878" s="229">
        <v>4.3639642691970697E-21</v>
      </c>
      <c r="N878" s="112" t="s">
        <v>2309</v>
      </c>
      <c r="O878" s="112" t="s">
        <v>1710</v>
      </c>
      <c r="P878" s="112" t="s">
        <v>2310</v>
      </c>
      <c r="Q878" s="112" t="s">
        <v>2311</v>
      </c>
    </row>
    <row r="879" spans="1:18">
      <c r="A879" s="112" t="s">
        <v>2652</v>
      </c>
      <c r="B879" s="112" t="s">
        <v>1743</v>
      </c>
      <c r="C879" s="112" t="s">
        <v>1706</v>
      </c>
      <c r="D879" s="112">
        <v>55</v>
      </c>
      <c r="E879" s="112" t="s">
        <v>1707</v>
      </c>
      <c r="F879" s="112" t="s">
        <v>440</v>
      </c>
      <c r="G879" s="112">
        <v>-18.0693086447132</v>
      </c>
      <c r="H879" s="112">
        <v>-17.5944763937209</v>
      </c>
      <c r="I879" s="112">
        <v>0</v>
      </c>
      <c r="J879" s="112">
        <v>1</v>
      </c>
      <c r="K879" s="112" t="s">
        <v>1744</v>
      </c>
      <c r="L879" s="229">
        <v>4.1423411719545397E-12</v>
      </c>
      <c r="M879" s="229">
        <v>2.8627098631337499E-15</v>
      </c>
      <c r="N879" s="112" t="s">
        <v>2652</v>
      </c>
      <c r="O879" s="112" t="s">
        <v>1710</v>
      </c>
      <c r="P879" s="112" t="s">
        <v>2310</v>
      </c>
      <c r="Q879" s="112" t="s">
        <v>2653</v>
      </c>
    </row>
    <row r="880" spans="1:18">
      <c r="A880" s="112" t="s">
        <v>2654</v>
      </c>
      <c r="B880" s="112" t="s">
        <v>1743</v>
      </c>
      <c r="C880" s="112" t="s">
        <v>1706</v>
      </c>
      <c r="D880" s="112">
        <v>55</v>
      </c>
      <c r="E880" s="112" t="s">
        <v>1707</v>
      </c>
      <c r="F880" s="112" t="s">
        <v>440</v>
      </c>
      <c r="G880" s="112">
        <v>-18.766197523496299</v>
      </c>
      <c r="H880" s="112">
        <v>-18.206839015613799</v>
      </c>
      <c r="I880" s="112">
        <v>0</v>
      </c>
      <c r="J880" s="112">
        <v>1</v>
      </c>
      <c r="K880" s="112" t="s">
        <v>1744</v>
      </c>
      <c r="L880" s="229">
        <v>1.09267765441601E-11</v>
      </c>
      <c r="M880" s="229">
        <v>1.5102662811555099E-14</v>
      </c>
      <c r="N880" s="112" t="s">
        <v>2654</v>
      </c>
      <c r="O880" s="112" t="s">
        <v>1710</v>
      </c>
      <c r="P880" s="112" t="s">
        <v>2310</v>
      </c>
      <c r="Q880" s="112" t="s">
        <v>2655</v>
      </c>
    </row>
    <row r="881" spans="1:18">
      <c r="A881" s="112" t="s">
        <v>2309</v>
      </c>
      <c r="B881" s="112" t="s">
        <v>1705</v>
      </c>
      <c r="C881" s="112" t="s">
        <v>1706</v>
      </c>
      <c r="D881" s="112">
        <v>80</v>
      </c>
      <c r="E881" s="112" t="s">
        <v>1707</v>
      </c>
      <c r="F881" s="112" t="s">
        <v>1708</v>
      </c>
      <c r="G881" s="112">
        <v>-14.5352538640961</v>
      </c>
      <c r="H881" s="112">
        <v>-13.8129304964133</v>
      </c>
      <c r="I881" s="112">
        <v>0</v>
      </c>
      <c r="J881" s="112">
        <v>1</v>
      </c>
      <c r="K881" s="112" t="s">
        <v>1709</v>
      </c>
      <c r="L881" s="229">
        <v>1.4444754231982599E-10</v>
      </c>
      <c r="M881" s="229">
        <v>3.1677092613997101E-13</v>
      </c>
      <c r="N881" s="112" t="s">
        <v>2309</v>
      </c>
      <c r="O881" s="112" t="s">
        <v>1710</v>
      </c>
      <c r="P881" s="112" t="s">
        <v>2310</v>
      </c>
      <c r="Q881" s="112" t="s">
        <v>2311</v>
      </c>
    </row>
    <row r="882" spans="1:18">
      <c r="A882" s="112" t="s">
        <v>2585</v>
      </c>
      <c r="B882" s="112" t="s">
        <v>1705</v>
      </c>
      <c r="C882" s="112" t="s">
        <v>1706</v>
      </c>
      <c r="D882" s="112">
        <v>80</v>
      </c>
      <c r="E882" s="112" t="s">
        <v>1707</v>
      </c>
      <c r="F882" s="112" t="s">
        <v>1708</v>
      </c>
      <c r="G882" s="112">
        <v>-14.8988064422627</v>
      </c>
      <c r="H882" s="112">
        <v>-13.887157873378101</v>
      </c>
      <c r="I882" s="112">
        <v>0</v>
      </c>
      <c r="J882" s="112">
        <v>1</v>
      </c>
      <c r="K882" s="112" t="s">
        <v>1709</v>
      </c>
      <c r="L882" s="229">
        <v>1.7871812202397198E-8</v>
      </c>
      <c r="M882" s="229">
        <v>1.01130156792116E-10</v>
      </c>
      <c r="N882" s="112" t="s">
        <v>2585</v>
      </c>
      <c r="O882" s="112" t="s">
        <v>1710</v>
      </c>
      <c r="P882" s="112" t="s">
        <v>2310</v>
      </c>
      <c r="Q882" s="112" t="s">
        <v>2656</v>
      </c>
      <c r="R882" s="112" t="s">
        <v>2657</v>
      </c>
    </row>
    <row r="883" spans="1:18">
      <c r="A883" s="112" t="s">
        <v>2309</v>
      </c>
      <c r="B883" s="112" t="s">
        <v>1731</v>
      </c>
      <c r="C883" s="112" t="s">
        <v>1706</v>
      </c>
      <c r="D883" s="112">
        <v>30</v>
      </c>
      <c r="E883" s="112" t="s">
        <v>1707</v>
      </c>
      <c r="F883" s="112" t="s">
        <v>1708</v>
      </c>
      <c r="G883" s="112">
        <v>10.8558690604484</v>
      </c>
      <c r="H883" s="112">
        <v>10.364114588251899</v>
      </c>
      <c r="I883" s="112">
        <v>2.07906466883226</v>
      </c>
      <c r="J883" s="112" t="s">
        <v>848</v>
      </c>
      <c r="K883" s="112" t="s">
        <v>1732</v>
      </c>
      <c r="L883" s="229">
        <v>5.3364988121994699E-8</v>
      </c>
      <c r="M883" s="229">
        <v>3.3936399441650102E-10</v>
      </c>
      <c r="N883" s="112" t="s">
        <v>2309</v>
      </c>
      <c r="O883" s="112" t="s">
        <v>1710</v>
      </c>
      <c r="P883" s="112" t="s">
        <v>2310</v>
      </c>
      <c r="Q883" s="112" t="s">
        <v>2311</v>
      </c>
    </row>
    <row r="884" spans="1:18">
      <c r="A884" s="112" t="s">
        <v>2652</v>
      </c>
      <c r="B884" s="112" t="s">
        <v>1755</v>
      </c>
      <c r="C884" s="112" t="s">
        <v>1706</v>
      </c>
      <c r="D884" s="112">
        <v>30</v>
      </c>
      <c r="E884" s="112" t="s">
        <v>1707</v>
      </c>
      <c r="F884" s="112" t="s">
        <v>1721</v>
      </c>
      <c r="G884" s="112">
        <v>-19.682647341920699</v>
      </c>
      <c r="H884" s="112">
        <v>-18.1923304240036</v>
      </c>
      <c r="I884" s="112">
        <v>0</v>
      </c>
      <c r="J884" s="112">
        <v>1</v>
      </c>
      <c r="K884" s="112" t="s">
        <v>1756</v>
      </c>
      <c r="L884" s="229">
        <v>1.2151121935982601E-6</v>
      </c>
      <c r="M884" s="229">
        <v>3.8636317761471096E-9</v>
      </c>
      <c r="N884" s="112" t="s">
        <v>2652</v>
      </c>
      <c r="O884" s="112" t="s">
        <v>1710</v>
      </c>
      <c r="P884" s="112" t="s">
        <v>2310</v>
      </c>
      <c r="Q884" s="112" t="s">
        <v>2653</v>
      </c>
    </row>
    <row r="885" spans="1:18">
      <c r="A885" s="112" t="s">
        <v>2658</v>
      </c>
      <c r="B885" s="112" t="s">
        <v>1705</v>
      </c>
      <c r="C885" s="112" t="s">
        <v>1706</v>
      </c>
      <c r="D885" s="112">
        <v>80</v>
      </c>
      <c r="E885" s="112" t="s">
        <v>1707</v>
      </c>
      <c r="F885" s="112" t="s">
        <v>1708</v>
      </c>
      <c r="G885" s="112">
        <v>-5.0400212177453296</v>
      </c>
      <c r="H885" s="112">
        <v>-4.1029767520698401</v>
      </c>
      <c r="I885" s="112">
        <v>-7.9477850788895701</v>
      </c>
      <c r="J885" s="112" t="s">
        <v>848</v>
      </c>
      <c r="K885" s="112" t="s">
        <v>1709</v>
      </c>
      <c r="L885" s="229">
        <v>1.45940140520054E-5</v>
      </c>
      <c r="M885" s="229">
        <v>1.76024292293925E-7</v>
      </c>
      <c r="N885" s="112" t="s">
        <v>2658</v>
      </c>
      <c r="O885" s="112" t="s">
        <v>1710</v>
      </c>
      <c r="P885" s="112" t="s">
        <v>2310</v>
      </c>
      <c r="Q885" s="112" t="s">
        <v>2659</v>
      </c>
      <c r="R885" s="112" t="s">
        <v>2660</v>
      </c>
    </row>
    <row r="886" spans="1:18">
      <c r="A886" s="112" t="s">
        <v>2661</v>
      </c>
      <c r="B886" s="112" t="s">
        <v>1731</v>
      </c>
      <c r="C886" s="112" t="s">
        <v>1706</v>
      </c>
      <c r="D886" s="112">
        <v>30</v>
      </c>
      <c r="E886" s="112" t="s">
        <v>1707</v>
      </c>
      <c r="F886" s="112" t="s">
        <v>1708</v>
      </c>
      <c r="G886" s="112">
        <v>4.3561558471165904</v>
      </c>
      <c r="H886" s="112">
        <v>3.5055755439429399</v>
      </c>
      <c r="I886" s="112">
        <v>1.3600934683923001</v>
      </c>
      <c r="J886" s="112" t="s">
        <v>848</v>
      </c>
      <c r="K886" s="112" t="s">
        <v>1732</v>
      </c>
      <c r="L886" s="229">
        <v>4.23643730836305E-5</v>
      </c>
      <c r="M886" s="229">
        <v>6.3984347264624796E-7</v>
      </c>
      <c r="N886" s="112" t="s">
        <v>2661</v>
      </c>
      <c r="O886" s="112" t="s">
        <v>1710</v>
      </c>
      <c r="P886" s="112" t="s">
        <v>2310</v>
      </c>
      <c r="Q886" s="112" t="s">
        <v>2662</v>
      </c>
    </row>
    <row r="887" spans="1:18">
      <c r="A887" s="112" t="s">
        <v>2652</v>
      </c>
      <c r="B887" s="112" t="s">
        <v>1705</v>
      </c>
      <c r="C887" s="112" t="s">
        <v>1706</v>
      </c>
      <c r="D887" s="112">
        <v>80</v>
      </c>
      <c r="E887" s="112" t="s">
        <v>1707</v>
      </c>
      <c r="F887" s="112" t="s">
        <v>1708</v>
      </c>
      <c r="G887" s="112">
        <v>7.3084090206092798</v>
      </c>
      <c r="H887" s="112">
        <v>5.0685209202236603</v>
      </c>
      <c r="I887" s="112">
        <v>1.52740480631727</v>
      </c>
      <c r="J887" s="112" t="s">
        <v>848</v>
      </c>
      <c r="K887" s="112" t="s">
        <v>1709</v>
      </c>
      <c r="L887" s="229">
        <v>8.3136402297693E-5</v>
      </c>
      <c r="M887" s="229">
        <v>1.2306375340119001E-6</v>
      </c>
      <c r="N887" s="112" t="s">
        <v>2652</v>
      </c>
      <c r="O887" s="112" t="s">
        <v>1710</v>
      </c>
      <c r="P887" s="112" t="s">
        <v>2310</v>
      </c>
      <c r="Q887" s="112" t="s">
        <v>2653</v>
      </c>
    </row>
    <row r="888" spans="1:18">
      <c r="A888" s="112" t="s">
        <v>2663</v>
      </c>
      <c r="B888" s="112" t="s">
        <v>1743</v>
      </c>
      <c r="C888" s="112" t="s">
        <v>1706</v>
      </c>
      <c r="D888" s="112">
        <v>55</v>
      </c>
      <c r="E888" s="112" t="s">
        <v>1707</v>
      </c>
      <c r="F888" s="112" t="s">
        <v>440</v>
      </c>
      <c r="G888" s="112">
        <v>4.55261588962831</v>
      </c>
      <c r="H888" s="112">
        <v>3.5293657194191299</v>
      </c>
      <c r="I888" s="112">
        <v>1.8061232617304199</v>
      </c>
      <c r="J888" s="112" t="s">
        <v>848</v>
      </c>
      <c r="K888" s="112" t="s">
        <v>1744</v>
      </c>
      <c r="L888" s="229">
        <v>1.0894251687584E-4</v>
      </c>
      <c r="M888" s="229">
        <v>1.1293280947737301E-6</v>
      </c>
      <c r="N888" s="112" t="s">
        <v>2663</v>
      </c>
      <c r="O888" s="112" t="s">
        <v>1710</v>
      </c>
      <c r="P888" s="112" t="s">
        <v>2310</v>
      </c>
      <c r="Q888" s="112" t="s">
        <v>2664</v>
      </c>
    </row>
    <row r="889" spans="1:18">
      <c r="A889" s="112" t="s">
        <v>2665</v>
      </c>
      <c r="B889" s="112" t="s">
        <v>1705</v>
      </c>
      <c r="C889" s="112" t="s">
        <v>1706</v>
      </c>
      <c r="D889" s="112">
        <v>80</v>
      </c>
      <c r="E889" s="112" t="s">
        <v>1707</v>
      </c>
      <c r="F889" s="112" t="s">
        <v>1708</v>
      </c>
      <c r="G889" s="112">
        <v>-5.4979353871572796</v>
      </c>
      <c r="H889" s="112">
        <v>-4.11985855538589</v>
      </c>
      <c r="I889" s="112">
        <v>0</v>
      </c>
      <c r="J889" s="112">
        <v>1</v>
      </c>
      <c r="K889" s="112" t="s">
        <v>1709</v>
      </c>
      <c r="L889" s="229">
        <v>1.5824530868872099E-4</v>
      </c>
      <c r="M889" s="229">
        <v>2.86299078219725E-6</v>
      </c>
      <c r="N889" s="112" t="s">
        <v>2665</v>
      </c>
      <c r="O889" s="112" t="s">
        <v>1710</v>
      </c>
      <c r="P889" s="112" t="s">
        <v>2310</v>
      </c>
      <c r="Q889" s="112" t="s">
        <v>2666</v>
      </c>
    </row>
    <row r="890" spans="1:18">
      <c r="A890" s="112" t="s">
        <v>2661</v>
      </c>
      <c r="B890" s="112" t="s">
        <v>1705</v>
      </c>
      <c r="C890" s="112" t="s">
        <v>1706</v>
      </c>
      <c r="D890" s="112">
        <v>80</v>
      </c>
      <c r="E890" s="112" t="s">
        <v>1707</v>
      </c>
      <c r="F890" s="112" t="s">
        <v>1708</v>
      </c>
      <c r="G890" s="112">
        <v>-5.8373675071613897</v>
      </c>
      <c r="H890" s="112">
        <v>-4.26472173215745</v>
      </c>
      <c r="I890" s="112">
        <v>0</v>
      </c>
      <c r="J890" s="112">
        <v>1</v>
      </c>
      <c r="K890" s="112" t="s">
        <v>1709</v>
      </c>
      <c r="L890" s="229">
        <v>1.60098835975353E-4</v>
      </c>
      <c r="M890" s="229">
        <v>3.0720719622463599E-6</v>
      </c>
      <c r="N890" s="112" t="s">
        <v>2661</v>
      </c>
      <c r="O890" s="112" t="s">
        <v>1710</v>
      </c>
      <c r="P890" s="112" t="s">
        <v>2310</v>
      </c>
      <c r="Q890" s="112" t="s">
        <v>2662</v>
      </c>
    </row>
    <row r="891" spans="1:18">
      <c r="A891" s="112" t="s">
        <v>2663</v>
      </c>
      <c r="B891" s="112" t="s">
        <v>1735</v>
      </c>
      <c r="C891" s="112" t="s">
        <v>1706</v>
      </c>
      <c r="D891" s="112">
        <v>30</v>
      </c>
      <c r="E891" s="112" t="s">
        <v>1707</v>
      </c>
      <c r="F891" s="112" t="s">
        <v>440</v>
      </c>
      <c r="G891" s="112">
        <v>4.5971140884897004</v>
      </c>
      <c r="H891" s="112">
        <v>3.4515192783558599</v>
      </c>
      <c r="I891" s="112">
        <v>1.49045132598985</v>
      </c>
      <c r="J891" s="112" t="s">
        <v>848</v>
      </c>
      <c r="K891" s="112" t="s">
        <v>1736</v>
      </c>
      <c r="L891" s="229">
        <v>1.6677974495689601E-4</v>
      </c>
      <c r="M891" s="229">
        <v>1.0972351641901E-6</v>
      </c>
      <c r="N891" s="112" t="s">
        <v>2663</v>
      </c>
      <c r="O891" s="112" t="s">
        <v>1710</v>
      </c>
      <c r="P891" s="112" t="s">
        <v>2310</v>
      </c>
      <c r="Q891" s="112" t="s">
        <v>2664</v>
      </c>
    </row>
    <row r="892" spans="1:18">
      <c r="A892" s="112" t="s">
        <v>2654</v>
      </c>
      <c r="B892" s="112" t="s">
        <v>1705</v>
      </c>
      <c r="C892" s="112" t="s">
        <v>1706</v>
      </c>
      <c r="D892" s="112">
        <v>80</v>
      </c>
      <c r="E892" s="112" t="s">
        <v>1707</v>
      </c>
      <c r="F892" s="112" t="s">
        <v>1708</v>
      </c>
      <c r="G892" s="112">
        <v>7.6337054831824496</v>
      </c>
      <c r="H892" s="112">
        <v>5.0010217015562199</v>
      </c>
      <c r="I892" s="112">
        <v>1.58757075550455</v>
      </c>
      <c r="J892" s="112" t="s">
        <v>848</v>
      </c>
      <c r="K892" s="112" t="s">
        <v>1709</v>
      </c>
      <c r="L892" s="229">
        <v>1.80180188302866E-4</v>
      </c>
      <c r="M892" s="229">
        <v>3.8129195449593399E-6</v>
      </c>
      <c r="N892" s="112" t="s">
        <v>2654</v>
      </c>
      <c r="O892" s="112" t="s">
        <v>1710</v>
      </c>
      <c r="P892" s="112" t="s">
        <v>2310</v>
      </c>
      <c r="Q892" s="112" t="s">
        <v>2655</v>
      </c>
    </row>
    <row r="893" spans="1:18">
      <c r="A893" s="112" t="s">
        <v>2663</v>
      </c>
      <c r="B893" s="112" t="s">
        <v>1762</v>
      </c>
      <c r="C893" s="112" t="s">
        <v>1706</v>
      </c>
      <c r="D893" s="112">
        <v>55</v>
      </c>
      <c r="E893" s="112" t="s">
        <v>1707</v>
      </c>
      <c r="F893" s="112" t="s">
        <v>1708</v>
      </c>
      <c r="G893" s="112">
        <v>3.6925816774985498</v>
      </c>
      <c r="H893" s="112">
        <v>2.9577815354280199</v>
      </c>
      <c r="I893" s="112">
        <v>1.0037591594561399</v>
      </c>
      <c r="J893" s="112" t="s">
        <v>848</v>
      </c>
      <c r="K893" s="112" t="s">
        <v>1763</v>
      </c>
      <c r="L893" s="229">
        <v>2.5291761933053203E-4</v>
      </c>
      <c r="M893" s="229">
        <v>1.97078664413401E-6</v>
      </c>
      <c r="N893" s="112" t="s">
        <v>2663</v>
      </c>
      <c r="O893" s="112" t="s">
        <v>1710</v>
      </c>
      <c r="P893" s="112" t="s">
        <v>2310</v>
      </c>
      <c r="Q893" s="112" t="s">
        <v>2664</v>
      </c>
    </row>
    <row r="894" spans="1:18">
      <c r="A894" s="112" t="s">
        <v>2667</v>
      </c>
      <c r="B894" s="112" t="s">
        <v>1705</v>
      </c>
      <c r="C894" s="112" t="s">
        <v>1706</v>
      </c>
      <c r="D894" s="112">
        <v>80</v>
      </c>
      <c r="E894" s="112" t="s">
        <v>1707</v>
      </c>
      <c r="F894" s="112" t="s">
        <v>1708</v>
      </c>
      <c r="G894" s="112">
        <v>-4.8876812394888898</v>
      </c>
      <c r="H894" s="112">
        <v>-3.7586434535009001</v>
      </c>
      <c r="I894" s="112">
        <v>-8.1650006585536108</v>
      </c>
      <c r="J894" s="112" t="s">
        <v>848</v>
      </c>
      <c r="K894" s="112" t="s">
        <v>1709</v>
      </c>
      <c r="L894" s="229">
        <v>2.5724625261071499E-4</v>
      </c>
      <c r="M894" s="229">
        <v>5.9234334482730403E-6</v>
      </c>
      <c r="N894" s="112" t="s">
        <v>2667</v>
      </c>
      <c r="O894" s="112" t="s">
        <v>1710</v>
      </c>
      <c r="P894" s="112" t="s">
        <v>2310</v>
      </c>
      <c r="Q894" s="112" t="s">
        <v>2668</v>
      </c>
    </row>
    <row r="895" spans="1:18">
      <c r="A895" s="112" t="s">
        <v>2669</v>
      </c>
      <c r="B895" s="112" t="s">
        <v>1731</v>
      </c>
      <c r="C895" s="112" t="s">
        <v>1706</v>
      </c>
      <c r="D895" s="112">
        <v>30</v>
      </c>
      <c r="E895" s="112" t="s">
        <v>1707</v>
      </c>
      <c r="F895" s="112" t="s">
        <v>1708</v>
      </c>
      <c r="G895" s="112">
        <v>3.5184045241072699</v>
      </c>
      <c r="H895" s="112">
        <v>2.7687986097492101</v>
      </c>
      <c r="I895" s="112">
        <v>1.49822607422524</v>
      </c>
      <c r="J895" s="112" t="s">
        <v>848</v>
      </c>
      <c r="K895" s="112" t="s">
        <v>1732</v>
      </c>
      <c r="L895" s="229">
        <v>2.7873006189761798E-4</v>
      </c>
      <c r="M895" s="229">
        <v>6.6469808083692902E-6</v>
      </c>
      <c r="N895" s="112" t="s">
        <v>2669</v>
      </c>
      <c r="O895" s="112" t="s">
        <v>1710</v>
      </c>
      <c r="P895" s="112" t="s">
        <v>2310</v>
      </c>
      <c r="Q895" s="112" t="s">
        <v>2670</v>
      </c>
    </row>
    <row r="896" spans="1:18">
      <c r="A896" s="112" t="s">
        <v>2654</v>
      </c>
      <c r="B896" s="112" t="s">
        <v>1755</v>
      </c>
      <c r="C896" s="112" t="s">
        <v>1706</v>
      </c>
      <c r="D896" s="112">
        <v>30</v>
      </c>
      <c r="E896" s="112" t="s">
        <v>1707</v>
      </c>
      <c r="F896" s="112" t="s">
        <v>1721</v>
      </c>
      <c r="G896" s="112">
        <v>-16.456769012818398</v>
      </c>
      <c r="H896" s="112">
        <v>-13.01750716067</v>
      </c>
      <c r="I896" s="112">
        <v>0</v>
      </c>
      <c r="J896" s="112">
        <v>1</v>
      </c>
      <c r="K896" s="112" t="s">
        <v>1756</v>
      </c>
      <c r="L896" s="229">
        <v>4.2976859076847502E-4</v>
      </c>
      <c r="M896" s="229">
        <v>3.8362006091186903E-6</v>
      </c>
      <c r="N896" s="112" t="s">
        <v>2654</v>
      </c>
      <c r="O896" s="112" t="s">
        <v>1710</v>
      </c>
      <c r="P896" s="112" t="s">
        <v>2310</v>
      </c>
      <c r="Q896" s="112" t="s">
        <v>2655</v>
      </c>
    </row>
    <row r="897" spans="1:18">
      <c r="A897" s="112" t="s">
        <v>2671</v>
      </c>
      <c r="B897" s="112" t="s">
        <v>1762</v>
      </c>
      <c r="C897" s="112" t="s">
        <v>1706</v>
      </c>
      <c r="D897" s="112">
        <v>55</v>
      </c>
      <c r="E897" s="112" t="s">
        <v>1707</v>
      </c>
      <c r="F897" s="112" t="s">
        <v>1708</v>
      </c>
      <c r="G897" s="112">
        <v>4.8984533886247403</v>
      </c>
      <c r="H897" s="112">
        <v>3.3743471701744299</v>
      </c>
      <c r="I897" s="112">
        <v>2.3028442854281899</v>
      </c>
      <c r="J897" s="112" t="s">
        <v>848</v>
      </c>
      <c r="K897" s="112" t="s">
        <v>1763</v>
      </c>
      <c r="L897" s="229">
        <v>5.8687031186352402E-4</v>
      </c>
      <c r="M897" s="229">
        <v>5.7162692713979596E-6</v>
      </c>
      <c r="N897" s="112" t="s">
        <v>2671</v>
      </c>
      <c r="O897" s="112" t="s">
        <v>1710</v>
      </c>
      <c r="P897" s="112" t="s">
        <v>2310</v>
      </c>
      <c r="Q897" s="112" t="s">
        <v>2672</v>
      </c>
      <c r="R897" s="112" t="s">
        <v>2673</v>
      </c>
    </row>
    <row r="898" spans="1:18">
      <c r="A898" s="112" t="s">
        <v>2663</v>
      </c>
      <c r="B898" s="112" t="s">
        <v>1705</v>
      </c>
      <c r="C898" s="112" t="s">
        <v>1706</v>
      </c>
      <c r="D898" s="112">
        <v>80</v>
      </c>
      <c r="E898" s="112" t="s">
        <v>1707</v>
      </c>
      <c r="F898" s="112" t="s">
        <v>1708</v>
      </c>
      <c r="G898" s="112">
        <v>-4.9945764267510402</v>
      </c>
      <c r="H898" s="112">
        <v>-3.67173935308579</v>
      </c>
      <c r="I898" s="112">
        <v>0</v>
      </c>
      <c r="J898" s="112">
        <v>1</v>
      </c>
      <c r="K898" s="112" t="s">
        <v>1709</v>
      </c>
      <c r="L898" s="229">
        <v>7.1910746765049404E-4</v>
      </c>
      <c r="M898" s="229">
        <v>2.05008707882816E-5</v>
      </c>
      <c r="N898" s="112" t="s">
        <v>2663</v>
      </c>
      <c r="O898" s="112" t="s">
        <v>1710</v>
      </c>
      <c r="P898" s="112" t="s">
        <v>2310</v>
      </c>
      <c r="Q898" s="112" t="s">
        <v>2664</v>
      </c>
    </row>
    <row r="899" spans="1:18">
      <c r="A899" s="112" t="s">
        <v>2674</v>
      </c>
      <c r="B899" s="112" t="s">
        <v>1748</v>
      </c>
      <c r="C899" s="112" t="s">
        <v>1706</v>
      </c>
      <c r="D899" s="112">
        <v>80</v>
      </c>
      <c r="E899" s="112" t="s">
        <v>1707</v>
      </c>
      <c r="F899" s="112" t="s">
        <v>440</v>
      </c>
      <c r="G899" s="112">
        <v>4.2577187276902899</v>
      </c>
      <c r="H899" s="112">
        <v>3.5860243104290199</v>
      </c>
      <c r="I899" s="112">
        <v>2.8946289253613799</v>
      </c>
      <c r="J899" s="112" t="s">
        <v>848</v>
      </c>
      <c r="K899" s="112" t="s">
        <v>1749</v>
      </c>
      <c r="L899" s="229">
        <v>9.4441797610775096E-4</v>
      </c>
      <c r="M899" s="229">
        <v>1.13910062907733E-5</v>
      </c>
      <c r="N899" s="112" t="s">
        <v>2674</v>
      </c>
      <c r="O899" s="112" t="s">
        <v>1710</v>
      </c>
      <c r="P899" s="112" t="s">
        <v>2310</v>
      </c>
      <c r="Q899" s="112" t="s">
        <v>2675</v>
      </c>
    </row>
    <row r="900" spans="1:18">
      <c r="A900" s="112" t="s">
        <v>2665</v>
      </c>
      <c r="B900" s="112" t="s">
        <v>1748</v>
      </c>
      <c r="C900" s="112" t="s">
        <v>1706</v>
      </c>
      <c r="D900" s="112">
        <v>80</v>
      </c>
      <c r="E900" s="112" t="s">
        <v>1707</v>
      </c>
      <c r="F900" s="112" t="s">
        <v>440</v>
      </c>
      <c r="G900" s="112">
        <v>-6.9437470892640203</v>
      </c>
      <c r="H900" s="112">
        <v>-4.8759450792285204</v>
      </c>
      <c r="I900" s="112">
        <v>0</v>
      </c>
      <c r="J900" s="112">
        <v>1</v>
      </c>
      <c r="K900" s="112" t="s">
        <v>1749</v>
      </c>
      <c r="L900" s="112">
        <v>1.0077846509841701E-3</v>
      </c>
      <c r="M900" s="229">
        <v>1.4446261498511599E-5</v>
      </c>
      <c r="N900" s="112" t="s">
        <v>2665</v>
      </c>
      <c r="O900" s="112" t="s">
        <v>1710</v>
      </c>
      <c r="P900" s="112" t="s">
        <v>2310</v>
      </c>
      <c r="Q900" s="112" t="s">
        <v>2666</v>
      </c>
    </row>
    <row r="901" spans="1:18">
      <c r="A901" s="112" t="s">
        <v>2661</v>
      </c>
      <c r="B901" s="112" t="s">
        <v>1748</v>
      </c>
      <c r="C901" s="112" t="s">
        <v>1706</v>
      </c>
      <c r="D901" s="112">
        <v>80</v>
      </c>
      <c r="E901" s="112" t="s">
        <v>1707</v>
      </c>
      <c r="F901" s="112" t="s">
        <v>440</v>
      </c>
      <c r="G901" s="112">
        <v>-7.3167818143864203</v>
      </c>
      <c r="H901" s="112">
        <v>-4.9959321624074304</v>
      </c>
      <c r="I901" s="112">
        <v>0</v>
      </c>
      <c r="J901" s="112">
        <v>1</v>
      </c>
      <c r="K901" s="112" t="s">
        <v>1749</v>
      </c>
      <c r="L901" s="112">
        <v>1.0077846509841701E-3</v>
      </c>
      <c r="M901" s="229">
        <v>1.5118193482928801E-5</v>
      </c>
      <c r="N901" s="112" t="s">
        <v>2661</v>
      </c>
      <c r="O901" s="112" t="s">
        <v>1710</v>
      </c>
      <c r="P901" s="112" t="s">
        <v>2310</v>
      </c>
      <c r="Q901" s="112" t="s">
        <v>2662</v>
      </c>
    </row>
    <row r="902" spans="1:18">
      <c r="A902" s="112" t="s">
        <v>2676</v>
      </c>
      <c r="B902" s="112" t="s">
        <v>1735</v>
      </c>
      <c r="C902" s="112" t="s">
        <v>1706</v>
      </c>
      <c r="D902" s="112">
        <v>30</v>
      </c>
      <c r="E902" s="112" t="s">
        <v>1707</v>
      </c>
      <c r="F902" s="112" t="s">
        <v>440</v>
      </c>
      <c r="G902" s="112">
        <v>3.9240835805317</v>
      </c>
      <c r="H902" s="112">
        <v>2.94566475645453</v>
      </c>
      <c r="I902" s="112">
        <v>1.7657963562894801</v>
      </c>
      <c r="J902" s="112" t="s">
        <v>848</v>
      </c>
      <c r="K902" s="112" t="s">
        <v>1736</v>
      </c>
      <c r="L902" s="112">
        <v>1.06086652184171E-3</v>
      </c>
      <c r="M902" s="229">
        <v>1.27955391888802E-5</v>
      </c>
      <c r="N902" s="112" t="s">
        <v>2676</v>
      </c>
      <c r="O902" s="112" t="s">
        <v>1710</v>
      </c>
      <c r="P902" s="112" t="s">
        <v>2310</v>
      </c>
      <c r="Q902" s="112" t="s">
        <v>2677</v>
      </c>
      <c r="R902" s="112" t="s">
        <v>2678</v>
      </c>
    </row>
    <row r="903" spans="1:18">
      <c r="A903" s="112" t="s">
        <v>2679</v>
      </c>
      <c r="B903" s="112" t="s">
        <v>1748</v>
      </c>
      <c r="C903" s="112" t="s">
        <v>1706</v>
      </c>
      <c r="D903" s="112">
        <v>80</v>
      </c>
      <c r="E903" s="112" t="s">
        <v>1707</v>
      </c>
      <c r="F903" s="112" t="s">
        <v>440</v>
      </c>
      <c r="G903" s="112">
        <v>3.3345800086022601</v>
      </c>
      <c r="H903" s="112">
        <v>2.9167164974189399</v>
      </c>
      <c r="I903" s="112">
        <v>1.8835901810059601</v>
      </c>
      <c r="J903" s="112" t="s">
        <v>848</v>
      </c>
      <c r="K903" s="112" t="s">
        <v>1749</v>
      </c>
      <c r="L903" s="112">
        <v>1.2799635959902301E-3</v>
      </c>
      <c r="M903" s="229">
        <v>2.0350298401160501E-5</v>
      </c>
      <c r="N903" s="112" t="s">
        <v>2679</v>
      </c>
      <c r="O903" s="112" t="s">
        <v>1710</v>
      </c>
      <c r="P903" s="112" t="s">
        <v>2310</v>
      </c>
      <c r="Q903" s="112" t="s">
        <v>2680</v>
      </c>
      <c r="R903" s="112" t="s">
        <v>2673</v>
      </c>
    </row>
    <row r="904" spans="1:18">
      <c r="A904" s="112" t="s">
        <v>2681</v>
      </c>
      <c r="B904" s="112" t="s">
        <v>1762</v>
      </c>
      <c r="C904" s="112" t="s">
        <v>1706</v>
      </c>
      <c r="D904" s="112">
        <v>55</v>
      </c>
      <c r="E904" s="112" t="s">
        <v>1707</v>
      </c>
      <c r="F904" s="112" t="s">
        <v>1708</v>
      </c>
      <c r="G904" s="112">
        <v>4.2341639405641303</v>
      </c>
      <c r="H904" s="112">
        <v>3.0097233611742702</v>
      </c>
      <c r="I904" s="112">
        <v>2.2737771863545801</v>
      </c>
      <c r="J904" s="112" t="s">
        <v>848</v>
      </c>
      <c r="K904" s="112" t="s">
        <v>1763</v>
      </c>
      <c r="L904" s="112">
        <v>1.31766875683653E-3</v>
      </c>
      <c r="M904" s="229">
        <v>1.79682103204981E-5</v>
      </c>
      <c r="N904" s="112" t="s">
        <v>2681</v>
      </c>
      <c r="O904" s="112" t="s">
        <v>1710</v>
      </c>
      <c r="P904" s="112" t="s">
        <v>2310</v>
      </c>
      <c r="Q904" s="112" t="s">
        <v>2682</v>
      </c>
    </row>
    <row r="905" spans="1:18">
      <c r="A905" s="112" t="s">
        <v>2683</v>
      </c>
      <c r="B905" s="112" t="s">
        <v>1731</v>
      </c>
      <c r="C905" s="112" t="s">
        <v>1706</v>
      </c>
      <c r="D905" s="112">
        <v>30</v>
      </c>
      <c r="E905" s="112" t="s">
        <v>1707</v>
      </c>
      <c r="F905" s="112" t="s">
        <v>1708</v>
      </c>
      <c r="G905" s="112">
        <v>-5.4985146389540898</v>
      </c>
      <c r="H905" s="112">
        <v>-3.56450183494804</v>
      </c>
      <c r="I905" s="112">
        <v>0</v>
      </c>
      <c r="J905" s="112">
        <v>1</v>
      </c>
      <c r="K905" s="112" t="s">
        <v>1732</v>
      </c>
      <c r="L905" s="112">
        <v>1.3232257274796099E-3</v>
      </c>
      <c r="M905" s="229">
        <v>3.9970252499384301E-5</v>
      </c>
      <c r="N905" s="112" t="s">
        <v>2683</v>
      </c>
      <c r="O905" s="112" t="s">
        <v>1710</v>
      </c>
      <c r="P905" s="112" t="s">
        <v>2310</v>
      </c>
      <c r="Q905" s="112" t="s">
        <v>2684</v>
      </c>
    </row>
    <row r="906" spans="1:18">
      <c r="A906" s="112" t="s">
        <v>2685</v>
      </c>
      <c r="B906" s="112" t="s">
        <v>1720</v>
      </c>
      <c r="C906" s="112" t="s">
        <v>1706</v>
      </c>
      <c r="D906" s="112">
        <v>55</v>
      </c>
      <c r="E906" s="112" t="s">
        <v>1707</v>
      </c>
      <c r="F906" s="112" t="s">
        <v>1721</v>
      </c>
      <c r="G906" s="112">
        <v>3.9434399967623399</v>
      </c>
      <c r="H906" s="112">
        <v>2.9161238919008099</v>
      </c>
      <c r="I906" s="112">
        <v>2.1942489015044302</v>
      </c>
      <c r="J906" s="112" t="s">
        <v>848</v>
      </c>
      <c r="K906" s="112" t="s">
        <v>1722</v>
      </c>
      <c r="L906" s="112">
        <v>1.3352573391274801E-3</v>
      </c>
      <c r="M906" s="229">
        <v>1.24448326563416E-5</v>
      </c>
      <c r="N906" s="112" t="s">
        <v>2685</v>
      </c>
      <c r="O906" s="112" t="s">
        <v>1710</v>
      </c>
      <c r="P906" s="112" t="s">
        <v>2310</v>
      </c>
      <c r="Q906" s="112" t="s">
        <v>2686</v>
      </c>
    </row>
    <row r="907" spans="1:18">
      <c r="A907" s="112" t="s">
        <v>2687</v>
      </c>
      <c r="B907" s="112" t="s">
        <v>1720</v>
      </c>
      <c r="C907" s="112" t="s">
        <v>1706</v>
      </c>
      <c r="D907" s="112">
        <v>55</v>
      </c>
      <c r="E907" s="112" t="s">
        <v>1707</v>
      </c>
      <c r="F907" s="112" t="s">
        <v>1721</v>
      </c>
      <c r="G907" s="112">
        <v>5.4568886500246601</v>
      </c>
      <c r="H907" s="112">
        <v>3.41226634198265</v>
      </c>
      <c r="I907" s="112">
        <v>2.32448006064471</v>
      </c>
      <c r="J907" s="112" t="s">
        <v>848</v>
      </c>
      <c r="K907" s="112" t="s">
        <v>1722</v>
      </c>
      <c r="L907" s="112">
        <v>1.41678962204449E-3</v>
      </c>
      <c r="M907" s="229">
        <v>1.4758225229630101E-5</v>
      </c>
      <c r="N907" s="112" t="s">
        <v>2687</v>
      </c>
      <c r="O907" s="112" t="s">
        <v>1710</v>
      </c>
      <c r="P907" s="112" t="s">
        <v>2310</v>
      </c>
      <c r="Q907" s="112" t="s">
        <v>2688</v>
      </c>
    </row>
    <row r="908" spans="1:18">
      <c r="A908" s="112" t="s">
        <v>2658</v>
      </c>
      <c r="B908" s="112" t="s">
        <v>1796</v>
      </c>
      <c r="C908" s="112" t="s">
        <v>1706</v>
      </c>
      <c r="D908" s="112">
        <v>80</v>
      </c>
      <c r="E908" s="112" t="s">
        <v>1707</v>
      </c>
      <c r="F908" s="112" t="s">
        <v>1721</v>
      </c>
      <c r="G908" s="112">
        <v>-5.2219515498830598</v>
      </c>
      <c r="H908" s="112">
        <v>-3.70469507858488</v>
      </c>
      <c r="I908" s="112">
        <v>0</v>
      </c>
      <c r="J908" s="112">
        <v>1</v>
      </c>
      <c r="K908" s="112" t="s">
        <v>1797</v>
      </c>
      <c r="L908" s="112">
        <v>2.4113749940959501E-3</v>
      </c>
      <c r="M908" s="229">
        <v>3.5671227723312901E-5</v>
      </c>
      <c r="N908" s="112" t="s">
        <v>2658</v>
      </c>
      <c r="O908" s="112" t="s">
        <v>1710</v>
      </c>
      <c r="P908" s="112" t="s">
        <v>2310</v>
      </c>
      <c r="Q908" s="112" t="s">
        <v>2659</v>
      </c>
      <c r="R908" s="112" t="s">
        <v>2660</v>
      </c>
    </row>
    <row r="909" spans="1:18">
      <c r="A909" s="112" t="s">
        <v>2689</v>
      </c>
      <c r="B909" s="112" t="s">
        <v>1755</v>
      </c>
      <c r="C909" s="112" t="s">
        <v>1706</v>
      </c>
      <c r="D909" s="112">
        <v>30</v>
      </c>
      <c r="E909" s="112" t="s">
        <v>1707</v>
      </c>
      <c r="F909" s="112" t="s">
        <v>1721</v>
      </c>
      <c r="G909" s="112">
        <v>-9.31932579773129</v>
      </c>
      <c r="H909" s="112">
        <v>-5.6316392687307602</v>
      </c>
      <c r="I909" s="112">
        <v>0</v>
      </c>
      <c r="J909" s="112">
        <v>1</v>
      </c>
      <c r="K909" s="112" t="s">
        <v>1756</v>
      </c>
      <c r="L909" s="112">
        <v>2.4895006317471502E-3</v>
      </c>
      <c r="M909" s="229">
        <v>4.7494447664492603E-5</v>
      </c>
      <c r="N909" s="112" t="s">
        <v>2689</v>
      </c>
      <c r="O909" s="112" t="s">
        <v>1710</v>
      </c>
      <c r="P909" s="112" t="s">
        <v>2310</v>
      </c>
      <c r="Q909" s="112" t="s">
        <v>2690</v>
      </c>
    </row>
    <row r="910" spans="1:18">
      <c r="A910" s="112" t="s">
        <v>2663</v>
      </c>
      <c r="B910" s="112" t="s">
        <v>1748</v>
      </c>
      <c r="C910" s="112" t="s">
        <v>1706</v>
      </c>
      <c r="D910" s="112">
        <v>80</v>
      </c>
      <c r="E910" s="112" t="s">
        <v>1707</v>
      </c>
      <c r="F910" s="112" t="s">
        <v>440</v>
      </c>
      <c r="G910" s="112">
        <v>-6.4387650060682002</v>
      </c>
      <c r="H910" s="112">
        <v>-4.4105484890684998</v>
      </c>
      <c r="I910" s="112">
        <v>0</v>
      </c>
      <c r="J910" s="112">
        <v>1</v>
      </c>
      <c r="K910" s="112" t="s">
        <v>1749</v>
      </c>
      <c r="L910" s="112">
        <v>2.4900333286080999E-3</v>
      </c>
      <c r="M910" s="229">
        <v>5.5971143899633898E-5</v>
      </c>
      <c r="N910" s="112" t="s">
        <v>2663</v>
      </c>
      <c r="O910" s="112" t="s">
        <v>1710</v>
      </c>
      <c r="P910" s="112" t="s">
        <v>2310</v>
      </c>
      <c r="Q910" s="112" t="s">
        <v>2664</v>
      </c>
    </row>
    <row r="911" spans="1:18">
      <c r="A911" s="112" t="s">
        <v>2679</v>
      </c>
      <c r="B911" s="112" t="s">
        <v>1705</v>
      </c>
      <c r="C911" s="112" t="s">
        <v>1706</v>
      </c>
      <c r="D911" s="112">
        <v>80</v>
      </c>
      <c r="E911" s="112" t="s">
        <v>1707</v>
      </c>
      <c r="F911" s="112" t="s">
        <v>1708</v>
      </c>
      <c r="G911" s="112">
        <v>2.4729668806227001</v>
      </c>
      <c r="H911" s="112">
        <v>2.1397416535619498</v>
      </c>
      <c r="I911" s="112">
        <v>0.80232232247564395</v>
      </c>
      <c r="J911" s="112" t="s">
        <v>848</v>
      </c>
      <c r="K911" s="112" t="s">
        <v>1709</v>
      </c>
      <c r="L911" s="112">
        <v>2.58374295784481E-3</v>
      </c>
      <c r="M911" s="229">
        <v>1.12151678842283E-4</v>
      </c>
      <c r="N911" s="112" t="s">
        <v>2679</v>
      </c>
      <c r="O911" s="112" t="s">
        <v>1710</v>
      </c>
      <c r="P911" s="112" t="s">
        <v>2310</v>
      </c>
      <c r="Q911" s="112" t="s">
        <v>2680</v>
      </c>
      <c r="R911" s="112" t="s">
        <v>2673</v>
      </c>
    </row>
    <row r="912" spans="1:18">
      <c r="A912" s="112" t="s">
        <v>2691</v>
      </c>
      <c r="B912" s="112" t="s">
        <v>1705</v>
      </c>
      <c r="C912" s="112" t="s">
        <v>1706</v>
      </c>
      <c r="D912" s="112">
        <v>80</v>
      </c>
      <c r="E912" s="112" t="s">
        <v>1707</v>
      </c>
      <c r="F912" s="112" t="s">
        <v>1708</v>
      </c>
      <c r="G912" s="112">
        <v>-4.5355010533079403</v>
      </c>
      <c r="H912" s="112">
        <v>-3.24417042079555</v>
      </c>
      <c r="I912" s="112">
        <v>-8.2201270465634906</v>
      </c>
      <c r="J912" s="112" t="s">
        <v>848</v>
      </c>
      <c r="K912" s="112" t="s">
        <v>1709</v>
      </c>
      <c r="L912" s="112">
        <v>2.6784840704349401E-3</v>
      </c>
      <c r="M912" s="229">
        <v>1.18945838654183E-4</v>
      </c>
      <c r="N912" s="112" t="s">
        <v>2691</v>
      </c>
      <c r="O912" s="112" t="s">
        <v>1710</v>
      </c>
      <c r="P912" s="112" t="s">
        <v>2310</v>
      </c>
      <c r="Q912" s="112" t="s">
        <v>2692</v>
      </c>
    </row>
    <row r="913" spans="1:18">
      <c r="A913" s="112" t="s">
        <v>2652</v>
      </c>
      <c r="B913" s="112" t="s">
        <v>1748</v>
      </c>
      <c r="C913" s="112" t="s">
        <v>1706</v>
      </c>
      <c r="D913" s="112">
        <v>80</v>
      </c>
      <c r="E913" s="112" t="s">
        <v>1707</v>
      </c>
      <c r="F913" s="112" t="s">
        <v>440</v>
      </c>
      <c r="G913" s="112">
        <v>7.5330552314776504</v>
      </c>
      <c r="H913" s="112">
        <v>4.6596847914856196</v>
      </c>
      <c r="I913" s="112">
        <v>2.0024469817324699</v>
      </c>
      <c r="J913" s="112" t="s">
        <v>848</v>
      </c>
      <c r="K913" s="112" t="s">
        <v>1749</v>
      </c>
      <c r="L913" s="112">
        <v>2.7828784939626099E-3</v>
      </c>
      <c r="M913" s="229">
        <v>6.4079439005718098E-5</v>
      </c>
      <c r="N913" s="112" t="s">
        <v>2652</v>
      </c>
      <c r="O913" s="112" t="s">
        <v>1710</v>
      </c>
      <c r="P913" s="112" t="s">
        <v>2310</v>
      </c>
      <c r="Q913" s="112" t="s">
        <v>2653</v>
      </c>
    </row>
    <row r="914" spans="1:18">
      <c r="A914" s="112" t="s">
        <v>2681</v>
      </c>
      <c r="B914" s="112" t="s">
        <v>1705</v>
      </c>
      <c r="C914" s="112" t="s">
        <v>1706</v>
      </c>
      <c r="D914" s="112">
        <v>80</v>
      </c>
      <c r="E914" s="112" t="s">
        <v>1707</v>
      </c>
      <c r="F914" s="112" t="s">
        <v>1708</v>
      </c>
      <c r="G914" s="112">
        <v>-5.04019819918447</v>
      </c>
      <c r="H914" s="112">
        <v>-3.3818691822955298</v>
      </c>
      <c r="I914" s="112">
        <v>0</v>
      </c>
      <c r="J914" s="112">
        <v>1</v>
      </c>
      <c r="K914" s="112" t="s">
        <v>1709</v>
      </c>
      <c r="L914" s="112">
        <v>2.9992258467932999E-3</v>
      </c>
      <c r="M914" s="229">
        <v>1.4141086777643799E-4</v>
      </c>
      <c r="N914" s="112" t="s">
        <v>2681</v>
      </c>
      <c r="O914" s="112" t="s">
        <v>1710</v>
      </c>
      <c r="P914" s="112" t="s">
        <v>2310</v>
      </c>
      <c r="Q914" s="112" t="s">
        <v>2682</v>
      </c>
    </row>
    <row r="915" spans="1:18">
      <c r="A915" s="112" t="s">
        <v>2693</v>
      </c>
      <c r="B915" s="112" t="s">
        <v>1796</v>
      </c>
      <c r="C915" s="112" t="s">
        <v>1706</v>
      </c>
      <c r="D915" s="112">
        <v>80</v>
      </c>
      <c r="E915" s="112" t="s">
        <v>1707</v>
      </c>
      <c r="F915" s="112" t="s">
        <v>1721</v>
      </c>
      <c r="G915" s="112">
        <v>5.6541844988715004</v>
      </c>
      <c r="H915" s="112">
        <v>3.7335023095840998</v>
      </c>
      <c r="I915" s="112">
        <v>3.1158644769449602</v>
      </c>
      <c r="J915" s="112" t="s">
        <v>848</v>
      </c>
      <c r="K915" s="112" t="s">
        <v>1797</v>
      </c>
      <c r="L915" s="112">
        <v>3.2016941416443899E-3</v>
      </c>
      <c r="M915" s="229">
        <v>5.4466690279453399E-5</v>
      </c>
      <c r="N915" s="112" t="s">
        <v>2693</v>
      </c>
      <c r="O915" s="112" t="s">
        <v>1710</v>
      </c>
      <c r="P915" s="112" t="s">
        <v>2310</v>
      </c>
      <c r="Q915" s="112" t="s">
        <v>2694</v>
      </c>
    </row>
    <row r="916" spans="1:18">
      <c r="A916" s="112" t="s">
        <v>2695</v>
      </c>
      <c r="B916" s="112" t="s">
        <v>1762</v>
      </c>
      <c r="C916" s="112" t="s">
        <v>1706</v>
      </c>
      <c r="D916" s="112">
        <v>55</v>
      </c>
      <c r="E916" s="112" t="s">
        <v>1707</v>
      </c>
      <c r="F916" s="112" t="s">
        <v>1708</v>
      </c>
      <c r="G916" s="112">
        <v>3.9782650479781898</v>
      </c>
      <c r="H916" s="112">
        <v>2.7606878338976202</v>
      </c>
      <c r="I916" s="112">
        <v>2.1284141479001599</v>
      </c>
      <c r="J916" s="112" t="s">
        <v>848</v>
      </c>
      <c r="K916" s="112" t="s">
        <v>1763</v>
      </c>
      <c r="L916" s="112">
        <v>3.2863753191555798E-3</v>
      </c>
      <c r="M916" s="229">
        <v>5.7618268582597897E-5</v>
      </c>
      <c r="N916" s="112" t="s">
        <v>2695</v>
      </c>
      <c r="O916" s="112" t="s">
        <v>1710</v>
      </c>
      <c r="P916" s="112" t="s">
        <v>2310</v>
      </c>
      <c r="Q916" s="112" t="s">
        <v>2696</v>
      </c>
      <c r="R916" s="112" t="s">
        <v>2697</v>
      </c>
    </row>
    <row r="917" spans="1:18">
      <c r="A917" s="112" t="s">
        <v>2698</v>
      </c>
      <c r="B917" s="112" t="s">
        <v>1705</v>
      </c>
      <c r="C917" s="112" t="s">
        <v>1706</v>
      </c>
      <c r="D917" s="112">
        <v>80</v>
      </c>
      <c r="E917" s="112" t="s">
        <v>1707</v>
      </c>
      <c r="F917" s="112" t="s">
        <v>1708</v>
      </c>
      <c r="G917" s="112">
        <v>-3.9816290733205402</v>
      </c>
      <c r="H917" s="112">
        <v>-2.9750179201927498</v>
      </c>
      <c r="I917" s="112">
        <v>0</v>
      </c>
      <c r="J917" s="112">
        <v>1</v>
      </c>
      <c r="K917" s="112" t="s">
        <v>1709</v>
      </c>
      <c r="L917" s="112">
        <v>3.2999931467029898E-3</v>
      </c>
      <c r="M917" s="229">
        <v>1.62828609212319E-4</v>
      </c>
      <c r="N917" s="112" t="s">
        <v>2698</v>
      </c>
      <c r="O917" s="112" t="s">
        <v>1710</v>
      </c>
      <c r="P917" s="112" t="s">
        <v>2310</v>
      </c>
      <c r="Q917" s="112" t="s">
        <v>2699</v>
      </c>
      <c r="R917" s="112" t="s">
        <v>2673</v>
      </c>
    </row>
    <row r="918" spans="1:18">
      <c r="A918" s="112" t="s">
        <v>2700</v>
      </c>
      <c r="B918" s="112" t="s">
        <v>1748</v>
      </c>
      <c r="C918" s="112" t="s">
        <v>1706</v>
      </c>
      <c r="D918" s="112">
        <v>80</v>
      </c>
      <c r="E918" s="112" t="s">
        <v>1707</v>
      </c>
      <c r="F918" s="112" t="s">
        <v>440</v>
      </c>
      <c r="G918" s="112">
        <v>3.5992484201073598</v>
      </c>
      <c r="H918" s="112">
        <v>3.0080108175456499</v>
      </c>
      <c r="I918" s="112">
        <v>2.1406195728716999</v>
      </c>
      <c r="J918" s="112" t="s">
        <v>848</v>
      </c>
      <c r="K918" s="112" t="s">
        <v>1749</v>
      </c>
      <c r="L918" s="112">
        <v>3.3365603170628102E-3</v>
      </c>
      <c r="M918" s="229">
        <v>8.0639296795237297E-5</v>
      </c>
      <c r="N918" s="112" t="s">
        <v>2700</v>
      </c>
      <c r="O918" s="112" t="s">
        <v>1710</v>
      </c>
      <c r="P918" s="112" t="s">
        <v>2310</v>
      </c>
      <c r="Q918" s="112" t="s">
        <v>2701</v>
      </c>
      <c r="R918" s="112" t="s">
        <v>2673</v>
      </c>
    </row>
    <row r="919" spans="1:18">
      <c r="A919" s="112" t="s">
        <v>2679</v>
      </c>
      <c r="B919" s="112" t="s">
        <v>1755</v>
      </c>
      <c r="C919" s="112" t="s">
        <v>1706</v>
      </c>
      <c r="D919" s="112">
        <v>30</v>
      </c>
      <c r="E919" s="112" t="s">
        <v>1707</v>
      </c>
      <c r="F919" s="112" t="s">
        <v>1721</v>
      </c>
      <c r="G919" s="112">
        <v>-8.76345308469363</v>
      </c>
      <c r="H919" s="112">
        <v>-5.0796302374556896</v>
      </c>
      <c r="I919" s="112">
        <v>0</v>
      </c>
      <c r="J919" s="112">
        <v>1</v>
      </c>
      <c r="K919" s="112" t="s">
        <v>1756</v>
      </c>
      <c r="L919" s="112">
        <v>3.7072715429002099E-3</v>
      </c>
      <c r="M919" s="229">
        <v>9.1355658052389905E-5</v>
      </c>
      <c r="N919" s="112" t="s">
        <v>2679</v>
      </c>
      <c r="O919" s="112" t="s">
        <v>1710</v>
      </c>
      <c r="P919" s="112" t="s">
        <v>2310</v>
      </c>
      <c r="Q919" s="112" t="s">
        <v>2680</v>
      </c>
      <c r="R919" s="112" t="s">
        <v>2673</v>
      </c>
    </row>
    <row r="920" spans="1:18">
      <c r="A920" s="112" t="s">
        <v>2665</v>
      </c>
      <c r="B920" s="112" t="s">
        <v>1735</v>
      </c>
      <c r="C920" s="112" t="s">
        <v>1706</v>
      </c>
      <c r="D920" s="112">
        <v>30</v>
      </c>
      <c r="E920" s="112" t="s">
        <v>1707</v>
      </c>
      <c r="F920" s="112" t="s">
        <v>440</v>
      </c>
      <c r="G920" s="112">
        <v>3.7996203883649402</v>
      </c>
      <c r="H920" s="112">
        <v>2.7126645729262502</v>
      </c>
      <c r="I920" s="112">
        <v>1.1689822340667</v>
      </c>
      <c r="J920" s="112" t="s">
        <v>848</v>
      </c>
      <c r="K920" s="112" t="s">
        <v>1736</v>
      </c>
      <c r="L920" s="112">
        <v>3.9216906045833099E-3</v>
      </c>
      <c r="M920" s="229">
        <v>6.4501490206962396E-5</v>
      </c>
      <c r="N920" s="112" t="s">
        <v>2665</v>
      </c>
      <c r="O920" s="112" t="s">
        <v>1710</v>
      </c>
      <c r="P920" s="112" t="s">
        <v>2310</v>
      </c>
      <c r="Q920" s="112" t="s">
        <v>2666</v>
      </c>
    </row>
    <row r="921" spans="1:18">
      <c r="A921" s="112" t="s">
        <v>2702</v>
      </c>
      <c r="B921" s="112" t="s">
        <v>1748</v>
      </c>
      <c r="C921" s="112" t="s">
        <v>1706</v>
      </c>
      <c r="D921" s="112">
        <v>80</v>
      </c>
      <c r="E921" s="112" t="s">
        <v>1707</v>
      </c>
      <c r="F921" s="112" t="s">
        <v>440</v>
      </c>
      <c r="G921" s="112">
        <v>-5.9462572965584801</v>
      </c>
      <c r="H921" s="112">
        <v>-4.1058274124485701</v>
      </c>
      <c r="I921" s="112">
        <v>-7.3841131578575903</v>
      </c>
      <c r="J921" s="112" t="s">
        <v>848</v>
      </c>
      <c r="K921" s="112" t="s">
        <v>1749</v>
      </c>
      <c r="L921" s="112">
        <v>3.9864437337094197E-3</v>
      </c>
      <c r="M921" s="229">
        <v>1.02720863752381E-4</v>
      </c>
      <c r="N921" s="112" t="s">
        <v>2702</v>
      </c>
      <c r="O921" s="112" t="s">
        <v>1710</v>
      </c>
      <c r="P921" s="112" t="s">
        <v>2310</v>
      </c>
      <c r="Q921" s="112" t="s">
        <v>2703</v>
      </c>
      <c r="R921" s="112" t="s">
        <v>2697</v>
      </c>
    </row>
    <row r="922" spans="1:18">
      <c r="A922" s="112" t="s">
        <v>2661</v>
      </c>
      <c r="B922" s="112" t="s">
        <v>1735</v>
      </c>
      <c r="C922" s="112" t="s">
        <v>1706</v>
      </c>
      <c r="D922" s="112">
        <v>30</v>
      </c>
      <c r="E922" s="112" t="s">
        <v>1707</v>
      </c>
      <c r="F922" s="112" t="s">
        <v>440</v>
      </c>
      <c r="G922" s="112">
        <v>4.2966137228026202</v>
      </c>
      <c r="H922" s="112">
        <v>2.8156778314764201</v>
      </c>
      <c r="I922" s="112">
        <v>1.40409521935926</v>
      </c>
      <c r="J922" s="112" t="s">
        <v>848</v>
      </c>
      <c r="K922" s="112" t="s">
        <v>1736</v>
      </c>
      <c r="L922" s="112">
        <v>4.7741998789035201E-3</v>
      </c>
      <c r="M922" s="229">
        <v>8.1140458468206798E-5</v>
      </c>
      <c r="N922" s="112" t="s">
        <v>2661</v>
      </c>
      <c r="O922" s="112" t="s">
        <v>1710</v>
      </c>
      <c r="P922" s="112" t="s">
        <v>2310</v>
      </c>
      <c r="Q922" s="112" t="s">
        <v>2662</v>
      </c>
    </row>
    <row r="923" spans="1:18">
      <c r="A923" s="112" t="s">
        <v>2665</v>
      </c>
      <c r="B923" s="112" t="s">
        <v>1743</v>
      </c>
      <c r="C923" s="112" t="s">
        <v>1706</v>
      </c>
      <c r="D923" s="112">
        <v>55</v>
      </c>
      <c r="E923" s="112" t="s">
        <v>1707</v>
      </c>
      <c r="F923" s="112" t="s">
        <v>440</v>
      </c>
      <c r="G923" s="112">
        <v>3.6259517048580698</v>
      </c>
      <c r="H923" s="112">
        <v>2.6597424135076202</v>
      </c>
      <c r="I923" s="112">
        <v>1.5157120776287001</v>
      </c>
      <c r="J923" s="112" t="s">
        <v>848</v>
      </c>
      <c r="K923" s="112" t="s">
        <v>1744</v>
      </c>
      <c r="L923" s="112">
        <v>5.1539332870615302E-3</v>
      </c>
      <c r="M923" s="229">
        <v>1.1753959811543201E-4</v>
      </c>
      <c r="N923" s="112" t="s">
        <v>2665</v>
      </c>
      <c r="O923" s="112" t="s">
        <v>1710</v>
      </c>
      <c r="P923" s="112" t="s">
        <v>2310</v>
      </c>
      <c r="Q923" s="112" t="s">
        <v>2666</v>
      </c>
    </row>
    <row r="924" spans="1:18">
      <c r="A924" s="112" t="s">
        <v>2665</v>
      </c>
      <c r="B924" s="112" t="s">
        <v>1762</v>
      </c>
      <c r="C924" s="112" t="s">
        <v>1706</v>
      </c>
      <c r="D924" s="112">
        <v>55</v>
      </c>
      <c r="E924" s="112" t="s">
        <v>1707</v>
      </c>
      <c r="F924" s="112" t="s">
        <v>1708</v>
      </c>
      <c r="G924" s="112">
        <v>3.0163986396532301</v>
      </c>
      <c r="H924" s="112">
        <v>2.3134983410463499</v>
      </c>
      <c r="I924" s="112">
        <v>0.81052202890835701</v>
      </c>
      <c r="J924" s="112" t="s">
        <v>848</v>
      </c>
      <c r="K924" s="112" t="s">
        <v>1763</v>
      </c>
      <c r="L924" s="112">
        <v>5.1703156909041004E-3</v>
      </c>
      <c r="M924" s="229">
        <v>1.1414982694203801E-4</v>
      </c>
      <c r="N924" s="112" t="s">
        <v>2665</v>
      </c>
      <c r="O924" s="112" t="s">
        <v>1710</v>
      </c>
      <c r="P924" s="112" t="s">
        <v>2310</v>
      </c>
      <c r="Q924" s="112" t="s">
        <v>2666</v>
      </c>
    </row>
    <row r="925" spans="1:18">
      <c r="A925" s="112" t="s">
        <v>2704</v>
      </c>
      <c r="B925" s="112" t="s">
        <v>1755</v>
      </c>
      <c r="C925" s="112" t="s">
        <v>1706</v>
      </c>
      <c r="D925" s="112">
        <v>30</v>
      </c>
      <c r="E925" s="112" t="s">
        <v>1707</v>
      </c>
      <c r="F925" s="112" t="s">
        <v>1721</v>
      </c>
      <c r="G925" s="112">
        <v>-8.7535187177818798</v>
      </c>
      <c r="H925" s="112">
        <v>-4.7552207987171098</v>
      </c>
      <c r="I925" s="112">
        <v>0</v>
      </c>
      <c r="J925" s="112">
        <v>1</v>
      </c>
      <c r="K925" s="112" t="s">
        <v>1756</v>
      </c>
      <c r="L925" s="112">
        <v>5.17068399036594E-3</v>
      </c>
      <c r="M925" s="229">
        <v>1.5896676114182399E-4</v>
      </c>
      <c r="N925" s="112" t="s">
        <v>2704</v>
      </c>
      <c r="O925" s="112" t="s">
        <v>1710</v>
      </c>
      <c r="P925" s="112" t="s">
        <v>2310</v>
      </c>
      <c r="Q925" s="112" t="s">
        <v>2705</v>
      </c>
    </row>
    <row r="926" spans="1:18">
      <c r="A926" s="112" t="s">
        <v>2706</v>
      </c>
      <c r="B926" s="112" t="s">
        <v>1755</v>
      </c>
      <c r="C926" s="112" t="s">
        <v>1706</v>
      </c>
      <c r="D926" s="112">
        <v>30</v>
      </c>
      <c r="E926" s="112" t="s">
        <v>1707</v>
      </c>
      <c r="F926" s="112" t="s">
        <v>1721</v>
      </c>
      <c r="G926" s="112">
        <v>-8.7382395245235092</v>
      </c>
      <c r="H926" s="112">
        <v>-4.6423533302262197</v>
      </c>
      <c r="I926" s="112">
        <v>0</v>
      </c>
      <c r="J926" s="112">
        <v>1</v>
      </c>
      <c r="K926" s="112" t="s">
        <v>1756</v>
      </c>
      <c r="L926" s="112">
        <v>5.6826889424914998E-3</v>
      </c>
      <c r="M926" s="229">
        <v>1.8972411413723599E-4</v>
      </c>
      <c r="N926" s="112" t="s">
        <v>2706</v>
      </c>
      <c r="O926" s="112" t="s">
        <v>1710</v>
      </c>
      <c r="P926" s="112" t="s">
        <v>2310</v>
      </c>
      <c r="Q926" s="112" t="s">
        <v>2707</v>
      </c>
    </row>
    <row r="927" spans="1:18">
      <c r="A927" s="112" t="s">
        <v>2669</v>
      </c>
      <c r="B927" s="112" t="s">
        <v>1705</v>
      </c>
      <c r="C927" s="112" t="s">
        <v>1706</v>
      </c>
      <c r="D927" s="112">
        <v>80</v>
      </c>
      <c r="E927" s="112" t="s">
        <v>1707</v>
      </c>
      <c r="F927" s="112" t="s">
        <v>1708</v>
      </c>
      <c r="G927" s="112">
        <v>-4.2416166100705501</v>
      </c>
      <c r="H927" s="112">
        <v>-2.9629603288717399</v>
      </c>
      <c r="I927" s="112">
        <v>0</v>
      </c>
      <c r="J927" s="112">
        <v>1</v>
      </c>
      <c r="K927" s="112" t="s">
        <v>1709</v>
      </c>
      <c r="L927" s="112">
        <v>5.8671888814357497E-3</v>
      </c>
      <c r="M927" s="229">
        <v>3.3453269938010799E-4</v>
      </c>
      <c r="N927" s="112" t="s">
        <v>2669</v>
      </c>
      <c r="O927" s="112" t="s">
        <v>1710</v>
      </c>
      <c r="P927" s="112" t="s">
        <v>2310</v>
      </c>
      <c r="Q927" s="112" t="s">
        <v>2670</v>
      </c>
    </row>
    <row r="928" spans="1:18">
      <c r="A928" s="112" t="s">
        <v>2654</v>
      </c>
      <c r="B928" s="112" t="s">
        <v>1796</v>
      </c>
      <c r="C928" s="112" t="s">
        <v>1706</v>
      </c>
      <c r="D928" s="112">
        <v>80</v>
      </c>
      <c r="E928" s="112" t="s">
        <v>1707</v>
      </c>
      <c r="F928" s="112" t="s">
        <v>1721</v>
      </c>
      <c r="G928" s="112">
        <v>7.8433817009364697</v>
      </c>
      <c r="H928" s="112">
        <v>3.5273782693790499</v>
      </c>
      <c r="I928" s="112">
        <v>1.83665843295715</v>
      </c>
      <c r="J928" s="112" t="s">
        <v>848</v>
      </c>
      <c r="K928" s="112" t="s">
        <v>1797</v>
      </c>
      <c r="L928" s="112">
        <v>6.3623451021322204E-3</v>
      </c>
      <c r="M928" s="229">
        <v>1.5058804975460799E-4</v>
      </c>
      <c r="N928" s="112" t="s">
        <v>2654</v>
      </c>
      <c r="O928" s="112" t="s">
        <v>1710</v>
      </c>
      <c r="P928" s="112" t="s">
        <v>2310</v>
      </c>
      <c r="Q928" s="112" t="s">
        <v>2655</v>
      </c>
    </row>
    <row r="929" spans="1:18">
      <c r="A929" s="112" t="s">
        <v>2708</v>
      </c>
      <c r="B929" s="112" t="s">
        <v>1705</v>
      </c>
      <c r="C929" s="112" t="s">
        <v>1706</v>
      </c>
      <c r="D929" s="112">
        <v>80</v>
      </c>
      <c r="E929" s="112" t="s">
        <v>1707</v>
      </c>
      <c r="F929" s="112" t="s">
        <v>1708</v>
      </c>
      <c r="G929" s="112">
        <v>4.4840281834423896</v>
      </c>
      <c r="H929" s="112">
        <v>2.9748767453040799</v>
      </c>
      <c r="I929" s="112">
        <v>2.4787845600810701</v>
      </c>
      <c r="J929" s="112" t="s">
        <v>848</v>
      </c>
      <c r="K929" s="112" t="s">
        <v>1709</v>
      </c>
      <c r="L929" s="112">
        <v>7.3876603983511098E-3</v>
      </c>
      <c r="M929" s="229">
        <v>4.5737390573378302E-4</v>
      </c>
      <c r="N929" s="112" t="s">
        <v>2708</v>
      </c>
      <c r="O929" s="112" t="s">
        <v>1710</v>
      </c>
      <c r="P929" s="112" t="s">
        <v>2310</v>
      </c>
      <c r="Q929" s="112" t="s">
        <v>2709</v>
      </c>
    </row>
    <row r="930" spans="1:18">
      <c r="A930" s="112" t="s">
        <v>2710</v>
      </c>
      <c r="B930" s="112" t="s">
        <v>1705</v>
      </c>
      <c r="C930" s="112" t="s">
        <v>1706</v>
      </c>
      <c r="D930" s="112">
        <v>80</v>
      </c>
      <c r="E930" s="112" t="s">
        <v>1707</v>
      </c>
      <c r="F930" s="112" t="s">
        <v>1708</v>
      </c>
      <c r="G930" s="112">
        <v>-4.3957457925474701</v>
      </c>
      <c r="H930" s="112">
        <v>-2.9331059746330901</v>
      </c>
      <c r="I930" s="112">
        <v>0</v>
      </c>
      <c r="J930" s="112">
        <v>1</v>
      </c>
      <c r="K930" s="112" t="s">
        <v>1709</v>
      </c>
      <c r="L930" s="112">
        <v>7.7017584736352304E-3</v>
      </c>
      <c r="M930" s="229">
        <v>4.9339040261180199E-4</v>
      </c>
      <c r="N930" s="112" t="s">
        <v>2710</v>
      </c>
      <c r="O930" s="112" t="s">
        <v>1710</v>
      </c>
      <c r="P930" s="112" t="s">
        <v>2310</v>
      </c>
      <c r="Q930" s="112" t="s">
        <v>2711</v>
      </c>
    </row>
    <row r="931" spans="1:18">
      <c r="A931" s="112" t="s">
        <v>2712</v>
      </c>
      <c r="B931" s="112" t="s">
        <v>1731</v>
      </c>
      <c r="C931" s="112" t="s">
        <v>1706</v>
      </c>
      <c r="D931" s="112">
        <v>30</v>
      </c>
      <c r="E931" s="112" t="s">
        <v>1707</v>
      </c>
      <c r="F931" s="112" t="s">
        <v>1708</v>
      </c>
      <c r="G931" s="112">
        <v>2.9840776208632902</v>
      </c>
      <c r="H931" s="112">
        <v>1.9721245639851599</v>
      </c>
      <c r="I931" s="112">
        <v>1.6152129401105</v>
      </c>
      <c r="J931" s="112" t="s">
        <v>848</v>
      </c>
      <c r="K931" s="112" t="s">
        <v>1732</v>
      </c>
      <c r="L931" s="112">
        <v>7.9998760015103799E-3</v>
      </c>
      <c r="M931" s="229">
        <v>4.38784931720362E-4</v>
      </c>
      <c r="N931" s="112" t="s">
        <v>2712</v>
      </c>
      <c r="O931" s="112" t="s">
        <v>1710</v>
      </c>
      <c r="P931" s="112" t="s">
        <v>2310</v>
      </c>
      <c r="Q931" s="112" t="s">
        <v>2713</v>
      </c>
    </row>
    <row r="932" spans="1:18">
      <c r="A932" s="112" t="s">
        <v>2669</v>
      </c>
      <c r="B932" s="112" t="s">
        <v>1748</v>
      </c>
      <c r="C932" s="112" t="s">
        <v>1706</v>
      </c>
      <c r="D932" s="112">
        <v>80</v>
      </c>
      <c r="E932" s="112" t="s">
        <v>1707</v>
      </c>
      <c r="F932" s="112" t="s">
        <v>440</v>
      </c>
      <c r="G932" s="112">
        <v>-5.68913209533972</v>
      </c>
      <c r="H932" s="112">
        <v>-3.63828276330953</v>
      </c>
      <c r="I932" s="112">
        <v>0</v>
      </c>
      <c r="J932" s="112">
        <v>1</v>
      </c>
      <c r="K932" s="112" t="s">
        <v>1749</v>
      </c>
      <c r="L932" s="112">
        <v>9.3404082195408505E-3</v>
      </c>
      <c r="M932" s="229">
        <v>4.0454618933318399E-4</v>
      </c>
      <c r="N932" s="112" t="s">
        <v>2669</v>
      </c>
      <c r="O932" s="112" t="s">
        <v>1710</v>
      </c>
      <c r="P932" s="112" t="s">
        <v>2310</v>
      </c>
      <c r="Q932" s="112" t="s">
        <v>2670</v>
      </c>
    </row>
    <row r="933" spans="1:18">
      <c r="A933" s="112" t="s">
        <v>2698</v>
      </c>
      <c r="B933" s="112" t="s">
        <v>1762</v>
      </c>
      <c r="C933" s="112" t="s">
        <v>1706</v>
      </c>
      <c r="D933" s="112">
        <v>55</v>
      </c>
      <c r="E933" s="112" t="s">
        <v>1707</v>
      </c>
      <c r="F933" s="112" t="s">
        <v>1708</v>
      </c>
      <c r="G933" s="112">
        <v>2.2985401425184202</v>
      </c>
      <c r="H933" s="112">
        <v>1.8742663616769799</v>
      </c>
      <c r="I933" s="112">
        <v>1.36920897837325</v>
      </c>
      <c r="J933" s="112" t="s">
        <v>848</v>
      </c>
      <c r="K933" s="112" t="s">
        <v>1763</v>
      </c>
      <c r="L933" s="112">
        <v>9.8902627953857299E-3</v>
      </c>
      <c r="M933" s="229">
        <v>2.44045445600427E-4</v>
      </c>
      <c r="N933" s="112" t="s">
        <v>2698</v>
      </c>
      <c r="O933" s="112" t="s">
        <v>1710</v>
      </c>
      <c r="P933" s="112" t="s">
        <v>2310</v>
      </c>
      <c r="Q933" s="112" t="s">
        <v>2699</v>
      </c>
      <c r="R933" s="112" t="s">
        <v>2673</v>
      </c>
    </row>
    <row r="934" spans="1:18">
      <c r="A934" s="112" t="s">
        <v>2658</v>
      </c>
      <c r="B934" s="112" t="s">
        <v>1743</v>
      </c>
      <c r="C934" s="112" t="s">
        <v>1706</v>
      </c>
      <c r="D934" s="112">
        <v>55</v>
      </c>
      <c r="E934" s="112" t="s">
        <v>1707</v>
      </c>
      <c r="F934" s="112" t="s">
        <v>440</v>
      </c>
      <c r="G934" s="112">
        <v>2.7583846855270999</v>
      </c>
      <c r="H934" s="112">
        <v>2.1762048164463299</v>
      </c>
      <c r="I934" s="112">
        <v>1.5159560371470899</v>
      </c>
      <c r="J934" s="112" t="s">
        <v>848</v>
      </c>
      <c r="K934" s="112" t="s">
        <v>1744</v>
      </c>
      <c r="L934" s="112">
        <v>9.9198192963455608E-3</v>
      </c>
      <c r="M934" s="229">
        <v>2.60506657402302E-4</v>
      </c>
      <c r="N934" s="112" t="s">
        <v>2658</v>
      </c>
      <c r="O934" s="112" t="s">
        <v>1710</v>
      </c>
      <c r="P934" s="112" t="s">
        <v>2310</v>
      </c>
      <c r="Q934" s="112" t="s">
        <v>2659</v>
      </c>
      <c r="R934" s="112" t="s">
        <v>2660</v>
      </c>
    </row>
    <row r="935" spans="1:18">
      <c r="A935" s="112" t="s">
        <v>2691</v>
      </c>
      <c r="B935" s="112" t="s">
        <v>1731</v>
      </c>
      <c r="C935" s="112" t="s">
        <v>1706</v>
      </c>
      <c r="D935" s="112">
        <v>30</v>
      </c>
      <c r="E935" s="112" t="s">
        <v>1707</v>
      </c>
      <c r="F935" s="112" t="s">
        <v>1708</v>
      </c>
      <c r="G935" s="112">
        <v>2.8854854478756198</v>
      </c>
      <c r="H935" s="112">
        <v>1.87445002542615</v>
      </c>
      <c r="I935" s="112">
        <v>1.17116945103827</v>
      </c>
      <c r="J935" s="112" t="s">
        <v>848</v>
      </c>
      <c r="K935" s="112" t="s">
        <v>1732</v>
      </c>
      <c r="L935" s="112">
        <v>1.02286863862405E-2</v>
      </c>
      <c r="M935" s="229">
        <v>6.1794925703837704E-4</v>
      </c>
      <c r="N935" s="112" t="s">
        <v>2691</v>
      </c>
      <c r="O935" s="112" t="s">
        <v>1710</v>
      </c>
      <c r="P935" s="112" t="s">
        <v>2310</v>
      </c>
      <c r="Q935" s="112" t="s">
        <v>2692</v>
      </c>
    </row>
    <row r="936" spans="1:18">
      <c r="A936" s="112" t="s">
        <v>2654</v>
      </c>
      <c r="B936" s="112" t="s">
        <v>1748</v>
      </c>
      <c r="C936" s="112" t="s">
        <v>1706</v>
      </c>
      <c r="D936" s="112">
        <v>80</v>
      </c>
      <c r="E936" s="112" t="s">
        <v>1707</v>
      </c>
      <c r="F936" s="112" t="s">
        <v>440</v>
      </c>
      <c r="G936" s="112">
        <v>7.1391910906261398</v>
      </c>
      <c r="H936" s="112">
        <v>3.6906966649505599</v>
      </c>
      <c r="I936" s="112">
        <v>1.18933001774541</v>
      </c>
      <c r="J936" s="112" t="s">
        <v>848</v>
      </c>
      <c r="K936" s="112" t="s">
        <v>1749</v>
      </c>
      <c r="L936" s="112">
        <v>1.1471630391047399E-2</v>
      </c>
      <c r="M936" s="229">
        <v>5.5567392841569102E-4</v>
      </c>
      <c r="N936" s="112" t="s">
        <v>2654</v>
      </c>
      <c r="O936" s="112" t="s">
        <v>1710</v>
      </c>
      <c r="P936" s="112" t="s">
        <v>2310</v>
      </c>
      <c r="Q936" s="112" t="s">
        <v>2655</v>
      </c>
    </row>
    <row r="937" spans="1:18">
      <c r="A937" s="112" t="s">
        <v>2710</v>
      </c>
      <c r="B937" s="112" t="s">
        <v>1748</v>
      </c>
      <c r="C937" s="112" t="s">
        <v>1706</v>
      </c>
      <c r="D937" s="112">
        <v>80</v>
      </c>
      <c r="E937" s="112" t="s">
        <v>1707</v>
      </c>
      <c r="F937" s="112" t="s">
        <v>440</v>
      </c>
      <c r="G937" s="112">
        <v>-5.87839959202151</v>
      </c>
      <c r="H937" s="112">
        <v>-3.5622299926418499</v>
      </c>
      <c r="I937" s="112">
        <v>0</v>
      </c>
      <c r="J937" s="112">
        <v>1</v>
      </c>
      <c r="K937" s="112" t="s">
        <v>1749</v>
      </c>
      <c r="L937" s="112">
        <v>1.1471630391047399E-2</v>
      </c>
      <c r="M937" s="229">
        <v>5.5376902664785099E-4</v>
      </c>
      <c r="N937" s="112" t="s">
        <v>2710</v>
      </c>
      <c r="O937" s="112" t="s">
        <v>1710</v>
      </c>
      <c r="P937" s="112" t="s">
        <v>2310</v>
      </c>
      <c r="Q937" s="112" t="s">
        <v>2711</v>
      </c>
    </row>
    <row r="938" spans="1:18">
      <c r="A938" s="112" t="s">
        <v>2676</v>
      </c>
      <c r="B938" s="112" t="s">
        <v>1748</v>
      </c>
      <c r="C938" s="112" t="s">
        <v>1706</v>
      </c>
      <c r="D938" s="112">
        <v>80</v>
      </c>
      <c r="E938" s="112" t="s">
        <v>1707</v>
      </c>
      <c r="F938" s="112" t="s">
        <v>440</v>
      </c>
      <c r="G938" s="112">
        <v>-5.3714993107341602</v>
      </c>
      <c r="H938" s="112">
        <v>-3.4507419963886701</v>
      </c>
      <c r="I938" s="112">
        <v>0</v>
      </c>
      <c r="J938" s="112">
        <v>1</v>
      </c>
      <c r="K938" s="112" t="s">
        <v>1749</v>
      </c>
      <c r="L938" s="112">
        <v>1.1471630391047399E-2</v>
      </c>
      <c r="M938" s="229">
        <v>5.59745123247381E-4</v>
      </c>
      <c r="N938" s="112" t="s">
        <v>2676</v>
      </c>
      <c r="O938" s="112" t="s">
        <v>1710</v>
      </c>
      <c r="P938" s="112" t="s">
        <v>2310</v>
      </c>
      <c r="Q938" s="112" t="s">
        <v>2677</v>
      </c>
      <c r="R938" s="112" t="s">
        <v>2678</v>
      </c>
    </row>
    <row r="939" spans="1:18">
      <c r="A939" s="112" t="s">
        <v>2661</v>
      </c>
      <c r="B939" s="112" t="s">
        <v>1755</v>
      </c>
      <c r="C939" s="112" t="s">
        <v>1706</v>
      </c>
      <c r="D939" s="112">
        <v>30</v>
      </c>
      <c r="E939" s="112" t="s">
        <v>1707</v>
      </c>
      <c r="F939" s="112" t="s">
        <v>1721</v>
      </c>
      <c r="G939" s="112">
        <v>5.4173301768178002</v>
      </c>
      <c r="H939" s="112">
        <v>3.3611426520309098</v>
      </c>
      <c r="I939" s="112">
        <v>2.0368077151848998</v>
      </c>
      <c r="J939" s="112" t="s">
        <v>848</v>
      </c>
      <c r="K939" s="112" t="s">
        <v>1756</v>
      </c>
      <c r="L939" s="112">
        <v>1.17247679549365E-2</v>
      </c>
      <c r="M939" s="229">
        <v>4.8492610373545398E-4</v>
      </c>
      <c r="N939" s="112" t="s">
        <v>2661</v>
      </c>
      <c r="O939" s="112" t="s">
        <v>1710</v>
      </c>
      <c r="P939" s="112" t="s">
        <v>2310</v>
      </c>
      <c r="Q939" s="112" t="s">
        <v>2662</v>
      </c>
    </row>
    <row r="940" spans="1:18">
      <c r="A940" s="112" t="s">
        <v>2714</v>
      </c>
      <c r="B940" s="112" t="s">
        <v>1755</v>
      </c>
      <c r="C940" s="112" t="s">
        <v>1706</v>
      </c>
      <c r="D940" s="112">
        <v>30</v>
      </c>
      <c r="E940" s="112" t="s">
        <v>1707</v>
      </c>
      <c r="F940" s="112" t="s">
        <v>1721</v>
      </c>
      <c r="G940" s="112">
        <v>-8.3677912702028703</v>
      </c>
      <c r="H940" s="112">
        <v>-3.92582054080445</v>
      </c>
      <c r="I940" s="112">
        <v>0</v>
      </c>
      <c r="J940" s="112">
        <v>1</v>
      </c>
      <c r="K940" s="112" t="s">
        <v>1756</v>
      </c>
      <c r="L940" s="112">
        <v>1.2120840840092699E-2</v>
      </c>
      <c r="M940" s="229">
        <v>5.2029046531399596E-4</v>
      </c>
      <c r="N940" s="112" t="s">
        <v>2714</v>
      </c>
      <c r="O940" s="112" t="s">
        <v>1710</v>
      </c>
      <c r="P940" s="112" t="s">
        <v>2310</v>
      </c>
      <c r="Q940" s="112" t="s">
        <v>2715</v>
      </c>
    </row>
    <row r="941" spans="1:18">
      <c r="A941" s="112" t="s">
        <v>2652</v>
      </c>
      <c r="B941" s="112" t="s">
        <v>1796</v>
      </c>
      <c r="C941" s="112" t="s">
        <v>1706</v>
      </c>
      <c r="D941" s="112">
        <v>80</v>
      </c>
      <c r="E941" s="112" t="s">
        <v>1707</v>
      </c>
      <c r="F941" s="112" t="s">
        <v>1721</v>
      </c>
      <c r="G941" s="112">
        <v>6.66049365135183</v>
      </c>
      <c r="H941" s="112">
        <v>2.98888339967383</v>
      </c>
      <c r="I941" s="112">
        <v>1.0070778381702301</v>
      </c>
      <c r="J941" s="112" t="s">
        <v>848</v>
      </c>
      <c r="K941" s="112" t="s">
        <v>1797</v>
      </c>
      <c r="L941" s="112">
        <v>1.3594433944348E-2</v>
      </c>
      <c r="M941" s="229">
        <v>4.2231229708773402E-4</v>
      </c>
      <c r="N941" s="112" t="s">
        <v>2652</v>
      </c>
      <c r="O941" s="112" t="s">
        <v>1710</v>
      </c>
      <c r="P941" s="112" t="s">
        <v>2310</v>
      </c>
      <c r="Q941" s="112" t="s">
        <v>2653</v>
      </c>
    </row>
    <row r="942" spans="1:18">
      <c r="A942" s="112" t="s">
        <v>2695</v>
      </c>
      <c r="B942" s="112" t="s">
        <v>1705</v>
      </c>
      <c r="C942" s="112" t="s">
        <v>1706</v>
      </c>
      <c r="D942" s="112">
        <v>80</v>
      </c>
      <c r="E942" s="112" t="s">
        <v>1707</v>
      </c>
      <c r="F942" s="112" t="s">
        <v>1708</v>
      </c>
      <c r="G942" s="112">
        <v>-4.09024878269331</v>
      </c>
      <c r="H942" s="112">
        <v>-2.5925519068173002</v>
      </c>
      <c r="I942" s="112">
        <v>-8.6055292215317198</v>
      </c>
      <c r="J942" s="112" t="s">
        <v>848</v>
      </c>
      <c r="K942" s="112" t="s">
        <v>1709</v>
      </c>
      <c r="L942" s="112">
        <v>1.5920516517239601E-2</v>
      </c>
      <c r="M942" s="112">
        <v>1.44017830336872E-3</v>
      </c>
      <c r="N942" s="112" t="s">
        <v>2695</v>
      </c>
      <c r="O942" s="112" t="s">
        <v>1710</v>
      </c>
      <c r="P942" s="112" t="s">
        <v>2310</v>
      </c>
      <c r="Q942" s="112" t="s">
        <v>2696</v>
      </c>
      <c r="R942" s="112" t="s">
        <v>2697</v>
      </c>
    </row>
    <row r="943" spans="1:18">
      <c r="A943" s="112" t="s">
        <v>2716</v>
      </c>
      <c r="B943" s="112" t="s">
        <v>1755</v>
      </c>
      <c r="C943" s="112" t="s">
        <v>1706</v>
      </c>
      <c r="D943" s="112">
        <v>30</v>
      </c>
      <c r="E943" s="112" t="s">
        <v>1707</v>
      </c>
      <c r="F943" s="112" t="s">
        <v>1721</v>
      </c>
      <c r="G943" s="112">
        <v>-8.0333706546342505</v>
      </c>
      <c r="H943" s="112">
        <v>-3.3674590557278501</v>
      </c>
      <c r="I943" s="112">
        <v>0</v>
      </c>
      <c r="J943" s="112">
        <v>1</v>
      </c>
      <c r="K943" s="112" t="s">
        <v>1756</v>
      </c>
      <c r="L943" s="112">
        <v>2.00462045824253E-2</v>
      </c>
      <c r="M943" s="112">
        <v>1.14708218718273E-3</v>
      </c>
      <c r="N943" s="112" t="s">
        <v>2716</v>
      </c>
      <c r="O943" s="112" t="s">
        <v>1710</v>
      </c>
      <c r="P943" s="112" t="s">
        <v>2310</v>
      </c>
      <c r="Q943" s="112" t="s">
        <v>2717</v>
      </c>
    </row>
    <row r="944" spans="1:18">
      <c r="A944" s="112" t="s">
        <v>2718</v>
      </c>
      <c r="B944" s="112" t="s">
        <v>1705</v>
      </c>
      <c r="C944" s="112" t="s">
        <v>1706</v>
      </c>
      <c r="D944" s="112">
        <v>80</v>
      </c>
      <c r="E944" s="112" t="s">
        <v>1707</v>
      </c>
      <c r="F944" s="112" t="s">
        <v>1708</v>
      </c>
      <c r="G944" s="112">
        <v>-4.1194220925938998</v>
      </c>
      <c r="H944" s="112">
        <v>-2.5085928803076101</v>
      </c>
      <c r="I944" s="112">
        <v>0</v>
      </c>
      <c r="J944" s="112">
        <v>1</v>
      </c>
      <c r="K944" s="112" t="s">
        <v>1709</v>
      </c>
      <c r="L944" s="112">
        <v>2.01233935868428E-2</v>
      </c>
      <c r="M944" s="112">
        <v>1.9841111107002699E-3</v>
      </c>
      <c r="N944" s="112" t="s">
        <v>2718</v>
      </c>
      <c r="O944" s="112" t="s">
        <v>1710</v>
      </c>
      <c r="P944" s="112" t="s">
        <v>2310</v>
      </c>
      <c r="Q944" s="112" t="s">
        <v>2719</v>
      </c>
      <c r="R944" s="112" t="s">
        <v>2720</v>
      </c>
    </row>
    <row r="945" spans="1:18">
      <c r="A945" s="112" t="s">
        <v>2721</v>
      </c>
      <c r="B945" s="112" t="s">
        <v>1705</v>
      </c>
      <c r="C945" s="112" t="s">
        <v>1706</v>
      </c>
      <c r="D945" s="112">
        <v>80</v>
      </c>
      <c r="E945" s="112" t="s">
        <v>1707</v>
      </c>
      <c r="F945" s="112" t="s">
        <v>1708</v>
      </c>
      <c r="G945" s="112">
        <v>2.90175051915634</v>
      </c>
      <c r="H945" s="112">
        <v>2.0945514220567798</v>
      </c>
      <c r="I945" s="112">
        <v>1.7228719124474801</v>
      </c>
      <c r="J945" s="112" t="s">
        <v>848</v>
      </c>
      <c r="K945" s="112" t="s">
        <v>1709</v>
      </c>
      <c r="L945" s="112">
        <v>2.1983374961885498E-2</v>
      </c>
      <c r="M945" s="112">
        <v>2.28510835650523E-3</v>
      </c>
      <c r="N945" s="112" t="s">
        <v>2721</v>
      </c>
      <c r="O945" s="112" t="s">
        <v>1710</v>
      </c>
      <c r="P945" s="112" t="s">
        <v>2310</v>
      </c>
      <c r="Q945" s="112" t="s">
        <v>2722</v>
      </c>
      <c r="R945" s="112" t="s">
        <v>2673</v>
      </c>
    </row>
    <row r="946" spans="1:18">
      <c r="A946" s="112" t="s">
        <v>2658</v>
      </c>
      <c r="B946" s="112" t="s">
        <v>1762</v>
      </c>
      <c r="C946" s="112" t="s">
        <v>1706</v>
      </c>
      <c r="D946" s="112">
        <v>55</v>
      </c>
      <c r="E946" s="112" t="s">
        <v>1707</v>
      </c>
      <c r="F946" s="112" t="s">
        <v>1708</v>
      </c>
      <c r="G946" s="112">
        <v>2.1527244615271401</v>
      </c>
      <c r="H946" s="112">
        <v>1.6620427007415599</v>
      </c>
      <c r="I946" s="112">
        <v>0.803521669495456</v>
      </c>
      <c r="J946" s="112" t="s">
        <v>848</v>
      </c>
      <c r="K946" s="112" t="s">
        <v>1763</v>
      </c>
      <c r="L946" s="112">
        <v>2.2492682633116001E-2</v>
      </c>
      <c r="M946" s="229">
        <v>7.0107062752569496E-4</v>
      </c>
      <c r="N946" s="112" t="s">
        <v>2658</v>
      </c>
      <c r="O946" s="112" t="s">
        <v>1710</v>
      </c>
      <c r="P946" s="112" t="s">
        <v>2310</v>
      </c>
      <c r="Q946" s="112" t="s">
        <v>2659</v>
      </c>
      <c r="R946" s="112" t="s">
        <v>2660</v>
      </c>
    </row>
    <row r="947" spans="1:18">
      <c r="A947" s="112" t="s">
        <v>2676</v>
      </c>
      <c r="B947" s="112" t="s">
        <v>1705</v>
      </c>
      <c r="C947" s="112" t="s">
        <v>1706</v>
      </c>
      <c r="D947" s="112">
        <v>80</v>
      </c>
      <c r="E947" s="112" t="s">
        <v>1707</v>
      </c>
      <c r="F947" s="112" t="s">
        <v>1708</v>
      </c>
      <c r="G947" s="112">
        <v>-3.2816269549960801</v>
      </c>
      <c r="H947" s="112">
        <v>-2.2343333072101901</v>
      </c>
      <c r="I947" s="112">
        <v>-7.3610303834515101</v>
      </c>
      <c r="J947" s="112" t="s">
        <v>848</v>
      </c>
      <c r="K947" s="112" t="s">
        <v>1709</v>
      </c>
      <c r="L947" s="112">
        <v>2.2603054622333901E-2</v>
      </c>
      <c r="M947" s="112">
        <v>2.39166093317459E-3</v>
      </c>
      <c r="N947" s="112" t="s">
        <v>2676</v>
      </c>
      <c r="O947" s="112" t="s">
        <v>1710</v>
      </c>
      <c r="P947" s="112" t="s">
        <v>2310</v>
      </c>
      <c r="Q947" s="112" t="s">
        <v>2677</v>
      </c>
      <c r="R947" s="112" t="s">
        <v>2678</v>
      </c>
    </row>
    <row r="948" spans="1:18">
      <c r="A948" s="112" t="s">
        <v>2723</v>
      </c>
      <c r="B948" s="112" t="s">
        <v>1762</v>
      </c>
      <c r="C948" s="112" t="s">
        <v>1706</v>
      </c>
      <c r="D948" s="112">
        <v>55</v>
      </c>
      <c r="E948" s="112" t="s">
        <v>1707</v>
      </c>
      <c r="F948" s="112" t="s">
        <v>1708</v>
      </c>
      <c r="G948" s="112">
        <v>4.7405193950012698</v>
      </c>
      <c r="H948" s="112">
        <v>1.9858784101148399</v>
      </c>
      <c r="I948" s="112">
        <v>2.1653829139442902</v>
      </c>
      <c r="J948" s="112" t="s">
        <v>848</v>
      </c>
      <c r="K948" s="112" t="s">
        <v>1763</v>
      </c>
      <c r="L948" s="112">
        <v>2.3802868417383601E-2</v>
      </c>
      <c r="M948" s="229">
        <v>7.6829181747885603E-4</v>
      </c>
      <c r="N948" s="112" t="s">
        <v>2723</v>
      </c>
      <c r="O948" s="112" t="s">
        <v>1710</v>
      </c>
      <c r="P948" s="112" t="s">
        <v>2310</v>
      </c>
      <c r="Q948" s="112" t="s">
        <v>2724</v>
      </c>
    </row>
    <row r="949" spans="1:18">
      <c r="A949" s="112" t="s">
        <v>2665</v>
      </c>
      <c r="B949" s="112" t="s">
        <v>1796</v>
      </c>
      <c r="C949" s="112" t="s">
        <v>1706</v>
      </c>
      <c r="D949" s="112">
        <v>80</v>
      </c>
      <c r="E949" s="112" t="s">
        <v>1707</v>
      </c>
      <c r="F949" s="112" t="s">
        <v>1721</v>
      </c>
      <c r="G949" s="112">
        <v>-4.4445301547494704</v>
      </c>
      <c r="H949" s="112">
        <v>-2.4257732225202102</v>
      </c>
      <c r="I949" s="112">
        <v>0</v>
      </c>
      <c r="J949" s="112">
        <v>1</v>
      </c>
      <c r="K949" s="112" t="s">
        <v>1797</v>
      </c>
      <c r="L949" s="112">
        <v>2.53016659494524E-2</v>
      </c>
      <c r="M949" s="112">
        <v>1.2149845948077099E-3</v>
      </c>
      <c r="N949" s="112" t="s">
        <v>2665</v>
      </c>
      <c r="O949" s="112" t="s">
        <v>1710</v>
      </c>
      <c r="P949" s="112" t="s">
        <v>2310</v>
      </c>
      <c r="Q949" s="112" t="s">
        <v>2666</v>
      </c>
    </row>
    <row r="950" spans="1:18">
      <c r="A950" s="112" t="s">
        <v>2669</v>
      </c>
      <c r="B950" s="112" t="s">
        <v>1755</v>
      </c>
      <c r="C950" s="112" t="s">
        <v>1706</v>
      </c>
      <c r="D950" s="112">
        <v>30</v>
      </c>
      <c r="E950" s="112" t="s">
        <v>1707</v>
      </c>
      <c r="F950" s="112" t="s">
        <v>1721</v>
      </c>
      <c r="G950" s="112">
        <v>4.2589472688221797</v>
      </c>
      <c r="H950" s="112">
        <v>2.5778378436124201</v>
      </c>
      <c r="I950" s="112">
        <v>1.7507543051193999</v>
      </c>
      <c r="J950" s="112" t="s">
        <v>848</v>
      </c>
      <c r="K950" s="112" t="s">
        <v>1756</v>
      </c>
      <c r="L950" s="112">
        <v>2.56040589528427E-2</v>
      </c>
      <c r="M950" s="112">
        <v>1.64859203114488E-3</v>
      </c>
      <c r="N950" s="112" t="s">
        <v>2669</v>
      </c>
      <c r="O950" s="112" t="s">
        <v>1710</v>
      </c>
      <c r="P950" s="112" t="s">
        <v>2310</v>
      </c>
      <c r="Q950" s="112" t="s">
        <v>2670</v>
      </c>
    </row>
    <row r="951" spans="1:18">
      <c r="A951" s="112" t="s">
        <v>2718</v>
      </c>
      <c r="B951" s="112" t="s">
        <v>1748</v>
      </c>
      <c r="C951" s="112" t="s">
        <v>1706</v>
      </c>
      <c r="D951" s="112">
        <v>80</v>
      </c>
      <c r="E951" s="112" t="s">
        <v>1707</v>
      </c>
      <c r="F951" s="112" t="s">
        <v>440</v>
      </c>
      <c r="G951" s="112">
        <v>-5.62891885119351</v>
      </c>
      <c r="H951" s="112">
        <v>-3.0504211132083401</v>
      </c>
      <c r="I951" s="112">
        <v>0</v>
      </c>
      <c r="J951" s="112">
        <v>1</v>
      </c>
      <c r="K951" s="112" t="s">
        <v>1749</v>
      </c>
      <c r="L951" s="112">
        <v>2.5683318233657899E-2</v>
      </c>
      <c r="M951" s="112">
        <v>1.61928815617909E-3</v>
      </c>
      <c r="N951" s="112" t="s">
        <v>2718</v>
      </c>
      <c r="O951" s="112" t="s">
        <v>1710</v>
      </c>
      <c r="P951" s="112" t="s">
        <v>2310</v>
      </c>
      <c r="Q951" s="112" t="s">
        <v>2719</v>
      </c>
      <c r="R951" s="112" t="s">
        <v>2720</v>
      </c>
    </row>
    <row r="952" spans="1:18">
      <c r="A952" s="112" t="s">
        <v>2725</v>
      </c>
      <c r="B952" s="112" t="s">
        <v>1755</v>
      </c>
      <c r="C952" s="112" t="s">
        <v>1706</v>
      </c>
      <c r="D952" s="112">
        <v>30</v>
      </c>
      <c r="E952" s="112" t="s">
        <v>1707</v>
      </c>
      <c r="F952" s="112" t="s">
        <v>1721</v>
      </c>
      <c r="G952" s="112">
        <v>-6.9548427575676897</v>
      </c>
      <c r="H952" s="112">
        <v>-3.0498219784027301</v>
      </c>
      <c r="I952" s="112">
        <v>0</v>
      </c>
      <c r="J952" s="112">
        <v>1</v>
      </c>
      <c r="K952" s="112" t="s">
        <v>1756</v>
      </c>
      <c r="L952" s="112">
        <v>2.66266489510807E-2</v>
      </c>
      <c r="M952" s="112">
        <v>1.7567661867565101E-3</v>
      </c>
      <c r="N952" s="112" t="s">
        <v>2725</v>
      </c>
      <c r="O952" s="112" t="s">
        <v>1710</v>
      </c>
      <c r="P952" s="112" t="s">
        <v>2310</v>
      </c>
      <c r="Q952" s="112" t="s">
        <v>2726</v>
      </c>
    </row>
    <row r="953" spans="1:18">
      <c r="A953" s="112" t="s">
        <v>2712</v>
      </c>
      <c r="B953" s="112" t="s">
        <v>1748</v>
      </c>
      <c r="C953" s="112" t="s">
        <v>1706</v>
      </c>
      <c r="D953" s="112">
        <v>80</v>
      </c>
      <c r="E953" s="112" t="s">
        <v>1707</v>
      </c>
      <c r="F953" s="112" t="s">
        <v>440</v>
      </c>
      <c r="G953" s="112">
        <v>-5.1785018860369503</v>
      </c>
      <c r="H953" s="112">
        <v>-2.96543593022361</v>
      </c>
      <c r="I953" s="112">
        <v>0</v>
      </c>
      <c r="J953" s="112">
        <v>1</v>
      </c>
      <c r="K953" s="112" t="s">
        <v>1749</v>
      </c>
      <c r="L953" s="112">
        <v>2.6662918693437902E-2</v>
      </c>
      <c r="M953" s="112">
        <v>1.7292404116856399E-3</v>
      </c>
      <c r="N953" s="112" t="s">
        <v>2712</v>
      </c>
      <c r="O953" s="112" t="s">
        <v>1710</v>
      </c>
      <c r="P953" s="112" t="s">
        <v>2310</v>
      </c>
      <c r="Q953" s="112" t="s">
        <v>2713</v>
      </c>
    </row>
    <row r="954" spans="1:18">
      <c r="A954" s="112" t="s">
        <v>2661</v>
      </c>
      <c r="B954" s="112" t="s">
        <v>1796</v>
      </c>
      <c r="C954" s="112" t="s">
        <v>1706</v>
      </c>
      <c r="D954" s="112">
        <v>80</v>
      </c>
      <c r="E954" s="112" t="s">
        <v>1707</v>
      </c>
      <c r="F954" s="112" t="s">
        <v>1721</v>
      </c>
      <c r="G954" s="112">
        <v>-4.7059638466439599</v>
      </c>
      <c r="H954" s="112">
        <v>-2.3936182177363898</v>
      </c>
      <c r="I954" s="112">
        <v>0</v>
      </c>
      <c r="J954" s="112">
        <v>1</v>
      </c>
      <c r="K954" s="112" t="s">
        <v>1797</v>
      </c>
      <c r="L954" s="112">
        <v>2.8011747818701801E-2</v>
      </c>
      <c r="M954" s="112">
        <v>1.38127795249386E-3</v>
      </c>
      <c r="N954" s="112" t="s">
        <v>2661</v>
      </c>
      <c r="O954" s="112" t="s">
        <v>1710</v>
      </c>
      <c r="P954" s="112" t="s">
        <v>2310</v>
      </c>
      <c r="Q954" s="112" t="s">
        <v>2662</v>
      </c>
    </row>
    <row r="955" spans="1:18">
      <c r="A955" s="112" t="s">
        <v>2725</v>
      </c>
      <c r="B955" s="112" t="s">
        <v>1748</v>
      </c>
      <c r="C955" s="112" t="s">
        <v>1706</v>
      </c>
      <c r="D955" s="112">
        <v>80</v>
      </c>
      <c r="E955" s="112" t="s">
        <v>1707</v>
      </c>
      <c r="F955" s="112" t="s">
        <v>440</v>
      </c>
      <c r="G955" s="112">
        <v>2.3896914710637098</v>
      </c>
      <c r="H955" s="112">
        <v>1.84269868721966</v>
      </c>
      <c r="I955" s="112">
        <v>1.95825130632754</v>
      </c>
      <c r="J955" s="112" t="s">
        <v>848</v>
      </c>
      <c r="K955" s="112" t="s">
        <v>1749</v>
      </c>
      <c r="L955" s="112">
        <v>2.9059072482725299E-2</v>
      </c>
      <c r="M955" s="112">
        <v>1.9234515736964899E-3</v>
      </c>
      <c r="N955" s="112" t="s">
        <v>2725</v>
      </c>
      <c r="O955" s="112" t="s">
        <v>1710</v>
      </c>
      <c r="P955" s="112" t="s">
        <v>2310</v>
      </c>
      <c r="Q955" s="112" t="s">
        <v>2726</v>
      </c>
    </row>
    <row r="956" spans="1:18">
      <c r="A956" s="112" t="s">
        <v>2727</v>
      </c>
      <c r="B956" s="112" t="s">
        <v>1755</v>
      </c>
      <c r="C956" s="112" t="s">
        <v>1706</v>
      </c>
      <c r="D956" s="112">
        <v>30</v>
      </c>
      <c r="E956" s="112" t="s">
        <v>1707</v>
      </c>
      <c r="F956" s="112" t="s">
        <v>1721</v>
      </c>
      <c r="G956" s="112">
        <v>-8.0532439982292203</v>
      </c>
      <c r="H956" s="112">
        <v>-2.9664964864827099</v>
      </c>
      <c r="I956" s="112">
        <v>0</v>
      </c>
      <c r="J956" s="112">
        <v>1</v>
      </c>
      <c r="K956" s="112" t="s">
        <v>1756</v>
      </c>
      <c r="L956" s="112">
        <v>2.9118837141801801E-2</v>
      </c>
      <c r="M956" s="112">
        <v>2.0600767135296998E-3</v>
      </c>
      <c r="N956" s="112" t="s">
        <v>2727</v>
      </c>
      <c r="O956" s="112" t="s">
        <v>1710</v>
      </c>
      <c r="P956" s="112" t="s">
        <v>2310</v>
      </c>
      <c r="Q956" s="112" t="s">
        <v>2728</v>
      </c>
      <c r="R956" s="112" t="s">
        <v>2673</v>
      </c>
    </row>
    <row r="957" spans="1:18">
      <c r="A957" s="112" t="s">
        <v>2729</v>
      </c>
      <c r="B957" s="112" t="s">
        <v>1748</v>
      </c>
      <c r="C957" s="112" t="s">
        <v>1706</v>
      </c>
      <c r="D957" s="112">
        <v>80</v>
      </c>
      <c r="E957" s="112" t="s">
        <v>1707</v>
      </c>
      <c r="F957" s="112" t="s">
        <v>440</v>
      </c>
      <c r="G957" s="112">
        <v>4.23180826949792</v>
      </c>
      <c r="H957" s="112">
        <v>2.68893884779026</v>
      </c>
      <c r="I957" s="112">
        <v>2.0537124355411498</v>
      </c>
      <c r="J957" s="112" t="s">
        <v>848</v>
      </c>
      <c r="K957" s="112" t="s">
        <v>1749</v>
      </c>
      <c r="L957" s="112">
        <v>2.96280671200038E-2</v>
      </c>
      <c r="M957" s="112">
        <v>2.07916260491255E-3</v>
      </c>
      <c r="N957" s="112" t="s">
        <v>2729</v>
      </c>
      <c r="O957" s="112" t="s">
        <v>1710</v>
      </c>
      <c r="P957" s="112" t="s">
        <v>2310</v>
      </c>
      <c r="Q957" s="112" t="s">
        <v>2730</v>
      </c>
      <c r="R957" s="112" t="s">
        <v>2731</v>
      </c>
    </row>
    <row r="958" spans="1:18">
      <c r="A958" s="112" t="s">
        <v>2732</v>
      </c>
      <c r="B958" s="112" t="s">
        <v>1755</v>
      </c>
      <c r="C958" s="112" t="s">
        <v>1706</v>
      </c>
      <c r="D958" s="112">
        <v>30</v>
      </c>
      <c r="E958" s="112" t="s">
        <v>1707</v>
      </c>
      <c r="F958" s="112" t="s">
        <v>1721</v>
      </c>
      <c r="G958" s="112">
        <v>-7.4216844001934499</v>
      </c>
      <c r="H958" s="112">
        <v>-2.9271382672025199</v>
      </c>
      <c r="I958" s="112">
        <v>0</v>
      </c>
      <c r="J958" s="112">
        <v>1</v>
      </c>
      <c r="K958" s="112" t="s">
        <v>1756</v>
      </c>
      <c r="L958" s="112">
        <v>3.06411377043549E-2</v>
      </c>
      <c r="M958" s="112">
        <v>2.1921322681970898E-3</v>
      </c>
      <c r="N958" s="112" t="s">
        <v>2732</v>
      </c>
      <c r="O958" s="112" t="s">
        <v>1710</v>
      </c>
      <c r="P958" s="112" t="s">
        <v>2310</v>
      </c>
      <c r="Q958" s="112" t="s">
        <v>2733</v>
      </c>
    </row>
    <row r="959" spans="1:18">
      <c r="A959" s="112" t="s">
        <v>2687</v>
      </c>
      <c r="B959" s="112" t="s">
        <v>1748</v>
      </c>
      <c r="C959" s="112" t="s">
        <v>1706</v>
      </c>
      <c r="D959" s="112">
        <v>80</v>
      </c>
      <c r="E959" s="112" t="s">
        <v>1707</v>
      </c>
      <c r="F959" s="112" t="s">
        <v>440</v>
      </c>
      <c r="G959" s="112">
        <v>-6.2337662429680103</v>
      </c>
      <c r="H959" s="112">
        <v>-2.90897897269888</v>
      </c>
      <c r="I959" s="112">
        <v>0</v>
      </c>
      <c r="J959" s="112">
        <v>1</v>
      </c>
      <c r="K959" s="112" t="s">
        <v>1749</v>
      </c>
      <c r="L959" s="112">
        <v>3.0981552821807399E-2</v>
      </c>
      <c r="M959" s="112">
        <v>2.1911295581212502E-3</v>
      </c>
      <c r="N959" s="112" t="s">
        <v>2687</v>
      </c>
      <c r="O959" s="112" t="s">
        <v>1710</v>
      </c>
      <c r="P959" s="112" t="s">
        <v>2310</v>
      </c>
      <c r="Q959" s="112" t="s">
        <v>2688</v>
      </c>
    </row>
    <row r="960" spans="1:18">
      <c r="A960" s="112" t="s">
        <v>2729</v>
      </c>
      <c r="B960" s="112" t="s">
        <v>1796</v>
      </c>
      <c r="C960" s="112" t="s">
        <v>1706</v>
      </c>
      <c r="D960" s="112">
        <v>80</v>
      </c>
      <c r="E960" s="112" t="s">
        <v>1707</v>
      </c>
      <c r="F960" s="112" t="s">
        <v>1721</v>
      </c>
      <c r="G960" s="112">
        <v>4.4900345473379399</v>
      </c>
      <c r="H960" s="112">
        <v>2.30942218910441</v>
      </c>
      <c r="I960" s="112">
        <v>2.05627404111143</v>
      </c>
      <c r="J960" s="112" t="s">
        <v>848</v>
      </c>
      <c r="K960" s="112" t="s">
        <v>1797</v>
      </c>
      <c r="L960" s="112">
        <v>3.1316942690129801E-2</v>
      </c>
      <c r="M960" s="112">
        <v>1.59269930907811E-3</v>
      </c>
      <c r="N960" s="112" t="s">
        <v>2729</v>
      </c>
      <c r="O960" s="112" t="s">
        <v>1710</v>
      </c>
      <c r="P960" s="112" t="s">
        <v>2310</v>
      </c>
      <c r="Q960" s="112" t="s">
        <v>2730</v>
      </c>
      <c r="R960" s="112" t="s">
        <v>2731</v>
      </c>
    </row>
    <row r="961" spans="1:18">
      <c r="A961" s="112" t="s">
        <v>2734</v>
      </c>
      <c r="B961" s="112" t="s">
        <v>1705</v>
      </c>
      <c r="C961" s="112" t="s">
        <v>1706</v>
      </c>
      <c r="D961" s="112">
        <v>80</v>
      </c>
      <c r="E961" s="112" t="s">
        <v>1707</v>
      </c>
      <c r="F961" s="112" t="s">
        <v>1708</v>
      </c>
      <c r="G961" s="112">
        <v>3.8862103735459499</v>
      </c>
      <c r="H961" s="112">
        <v>2.2495964071596002</v>
      </c>
      <c r="I961" s="112">
        <v>1.60872530592888</v>
      </c>
      <c r="J961" s="112" t="s">
        <v>848</v>
      </c>
      <c r="K961" s="112" t="s">
        <v>1709</v>
      </c>
      <c r="L961" s="112">
        <v>3.2073607543933097E-2</v>
      </c>
      <c r="M961" s="112">
        <v>3.96020994734274E-3</v>
      </c>
      <c r="N961" s="112" t="s">
        <v>2734</v>
      </c>
      <c r="O961" s="112" t="s">
        <v>1710</v>
      </c>
      <c r="P961" s="112" t="s">
        <v>2310</v>
      </c>
      <c r="Q961" s="112" t="s">
        <v>2735</v>
      </c>
      <c r="R961" s="112" t="s">
        <v>2736</v>
      </c>
    </row>
    <row r="962" spans="1:18">
      <c r="A962" s="112" t="s">
        <v>2663</v>
      </c>
      <c r="B962" s="112" t="s">
        <v>1720</v>
      </c>
      <c r="C962" s="112" t="s">
        <v>1706</v>
      </c>
      <c r="D962" s="112">
        <v>55</v>
      </c>
      <c r="E962" s="112" t="s">
        <v>1707</v>
      </c>
      <c r="F962" s="112" t="s">
        <v>1721</v>
      </c>
      <c r="G962" s="112">
        <v>2.57573344054149</v>
      </c>
      <c r="H962" s="112">
        <v>1.7791980419198199</v>
      </c>
      <c r="I962" s="112">
        <v>-0.57663470258322203</v>
      </c>
      <c r="J962" s="112" t="s">
        <v>848</v>
      </c>
      <c r="K962" s="112" t="s">
        <v>1722</v>
      </c>
      <c r="L962" s="112">
        <v>3.2791108825938699E-2</v>
      </c>
      <c r="M962" s="112">
        <v>1.07865489559009E-3</v>
      </c>
      <c r="N962" s="112" t="s">
        <v>2663</v>
      </c>
      <c r="O962" s="112" t="s">
        <v>1710</v>
      </c>
      <c r="P962" s="112" t="s">
        <v>2310</v>
      </c>
      <c r="Q962" s="112" t="s">
        <v>2664</v>
      </c>
    </row>
    <row r="963" spans="1:18">
      <c r="A963" s="112" t="s">
        <v>2700</v>
      </c>
      <c r="B963" s="112" t="s">
        <v>1755</v>
      </c>
      <c r="C963" s="112" t="s">
        <v>1706</v>
      </c>
      <c r="D963" s="112">
        <v>30</v>
      </c>
      <c r="E963" s="112" t="s">
        <v>1707</v>
      </c>
      <c r="F963" s="112" t="s">
        <v>1721</v>
      </c>
      <c r="G963" s="112">
        <v>-7.0045839373813301</v>
      </c>
      <c r="H963" s="112">
        <v>-2.7973665051669299</v>
      </c>
      <c r="I963" s="112">
        <v>0</v>
      </c>
      <c r="J963" s="112">
        <v>1</v>
      </c>
      <c r="K963" s="112" t="s">
        <v>1756</v>
      </c>
      <c r="L963" s="112">
        <v>3.47503970908319E-2</v>
      </c>
      <c r="M963" s="112">
        <v>2.6794821286253499E-3</v>
      </c>
      <c r="N963" s="112" t="s">
        <v>2700</v>
      </c>
      <c r="O963" s="112" t="s">
        <v>1710</v>
      </c>
      <c r="P963" s="112" t="s">
        <v>2310</v>
      </c>
      <c r="Q963" s="112" t="s">
        <v>2701</v>
      </c>
      <c r="R963" s="112" t="s">
        <v>2673</v>
      </c>
    </row>
    <row r="964" spans="1:18">
      <c r="A964" s="112" t="s">
        <v>2737</v>
      </c>
      <c r="B964" s="112" t="s">
        <v>1755</v>
      </c>
      <c r="C964" s="112" t="s">
        <v>1706</v>
      </c>
      <c r="D964" s="112">
        <v>30</v>
      </c>
      <c r="E964" s="112" t="s">
        <v>1707</v>
      </c>
      <c r="F964" s="112" t="s">
        <v>1721</v>
      </c>
      <c r="G964" s="112">
        <v>-8.0284144894522402</v>
      </c>
      <c r="H964" s="112">
        <v>-2.7887050578787398</v>
      </c>
      <c r="I964" s="112">
        <v>0</v>
      </c>
      <c r="J964" s="112">
        <v>1</v>
      </c>
      <c r="K964" s="112" t="s">
        <v>1756</v>
      </c>
      <c r="L964" s="112">
        <v>3.47503970908319E-2</v>
      </c>
      <c r="M964" s="112">
        <v>2.6706772347923702E-3</v>
      </c>
      <c r="N964" s="112" t="s">
        <v>2737</v>
      </c>
      <c r="O964" s="112" t="s">
        <v>1710</v>
      </c>
      <c r="P964" s="112" t="s">
        <v>2310</v>
      </c>
      <c r="Q964" s="112" t="s">
        <v>2738</v>
      </c>
      <c r="R964" s="112" t="s">
        <v>2739</v>
      </c>
    </row>
    <row r="965" spans="1:18">
      <c r="A965" s="112" t="s">
        <v>2706</v>
      </c>
      <c r="B965" s="112" t="s">
        <v>1705</v>
      </c>
      <c r="C965" s="112" t="s">
        <v>1706</v>
      </c>
      <c r="D965" s="112">
        <v>80</v>
      </c>
      <c r="E965" s="112" t="s">
        <v>1707</v>
      </c>
      <c r="F965" s="112" t="s">
        <v>1708</v>
      </c>
      <c r="G965" s="112">
        <v>2.0920971787525402</v>
      </c>
      <c r="H965" s="112">
        <v>1.57267899934294</v>
      </c>
      <c r="I965" s="112">
        <v>1.1558590645842199</v>
      </c>
      <c r="J965" s="112" t="s">
        <v>848</v>
      </c>
      <c r="K965" s="112" t="s">
        <v>1709</v>
      </c>
      <c r="L965" s="112">
        <v>3.5589463639222399E-2</v>
      </c>
      <c r="M965" s="112">
        <v>4.6828241630555902E-3</v>
      </c>
      <c r="N965" s="112" t="s">
        <v>2706</v>
      </c>
      <c r="O965" s="112" t="s">
        <v>1710</v>
      </c>
      <c r="P965" s="112" t="s">
        <v>2310</v>
      </c>
      <c r="Q965" s="112" t="s">
        <v>2707</v>
      </c>
    </row>
    <row r="966" spans="1:18">
      <c r="A966" s="112" t="s">
        <v>2683</v>
      </c>
      <c r="B966" s="112" t="s">
        <v>1755</v>
      </c>
      <c r="C966" s="112" t="s">
        <v>1706</v>
      </c>
      <c r="D966" s="112">
        <v>30</v>
      </c>
      <c r="E966" s="112" t="s">
        <v>1707</v>
      </c>
      <c r="F966" s="112" t="s">
        <v>1721</v>
      </c>
      <c r="G966" s="112">
        <v>-7.77765171820809</v>
      </c>
      <c r="H966" s="112">
        <v>-2.7429361653008502</v>
      </c>
      <c r="I966" s="112">
        <v>0</v>
      </c>
      <c r="J966" s="112">
        <v>1</v>
      </c>
      <c r="K966" s="112" t="s">
        <v>1756</v>
      </c>
      <c r="L966" s="112">
        <v>3.6016897561014997E-2</v>
      </c>
      <c r="M966" s="112">
        <v>2.8879098592863601E-3</v>
      </c>
      <c r="N966" s="112" t="s">
        <v>2683</v>
      </c>
      <c r="O966" s="112" t="s">
        <v>1710</v>
      </c>
      <c r="P966" s="112" t="s">
        <v>2310</v>
      </c>
      <c r="Q966" s="112" t="s">
        <v>2684</v>
      </c>
    </row>
    <row r="967" spans="1:18">
      <c r="A967" s="112" t="s">
        <v>2691</v>
      </c>
      <c r="B967" s="112" t="s">
        <v>1755</v>
      </c>
      <c r="C967" s="112" t="s">
        <v>1706</v>
      </c>
      <c r="D967" s="112">
        <v>30</v>
      </c>
      <c r="E967" s="112" t="s">
        <v>1707</v>
      </c>
      <c r="F967" s="112" t="s">
        <v>1721</v>
      </c>
      <c r="G967" s="112">
        <v>4.3849428150723604</v>
      </c>
      <c r="H967" s="112">
        <v>2.39925728907689</v>
      </c>
      <c r="I967" s="112">
        <v>2.22927833012898</v>
      </c>
      <c r="J967" s="112" t="s">
        <v>848</v>
      </c>
      <c r="K967" s="112" t="s">
        <v>1756</v>
      </c>
      <c r="L967" s="112">
        <v>3.9032249524925698E-2</v>
      </c>
      <c r="M967" s="112">
        <v>3.3063011863165501E-3</v>
      </c>
      <c r="N967" s="112" t="s">
        <v>2691</v>
      </c>
      <c r="O967" s="112" t="s">
        <v>1710</v>
      </c>
      <c r="P967" s="112" t="s">
        <v>2310</v>
      </c>
      <c r="Q967" s="112" t="s">
        <v>2692</v>
      </c>
    </row>
    <row r="968" spans="1:18">
      <c r="A968" s="112" t="s">
        <v>2740</v>
      </c>
      <c r="B968" s="112" t="s">
        <v>1743</v>
      </c>
      <c r="C968" s="112" t="s">
        <v>1706</v>
      </c>
      <c r="D968" s="112">
        <v>55</v>
      </c>
      <c r="E968" s="112" t="s">
        <v>1707</v>
      </c>
      <c r="F968" s="112" t="s">
        <v>440</v>
      </c>
      <c r="G968" s="112">
        <v>-4.3162843696480699</v>
      </c>
      <c r="H968" s="112">
        <v>-2.04020935750883</v>
      </c>
      <c r="I968" s="112">
        <v>-5.6337906742848496</v>
      </c>
      <c r="J968" s="112" t="s">
        <v>848</v>
      </c>
      <c r="K968" s="112" t="s">
        <v>1744</v>
      </c>
      <c r="L968" s="112">
        <v>4.1311773866090598E-2</v>
      </c>
      <c r="M968" s="112">
        <v>1.4560473166348399E-3</v>
      </c>
      <c r="N968" s="112" t="s">
        <v>2740</v>
      </c>
      <c r="O968" s="112" t="s">
        <v>1710</v>
      </c>
      <c r="P968" s="112" t="s">
        <v>2310</v>
      </c>
      <c r="Q968" s="112" t="s">
        <v>2741</v>
      </c>
    </row>
    <row r="969" spans="1:18">
      <c r="A969" s="112" t="s">
        <v>2742</v>
      </c>
      <c r="B969" s="112" t="s">
        <v>1705</v>
      </c>
      <c r="C969" s="112" t="s">
        <v>1706</v>
      </c>
      <c r="D969" s="112">
        <v>80</v>
      </c>
      <c r="E969" s="112" t="s">
        <v>1707</v>
      </c>
      <c r="F969" s="112" t="s">
        <v>1708</v>
      </c>
      <c r="G969" s="112">
        <v>2.3280385040845601</v>
      </c>
      <c r="H969" s="112">
        <v>1.6648668912168101</v>
      </c>
      <c r="I969" s="112">
        <v>1.5217962092074799</v>
      </c>
      <c r="J969" s="112" t="s">
        <v>848</v>
      </c>
      <c r="K969" s="112" t="s">
        <v>1709</v>
      </c>
      <c r="L969" s="112">
        <v>4.1362677767470497E-2</v>
      </c>
      <c r="M969" s="112">
        <v>5.7826112010443903E-3</v>
      </c>
      <c r="N969" s="112" t="s">
        <v>2742</v>
      </c>
      <c r="O969" s="112" t="s">
        <v>1710</v>
      </c>
      <c r="P969" s="112" t="s">
        <v>2310</v>
      </c>
      <c r="Q969" s="112" t="s">
        <v>2743</v>
      </c>
      <c r="R969" s="112" t="s">
        <v>2673</v>
      </c>
    </row>
    <row r="970" spans="1:18">
      <c r="A970" s="112" t="s">
        <v>2681</v>
      </c>
      <c r="B970" s="112" t="s">
        <v>1748</v>
      </c>
      <c r="C970" s="112" t="s">
        <v>1706</v>
      </c>
      <c r="D970" s="112">
        <v>80</v>
      </c>
      <c r="E970" s="112" t="s">
        <v>1707</v>
      </c>
      <c r="F970" s="112" t="s">
        <v>440</v>
      </c>
      <c r="G970" s="112">
        <v>-5.0121373783725396</v>
      </c>
      <c r="H970" s="112">
        <v>-2.6259774118900698</v>
      </c>
      <c r="I970" s="112">
        <v>-7.39057882802439</v>
      </c>
      <c r="J970" s="112" t="s">
        <v>848</v>
      </c>
      <c r="K970" s="112" t="s">
        <v>1749</v>
      </c>
      <c r="L970" s="112">
        <v>4.1639791366222402E-2</v>
      </c>
      <c r="M970" s="112">
        <v>3.3589966310669799E-3</v>
      </c>
      <c r="N970" s="112" t="s">
        <v>2681</v>
      </c>
      <c r="O970" s="112" t="s">
        <v>1710</v>
      </c>
      <c r="P970" s="112" t="s">
        <v>2310</v>
      </c>
      <c r="Q970" s="112" t="s">
        <v>2682</v>
      </c>
    </row>
    <row r="971" spans="1:18">
      <c r="A971" s="112" t="s">
        <v>2744</v>
      </c>
      <c r="B971" s="112" t="s">
        <v>1705</v>
      </c>
      <c r="C971" s="112" t="s">
        <v>1706</v>
      </c>
      <c r="D971" s="112">
        <v>80</v>
      </c>
      <c r="E971" s="112" t="s">
        <v>1707</v>
      </c>
      <c r="F971" s="112" t="s">
        <v>1708</v>
      </c>
      <c r="G971" s="112">
        <v>-3.6417002649213401</v>
      </c>
      <c r="H971" s="112">
        <v>-2.0727312130929301</v>
      </c>
      <c r="I971" s="112">
        <v>0</v>
      </c>
      <c r="J971" s="112">
        <v>1</v>
      </c>
      <c r="K971" s="112" t="s">
        <v>1709</v>
      </c>
      <c r="L971" s="112">
        <v>4.1990870084052098E-2</v>
      </c>
      <c r="M971" s="112">
        <v>5.9625193814525704E-3</v>
      </c>
      <c r="N971" s="112" t="s">
        <v>2744</v>
      </c>
      <c r="O971" s="112" t="s">
        <v>1710</v>
      </c>
      <c r="P971" s="112" t="s">
        <v>2310</v>
      </c>
      <c r="Q971" s="112" t="s">
        <v>2745</v>
      </c>
      <c r="R971" s="112" t="s">
        <v>2673</v>
      </c>
    </row>
    <row r="972" spans="1:18">
      <c r="A972" s="112" t="s">
        <v>2746</v>
      </c>
      <c r="B972" s="112" t="s">
        <v>1755</v>
      </c>
      <c r="C972" s="112" t="s">
        <v>1706</v>
      </c>
      <c r="D972" s="112">
        <v>30</v>
      </c>
      <c r="E972" s="112" t="s">
        <v>1707</v>
      </c>
      <c r="F972" s="112" t="s">
        <v>1721</v>
      </c>
      <c r="G972" s="112">
        <v>-8.0682775625604304</v>
      </c>
      <c r="H972" s="112">
        <v>-2.48934384063456</v>
      </c>
      <c r="I972" s="112">
        <v>0</v>
      </c>
      <c r="J972" s="112">
        <v>1</v>
      </c>
      <c r="K972" s="112" t="s">
        <v>1756</v>
      </c>
      <c r="L972" s="112">
        <v>4.4621187023174198E-2</v>
      </c>
      <c r="M972" s="112">
        <v>4.13883530181726E-3</v>
      </c>
      <c r="N972" s="112" t="s">
        <v>2746</v>
      </c>
      <c r="O972" s="112" t="s">
        <v>1710</v>
      </c>
      <c r="P972" s="112" t="s">
        <v>2310</v>
      </c>
      <c r="Q972" s="112" t="s">
        <v>2747</v>
      </c>
    </row>
    <row r="973" spans="1:18">
      <c r="A973" s="112" t="s">
        <v>2748</v>
      </c>
      <c r="B973" s="112" t="s">
        <v>1720</v>
      </c>
      <c r="C973" s="112" t="s">
        <v>1706</v>
      </c>
      <c r="D973" s="112">
        <v>55</v>
      </c>
      <c r="E973" s="112" t="s">
        <v>1707</v>
      </c>
      <c r="F973" s="112" t="s">
        <v>1721</v>
      </c>
      <c r="G973" s="112">
        <v>2.9085236964796599</v>
      </c>
      <c r="H973" s="112">
        <v>1.7352282518061799</v>
      </c>
      <c r="I973" s="112">
        <v>1.3264953956057499</v>
      </c>
      <c r="J973" s="112" t="s">
        <v>848</v>
      </c>
      <c r="K973" s="112" t="s">
        <v>1722</v>
      </c>
      <c r="L973" s="112">
        <v>4.6117717691899103E-2</v>
      </c>
      <c r="M973" s="112">
        <v>1.74458471531855E-3</v>
      </c>
      <c r="N973" s="112" t="s">
        <v>2748</v>
      </c>
      <c r="O973" s="112" t="s">
        <v>1710</v>
      </c>
      <c r="P973" s="112" t="s">
        <v>2310</v>
      </c>
      <c r="Q973" s="112" t="s">
        <v>2749</v>
      </c>
      <c r="R973" s="112" t="s">
        <v>2673</v>
      </c>
    </row>
    <row r="974" spans="1:18">
      <c r="A974" s="112" t="s">
        <v>2750</v>
      </c>
      <c r="B974" s="112" t="s">
        <v>1743</v>
      </c>
      <c r="C974" s="112" t="s">
        <v>1706</v>
      </c>
      <c r="D974" s="112">
        <v>55</v>
      </c>
      <c r="E974" s="112" t="s">
        <v>1707</v>
      </c>
      <c r="F974" s="112" t="s">
        <v>440</v>
      </c>
      <c r="G974" s="112">
        <v>-5.8853020581429201</v>
      </c>
      <c r="H974" s="112">
        <v>-1.7844969074071</v>
      </c>
      <c r="I974" s="112">
        <v>0</v>
      </c>
      <c r="J974" s="112">
        <v>1</v>
      </c>
      <c r="K974" s="112" t="s">
        <v>1744</v>
      </c>
      <c r="L974" s="112">
        <v>4.6911555821893498E-2</v>
      </c>
      <c r="M974" s="112">
        <v>1.78309299944999E-3</v>
      </c>
      <c r="N974" s="112" t="s">
        <v>2750</v>
      </c>
      <c r="O974" s="112" t="s">
        <v>1710</v>
      </c>
      <c r="P974" s="112" t="s">
        <v>2310</v>
      </c>
      <c r="Q974" s="112" t="s">
        <v>2751</v>
      </c>
    </row>
    <row r="975" spans="1:18">
      <c r="A975" s="112" t="s">
        <v>2658</v>
      </c>
      <c r="B975" s="112" t="s">
        <v>1735</v>
      </c>
      <c r="C975" s="112" t="s">
        <v>1706</v>
      </c>
      <c r="D975" s="112">
        <v>30</v>
      </c>
      <c r="E975" s="112" t="s">
        <v>1707</v>
      </c>
      <c r="F975" s="112" t="s">
        <v>440</v>
      </c>
      <c r="G975" s="112">
        <v>2.5072701088318299</v>
      </c>
      <c r="H975" s="112">
        <v>1.7392247701236201</v>
      </c>
      <c r="I975" s="112">
        <v>0.96769159931972104</v>
      </c>
      <c r="J975" s="112" t="s">
        <v>848</v>
      </c>
      <c r="K975" s="112" t="s">
        <v>1736</v>
      </c>
      <c r="L975" s="112">
        <v>4.7340455961506898E-2</v>
      </c>
      <c r="M975" s="112">
        <v>1.2254843913677999E-3</v>
      </c>
      <c r="N975" s="112" t="s">
        <v>2658</v>
      </c>
      <c r="O975" s="112" t="s">
        <v>1710</v>
      </c>
      <c r="P975" s="112" t="s">
        <v>2310</v>
      </c>
      <c r="Q975" s="112" t="s">
        <v>2659</v>
      </c>
      <c r="R975" s="112" t="s">
        <v>2660</v>
      </c>
    </row>
    <row r="976" spans="1:18">
      <c r="A976" s="112" t="s">
        <v>2752</v>
      </c>
      <c r="B976" s="112" t="s">
        <v>1720</v>
      </c>
      <c r="C976" s="112" t="s">
        <v>1706</v>
      </c>
      <c r="D976" s="112">
        <v>55</v>
      </c>
      <c r="E976" s="112" t="s">
        <v>1707</v>
      </c>
      <c r="F976" s="112" t="s">
        <v>1721</v>
      </c>
      <c r="G976" s="112">
        <v>3.2350520682671702</v>
      </c>
      <c r="H976" s="112">
        <v>1.745253910095</v>
      </c>
      <c r="I976" s="112">
        <v>1.23953847457864</v>
      </c>
      <c r="J976" s="112" t="s">
        <v>848</v>
      </c>
      <c r="K976" s="112" t="s">
        <v>1722</v>
      </c>
      <c r="L976" s="112">
        <v>4.94295787310415E-2</v>
      </c>
      <c r="M976" s="112">
        <v>1.8969684820026899E-3</v>
      </c>
      <c r="N976" s="112" t="s">
        <v>2752</v>
      </c>
      <c r="O976" s="112" t="s">
        <v>1710</v>
      </c>
      <c r="P976" s="112" t="s">
        <v>2310</v>
      </c>
      <c r="Q976" s="112" t="s">
        <v>2753</v>
      </c>
    </row>
    <row r="977" spans="1:18">
      <c r="A977" s="112" t="s">
        <v>2754</v>
      </c>
      <c r="B977" s="112" t="s">
        <v>1720</v>
      </c>
      <c r="C977" s="112" t="s">
        <v>1706</v>
      </c>
      <c r="D977" s="112">
        <v>55</v>
      </c>
      <c r="E977" s="112" t="s">
        <v>1707</v>
      </c>
      <c r="F977" s="112" t="s">
        <v>1721</v>
      </c>
      <c r="G977" s="112">
        <v>3.37525792523182</v>
      </c>
      <c r="H977" s="112">
        <v>1.74324460855582</v>
      </c>
      <c r="I977" s="112">
        <v>0.81111517437763703</v>
      </c>
      <c r="J977" s="112" t="s">
        <v>848</v>
      </c>
      <c r="K977" s="112" t="s">
        <v>1722</v>
      </c>
      <c r="L977" s="112">
        <v>4.9939074056214602E-2</v>
      </c>
      <c r="M977" s="112">
        <v>1.94390036074081E-3</v>
      </c>
      <c r="N977" s="112" t="s">
        <v>2754</v>
      </c>
      <c r="O977" s="112" t="s">
        <v>1710</v>
      </c>
      <c r="P977" s="112" t="s">
        <v>2310</v>
      </c>
      <c r="Q977" s="112" t="s">
        <v>2755</v>
      </c>
      <c r="R977" s="112" t="s">
        <v>2697</v>
      </c>
    </row>
    <row r="978" spans="1:18">
      <c r="A978" s="112" t="s">
        <v>2756</v>
      </c>
      <c r="B978" s="112" t="s">
        <v>1731</v>
      </c>
      <c r="C978" s="112" t="s">
        <v>1706</v>
      </c>
      <c r="D978" s="112">
        <v>30</v>
      </c>
      <c r="E978" s="112" t="s">
        <v>1707</v>
      </c>
      <c r="F978" s="112" t="s">
        <v>1708</v>
      </c>
      <c r="G978" s="112">
        <v>-8.3878189548426594</v>
      </c>
      <c r="H978" s="112">
        <v>-8.0713280619803491</v>
      </c>
      <c r="I978" s="112">
        <v>0</v>
      </c>
      <c r="J978" s="112">
        <v>1</v>
      </c>
      <c r="K978" s="112" t="s">
        <v>1732</v>
      </c>
      <c r="L978" s="229">
        <v>1.4208954897429299E-9</v>
      </c>
      <c r="M978" s="229">
        <v>6.7769260242111096E-12</v>
      </c>
      <c r="N978" s="112" t="s">
        <v>2756</v>
      </c>
      <c r="O978" s="112" t="s">
        <v>2757</v>
      </c>
      <c r="P978" s="112" t="s">
        <v>2758</v>
      </c>
      <c r="Q978" s="112" t="s">
        <v>2759</v>
      </c>
    </row>
    <row r="979" spans="1:18">
      <c r="A979" s="112" t="s">
        <v>2760</v>
      </c>
      <c r="B979" s="112" t="s">
        <v>1762</v>
      </c>
      <c r="C979" s="112" t="s">
        <v>1706</v>
      </c>
      <c r="D979" s="112">
        <v>55</v>
      </c>
      <c r="E979" s="112" t="s">
        <v>1707</v>
      </c>
      <c r="F979" s="112" t="s">
        <v>1708</v>
      </c>
      <c r="G979" s="112">
        <v>3.66377206269906</v>
      </c>
      <c r="H979" s="112">
        <v>3.193663045214</v>
      </c>
      <c r="I979" s="112">
        <v>1.99209662906166</v>
      </c>
      <c r="J979" s="112" t="s">
        <v>848</v>
      </c>
      <c r="K979" s="112" t="s">
        <v>1763</v>
      </c>
      <c r="L979" s="229">
        <v>7.4133971216970004E-7</v>
      </c>
      <c r="M979" s="229">
        <v>1.44416827046045E-9</v>
      </c>
      <c r="N979" s="112" t="s">
        <v>2760</v>
      </c>
      <c r="O979" s="112" t="s">
        <v>2757</v>
      </c>
      <c r="P979" s="112" t="s">
        <v>2758</v>
      </c>
      <c r="Q979" s="112" t="s">
        <v>2761</v>
      </c>
    </row>
    <row r="980" spans="1:18">
      <c r="A980" s="112" t="s">
        <v>2762</v>
      </c>
      <c r="B980" s="112" t="s">
        <v>1705</v>
      </c>
      <c r="C980" s="112" t="s">
        <v>1706</v>
      </c>
      <c r="D980" s="112">
        <v>80</v>
      </c>
      <c r="E980" s="112" t="s">
        <v>1707</v>
      </c>
      <c r="F980" s="112" t="s">
        <v>1708</v>
      </c>
      <c r="G980" s="112">
        <v>-4.9342785101380597</v>
      </c>
      <c r="H980" s="112">
        <v>-3.89500190031643</v>
      </c>
      <c r="I980" s="112">
        <v>0</v>
      </c>
      <c r="J980" s="112">
        <v>1</v>
      </c>
      <c r="K980" s="112" t="s">
        <v>1709</v>
      </c>
      <c r="L980" s="229">
        <v>1.03204191505744E-4</v>
      </c>
      <c r="M980" s="229">
        <v>1.58427486960573E-6</v>
      </c>
      <c r="N980" s="112" t="s">
        <v>2762</v>
      </c>
      <c r="O980" s="112" t="s">
        <v>2757</v>
      </c>
      <c r="P980" s="112" t="s">
        <v>2758</v>
      </c>
      <c r="Q980" s="112" t="s">
        <v>2763</v>
      </c>
    </row>
    <row r="981" spans="1:18">
      <c r="A981" s="112" t="s">
        <v>2764</v>
      </c>
      <c r="B981" s="112" t="s">
        <v>1731</v>
      </c>
      <c r="C981" s="112" t="s">
        <v>1706</v>
      </c>
      <c r="D981" s="112">
        <v>30</v>
      </c>
      <c r="E981" s="112" t="s">
        <v>1707</v>
      </c>
      <c r="F981" s="112" t="s">
        <v>1708</v>
      </c>
      <c r="G981" s="112">
        <v>-5.3867457285289397</v>
      </c>
      <c r="H981" s="112">
        <v>-4.0080936718802098</v>
      </c>
      <c r="I981" s="112">
        <v>0</v>
      </c>
      <c r="J981" s="112">
        <v>1</v>
      </c>
      <c r="K981" s="112" t="s">
        <v>1732</v>
      </c>
      <c r="L981" s="229">
        <v>2.0268302928794999E-4</v>
      </c>
      <c r="M981" s="229">
        <v>4.0278821400626E-6</v>
      </c>
      <c r="N981" s="112" t="s">
        <v>2764</v>
      </c>
      <c r="O981" s="112" t="s">
        <v>2757</v>
      </c>
      <c r="P981" s="112" t="s">
        <v>2758</v>
      </c>
      <c r="Q981" s="112" t="s">
        <v>2765</v>
      </c>
    </row>
    <row r="982" spans="1:18">
      <c r="A982" s="112" t="s">
        <v>2756</v>
      </c>
      <c r="B982" s="112" t="s">
        <v>1705</v>
      </c>
      <c r="C982" s="112" t="s">
        <v>1706</v>
      </c>
      <c r="D982" s="112">
        <v>80</v>
      </c>
      <c r="E982" s="112" t="s">
        <v>1707</v>
      </c>
      <c r="F982" s="112" t="s">
        <v>1708</v>
      </c>
      <c r="G982" s="112">
        <v>3.5116980954763601</v>
      </c>
      <c r="H982" s="112">
        <v>2.9453624877408102</v>
      </c>
      <c r="I982" s="112">
        <v>1.22369267261881</v>
      </c>
      <c r="J982" s="112" t="s">
        <v>848</v>
      </c>
      <c r="K982" s="112" t="s">
        <v>1709</v>
      </c>
      <c r="L982" s="229">
        <v>5.0925867600720601E-4</v>
      </c>
      <c r="M982" s="229">
        <v>1.31223452699225E-5</v>
      </c>
      <c r="N982" s="112" t="s">
        <v>2756</v>
      </c>
      <c r="O982" s="112" t="s">
        <v>2757</v>
      </c>
      <c r="P982" s="112" t="s">
        <v>2758</v>
      </c>
      <c r="Q982" s="112" t="s">
        <v>2759</v>
      </c>
    </row>
    <row r="983" spans="1:18">
      <c r="A983" s="112" t="s">
        <v>2760</v>
      </c>
      <c r="B983" s="112" t="s">
        <v>1743</v>
      </c>
      <c r="C983" s="112" t="s">
        <v>1706</v>
      </c>
      <c r="D983" s="112">
        <v>55</v>
      </c>
      <c r="E983" s="112" t="s">
        <v>1707</v>
      </c>
      <c r="F983" s="112" t="s">
        <v>440</v>
      </c>
      <c r="G983" s="112">
        <v>3.0539116732909299</v>
      </c>
      <c r="H983" s="112">
        <v>2.5499274136292098</v>
      </c>
      <c r="I983" s="112">
        <v>0.92955125156740803</v>
      </c>
      <c r="J983" s="112" t="s">
        <v>848</v>
      </c>
      <c r="K983" s="112" t="s">
        <v>1744</v>
      </c>
      <c r="L983" s="229">
        <v>9.4265069368550895E-4</v>
      </c>
      <c r="M983" s="229">
        <v>1.7589197463378501E-5</v>
      </c>
      <c r="N983" s="112" t="s">
        <v>2760</v>
      </c>
      <c r="O983" s="112" t="s">
        <v>2757</v>
      </c>
      <c r="P983" s="112" t="s">
        <v>2758</v>
      </c>
      <c r="Q983" s="112" t="s">
        <v>2761</v>
      </c>
    </row>
    <row r="984" spans="1:18">
      <c r="A984" s="112" t="s">
        <v>2756</v>
      </c>
      <c r="B984" s="112" t="s">
        <v>1755</v>
      </c>
      <c r="C984" s="112" t="s">
        <v>1706</v>
      </c>
      <c r="D984" s="112">
        <v>30</v>
      </c>
      <c r="E984" s="112" t="s">
        <v>1707</v>
      </c>
      <c r="F984" s="112" t="s">
        <v>1721</v>
      </c>
      <c r="G984" s="112">
        <v>-10.6358005185851</v>
      </c>
      <c r="H984" s="112">
        <v>-7.1141635213493899</v>
      </c>
      <c r="I984" s="112">
        <v>0</v>
      </c>
      <c r="J984" s="112">
        <v>1</v>
      </c>
      <c r="K984" s="112" t="s">
        <v>1756</v>
      </c>
      <c r="L984" s="229">
        <v>9.7293448644759602E-4</v>
      </c>
      <c r="M984" s="229">
        <v>1.0827569801483499E-5</v>
      </c>
      <c r="N984" s="112" t="s">
        <v>2756</v>
      </c>
      <c r="O984" s="112" t="s">
        <v>2757</v>
      </c>
      <c r="P984" s="112" t="s">
        <v>2758</v>
      </c>
      <c r="Q984" s="112" t="s">
        <v>2759</v>
      </c>
    </row>
    <row r="985" spans="1:18">
      <c r="A985" s="112" t="s">
        <v>2760</v>
      </c>
      <c r="B985" s="112" t="s">
        <v>1705</v>
      </c>
      <c r="C985" s="112" t="s">
        <v>1706</v>
      </c>
      <c r="D985" s="112">
        <v>80</v>
      </c>
      <c r="E985" s="112" t="s">
        <v>1707</v>
      </c>
      <c r="F985" s="112" t="s">
        <v>1708</v>
      </c>
      <c r="G985" s="112">
        <v>-4.4062032200825598</v>
      </c>
      <c r="H985" s="112">
        <v>-3.3507806388999302</v>
      </c>
      <c r="I985" s="112">
        <v>0</v>
      </c>
      <c r="J985" s="112">
        <v>1</v>
      </c>
      <c r="K985" s="112" t="s">
        <v>1709</v>
      </c>
      <c r="L985" s="112">
        <v>1.06518666999018E-3</v>
      </c>
      <c r="M985" s="229">
        <v>3.5039035197045603E-5</v>
      </c>
      <c r="N985" s="112" t="s">
        <v>2760</v>
      </c>
      <c r="O985" s="112" t="s">
        <v>2757</v>
      </c>
      <c r="P985" s="112" t="s">
        <v>2758</v>
      </c>
      <c r="Q985" s="112" t="s">
        <v>2761</v>
      </c>
    </row>
    <row r="986" spans="1:18">
      <c r="A986" s="112" t="s">
        <v>2766</v>
      </c>
      <c r="B986" s="112" t="s">
        <v>1762</v>
      </c>
      <c r="C986" s="112" t="s">
        <v>1706</v>
      </c>
      <c r="D986" s="112">
        <v>55</v>
      </c>
      <c r="E986" s="112" t="s">
        <v>1707</v>
      </c>
      <c r="F986" s="112" t="s">
        <v>1708</v>
      </c>
      <c r="G986" s="112">
        <v>4.7921652298294797</v>
      </c>
      <c r="H986" s="112">
        <v>2.97193865795969</v>
      </c>
      <c r="I986" s="112">
        <v>2.4850559442305098</v>
      </c>
      <c r="J986" s="112" t="s">
        <v>848</v>
      </c>
      <c r="K986" s="112" t="s">
        <v>1763</v>
      </c>
      <c r="L986" s="112">
        <v>3.0412975841260402E-3</v>
      </c>
      <c r="M986" s="229">
        <v>5.0147622415408601E-5</v>
      </c>
      <c r="N986" s="112" t="s">
        <v>2766</v>
      </c>
      <c r="O986" s="112" t="s">
        <v>2757</v>
      </c>
      <c r="P986" s="112" t="s">
        <v>2758</v>
      </c>
      <c r="Q986" s="112" t="s">
        <v>2767</v>
      </c>
    </row>
    <row r="987" spans="1:18">
      <c r="A987" s="112" t="s">
        <v>2760</v>
      </c>
      <c r="B987" s="112" t="s">
        <v>1748</v>
      </c>
      <c r="C987" s="112" t="s">
        <v>1706</v>
      </c>
      <c r="D987" s="112">
        <v>80</v>
      </c>
      <c r="E987" s="112" t="s">
        <v>1707</v>
      </c>
      <c r="F987" s="112" t="s">
        <v>440</v>
      </c>
      <c r="G987" s="112">
        <v>-5.7941227462288802</v>
      </c>
      <c r="H987" s="112">
        <v>-4.1041173129146902</v>
      </c>
      <c r="I987" s="112">
        <v>0</v>
      </c>
      <c r="J987" s="112">
        <v>1</v>
      </c>
      <c r="K987" s="112" t="s">
        <v>1749</v>
      </c>
      <c r="L987" s="112">
        <v>3.3365603170628102E-3</v>
      </c>
      <c r="M987" s="229">
        <v>8.2316455190694398E-5</v>
      </c>
      <c r="N987" s="112" t="s">
        <v>2760</v>
      </c>
      <c r="O987" s="112" t="s">
        <v>2757</v>
      </c>
      <c r="P987" s="112" t="s">
        <v>2758</v>
      </c>
      <c r="Q987" s="112" t="s">
        <v>2761</v>
      </c>
    </row>
    <row r="988" spans="1:18">
      <c r="A988" s="112" t="s">
        <v>2768</v>
      </c>
      <c r="B988" s="112" t="s">
        <v>1748</v>
      </c>
      <c r="C988" s="112" t="s">
        <v>1706</v>
      </c>
      <c r="D988" s="112">
        <v>80</v>
      </c>
      <c r="E988" s="112" t="s">
        <v>1707</v>
      </c>
      <c r="F988" s="112" t="s">
        <v>440</v>
      </c>
      <c r="G988" s="112">
        <v>4.7264663732430003</v>
      </c>
      <c r="H988" s="112">
        <v>3.5326784520613299</v>
      </c>
      <c r="I988" s="112">
        <v>2.63315952045944</v>
      </c>
      <c r="J988" s="112" t="s">
        <v>848</v>
      </c>
      <c r="K988" s="112" t="s">
        <v>1749</v>
      </c>
      <c r="L988" s="112">
        <v>5.1195064421347197E-3</v>
      </c>
      <c r="M988" s="229">
        <v>1.68404817175484E-4</v>
      </c>
      <c r="N988" s="112" t="s">
        <v>2768</v>
      </c>
      <c r="O988" s="112" t="s">
        <v>2757</v>
      </c>
      <c r="P988" s="112" t="s">
        <v>2758</v>
      </c>
      <c r="Q988" s="112" t="s">
        <v>2769</v>
      </c>
    </row>
    <row r="989" spans="1:18">
      <c r="A989" s="112" t="s">
        <v>2770</v>
      </c>
      <c r="B989" s="112" t="s">
        <v>1705</v>
      </c>
      <c r="C989" s="112" t="s">
        <v>1706</v>
      </c>
      <c r="D989" s="112">
        <v>80</v>
      </c>
      <c r="E989" s="112" t="s">
        <v>1707</v>
      </c>
      <c r="F989" s="112" t="s">
        <v>1708</v>
      </c>
      <c r="G989" s="112">
        <v>-4.2368176267732904</v>
      </c>
      <c r="H989" s="112">
        <v>-2.9545153604044101</v>
      </c>
      <c r="I989" s="112">
        <v>0</v>
      </c>
      <c r="J989" s="112">
        <v>1</v>
      </c>
      <c r="K989" s="112" t="s">
        <v>1709</v>
      </c>
      <c r="L989" s="112">
        <v>5.9716722611815798E-3</v>
      </c>
      <c r="M989" s="229">
        <v>3.4703797131866598E-4</v>
      </c>
      <c r="N989" s="112" t="s">
        <v>2770</v>
      </c>
      <c r="O989" s="112" t="s">
        <v>2757</v>
      </c>
      <c r="P989" s="112" t="s">
        <v>2758</v>
      </c>
      <c r="Q989" s="112" t="s">
        <v>2771</v>
      </c>
    </row>
    <row r="990" spans="1:18">
      <c r="A990" s="112" t="s">
        <v>2772</v>
      </c>
      <c r="B990" s="112" t="s">
        <v>1705</v>
      </c>
      <c r="C990" s="112" t="s">
        <v>1706</v>
      </c>
      <c r="D990" s="112">
        <v>80</v>
      </c>
      <c r="E990" s="112" t="s">
        <v>1707</v>
      </c>
      <c r="F990" s="112" t="s">
        <v>1708</v>
      </c>
      <c r="G990" s="112">
        <v>2.2575310800088002</v>
      </c>
      <c r="H990" s="112">
        <v>1.91572793898774</v>
      </c>
      <c r="I990" s="112">
        <v>1.5484629403772801</v>
      </c>
      <c r="J990" s="112" t="s">
        <v>848</v>
      </c>
      <c r="K990" s="112" t="s">
        <v>1709</v>
      </c>
      <c r="L990" s="112">
        <v>6.44496985623057E-3</v>
      </c>
      <c r="M990" s="229">
        <v>3.8514348373307699E-4</v>
      </c>
      <c r="N990" s="112" t="s">
        <v>2772</v>
      </c>
      <c r="O990" s="112" t="s">
        <v>2757</v>
      </c>
      <c r="P990" s="112" t="s">
        <v>2758</v>
      </c>
      <c r="Q990" s="112" t="s">
        <v>2773</v>
      </c>
    </row>
    <row r="991" spans="1:18">
      <c r="A991" s="112" t="s">
        <v>2762</v>
      </c>
      <c r="B991" s="112" t="s">
        <v>1720</v>
      </c>
      <c r="C991" s="112" t="s">
        <v>1706</v>
      </c>
      <c r="D991" s="112">
        <v>55</v>
      </c>
      <c r="E991" s="112" t="s">
        <v>1707</v>
      </c>
      <c r="F991" s="112" t="s">
        <v>1721</v>
      </c>
      <c r="G991" s="112">
        <v>2.1017837269218802</v>
      </c>
      <c r="H991" s="112">
        <v>1.78848197588316</v>
      </c>
      <c r="I991" s="112">
        <v>0.70534027236213404</v>
      </c>
      <c r="J991" s="112" t="s">
        <v>848</v>
      </c>
      <c r="K991" s="112" t="s">
        <v>1722</v>
      </c>
      <c r="L991" s="112">
        <v>7.8633534699122203E-3</v>
      </c>
      <c r="M991" s="229">
        <v>1.5519776585352999E-4</v>
      </c>
      <c r="N991" s="112" t="s">
        <v>2762</v>
      </c>
      <c r="O991" s="112" t="s">
        <v>2757</v>
      </c>
      <c r="P991" s="112" t="s">
        <v>2758</v>
      </c>
      <c r="Q991" s="112" t="s">
        <v>2763</v>
      </c>
    </row>
    <row r="992" spans="1:18">
      <c r="A992" s="112" t="s">
        <v>2762</v>
      </c>
      <c r="B992" s="112" t="s">
        <v>1735</v>
      </c>
      <c r="C992" s="112" t="s">
        <v>1706</v>
      </c>
      <c r="D992" s="112">
        <v>30</v>
      </c>
      <c r="E992" s="112" t="s">
        <v>1707</v>
      </c>
      <c r="F992" s="112" t="s">
        <v>440</v>
      </c>
      <c r="G992" s="112">
        <v>2.5626929407702002</v>
      </c>
      <c r="H992" s="112">
        <v>2.07488556657845</v>
      </c>
      <c r="I992" s="112">
        <v>1.3562300362254001</v>
      </c>
      <c r="J992" s="112" t="s">
        <v>848</v>
      </c>
      <c r="K992" s="112" t="s">
        <v>1736</v>
      </c>
      <c r="L992" s="112">
        <v>8.0156393602970593E-3</v>
      </c>
      <c r="M992" s="229">
        <v>1.58203408426915E-4</v>
      </c>
      <c r="N992" s="112" t="s">
        <v>2762</v>
      </c>
      <c r="O992" s="112" t="s">
        <v>2757</v>
      </c>
      <c r="P992" s="112" t="s">
        <v>2758</v>
      </c>
      <c r="Q992" s="112" t="s">
        <v>2763</v>
      </c>
    </row>
    <row r="993" spans="1:18">
      <c r="A993" s="112" t="s">
        <v>2774</v>
      </c>
      <c r="B993" s="112" t="s">
        <v>1720</v>
      </c>
      <c r="C993" s="112" t="s">
        <v>1706</v>
      </c>
      <c r="D993" s="112">
        <v>55</v>
      </c>
      <c r="E993" s="112" t="s">
        <v>1707</v>
      </c>
      <c r="F993" s="112" t="s">
        <v>1721</v>
      </c>
      <c r="G993" s="112">
        <v>3.9075677416732102</v>
      </c>
      <c r="H993" s="112">
        <v>2.5215720916443201</v>
      </c>
      <c r="I993" s="112">
        <v>1.69015102342209</v>
      </c>
      <c r="J993" s="112" t="s">
        <v>848</v>
      </c>
      <c r="K993" s="112" t="s">
        <v>1722</v>
      </c>
      <c r="L993" s="112">
        <v>8.6669749700908003E-3</v>
      </c>
      <c r="M993" s="229">
        <v>1.76616039523397E-4</v>
      </c>
      <c r="N993" s="112" t="s">
        <v>2774</v>
      </c>
      <c r="O993" s="112" t="s">
        <v>2757</v>
      </c>
      <c r="P993" s="112" t="s">
        <v>2758</v>
      </c>
      <c r="Q993" s="112" t="s">
        <v>2775</v>
      </c>
      <c r="R993" s="112" t="s">
        <v>2776</v>
      </c>
    </row>
    <row r="994" spans="1:18">
      <c r="A994" s="112" t="s">
        <v>2777</v>
      </c>
      <c r="B994" s="112" t="s">
        <v>1731</v>
      </c>
      <c r="C994" s="112" t="s">
        <v>1706</v>
      </c>
      <c r="D994" s="112">
        <v>30</v>
      </c>
      <c r="E994" s="112" t="s">
        <v>1707</v>
      </c>
      <c r="F994" s="112" t="s">
        <v>1708</v>
      </c>
      <c r="G994" s="112">
        <v>1.7275488974171</v>
      </c>
      <c r="H994" s="112">
        <v>1.3269478528240499</v>
      </c>
      <c r="I994" s="112">
        <v>1.14068131556324</v>
      </c>
      <c r="J994" s="112" t="s">
        <v>848</v>
      </c>
      <c r="K994" s="112" t="s">
        <v>1732</v>
      </c>
      <c r="L994" s="112">
        <v>8.8824402930372508E-3</v>
      </c>
      <c r="M994" s="229">
        <v>5.1543572447672401E-4</v>
      </c>
      <c r="N994" s="112" t="s">
        <v>2777</v>
      </c>
      <c r="O994" s="112" t="s">
        <v>2757</v>
      </c>
      <c r="P994" s="112" t="s">
        <v>2758</v>
      </c>
      <c r="Q994" s="112" t="s">
        <v>2778</v>
      </c>
    </row>
    <row r="995" spans="1:18">
      <c r="A995" s="112" t="s">
        <v>2779</v>
      </c>
      <c r="B995" s="112" t="s">
        <v>1705</v>
      </c>
      <c r="C995" s="112" t="s">
        <v>1706</v>
      </c>
      <c r="D995" s="112">
        <v>80</v>
      </c>
      <c r="E995" s="112" t="s">
        <v>1707</v>
      </c>
      <c r="F995" s="112" t="s">
        <v>1708</v>
      </c>
      <c r="G995" s="112">
        <v>-3.9435716716544098</v>
      </c>
      <c r="H995" s="112">
        <v>-2.7403024481520499</v>
      </c>
      <c r="I995" s="112">
        <v>0</v>
      </c>
      <c r="J995" s="112">
        <v>1</v>
      </c>
      <c r="K995" s="112" t="s">
        <v>1709</v>
      </c>
      <c r="L995" s="112">
        <v>9.0558301405013197E-3</v>
      </c>
      <c r="M995" s="229">
        <v>6.3053203280902801E-4</v>
      </c>
      <c r="N995" s="112" t="s">
        <v>2779</v>
      </c>
      <c r="O995" s="112" t="s">
        <v>2757</v>
      </c>
      <c r="P995" s="112" t="s">
        <v>2758</v>
      </c>
      <c r="Q995" s="112" t="s">
        <v>2780</v>
      </c>
    </row>
    <row r="996" spans="1:18">
      <c r="A996" s="112" t="s">
        <v>2781</v>
      </c>
      <c r="B996" s="112" t="s">
        <v>1731</v>
      </c>
      <c r="C996" s="112" t="s">
        <v>1706</v>
      </c>
      <c r="D996" s="112">
        <v>30</v>
      </c>
      <c r="E996" s="112" t="s">
        <v>1707</v>
      </c>
      <c r="F996" s="112" t="s">
        <v>1708</v>
      </c>
      <c r="G996" s="112">
        <v>-3.8192390042304298</v>
      </c>
      <c r="H996" s="112">
        <v>-2.0943015716013802</v>
      </c>
      <c r="I996" s="112">
        <v>-4.8683098714123796</v>
      </c>
      <c r="J996" s="112" t="s">
        <v>848</v>
      </c>
      <c r="K996" s="112" t="s">
        <v>1732</v>
      </c>
      <c r="L996" s="112">
        <v>1.1860425602173E-2</v>
      </c>
      <c r="M996" s="229">
        <v>8.1080810952852502E-4</v>
      </c>
      <c r="N996" s="112" t="s">
        <v>2781</v>
      </c>
      <c r="O996" s="112" t="s">
        <v>2757</v>
      </c>
      <c r="P996" s="112" t="s">
        <v>2758</v>
      </c>
      <c r="Q996" s="112" t="s">
        <v>2782</v>
      </c>
    </row>
    <row r="997" spans="1:18">
      <c r="A997" s="112" t="s">
        <v>2783</v>
      </c>
      <c r="B997" s="112" t="s">
        <v>1731</v>
      </c>
      <c r="C997" s="112" t="s">
        <v>1706</v>
      </c>
      <c r="D997" s="112">
        <v>30</v>
      </c>
      <c r="E997" s="112" t="s">
        <v>1707</v>
      </c>
      <c r="F997" s="112" t="s">
        <v>1708</v>
      </c>
      <c r="G997" s="112">
        <v>-4.38033608774857</v>
      </c>
      <c r="H997" s="112">
        <v>-2.1700267044355601</v>
      </c>
      <c r="I997" s="112">
        <v>0</v>
      </c>
      <c r="J997" s="112">
        <v>1</v>
      </c>
      <c r="K997" s="112" t="s">
        <v>1732</v>
      </c>
      <c r="L997" s="112">
        <v>1.24581392581368E-2</v>
      </c>
      <c r="M997" s="229">
        <v>8.7252672775196599E-4</v>
      </c>
      <c r="N997" s="112" t="s">
        <v>2783</v>
      </c>
      <c r="O997" s="112" t="s">
        <v>2757</v>
      </c>
      <c r="P997" s="112" t="s">
        <v>2758</v>
      </c>
      <c r="Q997" s="112" t="s">
        <v>2758</v>
      </c>
    </row>
    <row r="998" spans="1:18">
      <c r="A998" s="112" t="s">
        <v>2784</v>
      </c>
      <c r="B998" s="112" t="s">
        <v>1755</v>
      </c>
      <c r="C998" s="112" t="s">
        <v>1706</v>
      </c>
      <c r="D998" s="112">
        <v>30</v>
      </c>
      <c r="E998" s="112" t="s">
        <v>1707</v>
      </c>
      <c r="F998" s="112" t="s">
        <v>1721</v>
      </c>
      <c r="G998" s="112">
        <v>-7.9408727029107498</v>
      </c>
      <c r="H998" s="112">
        <v>-3.8281112456902999</v>
      </c>
      <c r="I998" s="112">
        <v>0</v>
      </c>
      <c r="J998" s="112">
        <v>1</v>
      </c>
      <c r="K998" s="112" t="s">
        <v>1756</v>
      </c>
      <c r="L998" s="112">
        <v>1.2653882794876401E-2</v>
      </c>
      <c r="M998" s="229">
        <v>5.62399829875971E-4</v>
      </c>
      <c r="N998" s="112" t="s">
        <v>2784</v>
      </c>
      <c r="O998" s="112" t="s">
        <v>2757</v>
      </c>
      <c r="P998" s="112" t="s">
        <v>2758</v>
      </c>
      <c r="Q998" s="112" t="s">
        <v>2758</v>
      </c>
    </row>
    <row r="999" spans="1:18">
      <c r="A999" s="112" t="s">
        <v>2779</v>
      </c>
      <c r="B999" s="112" t="s">
        <v>1748</v>
      </c>
      <c r="C999" s="112" t="s">
        <v>1706</v>
      </c>
      <c r="D999" s="112">
        <v>80</v>
      </c>
      <c r="E999" s="112" t="s">
        <v>1707</v>
      </c>
      <c r="F999" s="112" t="s">
        <v>440</v>
      </c>
      <c r="G999" s="112">
        <v>-5.37724070764905</v>
      </c>
      <c r="H999" s="112">
        <v>-3.4065470940422702</v>
      </c>
      <c r="I999" s="112">
        <v>0</v>
      </c>
      <c r="J999" s="112">
        <v>1</v>
      </c>
      <c r="K999" s="112" t="s">
        <v>1749</v>
      </c>
      <c r="L999" s="112">
        <v>1.2832908804204899E-2</v>
      </c>
      <c r="M999" s="229">
        <v>6.3764888377642204E-4</v>
      </c>
      <c r="N999" s="112" t="s">
        <v>2779</v>
      </c>
      <c r="O999" s="112" t="s">
        <v>2757</v>
      </c>
      <c r="P999" s="112" t="s">
        <v>2758</v>
      </c>
      <c r="Q999" s="112" t="s">
        <v>2780</v>
      </c>
    </row>
    <row r="1000" spans="1:18">
      <c r="A1000" s="112" t="s">
        <v>2785</v>
      </c>
      <c r="B1000" s="112" t="s">
        <v>1731</v>
      </c>
      <c r="C1000" s="112" t="s">
        <v>1706</v>
      </c>
      <c r="D1000" s="112">
        <v>30</v>
      </c>
      <c r="E1000" s="112" t="s">
        <v>1707</v>
      </c>
      <c r="F1000" s="112" t="s">
        <v>1708</v>
      </c>
      <c r="G1000" s="112">
        <v>2.8456932885393802</v>
      </c>
      <c r="H1000" s="112">
        <v>1.7591695608336</v>
      </c>
      <c r="I1000" s="112">
        <v>1.16930720810613</v>
      </c>
      <c r="J1000" s="112" t="s">
        <v>848</v>
      </c>
      <c r="K1000" s="112" t="s">
        <v>1732</v>
      </c>
      <c r="L1000" s="112">
        <v>1.50025723244042E-2</v>
      </c>
      <c r="M1000" s="112">
        <v>1.08198376361736E-3</v>
      </c>
      <c r="N1000" s="112" t="s">
        <v>2785</v>
      </c>
      <c r="O1000" s="112" t="s">
        <v>2757</v>
      </c>
      <c r="P1000" s="112" t="s">
        <v>2758</v>
      </c>
      <c r="Q1000" s="112" t="s">
        <v>2786</v>
      </c>
    </row>
    <row r="1001" spans="1:18">
      <c r="A1001" s="112" t="s">
        <v>2787</v>
      </c>
      <c r="B1001" s="112" t="s">
        <v>1705</v>
      </c>
      <c r="C1001" s="112" t="s">
        <v>1706</v>
      </c>
      <c r="D1001" s="112">
        <v>80</v>
      </c>
      <c r="E1001" s="112" t="s">
        <v>1707</v>
      </c>
      <c r="F1001" s="112" t="s">
        <v>1708</v>
      </c>
      <c r="G1001" s="112">
        <v>-5.1221556314983996</v>
      </c>
      <c r="H1001" s="112">
        <v>-2.7778998245643498</v>
      </c>
      <c r="I1001" s="112">
        <v>0</v>
      </c>
      <c r="J1001" s="112">
        <v>1</v>
      </c>
      <c r="K1001" s="112" t="s">
        <v>1709</v>
      </c>
      <c r="L1001" s="112">
        <v>1.52336076552037E-2</v>
      </c>
      <c r="M1001" s="112">
        <v>1.34375788554844E-3</v>
      </c>
      <c r="N1001" s="112" t="s">
        <v>2787</v>
      </c>
      <c r="O1001" s="112" t="s">
        <v>2757</v>
      </c>
      <c r="P1001" s="112" t="s">
        <v>2758</v>
      </c>
      <c r="Q1001" s="112" t="s">
        <v>2788</v>
      </c>
    </row>
    <row r="1002" spans="1:18">
      <c r="A1002" s="112" t="s">
        <v>2789</v>
      </c>
      <c r="B1002" s="112" t="s">
        <v>1705</v>
      </c>
      <c r="C1002" s="112" t="s">
        <v>1706</v>
      </c>
      <c r="D1002" s="112">
        <v>80</v>
      </c>
      <c r="E1002" s="112" t="s">
        <v>1707</v>
      </c>
      <c r="F1002" s="112" t="s">
        <v>1708</v>
      </c>
      <c r="G1002" s="112">
        <v>4.2583665832534097</v>
      </c>
      <c r="H1002" s="112">
        <v>2.5855827361983899</v>
      </c>
      <c r="I1002" s="112">
        <v>1.7740084694133</v>
      </c>
      <c r="J1002" s="112" t="s">
        <v>848</v>
      </c>
      <c r="K1002" s="112" t="s">
        <v>1709</v>
      </c>
      <c r="L1002" s="112">
        <v>1.7810012873978001E-2</v>
      </c>
      <c r="M1002" s="112">
        <v>1.6778373523295899E-3</v>
      </c>
      <c r="N1002" s="112" t="s">
        <v>2789</v>
      </c>
      <c r="O1002" s="112" t="s">
        <v>2757</v>
      </c>
      <c r="P1002" s="112" t="s">
        <v>2758</v>
      </c>
      <c r="Q1002" s="112" t="s">
        <v>2790</v>
      </c>
    </row>
    <row r="1003" spans="1:18">
      <c r="A1003" s="112" t="s">
        <v>2791</v>
      </c>
      <c r="B1003" s="112" t="s">
        <v>1720</v>
      </c>
      <c r="C1003" s="112" t="s">
        <v>1706</v>
      </c>
      <c r="D1003" s="112">
        <v>55</v>
      </c>
      <c r="E1003" s="112" t="s">
        <v>1707</v>
      </c>
      <c r="F1003" s="112" t="s">
        <v>1721</v>
      </c>
      <c r="G1003" s="112">
        <v>3.8328851990022699</v>
      </c>
      <c r="H1003" s="112">
        <v>2.26458401611964</v>
      </c>
      <c r="I1003" s="112">
        <v>2.3172517843488998</v>
      </c>
      <c r="J1003" s="112" t="s">
        <v>848</v>
      </c>
      <c r="K1003" s="112" t="s">
        <v>1722</v>
      </c>
      <c r="L1003" s="112">
        <v>1.83840336388537E-2</v>
      </c>
      <c r="M1003" s="229">
        <v>4.61020339118718E-4</v>
      </c>
      <c r="N1003" s="112" t="s">
        <v>2791</v>
      </c>
      <c r="O1003" s="112" t="s">
        <v>2757</v>
      </c>
      <c r="P1003" s="112" t="s">
        <v>2758</v>
      </c>
      <c r="Q1003" s="230" t="s">
        <v>2792</v>
      </c>
    </row>
    <row r="1004" spans="1:18">
      <c r="A1004" s="112" t="s">
        <v>2764</v>
      </c>
      <c r="B1004" s="112" t="s">
        <v>1755</v>
      </c>
      <c r="C1004" s="112" t="s">
        <v>1706</v>
      </c>
      <c r="D1004" s="112">
        <v>30</v>
      </c>
      <c r="E1004" s="112" t="s">
        <v>1707</v>
      </c>
      <c r="F1004" s="112" t="s">
        <v>1721</v>
      </c>
      <c r="G1004" s="112">
        <v>-7.6157826265669497</v>
      </c>
      <c r="H1004" s="112">
        <v>-3.4187459842253198</v>
      </c>
      <c r="I1004" s="112">
        <v>0</v>
      </c>
      <c r="J1004" s="112">
        <v>1</v>
      </c>
      <c r="K1004" s="112" t="s">
        <v>1756</v>
      </c>
      <c r="L1004" s="112">
        <v>1.87107839575625E-2</v>
      </c>
      <c r="M1004" s="112">
        <v>1.0262671646039799E-3</v>
      </c>
      <c r="N1004" s="112" t="s">
        <v>2764</v>
      </c>
      <c r="O1004" s="112" t="s">
        <v>2757</v>
      </c>
      <c r="P1004" s="112" t="s">
        <v>2758</v>
      </c>
      <c r="Q1004" s="112" t="s">
        <v>2765</v>
      </c>
    </row>
    <row r="1005" spans="1:18">
      <c r="A1005" s="112" t="s">
        <v>2762</v>
      </c>
      <c r="B1005" s="112" t="s">
        <v>1796</v>
      </c>
      <c r="C1005" s="112" t="s">
        <v>1706</v>
      </c>
      <c r="D1005" s="112">
        <v>80</v>
      </c>
      <c r="E1005" s="112" t="s">
        <v>1707</v>
      </c>
      <c r="F1005" s="112" t="s">
        <v>1721</v>
      </c>
      <c r="G1005" s="112">
        <v>-4.0302888366579204</v>
      </c>
      <c r="H1005" s="112">
        <v>-2.53450400243403</v>
      </c>
      <c r="I1005" s="112">
        <v>0</v>
      </c>
      <c r="J1005" s="112">
        <v>1</v>
      </c>
      <c r="K1005" s="112" t="s">
        <v>1797</v>
      </c>
      <c r="L1005" s="112">
        <v>1.98252810467133E-2</v>
      </c>
      <c r="M1005" s="229">
        <v>7.3318347066247697E-4</v>
      </c>
      <c r="N1005" s="112" t="s">
        <v>2762</v>
      </c>
      <c r="O1005" s="112" t="s">
        <v>2757</v>
      </c>
      <c r="P1005" s="112" t="s">
        <v>2758</v>
      </c>
      <c r="Q1005" s="112" t="s">
        <v>2763</v>
      </c>
    </row>
    <row r="1006" spans="1:18">
      <c r="A1006" s="112" t="s">
        <v>2793</v>
      </c>
      <c r="B1006" s="112" t="s">
        <v>1705</v>
      </c>
      <c r="C1006" s="112" t="s">
        <v>1706</v>
      </c>
      <c r="D1006" s="112">
        <v>80</v>
      </c>
      <c r="E1006" s="112" t="s">
        <v>1707</v>
      </c>
      <c r="F1006" s="112" t="s">
        <v>1708</v>
      </c>
      <c r="G1006" s="112">
        <v>4.6971824764826904</v>
      </c>
      <c r="H1006" s="112">
        <v>2.5938389242164699</v>
      </c>
      <c r="I1006" s="112">
        <v>1.9261979769227899</v>
      </c>
      <c r="J1006" s="112" t="s">
        <v>848</v>
      </c>
      <c r="K1006" s="112" t="s">
        <v>1709</v>
      </c>
      <c r="L1006" s="112">
        <v>2.01233935868428E-2</v>
      </c>
      <c r="M1006" s="112">
        <v>1.9968937715013901E-3</v>
      </c>
      <c r="N1006" s="112" t="s">
        <v>2793</v>
      </c>
      <c r="O1006" s="112" t="s">
        <v>2757</v>
      </c>
      <c r="P1006" s="112" t="s">
        <v>2758</v>
      </c>
      <c r="Q1006" s="112" t="s">
        <v>2794</v>
      </c>
    </row>
    <row r="1007" spans="1:18">
      <c r="A1007" s="112" t="s">
        <v>2795</v>
      </c>
      <c r="B1007" s="112" t="s">
        <v>1705</v>
      </c>
      <c r="C1007" s="112" t="s">
        <v>1706</v>
      </c>
      <c r="D1007" s="112">
        <v>80</v>
      </c>
      <c r="E1007" s="112" t="s">
        <v>1707</v>
      </c>
      <c r="F1007" s="112" t="s">
        <v>1708</v>
      </c>
      <c r="G1007" s="112">
        <v>4.3404133304478796</v>
      </c>
      <c r="H1007" s="112">
        <v>2.5485574510638398</v>
      </c>
      <c r="I1007" s="112">
        <v>1.77913083618972</v>
      </c>
      <c r="J1007" s="112" t="s">
        <v>848</v>
      </c>
      <c r="K1007" s="112" t="s">
        <v>1709</v>
      </c>
      <c r="L1007" s="112">
        <v>2.01233935868428E-2</v>
      </c>
      <c r="M1007" s="112">
        <v>1.9832413892136298E-3</v>
      </c>
      <c r="N1007" s="112" t="s">
        <v>2795</v>
      </c>
      <c r="O1007" s="112" t="s">
        <v>2757</v>
      </c>
      <c r="P1007" s="112" t="s">
        <v>2758</v>
      </c>
      <c r="Q1007" s="112" t="s">
        <v>2796</v>
      </c>
    </row>
    <row r="1008" spans="1:18">
      <c r="A1008" s="112" t="s">
        <v>2760</v>
      </c>
      <c r="B1008" s="112" t="s">
        <v>1720</v>
      </c>
      <c r="C1008" s="112" t="s">
        <v>1706</v>
      </c>
      <c r="D1008" s="112">
        <v>55</v>
      </c>
      <c r="E1008" s="112" t="s">
        <v>1707</v>
      </c>
      <c r="F1008" s="112" t="s">
        <v>1721</v>
      </c>
      <c r="G1008" s="112">
        <v>2.2067909309863198</v>
      </c>
      <c r="H1008" s="112">
        <v>1.73692371243121</v>
      </c>
      <c r="I1008" s="112">
        <v>-0.23846524810634401</v>
      </c>
      <c r="J1008" s="112" t="s">
        <v>848</v>
      </c>
      <c r="K1008" s="112" t="s">
        <v>1722</v>
      </c>
      <c r="L1008" s="112">
        <v>2.0579452579674602E-2</v>
      </c>
      <c r="M1008" s="229">
        <v>5.41564541570386E-4</v>
      </c>
      <c r="N1008" s="112" t="s">
        <v>2760</v>
      </c>
      <c r="O1008" s="112" t="s">
        <v>2757</v>
      </c>
      <c r="P1008" s="112" t="s">
        <v>2758</v>
      </c>
      <c r="Q1008" s="112" t="s">
        <v>2761</v>
      </c>
    </row>
    <row r="1009" spans="1:18">
      <c r="A1009" s="112" t="s">
        <v>2797</v>
      </c>
      <c r="B1009" s="112" t="s">
        <v>1705</v>
      </c>
      <c r="C1009" s="112" t="s">
        <v>1706</v>
      </c>
      <c r="D1009" s="112">
        <v>80</v>
      </c>
      <c r="E1009" s="112" t="s">
        <v>1707</v>
      </c>
      <c r="F1009" s="112" t="s">
        <v>1708</v>
      </c>
      <c r="G1009" s="112">
        <v>-4.0216726243008996</v>
      </c>
      <c r="H1009" s="112">
        <v>-2.4598695328931899</v>
      </c>
      <c r="I1009" s="112">
        <v>0</v>
      </c>
      <c r="J1009" s="112">
        <v>1</v>
      </c>
      <c r="K1009" s="112" t="s">
        <v>1709</v>
      </c>
      <c r="L1009" s="112">
        <v>2.1342665036048501E-2</v>
      </c>
      <c r="M1009" s="112">
        <v>2.1880912070948899E-3</v>
      </c>
      <c r="N1009" s="112" t="s">
        <v>2797</v>
      </c>
      <c r="O1009" s="112" t="s">
        <v>2757</v>
      </c>
      <c r="P1009" s="112" t="s">
        <v>2758</v>
      </c>
      <c r="Q1009" s="112" t="s">
        <v>2798</v>
      </c>
    </row>
    <row r="1010" spans="1:18">
      <c r="A1010" s="112" t="s">
        <v>2785</v>
      </c>
      <c r="B1010" s="112" t="s">
        <v>1705</v>
      </c>
      <c r="C1010" s="112" t="s">
        <v>1706</v>
      </c>
      <c r="D1010" s="112">
        <v>80</v>
      </c>
      <c r="E1010" s="112" t="s">
        <v>1707</v>
      </c>
      <c r="F1010" s="112" t="s">
        <v>1708</v>
      </c>
      <c r="G1010" s="112">
        <v>-3.7591352951446999</v>
      </c>
      <c r="H1010" s="112">
        <v>-2.3804075181067001</v>
      </c>
      <c r="I1010" s="112">
        <v>0</v>
      </c>
      <c r="J1010" s="112">
        <v>1</v>
      </c>
      <c r="K1010" s="112" t="s">
        <v>1709</v>
      </c>
      <c r="L1010" s="112">
        <v>2.2415288521998301E-2</v>
      </c>
      <c r="M1010" s="112">
        <v>2.34721497132768E-3</v>
      </c>
      <c r="N1010" s="112" t="s">
        <v>2785</v>
      </c>
      <c r="O1010" s="112" t="s">
        <v>2757</v>
      </c>
      <c r="P1010" s="112" t="s">
        <v>2758</v>
      </c>
      <c r="Q1010" s="112" t="s">
        <v>2786</v>
      </c>
    </row>
    <row r="1011" spans="1:18">
      <c r="A1011" s="112" t="s">
        <v>2799</v>
      </c>
      <c r="B1011" s="112" t="s">
        <v>1705</v>
      </c>
      <c r="C1011" s="112" t="s">
        <v>1706</v>
      </c>
      <c r="D1011" s="112">
        <v>80</v>
      </c>
      <c r="E1011" s="112" t="s">
        <v>1707</v>
      </c>
      <c r="F1011" s="112" t="s">
        <v>1708</v>
      </c>
      <c r="G1011" s="112">
        <v>-3.0920432074821398</v>
      </c>
      <c r="H1011" s="112">
        <v>-2.1655065665178101</v>
      </c>
      <c r="I1011" s="112">
        <v>-4.8810309749431999</v>
      </c>
      <c r="J1011" s="112" t="s">
        <v>848</v>
      </c>
      <c r="K1011" s="112" t="s">
        <v>1709</v>
      </c>
      <c r="L1011" s="112">
        <v>2.2603054622333901E-2</v>
      </c>
      <c r="M1011" s="112">
        <v>2.3814346913490002E-3</v>
      </c>
      <c r="N1011" s="112" t="s">
        <v>2799</v>
      </c>
      <c r="O1011" s="112" t="s">
        <v>2757</v>
      </c>
      <c r="P1011" s="112" t="s">
        <v>2758</v>
      </c>
      <c r="Q1011" s="112" t="s">
        <v>2800</v>
      </c>
    </row>
    <row r="1012" spans="1:18">
      <c r="A1012" s="112" t="s">
        <v>2801</v>
      </c>
      <c r="B1012" s="112" t="s">
        <v>1731</v>
      </c>
      <c r="C1012" s="112" t="s">
        <v>1706</v>
      </c>
      <c r="D1012" s="112">
        <v>30</v>
      </c>
      <c r="E1012" s="112" t="s">
        <v>1707</v>
      </c>
      <c r="F1012" s="112" t="s">
        <v>1708</v>
      </c>
      <c r="G1012" s="112">
        <v>-2.4268952824243502</v>
      </c>
      <c r="H1012" s="112">
        <v>-1.51799862989682</v>
      </c>
      <c r="I1012" s="112">
        <v>-2.9282509275550499</v>
      </c>
      <c r="J1012" s="112" t="s">
        <v>848</v>
      </c>
      <c r="K1012" s="112" t="s">
        <v>1732</v>
      </c>
      <c r="L1012" s="112">
        <v>2.3005216895941399E-2</v>
      </c>
      <c r="M1012" s="112">
        <v>1.8787692870672001E-3</v>
      </c>
      <c r="N1012" s="112" t="s">
        <v>2801</v>
      </c>
      <c r="O1012" s="112" t="s">
        <v>2757</v>
      </c>
      <c r="P1012" s="112" t="s">
        <v>2758</v>
      </c>
      <c r="Q1012" s="112" t="s">
        <v>2802</v>
      </c>
    </row>
    <row r="1013" spans="1:18">
      <c r="A1013" s="112" t="s">
        <v>2803</v>
      </c>
      <c r="B1013" s="112" t="s">
        <v>1720</v>
      </c>
      <c r="C1013" s="112" t="s">
        <v>1706</v>
      </c>
      <c r="D1013" s="112">
        <v>55</v>
      </c>
      <c r="E1013" s="112" t="s">
        <v>1707</v>
      </c>
      <c r="F1013" s="112" t="s">
        <v>1721</v>
      </c>
      <c r="G1013" s="112">
        <v>4.8987161539133002</v>
      </c>
      <c r="H1013" s="112">
        <v>2.1472339010569801</v>
      </c>
      <c r="I1013" s="112">
        <v>1.6853675458371999</v>
      </c>
      <c r="J1013" s="112" t="s">
        <v>848</v>
      </c>
      <c r="K1013" s="112" t="s">
        <v>1722</v>
      </c>
      <c r="L1013" s="112">
        <v>2.3331984036133901E-2</v>
      </c>
      <c r="M1013" s="229">
        <v>6.3958289572735598E-4</v>
      </c>
      <c r="N1013" s="112" t="s">
        <v>2803</v>
      </c>
      <c r="O1013" s="112" t="s">
        <v>2757</v>
      </c>
      <c r="P1013" s="112" t="s">
        <v>2758</v>
      </c>
      <c r="Q1013" s="112" t="s">
        <v>2804</v>
      </c>
    </row>
    <row r="1014" spans="1:18">
      <c r="A1014" s="112" t="s">
        <v>2805</v>
      </c>
      <c r="B1014" s="112" t="s">
        <v>1796</v>
      </c>
      <c r="C1014" s="112" t="s">
        <v>1706</v>
      </c>
      <c r="D1014" s="112">
        <v>80</v>
      </c>
      <c r="E1014" s="112" t="s">
        <v>1707</v>
      </c>
      <c r="F1014" s="112" t="s">
        <v>1721</v>
      </c>
      <c r="G1014" s="112">
        <v>-4.4317020046367697</v>
      </c>
      <c r="H1014" s="112">
        <v>-2.4683588780027499</v>
      </c>
      <c r="I1014" s="112">
        <v>0</v>
      </c>
      <c r="J1014" s="112">
        <v>1</v>
      </c>
      <c r="K1014" s="112" t="s">
        <v>1797</v>
      </c>
      <c r="L1014" s="112">
        <v>2.46897289757462E-2</v>
      </c>
      <c r="M1014" s="112">
        <v>1.09569803146802E-3</v>
      </c>
      <c r="N1014" s="112" t="s">
        <v>2805</v>
      </c>
      <c r="O1014" s="112" t="s">
        <v>2757</v>
      </c>
      <c r="P1014" s="112" t="s">
        <v>2758</v>
      </c>
      <c r="Q1014" s="112" t="s">
        <v>2806</v>
      </c>
    </row>
    <row r="1015" spans="1:18">
      <c r="A1015" s="112" t="s">
        <v>2807</v>
      </c>
      <c r="B1015" s="112" t="s">
        <v>1743</v>
      </c>
      <c r="C1015" s="112" t="s">
        <v>1706</v>
      </c>
      <c r="D1015" s="112">
        <v>55</v>
      </c>
      <c r="E1015" s="112" t="s">
        <v>1707</v>
      </c>
      <c r="F1015" s="112" t="s">
        <v>440</v>
      </c>
      <c r="G1015" s="112">
        <v>3.9441586763584402</v>
      </c>
      <c r="H1015" s="112">
        <v>2.25044083555006</v>
      </c>
      <c r="I1015" s="112">
        <v>2.34265676736119</v>
      </c>
      <c r="J1015" s="112" t="s">
        <v>848</v>
      </c>
      <c r="K1015" s="112" t="s">
        <v>1744</v>
      </c>
      <c r="L1015" s="112">
        <v>2.59550471063816E-2</v>
      </c>
      <c r="M1015" s="229">
        <v>8.6098290332157601E-4</v>
      </c>
      <c r="N1015" s="112" t="s">
        <v>2807</v>
      </c>
      <c r="O1015" s="112" t="s">
        <v>2757</v>
      </c>
      <c r="P1015" s="112" t="s">
        <v>2758</v>
      </c>
      <c r="Q1015" s="112" t="s">
        <v>2808</v>
      </c>
    </row>
    <row r="1016" spans="1:18">
      <c r="A1016" s="112" t="s">
        <v>2785</v>
      </c>
      <c r="B1016" s="112" t="s">
        <v>1748</v>
      </c>
      <c r="C1016" s="112" t="s">
        <v>1706</v>
      </c>
      <c r="D1016" s="112">
        <v>80</v>
      </c>
      <c r="E1016" s="112" t="s">
        <v>1707</v>
      </c>
      <c r="F1016" s="112" t="s">
        <v>440</v>
      </c>
      <c r="G1016" s="112">
        <v>-5.2294369537847096</v>
      </c>
      <c r="H1016" s="112">
        <v>-2.9700651761330099</v>
      </c>
      <c r="I1016" s="112">
        <v>0</v>
      </c>
      <c r="J1016" s="112">
        <v>1</v>
      </c>
      <c r="K1016" s="112" t="s">
        <v>1749</v>
      </c>
      <c r="L1016" s="112">
        <v>2.6662918693437902E-2</v>
      </c>
      <c r="M1016" s="112">
        <v>1.7395215594951201E-3</v>
      </c>
      <c r="N1016" s="112" t="s">
        <v>2785</v>
      </c>
      <c r="O1016" s="112" t="s">
        <v>2757</v>
      </c>
      <c r="P1016" s="112" t="s">
        <v>2758</v>
      </c>
      <c r="Q1016" s="112" t="s">
        <v>2786</v>
      </c>
    </row>
    <row r="1017" spans="1:18">
      <c r="A1017" s="112" t="s">
        <v>2797</v>
      </c>
      <c r="B1017" s="112" t="s">
        <v>1748</v>
      </c>
      <c r="C1017" s="112" t="s">
        <v>1706</v>
      </c>
      <c r="D1017" s="112">
        <v>80</v>
      </c>
      <c r="E1017" s="112" t="s">
        <v>1707</v>
      </c>
      <c r="F1017" s="112" t="s">
        <v>440</v>
      </c>
      <c r="G1017" s="112">
        <v>-5.5235060314563196</v>
      </c>
      <c r="H1017" s="112">
        <v>-3.01053967088448</v>
      </c>
      <c r="I1017" s="112">
        <v>0</v>
      </c>
      <c r="J1017" s="112">
        <v>1</v>
      </c>
      <c r="K1017" s="112" t="s">
        <v>1749</v>
      </c>
      <c r="L1017" s="112">
        <v>2.6662918693437902E-2</v>
      </c>
      <c r="M1017" s="112">
        <v>1.7199650106614901E-3</v>
      </c>
      <c r="N1017" s="112" t="s">
        <v>2797</v>
      </c>
      <c r="O1017" s="112" t="s">
        <v>2757</v>
      </c>
      <c r="P1017" s="112" t="s">
        <v>2758</v>
      </c>
      <c r="Q1017" s="112" t="s">
        <v>2798</v>
      </c>
    </row>
    <row r="1018" spans="1:18">
      <c r="A1018" s="112" t="s">
        <v>2777</v>
      </c>
      <c r="B1018" s="112" t="s">
        <v>1755</v>
      </c>
      <c r="C1018" s="112" t="s">
        <v>1706</v>
      </c>
      <c r="D1018" s="112">
        <v>30</v>
      </c>
      <c r="E1018" s="112" t="s">
        <v>1707</v>
      </c>
      <c r="F1018" s="112" t="s">
        <v>1721</v>
      </c>
      <c r="G1018" s="112">
        <v>2.7764495338367299</v>
      </c>
      <c r="H1018" s="112">
        <v>1.94930374516544</v>
      </c>
      <c r="I1018" s="112">
        <v>1.7354880994164199</v>
      </c>
      <c r="J1018" s="112" t="s">
        <v>848</v>
      </c>
      <c r="K1018" s="112" t="s">
        <v>1756</v>
      </c>
      <c r="L1018" s="112">
        <v>2.6840119462758199E-2</v>
      </c>
      <c r="M1018" s="112">
        <v>1.7921860372588901E-3</v>
      </c>
      <c r="N1018" s="112" t="s">
        <v>2777</v>
      </c>
      <c r="O1018" s="112" t="s">
        <v>2757</v>
      </c>
      <c r="P1018" s="112" t="s">
        <v>2758</v>
      </c>
      <c r="Q1018" s="112" t="s">
        <v>2778</v>
      </c>
    </row>
    <row r="1019" spans="1:18">
      <c r="A1019" s="112" t="s">
        <v>2784</v>
      </c>
      <c r="B1019" s="112" t="s">
        <v>1731</v>
      </c>
      <c r="C1019" s="112" t="s">
        <v>1706</v>
      </c>
      <c r="D1019" s="112">
        <v>30</v>
      </c>
      <c r="E1019" s="112" t="s">
        <v>1707</v>
      </c>
      <c r="F1019" s="112" t="s">
        <v>1708</v>
      </c>
      <c r="G1019" s="112">
        <v>-2.8035963206907799</v>
      </c>
      <c r="H1019" s="112">
        <v>-1.5852974703136</v>
      </c>
      <c r="I1019" s="112">
        <v>-3.42306974513847</v>
      </c>
      <c r="J1019" s="112" t="s">
        <v>848</v>
      </c>
      <c r="K1019" s="112" t="s">
        <v>1732</v>
      </c>
      <c r="L1019" s="112">
        <v>2.7454976088801701E-2</v>
      </c>
      <c r="M1019" s="112">
        <v>2.3788492795543599E-3</v>
      </c>
      <c r="N1019" s="112" t="s">
        <v>2784</v>
      </c>
      <c r="O1019" s="112" t="s">
        <v>2757</v>
      </c>
      <c r="P1019" s="112" t="s">
        <v>2758</v>
      </c>
      <c r="Q1019" s="112" t="s">
        <v>2758</v>
      </c>
    </row>
    <row r="1020" spans="1:18">
      <c r="A1020" s="112" t="s">
        <v>2768</v>
      </c>
      <c r="B1020" s="112" t="s">
        <v>1731</v>
      </c>
      <c r="C1020" s="112" t="s">
        <v>1706</v>
      </c>
      <c r="D1020" s="112">
        <v>30</v>
      </c>
      <c r="E1020" s="112" t="s">
        <v>1707</v>
      </c>
      <c r="F1020" s="112" t="s">
        <v>1708</v>
      </c>
      <c r="G1020" s="112">
        <v>3.0873462182654499</v>
      </c>
      <c r="H1020" s="112">
        <v>1.6095672420402201</v>
      </c>
      <c r="I1020" s="112">
        <v>0.825267412019691</v>
      </c>
      <c r="J1020" s="112" t="s">
        <v>848</v>
      </c>
      <c r="K1020" s="112" t="s">
        <v>1732</v>
      </c>
      <c r="L1020" s="112">
        <v>3.1524969180582799E-2</v>
      </c>
      <c r="M1020" s="112">
        <v>2.7632994819198598E-3</v>
      </c>
      <c r="N1020" s="112" t="s">
        <v>2768</v>
      </c>
      <c r="O1020" s="112" t="s">
        <v>2757</v>
      </c>
      <c r="P1020" s="112" t="s">
        <v>2758</v>
      </c>
      <c r="Q1020" s="112" t="s">
        <v>2769</v>
      </c>
    </row>
    <row r="1021" spans="1:18">
      <c r="A1021" s="112" t="s">
        <v>2809</v>
      </c>
      <c r="B1021" s="112" t="s">
        <v>1705</v>
      </c>
      <c r="C1021" s="112" t="s">
        <v>1706</v>
      </c>
      <c r="D1021" s="112">
        <v>80</v>
      </c>
      <c r="E1021" s="112" t="s">
        <v>1707</v>
      </c>
      <c r="F1021" s="112" t="s">
        <v>1708</v>
      </c>
      <c r="G1021" s="112">
        <v>-1.8340341575452299</v>
      </c>
      <c r="H1021" s="112">
        <v>-1.4335503024759599</v>
      </c>
      <c r="I1021" s="112">
        <v>-2.3289493155120802</v>
      </c>
      <c r="J1021" s="112" t="s">
        <v>848</v>
      </c>
      <c r="K1021" s="112" t="s">
        <v>1709</v>
      </c>
      <c r="L1021" s="112">
        <v>3.2073607543933097E-2</v>
      </c>
      <c r="M1021" s="112">
        <v>3.9916167283293898E-3</v>
      </c>
      <c r="N1021" s="112" t="s">
        <v>2809</v>
      </c>
      <c r="O1021" s="112" t="s">
        <v>2757</v>
      </c>
      <c r="P1021" s="112" t="s">
        <v>2758</v>
      </c>
      <c r="Q1021" s="112" t="s">
        <v>2810</v>
      </c>
    </row>
    <row r="1022" spans="1:18">
      <c r="A1022" s="112" t="s">
        <v>2811</v>
      </c>
      <c r="B1022" s="112" t="s">
        <v>1705</v>
      </c>
      <c r="C1022" s="112" t="s">
        <v>1706</v>
      </c>
      <c r="D1022" s="112">
        <v>80</v>
      </c>
      <c r="E1022" s="112" t="s">
        <v>1707</v>
      </c>
      <c r="F1022" s="112" t="s">
        <v>1708</v>
      </c>
      <c r="G1022" s="112">
        <v>-3.3901644859820301</v>
      </c>
      <c r="H1022" s="112">
        <v>-2.12139390017798</v>
      </c>
      <c r="I1022" s="112">
        <v>0</v>
      </c>
      <c r="J1022" s="112">
        <v>1</v>
      </c>
      <c r="K1022" s="112" t="s">
        <v>1709</v>
      </c>
      <c r="L1022" s="112">
        <v>3.3834330705214299E-2</v>
      </c>
      <c r="M1022" s="112">
        <v>4.2849399083906203E-3</v>
      </c>
      <c r="N1022" s="112" t="s">
        <v>2811</v>
      </c>
      <c r="O1022" s="112" t="s">
        <v>2757</v>
      </c>
      <c r="P1022" s="112" t="s">
        <v>2758</v>
      </c>
      <c r="Q1022" s="112" t="s">
        <v>2773</v>
      </c>
    </row>
    <row r="1023" spans="1:18">
      <c r="A1023" s="112" t="s">
        <v>2812</v>
      </c>
      <c r="B1023" s="112" t="s">
        <v>1731</v>
      </c>
      <c r="C1023" s="112" t="s">
        <v>1706</v>
      </c>
      <c r="D1023" s="112">
        <v>30</v>
      </c>
      <c r="E1023" s="112" t="s">
        <v>1707</v>
      </c>
      <c r="F1023" s="112" t="s">
        <v>1708</v>
      </c>
      <c r="G1023" s="112">
        <v>6.2481864908340201</v>
      </c>
      <c r="H1023" s="112">
        <v>1.6462221883134001</v>
      </c>
      <c r="I1023" s="112">
        <v>2.67714759186818</v>
      </c>
      <c r="J1023" s="112" t="s">
        <v>848</v>
      </c>
      <c r="K1023" s="112" t="s">
        <v>1732</v>
      </c>
      <c r="L1023" s="112">
        <v>3.4202772105040198E-2</v>
      </c>
      <c r="M1023" s="112">
        <v>3.1538327219273999E-3</v>
      </c>
      <c r="N1023" s="112" t="s">
        <v>2812</v>
      </c>
      <c r="O1023" s="112" t="s">
        <v>2757</v>
      </c>
      <c r="P1023" s="112" t="s">
        <v>2758</v>
      </c>
      <c r="Q1023" s="112" t="s">
        <v>2813</v>
      </c>
      <c r="R1023" s="112" t="s">
        <v>2814</v>
      </c>
    </row>
    <row r="1024" spans="1:18">
      <c r="A1024" s="112" t="s">
        <v>2815</v>
      </c>
      <c r="B1024" s="112" t="s">
        <v>1705</v>
      </c>
      <c r="C1024" s="112" t="s">
        <v>1706</v>
      </c>
      <c r="D1024" s="112">
        <v>80</v>
      </c>
      <c r="E1024" s="112" t="s">
        <v>1707</v>
      </c>
      <c r="F1024" s="112" t="s">
        <v>1708</v>
      </c>
      <c r="G1024" s="112">
        <v>1.81776612323438</v>
      </c>
      <c r="H1024" s="112">
        <v>1.40523453336343</v>
      </c>
      <c r="I1024" s="112">
        <v>1.42234993355258</v>
      </c>
      <c r="J1024" s="112" t="s">
        <v>848</v>
      </c>
      <c r="K1024" s="112" t="s">
        <v>1709</v>
      </c>
      <c r="L1024" s="112">
        <v>3.5792078350621398E-2</v>
      </c>
      <c r="M1024" s="112">
        <v>4.7291068434757496E-3</v>
      </c>
      <c r="N1024" s="112" t="s">
        <v>2815</v>
      </c>
      <c r="O1024" s="112" t="s">
        <v>2757</v>
      </c>
      <c r="P1024" s="112" t="s">
        <v>2758</v>
      </c>
      <c r="Q1024" s="112" t="s">
        <v>2816</v>
      </c>
      <c r="R1024" s="112" t="s">
        <v>2817</v>
      </c>
    </row>
    <row r="1025" spans="1:18">
      <c r="A1025" s="112" t="s">
        <v>2818</v>
      </c>
      <c r="B1025" s="112" t="s">
        <v>1748</v>
      </c>
      <c r="C1025" s="112" t="s">
        <v>1706</v>
      </c>
      <c r="D1025" s="112">
        <v>80</v>
      </c>
      <c r="E1025" s="112" t="s">
        <v>1707</v>
      </c>
      <c r="F1025" s="112" t="s">
        <v>440</v>
      </c>
      <c r="G1025" s="112">
        <v>-2.2857206061956199</v>
      </c>
      <c r="H1025" s="112">
        <v>-1.7244197771968299</v>
      </c>
      <c r="I1025" s="112">
        <v>-2.4388208859643998</v>
      </c>
      <c r="J1025" s="112" t="s">
        <v>848</v>
      </c>
      <c r="K1025" s="112" t="s">
        <v>1749</v>
      </c>
      <c r="L1025" s="112">
        <v>3.6405294623551798E-2</v>
      </c>
      <c r="M1025" s="112">
        <v>2.73438890538739E-3</v>
      </c>
      <c r="N1025" s="112" t="s">
        <v>2818</v>
      </c>
      <c r="O1025" s="112" t="s">
        <v>2757</v>
      </c>
      <c r="P1025" s="112" t="s">
        <v>2758</v>
      </c>
      <c r="Q1025" s="112" t="s">
        <v>2819</v>
      </c>
      <c r="R1025" s="112" t="s">
        <v>2820</v>
      </c>
    </row>
    <row r="1026" spans="1:18">
      <c r="A1026" s="112" t="s">
        <v>2777</v>
      </c>
      <c r="B1026" s="112" t="s">
        <v>1796</v>
      </c>
      <c r="C1026" s="112" t="s">
        <v>1706</v>
      </c>
      <c r="D1026" s="112">
        <v>80</v>
      </c>
      <c r="E1026" s="112" t="s">
        <v>1707</v>
      </c>
      <c r="F1026" s="112" t="s">
        <v>1721</v>
      </c>
      <c r="G1026" s="112">
        <v>-2.4834935145647599</v>
      </c>
      <c r="H1026" s="112">
        <v>-1.5836521100265399</v>
      </c>
      <c r="I1026" s="112">
        <v>-3.8099962335758901</v>
      </c>
      <c r="J1026" s="112" t="s">
        <v>848</v>
      </c>
      <c r="K1026" s="112" t="s">
        <v>1797</v>
      </c>
      <c r="L1026" s="112">
        <v>3.7166682898701099E-2</v>
      </c>
      <c r="M1026" s="112">
        <v>2.1442317056942898E-3</v>
      </c>
      <c r="N1026" s="112" t="s">
        <v>2777</v>
      </c>
      <c r="O1026" s="112" t="s">
        <v>2757</v>
      </c>
      <c r="P1026" s="112" t="s">
        <v>2758</v>
      </c>
      <c r="Q1026" s="112" t="s">
        <v>2778</v>
      </c>
    </row>
    <row r="1027" spans="1:18">
      <c r="A1027" s="112" t="s">
        <v>2821</v>
      </c>
      <c r="B1027" s="112" t="s">
        <v>1720</v>
      </c>
      <c r="C1027" s="112" t="s">
        <v>1706</v>
      </c>
      <c r="D1027" s="112">
        <v>55</v>
      </c>
      <c r="E1027" s="112" t="s">
        <v>1707</v>
      </c>
      <c r="F1027" s="112" t="s">
        <v>1721</v>
      </c>
      <c r="G1027" s="112">
        <v>2.9489457147806402</v>
      </c>
      <c r="H1027" s="112">
        <v>1.8302174521955601</v>
      </c>
      <c r="I1027" s="112">
        <v>1.4142056303670401</v>
      </c>
      <c r="J1027" s="112" t="s">
        <v>848</v>
      </c>
      <c r="K1027" s="112" t="s">
        <v>1722</v>
      </c>
      <c r="L1027" s="112">
        <v>3.7288551251164398E-2</v>
      </c>
      <c r="M1027" s="112">
        <v>1.3017175760969501E-3</v>
      </c>
      <c r="N1027" s="112" t="s">
        <v>2821</v>
      </c>
      <c r="O1027" s="112" t="s">
        <v>2757</v>
      </c>
      <c r="P1027" s="112" t="s">
        <v>2758</v>
      </c>
      <c r="Q1027" s="112" t="s">
        <v>2822</v>
      </c>
    </row>
    <row r="1028" spans="1:18">
      <c r="A1028" s="112" t="s">
        <v>2781</v>
      </c>
      <c r="B1028" s="112" t="s">
        <v>1755</v>
      </c>
      <c r="C1028" s="112" t="s">
        <v>1706</v>
      </c>
      <c r="D1028" s="112">
        <v>30</v>
      </c>
      <c r="E1028" s="112" t="s">
        <v>1707</v>
      </c>
      <c r="F1028" s="112" t="s">
        <v>1721</v>
      </c>
      <c r="G1028" s="112">
        <v>-7.1178785695447404</v>
      </c>
      <c r="H1028" s="112">
        <v>-2.70793481554947</v>
      </c>
      <c r="I1028" s="112">
        <v>0</v>
      </c>
      <c r="J1028" s="112">
        <v>1</v>
      </c>
      <c r="K1028" s="112" t="s">
        <v>1756</v>
      </c>
      <c r="L1028" s="112">
        <v>3.7875173248059897E-2</v>
      </c>
      <c r="M1028" s="112">
        <v>3.1010674439985401E-3</v>
      </c>
      <c r="N1028" s="112" t="s">
        <v>2781</v>
      </c>
      <c r="O1028" s="112" t="s">
        <v>2757</v>
      </c>
      <c r="P1028" s="112" t="s">
        <v>2758</v>
      </c>
      <c r="Q1028" s="112" t="s">
        <v>2782</v>
      </c>
    </row>
    <row r="1029" spans="1:18">
      <c r="A1029" s="112" t="s">
        <v>2823</v>
      </c>
      <c r="B1029" s="112" t="s">
        <v>1705</v>
      </c>
      <c r="C1029" s="112" t="s">
        <v>1706</v>
      </c>
      <c r="D1029" s="112">
        <v>80</v>
      </c>
      <c r="E1029" s="112" t="s">
        <v>1707</v>
      </c>
      <c r="F1029" s="112" t="s">
        <v>1708</v>
      </c>
      <c r="G1029" s="112">
        <v>-4.0762027271992398</v>
      </c>
      <c r="H1029" s="112">
        <v>-2.15728128536233</v>
      </c>
      <c r="I1029" s="112">
        <v>0</v>
      </c>
      <c r="J1029" s="112">
        <v>1</v>
      </c>
      <c r="K1029" s="112" t="s">
        <v>1709</v>
      </c>
      <c r="L1029" s="112">
        <v>3.9753856674939199E-2</v>
      </c>
      <c r="M1029" s="112">
        <v>5.5141040234427804E-3</v>
      </c>
      <c r="N1029" s="112" t="s">
        <v>2823</v>
      </c>
      <c r="O1029" s="112" t="s">
        <v>2757</v>
      </c>
      <c r="P1029" s="112" t="s">
        <v>2758</v>
      </c>
      <c r="Q1029" s="112" t="s">
        <v>2824</v>
      </c>
    </row>
    <row r="1030" spans="1:18">
      <c r="A1030" s="112" t="s">
        <v>2825</v>
      </c>
      <c r="B1030" s="112" t="s">
        <v>1755</v>
      </c>
      <c r="C1030" s="112" t="s">
        <v>1706</v>
      </c>
      <c r="D1030" s="112">
        <v>30</v>
      </c>
      <c r="E1030" s="112" t="s">
        <v>1707</v>
      </c>
      <c r="F1030" s="112" t="s">
        <v>1721</v>
      </c>
      <c r="G1030" s="112">
        <v>-7.1697999108064296</v>
      </c>
      <c r="H1030" s="112">
        <v>-2.6031563120819401</v>
      </c>
      <c r="I1030" s="112">
        <v>0</v>
      </c>
      <c r="J1030" s="112">
        <v>1</v>
      </c>
      <c r="K1030" s="112" t="s">
        <v>1756</v>
      </c>
      <c r="L1030" s="112">
        <v>4.1543451412144099E-2</v>
      </c>
      <c r="M1030" s="112">
        <v>3.6655986540127098E-3</v>
      </c>
      <c r="N1030" s="112" t="s">
        <v>2825</v>
      </c>
      <c r="O1030" s="112" t="s">
        <v>2757</v>
      </c>
      <c r="P1030" s="112" t="s">
        <v>2758</v>
      </c>
      <c r="Q1030" s="112" t="s">
        <v>2826</v>
      </c>
      <c r="R1030" s="112" t="s">
        <v>2827</v>
      </c>
    </row>
    <row r="1031" spans="1:18">
      <c r="A1031" s="112" t="s">
        <v>2828</v>
      </c>
      <c r="B1031" s="112" t="s">
        <v>1705</v>
      </c>
      <c r="C1031" s="112" t="s">
        <v>1706</v>
      </c>
      <c r="D1031" s="112">
        <v>80</v>
      </c>
      <c r="E1031" s="112" t="s">
        <v>1707</v>
      </c>
      <c r="F1031" s="112" t="s">
        <v>1708</v>
      </c>
      <c r="G1031" s="112">
        <v>5.0594846062512202</v>
      </c>
      <c r="H1031" s="112">
        <v>2.1558438609370398</v>
      </c>
      <c r="I1031" s="112">
        <v>1.81589283606883</v>
      </c>
      <c r="J1031" s="112" t="s">
        <v>848</v>
      </c>
      <c r="K1031" s="112" t="s">
        <v>1709</v>
      </c>
      <c r="L1031" s="112">
        <v>4.1748593220987798E-2</v>
      </c>
      <c r="M1031" s="112">
        <v>5.8742542640671499E-3</v>
      </c>
      <c r="N1031" s="112" t="s">
        <v>2828</v>
      </c>
      <c r="O1031" s="112" t="s">
        <v>2757</v>
      </c>
      <c r="P1031" s="112" t="s">
        <v>2758</v>
      </c>
      <c r="Q1031" s="112" t="s">
        <v>2829</v>
      </c>
    </row>
    <row r="1032" spans="1:18">
      <c r="A1032" s="112" t="s">
        <v>2830</v>
      </c>
      <c r="B1032" s="112" t="s">
        <v>1705</v>
      </c>
      <c r="C1032" s="112" t="s">
        <v>1706</v>
      </c>
      <c r="D1032" s="112">
        <v>80</v>
      </c>
      <c r="E1032" s="112" t="s">
        <v>1707</v>
      </c>
      <c r="F1032" s="112" t="s">
        <v>1708</v>
      </c>
      <c r="G1032" s="112">
        <v>4.2308113483606196</v>
      </c>
      <c r="H1032" s="112">
        <v>2.1123449723345802</v>
      </c>
      <c r="I1032" s="112">
        <v>2.1767031442047902</v>
      </c>
      <c r="J1032" s="112" t="s">
        <v>848</v>
      </c>
      <c r="K1032" s="112" t="s">
        <v>1709</v>
      </c>
      <c r="L1032" s="112">
        <v>4.4044631139078597E-2</v>
      </c>
      <c r="M1032" s="112">
        <v>6.3748808227613802E-3</v>
      </c>
      <c r="N1032" s="112" t="s">
        <v>2830</v>
      </c>
      <c r="O1032" s="112" t="s">
        <v>2757</v>
      </c>
      <c r="P1032" s="112" t="s">
        <v>2758</v>
      </c>
      <c r="Q1032" s="112" t="s">
        <v>2831</v>
      </c>
    </row>
    <row r="1033" spans="1:18">
      <c r="A1033" s="112" t="s">
        <v>2832</v>
      </c>
      <c r="B1033" s="112" t="s">
        <v>1705</v>
      </c>
      <c r="C1033" s="112" t="s">
        <v>1706</v>
      </c>
      <c r="D1033" s="112">
        <v>80</v>
      </c>
      <c r="E1033" s="112" t="s">
        <v>1707</v>
      </c>
      <c r="F1033" s="112" t="s">
        <v>1708</v>
      </c>
      <c r="G1033" s="112">
        <v>-3.4809640878882</v>
      </c>
      <c r="H1033" s="112">
        <v>-2.0035425104690998</v>
      </c>
      <c r="I1033" s="112">
        <v>0</v>
      </c>
      <c r="J1033" s="112">
        <v>1</v>
      </c>
      <c r="K1033" s="112" t="s">
        <v>1709</v>
      </c>
      <c r="L1033" s="112">
        <v>4.55948010178319E-2</v>
      </c>
      <c r="M1033" s="112">
        <v>6.7492304138238096E-3</v>
      </c>
      <c r="N1033" s="112" t="s">
        <v>2832</v>
      </c>
      <c r="O1033" s="112" t="s">
        <v>2757</v>
      </c>
      <c r="P1033" s="112" t="s">
        <v>2758</v>
      </c>
      <c r="Q1033" s="112" t="s">
        <v>2833</v>
      </c>
    </row>
    <row r="1034" spans="1:18">
      <c r="A1034" s="112" t="s">
        <v>2777</v>
      </c>
      <c r="B1034" s="112" t="s">
        <v>1705</v>
      </c>
      <c r="C1034" s="112" t="s">
        <v>1706</v>
      </c>
      <c r="D1034" s="112">
        <v>80</v>
      </c>
      <c r="E1034" s="112" t="s">
        <v>1707</v>
      </c>
      <c r="F1034" s="112" t="s">
        <v>1708</v>
      </c>
      <c r="G1034" s="112">
        <v>-1.4713144211151099</v>
      </c>
      <c r="H1034" s="112">
        <v>-1.1383320502249801</v>
      </c>
      <c r="I1034" s="112">
        <v>-1.9845006221995201</v>
      </c>
      <c r="J1034" s="112" t="s">
        <v>848</v>
      </c>
      <c r="K1034" s="112" t="s">
        <v>1709</v>
      </c>
      <c r="L1034" s="112">
        <v>4.7630216230847698E-2</v>
      </c>
      <c r="M1034" s="112">
        <v>7.1185592358146803E-3</v>
      </c>
      <c r="N1034" s="112" t="s">
        <v>2777</v>
      </c>
      <c r="O1034" s="112" t="s">
        <v>2757</v>
      </c>
      <c r="P1034" s="112" t="s">
        <v>2758</v>
      </c>
      <c r="Q1034" s="112" t="s">
        <v>2778</v>
      </c>
    </row>
    <row r="1035" spans="1:18">
      <c r="A1035" s="112" t="s">
        <v>2774</v>
      </c>
      <c r="B1035" s="112" t="s">
        <v>1762</v>
      </c>
      <c r="C1035" s="112" t="s">
        <v>1706</v>
      </c>
      <c r="D1035" s="112">
        <v>55</v>
      </c>
      <c r="E1035" s="112" t="s">
        <v>1707</v>
      </c>
      <c r="F1035" s="112" t="s">
        <v>1708</v>
      </c>
      <c r="G1035" s="112">
        <v>3.3311265863721098</v>
      </c>
      <c r="H1035" s="112">
        <v>1.7011232806434899</v>
      </c>
      <c r="I1035" s="112">
        <v>1.66455745963938</v>
      </c>
      <c r="J1035" s="112" t="s">
        <v>848</v>
      </c>
      <c r="K1035" s="112" t="s">
        <v>1763</v>
      </c>
      <c r="L1035" s="112">
        <v>4.8112401044184003E-2</v>
      </c>
      <c r="M1035" s="112">
        <v>1.78901231011684E-3</v>
      </c>
      <c r="N1035" s="112" t="s">
        <v>2774</v>
      </c>
      <c r="O1035" s="112" t="s">
        <v>2757</v>
      </c>
      <c r="P1035" s="112" t="s">
        <v>2758</v>
      </c>
      <c r="Q1035" s="112" t="s">
        <v>2775</v>
      </c>
      <c r="R1035" s="112" t="s">
        <v>2776</v>
      </c>
    </row>
  </sheetData>
  <mergeCells count="1">
    <mergeCell ref="A1:K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8C6D-4FF6-4918-89DD-010A89DF5429}">
  <dimension ref="A1:R334"/>
  <sheetViews>
    <sheetView workbookViewId="0">
      <selection sqref="A1:I3"/>
    </sheetView>
  </sheetViews>
  <sheetFormatPr defaultColWidth="12.5" defaultRowHeight="15"/>
  <cols>
    <col min="1" max="16384" width="12.5" style="222"/>
  </cols>
  <sheetData>
    <row r="1" spans="1:18">
      <c r="A1" s="287" t="s">
        <v>2834</v>
      </c>
      <c r="B1" s="288"/>
      <c r="C1" s="288"/>
      <c r="D1" s="288"/>
      <c r="E1" s="288"/>
      <c r="F1" s="288"/>
      <c r="G1" s="288"/>
      <c r="H1" s="288"/>
      <c r="I1" s="289"/>
    </row>
    <row r="2" spans="1:18">
      <c r="A2" s="290"/>
      <c r="B2" s="291"/>
      <c r="C2" s="291"/>
      <c r="D2" s="291"/>
      <c r="E2" s="291"/>
      <c r="F2" s="291"/>
      <c r="G2" s="291"/>
      <c r="H2" s="291"/>
      <c r="I2" s="292"/>
    </row>
    <row r="3" spans="1:18" ht="18.75" customHeight="1">
      <c r="A3" s="293"/>
      <c r="B3" s="294"/>
      <c r="C3" s="294"/>
      <c r="D3" s="294"/>
      <c r="E3" s="294"/>
      <c r="F3" s="294"/>
      <c r="G3" s="294"/>
      <c r="H3" s="294"/>
      <c r="I3" s="295"/>
    </row>
    <row r="4" spans="1:18" ht="18" customHeight="1"/>
    <row r="5" spans="1:18" ht="15.75" customHeight="1">
      <c r="A5" s="222" t="s">
        <v>1453</v>
      </c>
      <c r="B5" s="222" t="s">
        <v>1689</v>
      </c>
      <c r="C5" s="222" t="s">
        <v>1690</v>
      </c>
      <c r="D5" s="222" t="s">
        <v>1691</v>
      </c>
      <c r="E5" s="222" t="s">
        <v>1692</v>
      </c>
      <c r="F5" s="222" t="s">
        <v>814</v>
      </c>
      <c r="G5" s="222" t="s">
        <v>1693</v>
      </c>
      <c r="H5" s="222" t="s">
        <v>1694</v>
      </c>
      <c r="I5" s="222" t="s">
        <v>1695</v>
      </c>
      <c r="J5" s="222" t="s">
        <v>1696</v>
      </c>
      <c r="K5" s="222" t="s">
        <v>1697</v>
      </c>
      <c r="L5" s="222" t="s">
        <v>1698</v>
      </c>
      <c r="M5" s="222" t="s">
        <v>1699</v>
      </c>
      <c r="N5" s="222" t="s">
        <v>1453</v>
      </c>
      <c r="O5" s="222" t="s">
        <v>1700</v>
      </c>
      <c r="P5" s="222" t="s">
        <v>1701</v>
      </c>
      <c r="Q5" s="222" t="s">
        <v>1702</v>
      </c>
      <c r="R5" s="222" t="s">
        <v>1703</v>
      </c>
    </row>
    <row r="6" spans="1:18">
      <c r="A6" s="222" t="s">
        <v>2835</v>
      </c>
      <c r="B6" s="222" t="s">
        <v>1735</v>
      </c>
      <c r="C6" s="222" t="s">
        <v>2836</v>
      </c>
      <c r="D6" s="222">
        <v>30</v>
      </c>
      <c r="E6" s="222">
        <v>30</v>
      </c>
      <c r="F6" s="222" t="s">
        <v>440</v>
      </c>
      <c r="G6" s="222">
        <v>8.21519413293478</v>
      </c>
      <c r="H6" s="222">
        <v>7.6158994640378603</v>
      </c>
      <c r="I6" s="222">
        <v>1.5849625007211501</v>
      </c>
      <c r="J6" s="222" t="s">
        <v>848</v>
      </c>
      <c r="K6" s="222" t="s">
        <v>2837</v>
      </c>
      <c r="L6" s="231">
        <v>1.9697823114479801E-22</v>
      </c>
      <c r="M6" s="231">
        <v>1.5645610098871899E-25</v>
      </c>
      <c r="N6" s="222" t="s">
        <v>2835</v>
      </c>
      <c r="O6" s="222" t="s">
        <v>1715</v>
      </c>
      <c r="P6" s="222" t="s">
        <v>1767</v>
      </c>
      <c r="Q6" s="222" t="s">
        <v>2838</v>
      </c>
      <c r="R6" s="222" t="s">
        <v>2839</v>
      </c>
    </row>
    <row r="7" spans="1:18">
      <c r="A7" s="222" t="s">
        <v>1727</v>
      </c>
      <c r="B7" s="222" t="s">
        <v>1735</v>
      </c>
      <c r="C7" s="222" t="s">
        <v>2836</v>
      </c>
      <c r="D7" s="222">
        <v>30</v>
      </c>
      <c r="E7" s="222">
        <v>30</v>
      </c>
      <c r="F7" s="222" t="s">
        <v>440</v>
      </c>
      <c r="G7" s="222">
        <v>6.8207633738317304</v>
      </c>
      <c r="H7" s="222">
        <v>6.3481876392319396</v>
      </c>
      <c r="I7" s="222">
        <v>1.58370252277043</v>
      </c>
      <c r="J7" s="222" t="s">
        <v>848</v>
      </c>
      <c r="K7" s="222" t="s">
        <v>2837</v>
      </c>
      <c r="L7" s="231">
        <v>3.2709740498861898E-18</v>
      </c>
      <c r="M7" s="231">
        <v>5.1961462269836202E-21</v>
      </c>
      <c r="N7" s="222" t="s">
        <v>1727</v>
      </c>
      <c r="O7" s="222" t="s">
        <v>1715</v>
      </c>
      <c r="P7" s="222" t="s">
        <v>1715</v>
      </c>
      <c r="Q7" s="222" t="s">
        <v>2840</v>
      </c>
      <c r="R7" s="222" t="s">
        <v>1765</v>
      </c>
    </row>
    <row r="8" spans="1:18">
      <c r="A8" s="222" t="s">
        <v>2610</v>
      </c>
      <c r="B8" s="222" t="s">
        <v>1735</v>
      </c>
      <c r="C8" s="222" t="s">
        <v>2836</v>
      </c>
      <c r="D8" s="222">
        <v>30</v>
      </c>
      <c r="E8" s="222">
        <v>30</v>
      </c>
      <c r="F8" s="222" t="s">
        <v>440</v>
      </c>
      <c r="G8" s="222">
        <v>5.3351362069494401</v>
      </c>
      <c r="H8" s="222">
        <v>4.97262596540358</v>
      </c>
      <c r="I8" s="222">
        <v>1.5585784907996001</v>
      </c>
      <c r="J8" s="222" t="s">
        <v>848</v>
      </c>
      <c r="K8" s="222" t="s">
        <v>2837</v>
      </c>
      <c r="L8" s="231">
        <v>4.3143465099228701E-15</v>
      </c>
      <c r="M8" s="231">
        <v>1.02804126527153E-17</v>
      </c>
      <c r="N8" s="222" t="s">
        <v>2610</v>
      </c>
      <c r="O8" s="222" t="s">
        <v>2033</v>
      </c>
      <c r="P8" s="222" t="s">
        <v>2611</v>
      </c>
      <c r="Q8" s="222" t="s">
        <v>2612</v>
      </c>
    </row>
    <row r="9" spans="1:18">
      <c r="A9" s="222" t="s">
        <v>2066</v>
      </c>
      <c r="B9" s="222" t="s">
        <v>1735</v>
      </c>
      <c r="C9" s="222" t="s">
        <v>2836</v>
      </c>
      <c r="D9" s="222">
        <v>30</v>
      </c>
      <c r="E9" s="222">
        <v>30</v>
      </c>
      <c r="F9" s="222" t="s">
        <v>440</v>
      </c>
      <c r="G9" s="222">
        <v>6.4954961408963801</v>
      </c>
      <c r="H9" s="222">
        <v>5.9385700715555396</v>
      </c>
      <c r="I9" s="222">
        <v>1.58381244575191</v>
      </c>
      <c r="J9" s="222" t="s">
        <v>848</v>
      </c>
      <c r="K9" s="222" t="s">
        <v>2837</v>
      </c>
      <c r="L9" s="231">
        <v>4.9033736075158101E-14</v>
      </c>
      <c r="M9" s="231">
        <v>1.55786294122821E-16</v>
      </c>
      <c r="N9" s="222" t="s">
        <v>2066</v>
      </c>
      <c r="O9" s="222" t="s">
        <v>1817</v>
      </c>
      <c r="P9" s="222" t="s">
        <v>2062</v>
      </c>
      <c r="Q9" s="222" t="s">
        <v>2841</v>
      </c>
    </row>
    <row r="10" spans="1:18">
      <c r="A10" s="222" t="s">
        <v>2315</v>
      </c>
      <c r="B10" s="222" t="s">
        <v>1735</v>
      </c>
      <c r="C10" s="222" t="s">
        <v>2836</v>
      </c>
      <c r="D10" s="222">
        <v>30</v>
      </c>
      <c r="E10" s="222">
        <v>30</v>
      </c>
      <c r="F10" s="222" t="s">
        <v>440</v>
      </c>
      <c r="G10" s="222">
        <v>4.4110566748085702</v>
      </c>
      <c r="H10" s="222">
        <v>4.0737571306465004</v>
      </c>
      <c r="I10" s="222">
        <v>1.4626303989395699</v>
      </c>
      <c r="J10" s="222" t="s">
        <v>848</v>
      </c>
      <c r="K10" s="222" t="s">
        <v>2837</v>
      </c>
      <c r="L10" s="231">
        <v>2.08157361143689E-12</v>
      </c>
      <c r="M10" s="231">
        <v>8.2667736752855299E-15</v>
      </c>
      <c r="N10" s="222" t="s">
        <v>2315</v>
      </c>
      <c r="O10" s="222" t="s">
        <v>2313</v>
      </c>
      <c r="P10" s="222" t="s">
        <v>1524</v>
      </c>
      <c r="Q10" s="222" t="s">
        <v>2316</v>
      </c>
    </row>
    <row r="11" spans="1:18">
      <c r="A11" s="222" t="s">
        <v>2092</v>
      </c>
      <c r="B11" s="222" t="s">
        <v>1735</v>
      </c>
      <c r="C11" s="222" t="s">
        <v>2836</v>
      </c>
      <c r="D11" s="222">
        <v>30</v>
      </c>
      <c r="E11" s="222">
        <v>30</v>
      </c>
      <c r="F11" s="222" t="s">
        <v>440</v>
      </c>
      <c r="G11" s="222">
        <v>6.0437633080287299</v>
      </c>
      <c r="H11" s="222">
        <v>5.3807882469128101</v>
      </c>
      <c r="I11" s="222">
        <v>1.5831426502594601</v>
      </c>
      <c r="J11" s="222" t="s">
        <v>848</v>
      </c>
      <c r="K11" s="222" t="s">
        <v>2837</v>
      </c>
      <c r="L11" s="231">
        <v>2.2176563806858201E-10</v>
      </c>
      <c r="M11" s="231">
        <v>1.05686563019181E-12</v>
      </c>
      <c r="N11" s="222" t="s">
        <v>2092</v>
      </c>
      <c r="O11" s="222" t="s">
        <v>1817</v>
      </c>
      <c r="P11" s="222" t="s">
        <v>2062</v>
      </c>
      <c r="Q11" s="222" t="s">
        <v>2093</v>
      </c>
    </row>
    <row r="12" spans="1:18">
      <c r="A12" s="222" t="s">
        <v>2613</v>
      </c>
      <c r="B12" s="222" t="s">
        <v>1735</v>
      </c>
      <c r="C12" s="222" t="s">
        <v>2836</v>
      </c>
      <c r="D12" s="222">
        <v>30</v>
      </c>
      <c r="E12" s="222">
        <v>30</v>
      </c>
      <c r="F12" s="222" t="s">
        <v>440</v>
      </c>
      <c r="G12" s="222">
        <v>3.88604911074383</v>
      </c>
      <c r="H12" s="222">
        <v>3.4941252387708301</v>
      </c>
      <c r="I12" s="222">
        <v>1.3925166396912501</v>
      </c>
      <c r="J12" s="222" t="s">
        <v>848</v>
      </c>
      <c r="K12" s="222" t="s">
        <v>2837</v>
      </c>
      <c r="L12" s="231">
        <v>8.4088989794142194E-9</v>
      </c>
      <c r="M12" s="231">
        <v>4.6753211164336398E-11</v>
      </c>
      <c r="N12" s="222" t="s">
        <v>2613</v>
      </c>
      <c r="O12" s="222" t="s">
        <v>2033</v>
      </c>
      <c r="P12" s="222" t="s">
        <v>2611</v>
      </c>
      <c r="Q12" s="222" t="s">
        <v>2614</v>
      </c>
      <c r="R12" s="222" t="s">
        <v>2615</v>
      </c>
    </row>
    <row r="13" spans="1:18">
      <c r="A13" s="222" t="s">
        <v>2842</v>
      </c>
      <c r="B13" s="222" t="s">
        <v>1705</v>
      </c>
      <c r="C13" s="222" t="s">
        <v>2843</v>
      </c>
      <c r="D13" s="222">
        <v>80</v>
      </c>
      <c r="E13" s="222">
        <v>80</v>
      </c>
      <c r="F13" s="222" t="s">
        <v>1708</v>
      </c>
      <c r="G13" s="222">
        <v>14.503070022689901</v>
      </c>
      <c r="H13" s="222">
        <v>13.9211831031916</v>
      </c>
      <c r="I13" s="222">
        <v>1.2223924213364401</v>
      </c>
      <c r="J13" s="222" t="s">
        <v>848</v>
      </c>
      <c r="K13" s="222" t="s">
        <v>2844</v>
      </c>
      <c r="L13" s="231">
        <v>9.4257807059823595E-9</v>
      </c>
      <c r="M13" s="231">
        <v>2.7641585648042099E-12</v>
      </c>
      <c r="N13" s="222" t="s">
        <v>2842</v>
      </c>
      <c r="O13" s="222" t="s">
        <v>1817</v>
      </c>
      <c r="P13" s="222" t="s">
        <v>1597</v>
      </c>
      <c r="Q13" s="222" t="s">
        <v>2845</v>
      </c>
    </row>
    <row r="14" spans="1:18">
      <c r="A14" s="222" t="s">
        <v>1830</v>
      </c>
      <c r="B14" s="222" t="s">
        <v>1735</v>
      </c>
      <c r="C14" s="222" t="s">
        <v>2836</v>
      </c>
      <c r="D14" s="222">
        <v>30</v>
      </c>
      <c r="E14" s="222">
        <v>30</v>
      </c>
      <c r="F14" s="222" t="s">
        <v>440</v>
      </c>
      <c r="G14" s="222">
        <v>4.6123662395370797</v>
      </c>
      <c r="H14" s="222">
        <v>4.0204221832067804</v>
      </c>
      <c r="I14" s="222">
        <v>1.54919061072993</v>
      </c>
      <c r="J14" s="222" t="s">
        <v>848</v>
      </c>
      <c r="K14" s="222" t="s">
        <v>2837</v>
      </c>
      <c r="L14" s="231">
        <v>1.2157207369084701E-7</v>
      </c>
      <c r="M14" s="231">
        <v>7.8045718589233503E-10</v>
      </c>
      <c r="N14" s="222" t="s">
        <v>1830</v>
      </c>
      <c r="O14" s="222" t="s">
        <v>1710</v>
      </c>
      <c r="P14" s="222" t="s">
        <v>1831</v>
      </c>
      <c r="Q14" s="222" t="s">
        <v>2846</v>
      </c>
    </row>
    <row r="15" spans="1:18">
      <c r="A15" s="222" t="s">
        <v>2523</v>
      </c>
      <c r="B15" s="222" t="s">
        <v>1735</v>
      </c>
      <c r="C15" s="222" t="s">
        <v>2836</v>
      </c>
      <c r="D15" s="222">
        <v>30</v>
      </c>
      <c r="E15" s="222">
        <v>30</v>
      </c>
      <c r="F15" s="222" t="s">
        <v>440</v>
      </c>
      <c r="G15" s="222">
        <v>5.6924183172592704</v>
      </c>
      <c r="H15" s="222">
        <v>4.8615489568920403</v>
      </c>
      <c r="I15" s="222">
        <v>1.57036593139276</v>
      </c>
      <c r="J15" s="222" t="s">
        <v>848</v>
      </c>
      <c r="K15" s="222" t="s">
        <v>2837</v>
      </c>
      <c r="L15" s="231">
        <v>1.2157207369084701E-7</v>
      </c>
      <c r="M15" s="231">
        <v>8.6906168643179304E-10</v>
      </c>
      <c r="N15" s="222" t="s">
        <v>2523</v>
      </c>
      <c r="O15" s="222" t="s">
        <v>1710</v>
      </c>
      <c r="P15" s="222" t="s">
        <v>2514</v>
      </c>
      <c r="Q15" s="222" t="s">
        <v>2524</v>
      </c>
    </row>
    <row r="16" spans="1:18">
      <c r="A16" s="222" t="s">
        <v>1986</v>
      </c>
      <c r="B16" s="222" t="s">
        <v>1735</v>
      </c>
      <c r="C16" s="222" t="s">
        <v>2836</v>
      </c>
      <c r="D16" s="222">
        <v>30</v>
      </c>
      <c r="E16" s="222">
        <v>30</v>
      </c>
      <c r="F16" s="222" t="s">
        <v>440</v>
      </c>
      <c r="G16" s="222">
        <v>-3.3384682328917599</v>
      </c>
      <c r="H16" s="222">
        <v>-2.9778383422501098</v>
      </c>
      <c r="I16" s="222">
        <v>-4.4023369123904903</v>
      </c>
      <c r="J16" s="222" t="s">
        <v>848</v>
      </c>
      <c r="K16" s="222" t="s">
        <v>2837</v>
      </c>
      <c r="L16" s="231">
        <v>2.1067513899919E-7</v>
      </c>
      <c r="M16" s="231">
        <v>1.6733529706051699E-9</v>
      </c>
      <c r="N16" s="222" t="s">
        <v>1986</v>
      </c>
      <c r="O16" s="222" t="s">
        <v>1987</v>
      </c>
      <c r="P16" s="222" t="s">
        <v>1987</v>
      </c>
      <c r="Q16" s="222" t="s">
        <v>1988</v>
      </c>
    </row>
    <row r="17" spans="1:18">
      <c r="A17" s="222" t="s">
        <v>2486</v>
      </c>
      <c r="B17" s="222" t="s">
        <v>1796</v>
      </c>
      <c r="C17" s="222" t="s">
        <v>2843</v>
      </c>
      <c r="D17" s="222">
        <v>80</v>
      </c>
      <c r="E17" s="222">
        <v>80</v>
      </c>
      <c r="F17" s="222" t="s">
        <v>1721</v>
      </c>
      <c r="G17" s="222">
        <v>18.2905184635453</v>
      </c>
      <c r="H17" s="222">
        <v>17.449791912145301</v>
      </c>
      <c r="I17" s="222">
        <v>1.8073549220576</v>
      </c>
      <c r="J17" s="222" t="s">
        <v>848</v>
      </c>
      <c r="K17" s="222" t="s">
        <v>2847</v>
      </c>
      <c r="L17" s="231">
        <v>2.3868720612444598E-7</v>
      </c>
      <c r="M17" s="231">
        <v>6.9996248130336105E-11</v>
      </c>
      <c r="N17" s="222" t="s">
        <v>2486</v>
      </c>
      <c r="O17" s="222" t="s">
        <v>2033</v>
      </c>
      <c r="P17" s="222" t="s">
        <v>2480</v>
      </c>
      <c r="Q17" s="222" t="s">
        <v>2848</v>
      </c>
    </row>
    <row r="18" spans="1:18">
      <c r="A18" s="222" t="s">
        <v>2630</v>
      </c>
      <c r="B18" s="222" t="s">
        <v>1735</v>
      </c>
      <c r="C18" s="222" t="s">
        <v>2836</v>
      </c>
      <c r="D18" s="222">
        <v>30</v>
      </c>
      <c r="E18" s="222">
        <v>30</v>
      </c>
      <c r="F18" s="222" t="s">
        <v>440</v>
      </c>
      <c r="G18" s="222">
        <v>2.6735998490067598</v>
      </c>
      <c r="H18" s="222">
        <v>2.4354034124443502</v>
      </c>
      <c r="I18" s="222">
        <v>1.38922507661811</v>
      </c>
      <c r="J18" s="222" t="s">
        <v>848</v>
      </c>
      <c r="K18" s="222" t="s">
        <v>2837</v>
      </c>
      <c r="L18" s="231">
        <v>2.7208503151065702E-7</v>
      </c>
      <c r="M18" s="231">
        <v>2.37723220541479E-9</v>
      </c>
      <c r="N18" s="222" t="s">
        <v>2630</v>
      </c>
      <c r="O18" s="222" t="s">
        <v>2033</v>
      </c>
      <c r="P18" s="222" t="s">
        <v>2611</v>
      </c>
      <c r="Q18" s="222" t="s">
        <v>2631</v>
      </c>
    </row>
    <row r="19" spans="1:18">
      <c r="A19" s="222" t="s">
        <v>2723</v>
      </c>
      <c r="B19" s="222" t="s">
        <v>1735</v>
      </c>
      <c r="C19" s="222" t="s">
        <v>2836</v>
      </c>
      <c r="D19" s="222">
        <v>30</v>
      </c>
      <c r="E19" s="222">
        <v>30</v>
      </c>
      <c r="F19" s="222" t="s">
        <v>440</v>
      </c>
      <c r="G19" s="222">
        <v>5.4326683596935599</v>
      </c>
      <c r="H19" s="222">
        <v>4.5948290134523102</v>
      </c>
      <c r="I19" s="222">
        <v>1.58119815818594</v>
      </c>
      <c r="J19" s="222" t="s">
        <v>848</v>
      </c>
      <c r="K19" s="222" t="s">
        <v>2837</v>
      </c>
      <c r="L19" s="231">
        <v>3.7633883590336398E-7</v>
      </c>
      <c r="M19" s="231">
        <v>3.58702623577472E-9</v>
      </c>
      <c r="N19" s="222" t="s">
        <v>2723</v>
      </c>
      <c r="O19" s="222" t="s">
        <v>1710</v>
      </c>
      <c r="P19" s="222" t="s">
        <v>2310</v>
      </c>
      <c r="Q19" s="222" t="s">
        <v>2724</v>
      </c>
    </row>
    <row r="20" spans="1:18">
      <c r="A20" s="222" t="s">
        <v>2177</v>
      </c>
      <c r="B20" s="222" t="s">
        <v>1755</v>
      </c>
      <c r="C20" s="222" t="s">
        <v>2836</v>
      </c>
      <c r="D20" s="222">
        <v>30</v>
      </c>
      <c r="E20" s="222">
        <v>30</v>
      </c>
      <c r="F20" s="222" t="s">
        <v>1721</v>
      </c>
      <c r="G20" s="222">
        <v>4.80121300503746</v>
      </c>
      <c r="H20" s="222">
        <v>4.5219633830695498</v>
      </c>
      <c r="I20" s="222">
        <v>2.4246407371248502</v>
      </c>
      <c r="J20" s="222" t="s">
        <v>848</v>
      </c>
      <c r="K20" s="222" t="s">
        <v>2849</v>
      </c>
      <c r="L20" s="231">
        <v>4.1958162713482697E-7</v>
      </c>
      <c r="M20" s="231">
        <v>3.8178492004988798E-10</v>
      </c>
      <c r="N20" s="222" t="s">
        <v>2177</v>
      </c>
      <c r="O20" s="222" t="s">
        <v>2061</v>
      </c>
      <c r="P20" s="222" t="s">
        <v>2161</v>
      </c>
      <c r="Q20" s="222" t="s">
        <v>2178</v>
      </c>
      <c r="R20" s="222" t="s">
        <v>2850</v>
      </c>
    </row>
    <row r="21" spans="1:18">
      <c r="A21" s="222" t="s">
        <v>2520</v>
      </c>
      <c r="B21" s="222" t="s">
        <v>1735</v>
      </c>
      <c r="C21" s="222" t="s">
        <v>2836</v>
      </c>
      <c r="D21" s="222">
        <v>30</v>
      </c>
      <c r="E21" s="222">
        <v>30</v>
      </c>
      <c r="F21" s="222" t="s">
        <v>440</v>
      </c>
      <c r="G21" s="222">
        <v>2.6620992144267799</v>
      </c>
      <c r="H21" s="222">
        <v>2.4122503816620702</v>
      </c>
      <c r="I21" s="222">
        <v>1.42197057433213</v>
      </c>
      <c r="J21" s="222" t="s">
        <v>848</v>
      </c>
      <c r="K21" s="222" t="s">
        <v>2837</v>
      </c>
      <c r="L21" s="231">
        <v>6.5289942197771303E-7</v>
      </c>
      <c r="M21" s="231">
        <v>6.7416143651392097E-9</v>
      </c>
      <c r="N21" s="222" t="s">
        <v>2520</v>
      </c>
      <c r="O21" s="222" t="s">
        <v>1710</v>
      </c>
      <c r="P21" s="222" t="s">
        <v>2514</v>
      </c>
      <c r="Q21" s="222" t="s">
        <v>2521</v>
      </c>
      <c r="R21" s="222" t="s">
        <v>2522</v>
      </c>
    </row>
    <row r="22" spans="1:18">
      <c r="A22" s="222" t="s">
        <v>1525</v>
      </c>
      <c r="B22" s="222" t="s">
        <v>1755</v>
      </c>
      <c r="C22" s="222" t="s">
        <v>2836</v>
      </c>
      <c r="D22" s="222">
        <v>30</v>
      </c>
      <c r="E22" s="222">
        <v>30</v>
      </c>
      <c r="F22" s="222" t="s">
        <v>1721</v>
      </c>
      <c r="G22" s="222">
        <v>5.7790880300902296</v>
      </c>
      <c r="H22" s="222">
        <v>5.3404942071031298</v>
      </c>
      <c r="I22" s="222">
        <v>2.4088331383764898</v>
      </c>
      <c r="J22" s="222" t="s">
        <v>848</v>
      </c>
      <c r="K22" s="222" t="s">
        <v>2849</v>
      </c>
      <c r="L22" s="231">
        <v>8.3678439720973904E-7</v>
      </c>
      <c r="M22" s="231">
        <v>1.52281054997222E-9</v>
      </c>
      <c r="N22" s="222" t="s">
        <v>1525</v>
      </c>
      <c r="O22" s="222" t="s">
        <v>1524</v>
      </c>
      <c r="P22" s="222" t="s">
        <v>1524</v>
      </c>
      <c r="Q22" s="222" t="s">
        <v>1526</v>
      </c>
    </row>
    <row r="23" spans="1:18">
      <c r="A23" s="222" t="s">
        <v>2851</v>
      </c>
      <c r="B23" s="222" t="s">
        <v>1735</v>
      </c>
      <c r="C23" s="222" t="s">
        <v>2836</v>
      </c>
      <c r="D23" s="222">
        <v>30</v>
      </c>
      <c r="E23" s="222">
        <v>30</v>
      </c>
      <c r="F23" s="222" t="s">
        <v>440</v>
      </c>
      <c r="G23" s="222">
        <v>2.4543823891701302</v>
      </c>
      <c r="H23" s="222">
        <v>2.22729158637756</v>
      </c>
      <c r="I23" s="222">
        <v>1.3808886099737101</v>
      </c>
      <c r="J23" s="222" t="s">
        <v>848</v>
      </c>
      <c r="K23" s="222" t="s">
        <v>2837</v>
      </c>
      <c r="L23" s="231">
        <v>2.2775003375076502E-6</v>
      </c>
      <c r="M23" s="231">
        <v>2.53256590350334E-8</v>
      </c>
      <c r="N23" s="222" t="s">
        <v>2851</v>
      </c>
      <c r="O23" s="222" t="s">
        <v>1817</v>
      </c>
      <c r="P23" s="222" t="s">
        <v>1597</v>
      </c>
      <c r="Q23" s="222" t="s">
        <v>2852</v>
      </c>
      <c r="R23" s="222" t="s">
        <v>1964</v>
      </c>
    </row>
    <row r="24" spans="1:18">
      <c r="A24" s="222" t="s">
        <v>1943</v>
      </c>
      <c r="B24" s="222" t="s">
        <v>1735</v>
      </c>
      <c r="C24" s="222" t="s">
        <v>2836</v>
      </c>
      <c r="D24" s="222">
        <v>30</v>
      </c>
      <c r="E24" s="222">
        <v>30</v>
      </c>
      <c r="F24" s="222" t="s">
        <v>440</v>
      </c>
      <c r="G24" s="222">
        <v>2.38709995507199</v>
      </c>
      <c r="H24" s="222">
        <v>2.1690392332485802</v>
      </c>
      <c r="I24" s="222">
        <v>1.37388267850053</v>
      </c>
      <c r="J24" s="222" t="s">
        <v>848</v>
      </c>
      <c r="K24" s="222" t="s">
        <v>2837</v>
      </c>
      <c r="L24" s="231">
        <v>2.9305992209953701E-6</v>
      </c>
      <c r="M24" s="231">
        <v>3.49157969141625E-8</v>
      </c>
      <c r="N24" s="222" t="s">
        <v>1943</v>
      </c>
      <c r="O24" s="222" t="s">
        <v>1817</v>
      </c>
      <c r="P24" s="222" t="s">
        <v>1597</v>
      </c>
      <c r="Q24" s="222" t="s">
        <v>1944</v>
      </c>
    </row>
    <row r="25" spans="1:18">
      <c r="A25" s="222" t="s">
        <v>2533</v>
      </c>
      <c r="B25" s="222" t="s">
        <v>1735</v>
      </c>
      <c r="C25" s="222" t="s">
        <v>2836</v>
      </c>
      <c r="D25" s="222">
        <v>30</v>
      </c>
      <c r="E25" s="222">
        <v>30</v>
      </c>
      <c r="F25" s="222" t="s">
        <v>440</v>
      </c>
      <c r="G25" s="222">
        <v>5.0455923744581401</v>
      </c>
      <c r="H25" s="222">
        <v>4.1709599647628401</v>
      </c>
      <c r="I25" s="222">
        <v>1.5597570996324299</v>
      </c>
      <c r="J25" s="222" t="s">
        <v>848</v>
      </c>
      <c r="K25" s="222" t="s">
        <v>2837</v>
      </c>
      <c r="L25" s="231">
        <v>3.2317280519548701E-6</v>
      </c>
      <c r="M25" s="231">
        <v>4.1070412097917302E-8</v>
      </c>
      <c r="N25" s="222" t="s">
        <v>2533</v>
      </c>
      <c r="O25" s="222" t="s">
        <v>1710</v>
      </c>
      <c r="P25" s="222" t="s">
        <v>2514</v>
      </c>
      <c r="Q25" s="222" t="s">
        <v>2534</v>
      </c>
      <c r="R25" s="222" t="s">
        <v>2519</v>
      </c>
    </row>
    <row r="26" spans="1:18">
      <c r="A26" s="222" t="s">
        <v>2853</v>
      </c>
      <c r="B26" s="222" t="s">
        <v>1735</v>
      </c>
      <c r="C26" s="222" t="s">
        <v>2836</v>
      </c>
      <c r="D26" s="222">
        <v>30</v>
      </c>
      <c r="E26" s="222">
        <v>30</v>
      </c>
      <c r="F26" s="222" t="s">
        <v>440</v>
      </c>
      <c r="G26" s="222">
        <v>2.1988903007699001</v>
      </c>
      <c r="H26" s="222">
        <v>2.0120735818959399</v>
      </c>
      <c r="I26" s="222">
        <v>1.2796493385135701</v>
      </c>
      <c r="J26" s="222" t="s">
        <v>848</v>
      </c>
      <c r="K26" s="222" t="s">
        <v>2837</v>
      </c>
      <c r="L26" s="231">
        <v>3.9185713378565999E-6</v>
      </c>
      <c r="M26" s="231">
        <v>5.2911606627134397E-8</v>
      </c>
      <c r="N26" s="222" t="s">
        <v>2853</v>
      </c>
      <c r="O26" s="222" t="s">
        <v>1817</v>
      </c>
      <c r="P26" s="222" t="s">
        <v>2062</v>
      </c>
      <c r="Q26" s="222" t="s">
        <v>2854</v>
      </c>
      <c r="R26" s="222" t="s">
        <v>1964</v>
      </c>
    </row>
    <row r="27" spans="1:18">
      <c r="A27" s="222" t="s">
        <v>2855</v>
      </c>
      <c r="B27" s="222" t="s">
        <v>1735</v>
      </c>
      <c r="C27" s="222" t="s">
        <v>2836</v>
      </c>
      <c r="D27" s="222">
        <v>30</v>
      </c>
      <c r="E27" s="222">
        <v>30</v>
      </c>
      <c r="F27" s="222" t="s">
        <v>440</v>
      </c>
      <c r="G27" s="222">
        <v>1.7018741666977799</v>
      </c>
      <c r="H27" s="222">
        <v>1.59233131507612</v>
      </c>
      <c r="I27" s="222">
        <v>1.1346561715941801</v>
      </c>
      <c r="J27" s="222" t="s">
        <v>848</v>
      </c>
      <c r="K27" s="222" t="s">
        <v>2837</v>
      </c>
      <c r="L27" s="231">
        <v>5.1623053628443803E-6</v>
      </c>
      <c r="M27" s="231">
        <v>7.7906117469454495E-8</v>
      </c>
      <c r="N27" s="222" t="s">
        <v>2855</v>
      </c>
      <c r="O27" s="222" t="s">
        <v>1817</v>
      </c>
      <c r="P27" s="222" t="s">
        <v>2062</v>
      </c>
      <c r="Q27" s="222" t="s">
        <v>2856</v>
      </c>
      <c r="R27" s="222" t="s">
        <v>1964</v>
      </c>
    </row>
    <row r="28" spans="1:18">
      <c r="A28" s="222" t="s">
        <v>2229</v>
      </c>
      <c r="B28" s="222" t="s">
        <v>1735</v>
      </c>
      <c r="C28" s="222" t="s">
        <v>2836</v>
      </c>
      <c r="D28" s="222">
        <v>30</v>
      </c>
      <c r="E28" s="222">
        <v>30</v>
      </c>
      <c r="F28" s="222" t="s">
        <v>440</v>
      </c>
      <c r="G28" s="222">
        <v>-1.96861733705803</v>
      </c>
      <c r="H28" s="222">
        <v>-1.8190902739141099</v>
      </c>
      <c r="I28" s="222">
        <v>-2.54433300933152</v>
      </c>
      <c r="J28" s="222" t="s">
        <v>848</v>
      </c>
      <c r="K28" s="222" t="s">
        <v>2837</v>
      </c>
      <c r="L28" s="231">
        <v>5.1623053628443803E-6</v>
      </c>
      <c r="M28" s="231">
        <v>7.5616514729064001E-8</v>
      </c>
      <c r="N28" s="222" t="s">
        <v>2229</v>
      </c>
      <c r="O28" s="222" t="s">
        <v>1710</v>
      </c>
      <c r="P28" s="222" t="s">
        <v>2222</v>
      </c>
      <c r="Q28" s="222" t="s">
        <v>2230</v>
      </c>
    </row>
    <row r="29" spans="1:18">
      <c r="A29" s="222" t="s">
        <v>2188</v>
      </c>
      <c r="B29" s="222" t="s">
        <v>1735</v>
      </c>
      <c r="C29" s="222" t="s">
        <v>2836</v>
      </c>
      <c r="D29" s="222">
        <v>30</v>
      </c>
      <c r="E29" s="222">
        <v>30</v>
      </c>
      <c r="F29" s="222" t="s">
        <v>440</v>
      </c>
      <c r="G29" s="222">
        <v>2.4188748213125102</v>
      </c>
      <c r="H29" s="222">
        <v>2.1744224800383201</v>
      </c>
      <c r="I29" s="222">
        <v>1.29908572269378</v>
      </c>
      <c r="J29" s="222" t="s">
        <v>848</v>
      </c>
      <c r="K29" s="222" t="s">
        <v>2837</v>
      </c>
      <c r="L29" s="231">
        <v>8.1485588874370307E-6</v>
      </c>
      <c r="M29" s="231">
        <v>1.2944493864077899E-7</v>
      </c>
      <c r="N29" s="222" t="s">
        <v>2188</v>
      </c>
      <c r="O29" s="222" t="s">
        <v>1710</v>
      </c>
      <c r="P29" s="222" t="s">
        <v>2161</v>
      </c>
      <c r="Q29" s="222" t="s">
        <v>2189</v>
      </c>
      <c r="R29" s="222" t="s">
        <v>2190</v>
      </c>
    </row>
    <row r="30" spans="1:18">
      <c r="A30" s="222" t="s">
        <v>1896</v>
      </c>
      <c r="B30" s="222" t="s">
        <v>1755</v>
      </c>
      <c r="C30" s="222" t="s">
        <v>2836</v>
      </c>
      <c r="D30" s="222">
        <v>30</v>
      </c>
      <c r="E30" s="222">
        <v>30</v>
      </c>
      <c r="F30" s="222" t="s">
        <v>1721</v>
      </c>
      <c r="G30" s="222">
        <v>-4.7868473182933498</v>
      </c>
      <c r="H30" s="222">
        <v>-4.39144887934716</v>
      </c>
      <c r="I30" s="222">
        <v>-5.7169816774853199</v>
      </c>
      <c r="J30" s="222" t="s">
        <v>848</v>
      </c>
      <c r="K30" s="222" t="s">
        <v>2849</v>
      </c>
      <c r="L30" s="231">
        <v>9.8733064670528598E-6</v>
      </c>
      <c r="M30" s="231">
        <v>2.69517010019641E-8</v>
      </c>
      <c r="N30" s="222" t="s">
        <v>1896</v>
      </c>
      <c r="O30" s="222" t="s">
        <v>1889</v>
      </c>
      <c r="P30" s="222" t="s">
        <v>1597</v>
      </c>
      <c r="Q30" s="222" t="s">
        <v>1897</v>
      </c>
      <c r="R30" s="222" t="s">
        <v>1898</v>
      </c>
    </row>
    <row r="31" spans="1:18">
      <c r="A31" s="222" t="s">
        <v>2702</v>
      </c>
      <c r="B31" s="222" t="s">
        <v>1735</v>
      </c>
      <c r="C31" s="222" t="s">
        <v>2836</v>
      </c>
      <c r="D31" s="222">
        <v>30</v>
      </c>
      <c r="E31" s="222">
        <v>30</v>
      </c>
      <c r="F31" s="222" t="s">
        <v>440</v>
      </c>
      <c r="G31" s="222">
        <v>3.4905101735322099</v>
      </c>
      <c r="H31" s="222">
        <v>2.9675714780107199</v>
      </c>
      <c r="I31" s="222">
        <v>1.4673198274030099</v>
      </c>
      <c r="J31" s="222" t="s">
        <v>848</v>
      </c>
      <c r="K31" s="222" t="s">
        <v>2837</v>
      </c>
      <c r="L31" s="231">
        <v>1.1394430816066599E-5</v>
      </c>
      <c r="M31" s="231">
        <v>1.9005801996616301E-7</v>
      </c>
      <c r="N31" s="222" t="s">
        <v>2702</v>
      </c>
      <c r="O31" s="222" t="s">
        <v>1710</v>
      </c>
      <c r="P31" s="222" t="s">
        <v>2310</v>
      </c>
      <c r="Q31" s="222" t="s">
        <v>2703</v>
      </c>
      <c r="R31" s="222" t="s">
        <v>2697</v>
      </c>
    </row>
    <row r="32" spans="1:18">
      <c r="A32" s="222" t="s">
        <v>2663</v>
      </c>
      <c r="B32" s="222" t="s">
        <v>1735</v>
      </c>
      <c r="C32" s="222" t="s">
        <v>2836</v>
      </c>
      <c r="D32" s="222">
        <v>30</v>
      </c>
      <c r="E32" s="222">
        <v>30</v>
      </c>
      <c r="F32" s="222" t="s">
        <v>440</v>
      </c>
      <c r="G32" s="222">
        <v>3.62030843086387</v>
      </c>
      <c r="H32" s="222">
        <v>3.0505687093046201</v>
      </c>
      <c r="I32" s="222">
        <v>1.49703535533474</v>
      </c>
      <c r="J32" s="222" t="s">
        <v>848</v>
      </c>
      <c r="K32" s="222" t="s">
        <v>2837</v>
      </c>
      <c r="L32" s="231">
        <v>1.4199699179991101E-5</v>
      </c>
      <c r="M32" s="231">
        <v>2.4848042481822098E-7</v>
      </c>
      <c r="N32" s="222" t="s">
        <v>2663</v>
      </c>
      <c r="O32" s="222" t="s">
        <v>1710</v>
      </c>
      <c r="P32" s="222" t="s">
        <v>2310</v>
      </c>
      <c r="Q32" s="222" t="s">
        <v>2664</v>
      </c>
    </row>
    <row r="33" spans="1:18">
      <c r="A33" s="222" t="s">
        <v>2124</v>
      </c>
      <c r="B33" s="222" t="s">
        <v>1735</v>
      </c>
      <c r="C33" s="222" t="s">
        <v>2836</v>
      </c>
      <c r="D33" s="222">
        <v>30</v>
      </c>
      <c r="E33" s="222">
        <v>30</v>
      </c>
      <c r="F33" s="222" t="s">
        <v>440</v>
      </c>
      <c r="G33" s="222">
        <v>1.7066795182015</v>
      </c>
      <c r="H33" s="222">
        <v>1.58562124399738</v>
      </c>
      <c r="I33" s="222">
        <v>1.1611596121528101</v>
      </c>
      <c r="J33" s="222" t="s">
        <v>848</v>
      </c>
      <c r="K33" s="222" t="s">
        <v>2837</v>
      </c>
      <c r="L33" s="231">
        <v>1.4199699179991101E-5</v>
      </c>
      <c r="M33" s="231">
        <v>2.59406736409687E-7</v>
      </c>
      <c r="N33" s="222" t="s">
        <v>2124</v>
      </c>
      <c r="O33" s="222" t="s">
        <v>1710</v>
      </c>
      <c r="P33" s="222" t="s">
        <v>2048</v>
      </c>
      <c r="Q33" s="222" t="s">
        <v>2125</v>
      </c>
    </row>
    <row r="34" spans="1:18">
      <c r="A34" s="222" t="s">
        <v>1529</v>
      </c>
      <c r="B34" s="222" t="s">
        <v>1731</v>
      </c>
      <c r="C34" s="222" t="s">
        <v>2836</v>
      </c>
      <c r="D34" s="222">
        <v>30</v>
      </c>
      <c r="E34" s="222">
        <v>30</v>
      </c>
      <c r="F34" s="222" t="s">
        <v>1708</v>
      </c>
      <c r="G34" s="222">
        <v>3.07060506575373</v>
      </c>
      <c r="H34" s="222">
        <v>2.6657990507879901</v>
      </c>
      <c r="I34" s="222">
        <v>0.95183199927790396</v>
      </c>
      <c r="J34" s="222" t="s">
        <v>848</v>
      </c>
      <c r="K34" s="222" t="s">
        <v>2857</v>
      </c>
      <c r="L34" s="231">
        <v>1.5986499602136299E-5</v>
      </c>
      <c r="M34" s="231">
        <v>3.9890646569155301E-8</v>
      </c>
      <c r="N34" s="222" t="s">
        <v>1529</v>
      </c>
      <c r="O34" s="222" t="s">
        <v>1524</v>
      </c>
      <c r="P34" s="222" t="s">
        <v>1524</v>
      </c>
      <c r="Q34" s="222" t="s">
        <v>1530</v>
      </c>
    </row>
    <row r="35" spans="1:18">
      <c r="A35" s="222" t="s">
        <v>2229</v>
      </c>
      <c r="B35" s="222" t="s">
        <v>1731</v>
      </c>
      <c r="C35" s="222" t="s">
        <v>2836</v>
      </c>
      <c r="D35" s="222">
        <v>30</v>
      </c>
      <c r="E35" s="222">
        <v>30</v>
      </c>
      <c r="F35" s="222" t="s">
        <v>1708</v>
      </c>
      <c r="G35" s="222">
        <v>1.3791319933870501</v>
      </c>
      <c r="H35" s="222">
        <v>1.13329603337304</v>
      </c>
      <c r="I35" s="222">
        <v>0.77823667313800604</v>
      </c>
      <c r="J35" s="222" t="s">
        <v>848</v>
      </c>
      <c r="K35" s="222" t="s">
        <v>2857</v>
      </c>
      <c r="L35" s="231">
        <v>1.5986499602136299E-5</v>
      </c>
      <c r="M35" s="231">
        <v>4.5850381268077599E-8</v>
      </c>
      <c r="N35" s="222" t="s">
        <v>2229</v>
      </c>
      <c r="O35" s="222" t="s">
        <v>1710</v>
      </c>
      <c r="P35" s="222" t="s">
        <v>2222</v>
      </c>
      <c r="Q35" s="222" t="s">
        <v>2230</v>
      </c>
    </row>
    <row r="36" spans="1:18">
      <c r="A36" s="222" t="s">
        <v>2858</v>
      </c>
      <c r="B36" s="222" t="s">
        <v>1731</v>
      </c>
      <c r="C36" s="222" t="s">
        <v>2836</v>
      </c>
      <c r="D36" s="222">
        <v>30</v>
      </c>
      <c r="E36" s="222">
        <v>30</v>
      </c>
      <c r="F36" s="222" t="s">
        <v>1708</v>
      </c>
      <c r="G36" s="222">
        <v>4.38191967984325</v>
      </c>
      <c r="H36" s="222">
        <v>3.4402433076702201</v>
      </c>
      <c r="I36" s="222">
        <v>1</v>
      </c>
      <c r="J36" s="222" t="s">
        <v>848</v>
      </c>
      <c r="K36" s="222" t="s">
        <v>2857</v>
      </c>
      <c r="L36" s="231">
        <v>1.5986499602136299E-5</v>
      </c>
      <c r="M36" s="231">
        <v>3.8995440486824001E-8</v>
      </c>
      <c r="N36" s="222" t="s">
        <v>2858</v>
      </c>
      <c r="O36" s="222" t="s">
        <v>1464</v>
      </c>
      <c r="P36" s="222" t="s">
        <v>1464</v>
      </c>
      <c r="Q36" s="222" t="s">
        <v>2859</v>
      </c>
    </row>
    <row r="37" spans="1:18">
      <c r="A37" s="222" t="s">
        <v>2315</v>
      </c>
      <c r="B37" s="222" t="s">
        <v>1755</v>
      </c>
      <c r="C37" s="222" t="s">
        <v>2836</v>
      </c>
      <c r="D37" s="222">
        <v>30</v>
      </c>
      <c r="E37" s="222">
        <v>30</v>
      </c>
      <c r="F37" s="222" t="s">
        <v>1721</v>
      </c>
      <c r="G37" s="222">
        <v>-9.9535307950011394</v>
      </c>
      <c r="H37" s="222">
        <v>-7.7233954622480798</v>
      </c>
      <c r="I37" s="222">
        <v>0</v>
      </c>
      <c r="J37" s="222">
        <v>1</v>
      </c>
      <c r="K37" s="222" t="s">
        <v>2849</v>
      </c>
      <c r="L37" s="231">
        <v>1.80702750507904E-5</v>
      </c>
      <c r="M37" s="231">
        <v>6.5769881895506503E-8</v>
      </c>
      <c r="N37" s="222" t="s">
        <v>2315</v>
      </c>
      <c r="O37" s="222" t="s">
        <v>2313</v>
      </c>
      <c r="P37" s="222" t="s">
        <v>1524</v>
      </c>
      <c r="Q37" s="222" t="s">
        <v>2316</v>
      </c>
    </row>
    <row r="38" spans="1:18">
      <c r="A38" s="222" t="s">
        <v>2183</v>
      </c>
      <c r="B38" s="222" t="s">
        <v>1735</v>
      </c>
      <c r="C38" s="222" t="s">
        <v>2836</v>
      </c>
      <c r="D38" s="222">
        <v>30</v>
      </c>
      <c r="E38" s="222">
        <v>30</v>
      </c>
      <c r="F38" s="222" t="s">
        <v>440</v>
      </c>
      <c r="G38" s="222">
        <v>3.0790344519506401</v>
      </c>
      <c r="H38" s="222">
        <v>2.6478411525281298</v>
      </c>
      <c r="I38" s="222">
        <v>1.46637898616702</v>
      </c>
      <c r="J38" s="222" t="s">
        <v>848</v>
      </c>
      <c r="K38" s="222" t="s">
        <v>2837</v>
      </c>
      <c r="L38" s="231">
        <v>1.84747214238292E-5</v>
      </c>
      <c r="M38" s="231">
        <v>3.52178962805324E-7</v>
      </c>
      <c r="N38" s="222" t="s">
        <v>2183</v>
      </c>
      <c r="O38" s="222" t="s">
        <v>1710</v>
      </c>
      <c r="P38" s="222" t="s">
        <v>2161</v>
      </c>
      <c r="Q38" s="222" t="s">
        <v>2184</v>
      </c>
      <c r="R38" s="222" t="s">
        <v>2185</v>
      </c>
    </row>
    <row r="39" spans="1:18">
      <c r="A39" s="222" t="s">
        <v>1583</v>
      </c>
      <c r="B39" s="222" t="s">
        <v>1735</v>
      </c>
      <c r="C39" s="222" t="s">
        <v>2836</v>
      </c>
      <c r="D39" s="222">
        <v>30</v>
      </c>
      <c r="E39" s="222">
        <v>30</v>
      </c>
      <c r="F39" s="222" t="s">
        <v>440</v>
      </c>
      <c r="G39" s="222">
        <v>3.9630071626276901</v>
      </c>
      <c r="H39" s="222">
        <v>3.2712000354559501</v>
      </c>
      <c r="I39" s="222">
        <v>1.48681032375435</v>
      </c>
      <c r="J39" s="222" t="s">
        <v>848</v>
      </c>
      <c r="K39" s="222" t="s">
        <v>2837</v>
      </c>
      <c r="L39" s="231">
        <v>1.9633798014840599E-5</v>
      </c>
      <c r="M39" s="231">
        <v>3.8986890418666899E-7</v>
      </c>
      <c r="N39" s="222" t="s">
        <v>1583</v>
      </c>
      <c r="O39" s="222" t="s">
        <v>1817</v>
      </c>
      <c r="P39" s="222" t="s">
        <v>1576</v>
      </c>
      <c r="Q39" s="222" t="s">
        <v>1584</v>
      </c>
    </row>
    <row r="40" spans="1:18">
      <c r="A40" s="222" t="s">
        <v>2324</v>
      </c>
      <c r="B40" s="222" t="s">
        <v>1731</v>
      </c>
      <c r="C40" s="222" t="s">
        <v>2836</v>
      </c>
      <c r="D40" s="222">
        <v>30</v>
      </c>
      <c r="E40" s="222">
        <v>30</v>
      </c>
      <c r="F40" s="222" t="s">
        <v>1708</v>
      </c>
      <c r="G40" s="222">
        <v>4.0001416873367299</v>
      </c>
      <c r="H40" s="222">
        <v>3.2121630063829998</v>
      </c>
      <c r="I40" s="222">
        <v>0.98591012402918199</v>
      </c>
      <c r="J40" s="222" t="s">
        <v>848</v>
      </c>
      <c r="K40" s="222" t="s">
        <v>2857</v>
      </c>
      <c r="L40" s="231">
        <v>2.0196155480782801E-5</v>
      </c>
      <c r="M40" s="231">
        <v>7.7231952125364699E-8</v>
      </c>
      <c r="N40" s="222" t="s">
        <v>2324</v>
      </c>
      <c r="O40" s="222" t="s">
        <v>2313</v>
      </c>
      <c r="P40" s="222" t="s">
        <v>1524</v>
      </c>
      <c r="Q40" s="222" t="s">
        <v>2325</v>
      </c>
    </row>
    <row r="41" spans="1:18">
      <c r="A41" s="222" t="s">
        <v>1967</v>
      </c>
      <c r="B41" s="222" t="s">
        <v>1735</v>
      </c>
      <c r="C41" s="222" t="s">
        <v>2836</v>
      </c>
      <c r="D41" s="222">
        <v>30</v>
      </c>
      <c r="E41" s="222">
        <v>30</v>
      </c>
      <c r="F41" s="222" t="s">
        <v>440</v>
      </c>
      <c r="G41" s="222">
        <v>4.9567370347944104</v>
      </c>
      <c r="H41" s="222">
        <v>3.9113845789322799</v>
      </c>
      <c r="I41" s="222">
        <v>1.55026037451256</v>
      </c>
      <c r="J41" s="222" t="s">
        <v>848</v>
      </c>
      <c r="K41" s="222" t="s">
        <v>2837</v>
      </c>
      <c r="L41" s="231">
        <v>2.84416543743583E-5</v>
      </c>
      <c r="M41" s="231">
        <v>5.8735743743710495E-7</v>
      </c>
      <c r="N41" s="222" t="s">
        <v>1967</v>
      </c>
      <c r="O41" s="222" t="s">
        <v>1817</v>
      </c>
      <c r="P41" s="222" t="s">
        <v>1597</v>
      </c>
      <c r="Q41" s="222" t="s">
        <v>1968</v>
      </c>
      <c r="R41" s="222" t="s">
        <v>1964</v>
      </c>
    </row>
    <row r="42" spans="1:18">
      <c r="A42" s="222" t="s">
        <v>1918</v>
      </c>
      <c r="B42" s="222" t="s">
        <v>1735</v>
      </c>
      <c r="C42" s="222" t="s">
        <v>2836</v>
      </c>
      <c r="D42" s="222">
        <v>30</v>
      </c>
      <c r="E42" s="222">
        <v>30</v>
      </c>
      <c r="F42" s="222" t="s">
        <v>440</v>
      </c>
      <c r="G42" s="222">
        <v>5.26527632636056</v>
      </c>
      <c r="H42" s="222">
        <v>4.0386073011776702</v>
      </c>
      <c r="I42" s="222">
        <v>1.58078378658647</v>
      </c>
      <c r="J42" s="222" t="s">
        <v>848</v>
      </c>
      <c r="K42" s="222" t="s">
        <v>2837</v>
      </c>
      <c r="L42" s="231">
        <v>5.2468863084524199E-5</v>
      </c>
      <c r="M42" s="231">
        <v>1.12522581674515E-6</v>
      </c>
      <c r="N42" s="222" t="s">
        <v>1918</v>
      </c>
      <c r="O42" s="222" t="s">
        <v>1817</v>
      </c>
      <c r="P42" s="222" t="s">
        <v>1597</v>
      </c>
      <c r="Q42" s="222" t="s">
        <v>1919</v>
      </c>
      <c r="R42" s="222" t="s">
        <v>1920</v>
      </c>
    </row>
    <row r="43" spans="1:18">
      <c r="A43" s="222" t="s">
        <v>2613</v>
      </c>
      <c r="B43" s="222" t="s">
        <v>1755</v>
      </c>
      <c r="C43" s="222" t="s">
        <v>2836</v>
      </c>
      <c r="D43" s="222">
        <v>30</v>
      </c>
      <c r="E43" s="222">
        <v>30</v>
      </c>
      <c r="F43" s="222" t="s">
        <v>1721</v>
      </c>
      <c r="G43" s="222">
        <v>-9.1847817248259194</v>
      </c>
      <c r="H43" s="222">
        <v>-7.0277698645695699</v>
      </c>
      <c r="I43" s="222">
        <v>0</v>
      </c>
      <c r="J43" s="222">
        <v>1</v>
      </c>
      <c r="K43" s="222" t="s">
        <v>2849</v>
      </c>
      <c r="L43" s="231">
        <v>1.6517170881140999E-4</v>
      </c>
      <c r="M43" s="231">
        <v>7.51463643364013E-7</v>
      </c>
      <c r="N43" s="222" t="s">
        <v>2613</v>
      </c>
      <c r="O43" s="222" t="s">
        <v>2033</v>
      </c>
      <c r="P43" s="222" t="s">
        <v>2611</v>
      </c>
      <c r="Q43" s="222" t="s">
        <v>2614</v>
      </c>
      <c r="R43" s="222" t="s">
        <v>2615</v>
      </c>
    </row>
    <row r="44" spans="1:18">
      <c r="A44" s="222" t="s">
        <v>1938</v>
      </c>
      <c r="B44" s="222" t="s">
        <v>1735</v>
      </c>
      <c r="C44" s="222" t="s">
        <v>2836</v>
      </c>
      <c r="D44" s="222">
        <v>30</v>
      </c>
      <c r="E44" s="222">
        <v>30</v>
      </c>
      <c r="F44" s="222" t="s">
        <v>440</v>
      </c>
      <c r="G44" s="222">
        <v>3.0254281941299399</v>
      </c>
      <c r="H44" s="222">
        <v>2.5114860620393702</v>
      </c>
      <c r="I44" s="222">
        <v>1.2163395199896501</v>
      </c>
      <c r="J44" s="222" t="s">
        <v>848</v>
      </c>
      <c r="K44" s="222" t="s">
        <v>2837</v>
      </c>
      <c r="L44" s="231">
        <v>2.0533723331283001E-4</v>
      </c>
      <c r="M44" s="231">
        <v>4.5666739735974896E-6</v>
      </c>
      <c r="N44" s="222" t="s">
        <v>1938</v>
      </c>
      <c r="O44" s="222" t="s">
        <v>1817</v>
      </c>
      <c r="P44" s="222" t="s">
        <v>1597</v>
      </c>
      <c r="Q44" s="222" t="s">
        <v>1939</v>
      </c>
      <c r="R44" s="222" t="s">
        <v>1940</v>
      </c>
    </row>
    <row r="45" spans="1:18">
      <c r="A45" s="222" t="s">
        <v>2860</v>
      </c>
      <c r="B45" s="222" t="s">
        <v>1755</v>
      </c>
      <c r="C45" s="222" t="s">
        <v>2836</v>
      </c>
      <c r="D45" s="222">
        <v>30</v>
      </c>
      <c r="E45" s="222">
        <v>30</v>
      </c>
      <c r="F45" s="222" t="s">
        <v>1721</v>
      </c>
      <c r="G45" s="222">
        <v>-3.1138914402881102</v>
      </c>
      <c r="H45" s="222">
        <v>-2.5329741579446399</v>
      </c>
      <c r="I45" s="222">
        <v>-3.6608648995231898</v>
      </c>
      <c r="J45" s="222" t="s">
        <v>848</v>
      </c>
      <c r="K45" s="222" t="s">
        <v>2849</v>
      </c>
      <c r="L45" s="231">
        <v>2.0930339970515801E-4</v>
      </c>
      <c r="M45" s="231">
        <v>1.14269371995537E-6</v>
      </c>
      <c r="N45" s="222" t="s">
        <v>2860</v>
      </c>
      <c r="O45" s="222" t="s">
        <v>2033</v>
      </c>
      <c r="P45" s="222" t="s">
        <v>2611</v>
      </c>
      <c r="Q45" s="222" t="s">
        <v>2861</v>
      </c>
    </row>
    <row r="46" spans="1:18">
      <c r="A46" s="222" t="s">
        <v>2835</v>
      </c>
      <c r="B46" s="222" t="s">
        <v>1731</v>
      </c>
      <c r="C46" s="222" t="s">
        <v>2836</v>
      </c>
      <c r="D46" s="222">
        <v>30</v>
      </c>
      <c r="E46" s="222">
        <v>30</v>
      </c>
      <c r="F46" s="222" t="s">
        <v>1708</v>
      </c>
      <c r="G46" s="222">
        <v>-3.49709923621222</v>
      </c>
      <c r="H46" s="222">
        <v>-2.73560249404964</v>
      </c>
      <c r="I46" s="222">
        <v>0</v>
      </c>
      <c r="J46" s="222">
        <v>1</v>
      </c>
      <c r="K46" s="222" t="s">
        <v>2857</v>
      </c>
      <c r="L46" s="231">
        <v>2.29581117514605E-4</v>
      </c>
      <c r="M46" s="231">
        <v>1.0974240798977301E-6</v>
      </c>
      <c r="N46" s="222" t="s">
        <v>2835</v>
      </c>
      <c r="O46" s="222" t="s">
        <v>1715</v>
      </c>
      <c r="P46" s="222" t="s">
        <v>1767</v>
      </c>
      <c r="Q46" s="222" t="s">
        <v>2838</v>
      </c>
      <c r="R46" s="222" t="s">
        <v>2839</v>
      </c>
    </row>
    <row r="47" spans="1:18">
      <c r="A47" s="222" t="s">
        <v>1893</v>
      </c>
      <c r="B47" s="222" t="s">
        <v>1796</v>
      </c>
      <c r="C47" s="222" t="s">
        <v>2843</v>
      </c>
      <c r="D47" s="222">
        <v>80</v>
      </c>
      <c r="E47" s="222">
        <v>80</v>
      </c>
      <c r="F47" s="222" t="s">
        <v>1721</v>
      </c>
      <c r="G47" s="222">
        <v>-15.361605862229</v>
      </c>
      <c r="H47" s="222">
        <v>-14.453361761439901</v>
      </c>
      <c r="I47" s="222">
        <v>0</v>
      </c>
      <c r="J47" s="222">
        <v>1</v>
      </c>
      <c r="K47" s="222" t="s">
        <v>2847</v>
      </c>
      <c r="L47" s="231">
        <v>2.38512809259571E-4</v>
      </c>
      <c r="M47" s="231">
        <v>1.39890210709426E-7</v>
      </c>
      <c r="N47" s="222" t="s">
        <v>1893</v>
      </c>
      <c r="O47" s="222" t="s">
        <v>1889</v>
      </c>
      <c r="P47" s="222" t="s">
        <v>1597</v>
      </c>
      <c r="Q47" s="222" t="s">
        <v>1894</v>
      </c>
      <c r="R47" s="222" t="s">
        <v>1895</v>
      </c>
    </row>
    <row r="48" spans="1:18">
      <c r="A48" s="222" t="s">
        <v>2862</v>
      </c>
      <c r="B48" s="222" t="s">
        <v>1731</v>
      </c>
      <c r="C48" s="222" t="s">
        <v>2836</v>
      </c>
      <c r="D48" s="222">
        <v>30</v>
      </c>
      <c r="E48" s="222">
        <v>30</v>
      </c>
      <c r="F48" s="222" t="s">
        <v>1708</v>
      </c>
      <c r="G48" s="222">
        <v>3.7979090843980301</v>
      </c>
      <c r="H48" s="222">
        <v>2.8585441749205498</v>
      </c>
      <c r="I48" s="222">
        <v>1</v>
      </c>
      <c r="J48" s="222" t="s">
        <v>848</v>
      </c>
      <c r="K48" s="222" t="s">
        <v>2857</v>
      </c>
      <c r="L48" s="231">
        <v>2.46423980815865E-4</v>
      </c>
      <c r="M48" s="231">
        <v>1.41352187848488E-6</v>
      </c>
      <c r="N48" s="222" t="s">
        <v>2862</v>
      </c>
      <c r="O48" s="222" t="s">
        <v>1817</v>
      </c>
      <c r="P48" s="222" t="s">
        <v>2062</v>
      </c>
      <c r="Q48" s="222" t="s">
        <v>2863</v>
      </c>
    </row>
    <row r="49" spans="1:18">
      <c r="A49" s="222" t="s">
        <v>2131</v>
      </c>
      <c r="B49" s="222" t="s">
        <v>1735</v>
      </c>
      <c r="C49" s="222" t="s">
        <v>2836</v>
      </c>
      <c r="D49" s="222">
        <v>30</v>
      </c>
      <c r="E49" s="222">
        <v>30</v>
      </c>
      <c r="F49" s="222" t="s">
        <v>440</v>
      </c>
      <c r="G49" s="222">
        <v>3.3518892348681302</v>
      </c>
      <c r="H49" s="222">
        <v>2.7002283789005799</v>
      </c>
      <c r="I49" s="222">
        <v>1.45683587578101</v>
      </c>
      <c r="J49" s="222" t="s">
        <v>848</v>
      </c>
      <c r="K49" s="222" t="s">
        <v>2837</v>
      </c>
      <c r="L49" s="231">
        <v>2.7837504232955499E-4</v>
      </c>
      <c r="M49" s="231">
        <v>6.8543497317046897E-6</v>
      </c>
      <c r="N49" s="222" t="s">
        <v>2131</v>
      </c>
      <c r="O49" s="222" t="s">
        <v>2033</v>
      </c>
      <c r="P49" s="222" t="s">
        <v>2127</v>
      </c>
      <c r="Q49" s="222" t="s">
        <v>2132</v>
      </c>
      <c r="R49" s="222" t="s">
        <v>2133</v>
      </c>
    </row>
    <row r="50" spans="1:18">
      <c r="A50" s="222" t="s">
        <v>2714</v>
      </c>
      <c r="B50" s="222" t="s">
        <v>1735</v>
      </c>
      <c r="C50" s="222" t="s">
        <v>2836</v>
      </c>
      <c r="D50" s="222">
        <v>30</v>
      </c>
      <c r="E50" s="222">
        <v>30</v>
      </c>
      <c r="F50" s="222" t="s">
        <v>440</v>
      </c>
      <c r="G50" s="222">
        <v>3.1055231874569298</v>
      </c>
      <c r="H50" s="222">
        <v>2.5442395659650598</v>
      </c>
      <c r="I50" s="222">
        <v>1.26542750335059</v>
      </c>
      <c r="J50" s="222" t="s">
        <v>848</v>
      </c>
      <c r="K50" s="222" t="s">
        <v>2837</v>
      </c>
      <c r="L50" s="231">
        <v>2.7837504232955499E-4</v>
      </c>
      <c r="M50" s="231">
        <v>6.7352925970698597E-6</v>
      </c>
      <c r="N50" s="222" t="s">
        <v>2714</v>
      </c>
      <c r="O50" s="222" t="s">
        <v>1710</v>
      </c>
      <c r="P50" s="222" t="s">
        <v>2310</v>
      </c>
      <c r="Q50" s="222" t="s">
        <v>2715</v>
      </c>
    </row>
    <row r="51" spans="1:18">
      <c r="A51" s="222" t="s">
        <v>2357</v>
      </c>
      <c r="B51" s="222" t="s">
        <v>1735</v>
      </c>
      <c r="C51" s="222" t="s">
        <v>2836</v>
      </c>
      <c r="D51" s="222">
        <v>30</v>
      </c>
      <c r="E51" s="222">
        <v>30</v>
      </c>
      <c r="F51" s="222" t="s">
        <v>440</v>
      </c>
      <c r="G51" s="222">
        <v>4.2707719297332396</v>
      </c>
      <c r="H51" s="222">
        <v>3.2555261437501599</v>
      </c>
      <c r="I51" s="222">
        <v>1.5025470395896701</v>
      </c>
      <c r="J51" s="222" t="s">
        <v>848</v>
      </c>
      <c r="K51" s="222" t="s">
        <v>2837</v>
      </c>
      <c r="L51" s="231">
        <v>2.7837504232955499E-4</v>
      </c>
      <c r="M51" s="231">
        <v>6.7466454434741399E-6</v>
      </c>
      <c r="N51" s="222" t="s">
        <v>2357</v>
      </c>
      <c r="O51" s="222" t="s">
        <v>1710</v>
      </c>
      <c r="P51" s="222" t="s">
        <v>2334</v>
      </c>
      <c r="Q51" s="222" t="s">
        <v>2358</v>
      </c>
    </row>
    <row r="52" spans="1:18">
      <c r="A52" s="222" t="s">
        <v>2864</v>
      </c>
      <c r="B52" s="222" t="s">
        <v>1735</v>
      </c>
      <c r="C52" s="222" t="s">
        <v>2836</v>
      </c>
      <c r="D52" s="222">
        <v>30</v>
      </c>
      <c r="E52" s="222">
        <v>30</v>
      </c>
      <c r="F52" s="222" t="s">
        <v>440</v>
      </c>
      <c r="G52" s="222">
        <v>1.9310125255456101</v>
      </c>
      <c r="H52" s="222">
        <v>1.71687414456029</v>
      </c>
      <c r="I52" s="222">
        <v>1.2326154363209401</v>
      </c>
      <c r="J52" s="222" t="s">
        <v>848</v>
      </c>
      <c r="K52" s="222" t="s">
        <v>2837</v>
      </c>
      <c r="L52" s="231">
        <v>3.01256050582863E-4</v>
      </c>
      <c r="M52" s="231">
        <v>7.6570243198186094E-6</v>
      </c>
      <c r="N52" s="222" t="s">
        <v>2864</v>
      </c>
      <c r="O52" s="222" t="s">
        <v>2033</v>
      </c>
      <c r="P52" s="222" t="s">
        <v>2611</v>
      </c>
      <c r="Q52" s="222" t="s">
        <v>2865</v>
      </c>
    </row>
    <row r="53" spans="1:18">
      <c r="A53" s="222" t="s">
        <v>2217</v>
      </c>
      <c r="B53" s="222" t="s">
        <v>1735</v>
      </c>
      <c r="C53" s="222" t="s">
        <v>2836</v>
      </c>
      <c r="D53" s="222">
        <v>30</v>
      </c>
      <c r="E53" s="222">
        <v>30</v>
      </c>
      <c r="F53" s="222" t="s">
        <v>440</v>
      </c>
      <c r="G53" s="222">
        <v>3.3605925371064602</v>
      </c>
      <c r="H53" s="222">
        <v>2.6955425179210799</v>
      </c>
      <c r="I53" s="222">
        <v>1.4648450507272499</v>
      </c>
      <c r="J53" s="222" t="s">
        <v>848</v>
      </c>
      <c r="K53" s="222" t="s">
        <v>2837</v>
      </c>
      <c r="L53" s="231">
        <v>3.0596044953154402E-4</v>
      </c>
      <c r="M53" s="231">
        <v>8.0196146422088697E-6</v>
      </c>
      <c r="N53" s="222" t="s">
        <v>2217</v>
      </c>
      <c r="O53" s="222" t="s">
        <v>1710</v>
      </c>
      <c r="P53" s="222" t="s">
        <v>2200</v>
      </c>
      <c r="Q53" s="222" t="s">
        <v>2218</v>
      </c>
    </row>
    <row r="54" spans="1:18">
      <c r="A54" s="222" t="s">
        <v>1806</v>
      </c>
      <c r="B54" s="222" t="s">
        <v>1735</v>
      </c>
      <c r="C54" s="222" t="s">
        <v>2836</v>
      </c>
      <c r="D54" s="222">
        <v>30</v>
      </c>
      <c r="E54" s="222">
        <v>30</v>
      </c>
      <c r="F54" s="222" t="s">
        <v>440</v>
      </c>
      <c r="G54" s="222">
        <v>5.2137593399095703</v>
      </c>
      <c r="H54" s="222">
        <v>3.7308110148581899</v>
      </c>
      <c r="I54" s="222">
        <v>1.5849625007211501</v>
      </c>
      <c r="J54" s="222" t="s">
        <v>848</v>
      </c>
      <c r="K54" s="222" t="s">
        <v>2837</v>
      </c>
      <c r="L54" s="231">
        <v>3.2082617061623199E-4</v>
      </c>
      <c r="M54" s="231">
        <v>8.6730495918089595E-6</v>
      </c>
      <c r="N54" s="222" t="s">
        <v>1806</v>
      </c>
      <c r="O54" s="222" t="s">
        <v>1715</v>
      </c>
      <c r="P54" s="222" t="s">
        <v>1715</v>
      </c>
      <c r="Q54" s="222" t="s">
        <v>1807</v>
      </c>
      <c r="R54" s="222" t="s">
        <v>1808</v>
      </c>
    </row>
    <row r="55" spans="1:18">
      <c r="A55" s="222" t="s">
        <v>1945</v>
      </c>
      <c r="B55" s="222" t="s">
        <v>1735</v>
      </c>
      <c r="C55" s="222" t="s">
        <v>2836</v>
      </c>
      <c r="D55" s="222">
        <v>30</v>
      </c>
      <c r="E55" s="222">
        <v>30</v>
      </c>
      <c r="F55" s="222" t="s">
        <v>440</v>
      </c>
      <c r="G55" s="222">
        <v>3.7976922822542298</v>
      </c>
      <c r="H55" s="222">
        <v>2.95269087814349</v>
      </c>
      <c r="I55" s="222">
        <v>1.4204317936328801</v>
      </c>
      <c r="J55" s="222" t="s">
        <v>848</v>
      </c>
      <c r="K55" s="222" t="s">
        <v>2837</v>
      </c>
      <c r="L55" s="231">
        <v>3.2082617061623199E-4</v>
      </c>
      <c r="M55" s="231">
        <v>8.9189165778936805E-6</v>
      </c>
      <c r="N55" s="222" t="s">
        <v>1945</v>
      </c>
      <c r="O55" s="222" t="s">
        <v>1817</v>
      </c>
      <c r="P55" s="222" t="s">
        <v>1597</v>
      </c>
      <c r="Q55" s="222" t="s">
        <v>1946</v>
      </c>
      <c r="R55" s="222" t="s">
        <v>1940</v>
      </c>
    </row>
    <row r="56" spans="1:18">
      <c r="A56" s="222" t="s">
        <v>1537</v>
      </c>
      <c r="B56" s="222" t="s">
        <v>1755</v>
      </c>
      <c r="C56" s="222" t="s">
        <v>2836</v>
      </c>
      <c r="D56" s="222">
        <v>30</v>
      </c>
      <c r="E56" s="222">
        <v>30</v>
      </c>
      <c r="F56" s="222" t="s">
        <v>1721</v>
      </c>
      <c r="G56" s="222">
        <v>2.8592688150443202</v>
      </c>
      <c r="H56" s="222">
        <v>2.27835329199312</v>
      </c>
      <c r="I56" s="222">
        <v>1.9555078277082401</v>
      </c>
      <c r="J56" s="222" t="s">
        <v>848</v>
      </c>
      <c r="K56" s="222" t="s">
        <v>2849</v>
      </c>
      <c r="L56" s="231">
        <v>3.60931213893371E-4</v>
      </c>
      <c r="M56" s="231">
        <v>2.29892492925714E-6</v>
      </c>
      <c r="N56" s="222" t="s">
        <v>1537</v>
      </c>
      <c r="O56" s="222" t="s">
        <v>2313</v>
      </c>
      <c r="P56" s="222" t="s">
        <v>1524</v>
      </c>
      <c r="Q56" s="222" t="s">
        <v>1536</v>
      </c>
    </row>
    <row r="57" spans="1:18">
      <c r="A57" s="222" t="s">
        <v>2866</v>
      </c>
      <c r="B57" s="222" t="s">
        <v>1735</v>
      </c>
      <c r="C57" s="222" t="s">
        <v>2836</v>
      </c>
      <c r="D57" s="222">
        <v>30</v>
      </c>
      <c r="E57" s="222">
        <v>30</v>
      </c>
      <c r="F57" s="222" t="s">
        <v>440</v>
      </c>
      <c r="G57" s="222">
        <v>2.0470557650311401</v>
      </c>
      <c r="H57" s="222">
        <v>1.7964558790071401</v>
      </c>
      <c r="I57" s="222">
        <v>1.2514364538067499</v>
      </c>
      <c r="J57" s="222" t="s">
        <v>848</v>
      </c>
      <c r="K57" s="222" t="s">
        <v>2837</v>
      </c>
      <c r="L57" s="231">
        <v>3.7756598732798598E-4</v>
      </c>
      <c r="M57" s="231">
        <v>1.07961680252641E-5</v>
      </c>
      <c r="N57" s="222" t="s">
        <v>2866</v>
      </c>
      <c r="O57" s="222" t="s">
        <v>1715</v>
      </c>
      <c r="P57" s="222" t="s">
        <v>1715</v>
      </c>
      <c r="Q57" s="222" t="s">
        <v>2867</v>
      </c>
      <c r="R57" s="222" t="s">
        <v>1747</v>
      </c>
    </row>
    <row r="58" spans="1:18">
      <c r="A58" s="222" t="s">
        <v>2593</v>
      </c>
      <c r="B58" s="222" t="s">
        <v>1735</v>
      </c>
      <c r="C58" s="222" t="s">
        <v>2836</v>
      </c>
      <c r="D58" s="222">
        <v>30</v>
      </c>
      <c r="E58" s="222">
        <v>30</v>
      </c>
      <c r="F58" s="222" t="s">
        <v>440</v>
      </c>
      <c r="G58" s="222">
        <v>1.7895687524970301</v>
      </c>
      <c r="H58" s="222">
        <v>1.5967653373547901</v>
      </c>
      <c r="I58" s="222">
        <v>1.18841161142375</v>
      </c>
      <c r="J58" s="222" t="s">
        <v>848</v>
      </c>
      <c r="K58" s="222" t="s">
        <v>2837</v>
      </c>
      <c r="L58" s="231">
        <v>3.8548018211676302E-4</v>
      </c>
      <c r="M58" s="231">
        <v>1.13286471313107E-5</v>
      </c>
      <c r="N58" s="222" t="s">
        <v>2593</v>
      </c>
      <c r="O58" s="222" t="s">
        <v>2033</v>
      </c>
      <c r="P58" s="222" t="s">
        <v>2594</v>
      </c>
      <c r="Q58" s="222" t="s">
        <v>2595</v>
      </c>
    </row>
    <row r="59" spans="1:18">
      <c r="A59" s="222" t="s">
        <v>2868</v>
      </c>
      <c r="B59" s="222" t="s">
        <v>1735</v>
      </c>
      <c r="C59" s="222" t="s">
        <v>2836</v>
      </c>
      <c r="D59" s="222">
        <v>30</v>
      </c>
      <c r="E59" s="222">
        <v>30</v>
      </c>
      <c r="F59" s="222" t="s">
        <v>440</v>
      </c>
      <c r="G59" s="222">
        <v>-2.2085614946791101</v>
      </c>
      <c r="H59" s="222">
        <v>-1.9053644946866299</v>
      </c>
      <c r="I59" s="222">
        <v>-2.8324462118399198</v>
      </c>
      <c r="J59" s="222" t="s">
        <v>848</v>
      </c>
      <c r="K59" s="222" t="s">
        <v>2837</v>
      </c>
      <c r="L59" s="231">
        <v>4.83139656305702E-4</v>
      </c>
      <c r="M59" s="231">
        <v>1.4582451898027499E-5</v>
      </c>
      <c r="N59" s="222" t="s">
        <v>2868</v>
      </c>
      <c r="O59" s="222" t="s">
        <v>2583</v>
      </c>
      <c r="P59" s="222" t="s">
        <v>1464</v>
      </c>
      <c r="Q59" s="222" t="s">
        <v>2869</v>
      </c>
    </row>
    <row r="60" spans="1:18">
      <c r="A60" s="222" t="s">
        <v>2188</v>
      </c>
      <c r="B60" s="222" t="s">
        <v>1755</v>
      </c>
      <c r="C60" s="222" t="s">
        <v>2836</v>
      </c>
      <c r="D60" s="222">
        <v>30</v>
      </c>
      <c r="E60" s="222">
        <v>30</v>
      </c>
      <c r="F60" s="222" t="s">
        <v>1721</v>
      </c>
      <c r="G60" s="222">
        <v>-3.4492693985848999</v>
      </c>
      <c r="H60" s="222">
        <v>-2.75117508305404</v>
      </c>
      <c r="I60" s="222">
        <v>-4.7319681892445002</v>
      </c>
      <c r="J60" s="222" t="s">
        <v>848</v>
      </c>
      <c r="K60" s="222" t="s">
        <v>2849</v>
      </c>
      <c r="L60" s="231">
        <v>5.8497332067663805E-4</v>
      </c>
      <c r="M60" s="231">
        <v>4.2582225344978198E-6</v>
      </c>
      <c r="N60" s="222" t="s">
        <v>2188</v>
      </c>
      <c r="O60" s="222" t="s">
        <v>1710</v>
      </c>
      <c r="P60" s="222" t="s">
        <v>2161</v>
      </c>
      <c r="Q60" s="222" t="s">
        <v>2189</v>
      </c>
      <c r="R60" s="222" t="s">
        <v>2190</v>
      </c>
    </row>
    <row r="61" spans="1:18">
      <c r="A61" s="222" t="s">
        <v>1816</v>
      </c>
      <c r="B61" s="222" t="s">
        <v>1755</v>
      </c>
      <c r="C61" s="222" t="s">
        <v>2836</v>
      </c>
      <c r="D61" s="222">
        <v>30</v>
      </c>
      <c r="E61" s="222">
        <v>30</v>
      </c>
      <c r="F61" s="222" t="s">
        <v>1721</v>
      </c>
      <c r="G61" s="222">
        <v>3.2079271549482602</v>
      </c>
      <c r="H61" s="222">
        <v>2.5003761024050801</v>
      </c>
      <c r="I61" s="222">
        <v>2.0668031059934999</v>
      </c>
      <c r="J61" s="222" t="s">
        <v>848</v>
      </c>
      <c r="K61" s="222" t="s">
        <v>2849</v>
      </c>
      <c r="L61" s="231">
        <v>6.8944263600703303E-4</v>
      </c>
      <c r="M61" s="231">
        <v>6.5647551718687097E-6</v>
      </c>
      <c r="N61" s="222" t="s">
        <v>1816</v>
      </c>
      <c r="O61" s="222" t="s">
        <v>1817</v>
      </c>
      <c r="P61" s="222" t="s">
        <v>1818</v>
      </c>
      <c r="Q61" s="222" t="s">
        <v>1819</v>
      </c>
      <c r="R61" s="222" t="s">
        <v>1820</v>
      </c>
    </row>
    <row r="62" spans="1:18">
      <c r="A62" s="222" t="s">
        <v>2870</v>
      </c>
      <c r="B62" s="222" t="s">
        <v>1755</v>
      </c>
      <c r="C62" s="222" t="s">
        <v>2836</v>
      </c>
      <c r="D62" s="222">
        <v>30</v>
      </c>
      <c r="E62" s="222">
        <v>30</v>
      </c>
      <c r="F62" s="222" t="s">
        <v>1721</v>
      </c>
      <c r="G62" s="222">
        <v>-2.5528545020775901</v>
      </c>
      <c r="H62" s="222">
        <v>-1.99993607761738</v>
      </c>
      <c r="I62" s="222">
        <v>-3.2301196497820599</v>
      </c>
      <c r="J62" s="222" t="s">
        <v>848</v>
      </c>
      <c r="K62" s="222" t="s">
        <v>2849</v>
      </c>
      <c r="L62" s="231">
        <v>6.8944263600703303E-4</v>
      </c>
      <c r="M62" s="231">
        <v>6.9006997234552902E-6</v>
      </c>
      <c r="N62" s="222" t="s">
        <v>2870</v>
      </c>
      <c r="O62" s="222" t="s">
        <v>2033</v>
      </c>
      <c r="P62" s="222" t="s">
        <v>2611</v>
      </c>
      <c r="Q62" s="222" t="s">
        <v>2871</v>
      </c>
    </row>
    <row r="63" spans="1:18">
      <c r="A63" s="222" t="s">
        <v>2044</v>
      </c>
      <c r="B63" s="222" t="s">
        <v>1755</v>
      </c>
      <c r="C63" s="222" t="s">
        <v>2836</v>
      </c>
      <c r="D63" s="222">
        <v>30</v>
      </c>
      <c r="E63" s="222">
        <v>30</v>
      </c>
      <c r="F63" s="222" t="s">
        <v>1721</v>
      </c>
      <c r="G63" s="222">
        <v>-8.6846929333923892</v>
      </c>
      <c r="H63" s="222">
        <v>-6.3423095658094599</v>
      </c>
      <c r="I63" s="222">
        <v>0</v>
      </c>
      <c r="J63" s="222">
        <v>1</v>
      </c>
      <c r="K63" s="222" t="s">
        <v>2849</v>
      </c>
      <c r="L63" s="231">
        <v>6.8944263600703303E-4</v>
      </c>
      <c r="M63" s="231">
        <v>6.1538602886986603E-6</v>
      </c>
      <c r="N63" s="222" t="s">
        <v>2044</v>
      </c>
      <c r="O63" s="222" t="s">
        <v>1710</v>
      </c>
      <c r="P63" s="222" t="s">
        <v>2045</v>
      </c>
      <c r="Q63" s="222" t="s">
        <v>2046</v>
      </c>
    </row>
    <row r="64" spans="1:18">
      <c r="A64" s="222" t="s">
        <v>2872</v>
      </c>
      <c r="B64" s="222" t="s">
        <v>1735</v>
      </c>
      <c r="C64" s="222" t="s">
        <v>2836</v>
      </c>
      <c r="D64" s="222">
        <v>30</v>
      </c>
      <c r="E64" s="222">
        <v>30</v>
      </c>
      <c r="F64" s="222" t="s">
        <v>440</v>
      </c>
      <c r="G64" s="222">
        <v>-2.5400624872212498</v>
      </c>
      <c r="H64" s="222">
        <v>-2.11558470610658</v>
      </c>
      <c r="I64" s="222">
        <v>-3.2228927742881499</v>
      </c>
      <c r="J64" s="222" t="s">
        <v>848</v>
      </c>
      <c r="K64" s="222" t="s">
        <v>2837</v>
      </c>
      <c r="L64" s="231">
        <v>7.1896703417940295E-4</v>
      </c>
      <c r="M64" s="231">
        <v>2.22714172621102E-5</v>
      </c>
      <c r="N64" s="222" t="s">
        <v>2872</v>
      </c>
      <c r="O64" s="222" t="s">
        <v>1817</v>
      </c>
      <c r="P64" s="222" t="s">
        <v>2062</v>
      </c>
      <c r="Q64" s="222" t="s">
        <v>2873</v>
      </c>
    </row>
    <row r="65" spans="1:18">
      <c r="A65" s="222" t="s">
        <v>2874</v>
      </c>
      <c r="B65" s="222" t="s">
        <v>1735</v>
      </c>
      <c r="C65" s="222" t="s">
        <v>2836</v>
      </c>
      <c r="D65" s="222">
        <v>30</v>
      </c>
      <c r="E65" s="222">
        <v>30</v>
      </c>
      <c r="F65" s="222" t="s">
        <v>440</v>
      </c>
      <c r="G65" s="222">
        <v>4.5325266252355796</v>
      </c>
      <c r="H65" s="222">
        <v>3.2402233605006399</v>
      </c>
      <c r="I65" s="222">
        <v>1.56629635325147</v>
      </c>
      <c r="J65" s="222" t="s">
        <v>848</v>
      </c>
      <c r="K65" s="222" t="s">
        <v>2837</v>
      </c>
      <c r="L65" s="231">
        <v>7.2370320473073596E-4</v>
      </c>
      <c r="M65" s="231">
        <v>2.2992953287711999E-5</v>
      </c>
      <c r="N65" s="222" t="s">
        <v>2874</v>
      </c>
      <c r="O65" s="222" t="s">
        <v>2757</v>
      </c>
      <c r="P65" s="222" t="s">
        <v>2758</v>
      </c>
      <c r="Q65" s="222" t="s">
        <v>2875</v>
      </c>
    </row>
    <row r="66" spans="1:18">
      <c r="A66" s="222" t="s">
        <v>2687</v>
      </c>
      <c r="B66" s="222" t="s">
        <v>1731</v>
      </c>
      <c r="C66" s="222" t="s">
        <v>2836</v>
      </c>
      <c r="D66" s="222">
        <v>30</v>
      </c>
      <c r="E66" s="222">
        <v>30</v>
      </c>
      <c r="F66" s="222" t="s">
        <v>1708</v>
      </c>
      <c r="G66" s="222">
        <v>3.3226404656578801</v>
      </c>
      <c r="H66" s="222">
        <v>2.4435396634674</v>
      </c>
      <c r="I66" s="222">
        <v>0.964660840301097</v>
      </c>
      <c r="J66" s="222" t="s">
        <v>848</v>
      </c>
      <c r="K66" s="222" t="s">
        <v>2857</v>
      </c>
      <c r="L66" s="231">
        <v>7.5133555028455003E-4</v>
      </c>
      <c r="M66" s="231">
        <v>5.0280581759004297E-6</v>
      </c>
      <c r="N66" s="222" t="s">
        <v>2687</v>
      </c>
      <c r="O66" s="222" t="s">
        <v>1710</v>
      </c>
      <c r="P66" s="222" t="s">
        <v>2310</v>
      </c>
      <c r="Q66" s="222" t="s">
        <v>2688</v>
      </c>
    </row>
    <row r="67" spans="1:18">
      <c r="A67" s="222" t="s">
        <v>2129</v>
      </c>
      <c r="B67" s="222" t="s">
        <v>1735</v>
      </c>
      <c r="C67" s="222" t="s">
        <v>2836</v>
      </c>
      <c r="D67" s="222">
        <v>30</v>
      </c>
      <c r="E67" s="222">
        <v>30</v>
      </c>
      <c r="F67" s="222" t="s">
        <v>440</v>
      </c>
      <c r="G67" s="222">
        <v>2.0108536411039202</v>
      </c>
      <c r="H67" s="222">
        <v>1.7420933530520899</v>
      </c>
      <c r="I67" s="222">
        <v>1.27068017362332</v>
      </c>
      <c r="J67" s="222" t="s">
        <v>848</v>
      </c>
      <c r="K67" s="222" t="s">
        <v>2837</v>
      </c>
      <c r="L67" s="231">
        <v>8.0553600473783299E-4</v>
      </c>
      <c r="M67" s="231">
        <v>2.6372298880908901E-5</v>
      </c>
      <c r="N67" s="222" t="s">
        <v>2129</v>
      </c>
      <c r="O67" s="222" t="s">
        <v>2061</v>
      </c>
      <c r="P67" s="222" t="s">
        <v>2127</v>
      </c>
      <c r="Q67" s="222" t="s">
        <v>2130</v>
      </c>
    </row>
    <row r="68" spans="1:18">
      <c r="A68" s="222" t="s">
        <v>2870</v>
      </c>
      <c r="B68" s="222" t="s">
        <v>1735</v>
      </c>
      <c r="C68" s="222" t="s">
        <v>2836</v>
      </c>
      <c r="D68" s="222">
        <v>30</v>
      </c>
      <c r="E68" s="222">
        <v>30</v>
      </c>
      <c r="F68" s="222" t="s">
        <v>440</v>
      </c>
      <c r="G68" s="222">
        <v>1.51032334523689</v>
      </c>
      <c r="H68" s="222">
        <v>1.3489436029434301</v>
      </c>
      <c r="I68" s="222">
        <v>0.994115200617261</v>
      </c>
      <c r="J68" s="222" t="s">
        <v>848</v>
      </c>
      <c r="K68" s="222" t="s">
        <v>2837</v>
      </c>
      <c r="L68" s="231">
        <v>8.0553600473783299E-4</v>
      </c>
      <c r="M68" s="231">
        <v>2.6872527560753702E-5</v>
      </c>
      <c r="N68" s="222" t="s">
        <v>2870</v>
      </c>
      <c r="O68" s="222" t="s">
        <v>2033</v>
      </c>
      <c r="P68" s="222" t="s">
        <v>2611</v>
      </c>
      <c r="Q68" s="222" t="s">
        <v>2871</v>
      </c>
    </row>
    <row r="69" spans="1:18">
      <c r="A69" s="222" t="s">
        <v>2876</v>
      </c>
      <c r="B69" s="222" t="s">
        <v>1735</v>
      </c>
      <c r="C69" s="222" t="s">
        <v>2836</v>
      </c>
      <c r="D69" s="222">
        <v>30</v>
      </c>
      <c r="E69" s="222">
        <v>30</v>
      </c>
      <c r="F69" s="222" t="s">
        <v>440</v>
      </c>
      <c r="G69" s="222">
        <v>4.3061886201394204</v>
      </c>
      <c r="H69" s="222">
        <v>3.0891695421058798</v>
      </c>
      <c r="I69" s="222">
        <v>1.5400098859849001</v>
      </c>
      <c r="J69" s="222" t="s">
        <v>848</v>
      </c>
      <c r="K69" s="222" t="s">
        <v>2837</v>
      </c>
      <c r="L69" s="231">
        <v>8.8491791078620398E-4</v>
      </c>
      <c r="M69" s="231">
        <v>3.02235664525868E-5</v>
      </c>
      <c r="N69" s="222" t="s">
        <v>2876</v>
      </c>
      <c r="O69" s="222" t="s">
        <v>1710</v>
      </c>
      <c r="P69" s="222" t="s">
        <v>2222</v>
      </c>
      <c r="Q69" s="222" t="s">
        <v>2877</v>
      </c>
    </row>
    <row r="70" spans="1:18">
      <c r="A70" s="222" t="s">
        <v>2878</v>
      </c>
      <c r="B70" s="222" t="s">
        <v>1755</v>
      </c>
      <c r="C70" s="222" t="s">
        <v>2836</v>
      </c>
      <c r="D70" s="222">
        <v>30</v>
      </c>
      <c r="E70" s="222">
        <v>30</v>
      </c>
      <c r="F70" s="222" t="s">
        <v>1721</v>
      </c>
      <c r="G70" s="222">
        <v>-3.2604471462549101</v>
      </c>
      <c r="H70" s="222">
        <v>-2.5107279036104999</v>
      </c>
      <c r="I70" s="222">
        <v>-3.8836801466807902</v>
      </c>
      <c r="J70" s="222" t="s">
        <v>848</v>
      </c>
      <c r="K70" s="222" t="s">
        <v>2849</v>
      </c>
      <c r="L70" s="231">
        <v>9.11431798198236E-4</v>
      </c>
      <c r="M70" s="231">
        <v>9.9519395617641705E-6</v>
      </c>
      <c r="N70" s="222" t="s">
        <v>2878</v>
      </c>
      <c r="O70" s="222" t="s">
        <v>1710</v>
      </c>
      <c r="P70" s="222" t="s">
        <v>2514</v>
      </c>
      <c r="Q70" s="222" t="s">
        <v>2879</v>
      </c>
      <c r="R70" s="222" t="s">
        <v>2519</v>
      </c>
    </row>
    <row r="71" spans="1:18">
      <c r="A71" s="222" t="s">
        <v>1938</v>
      </c>
      <c r="B71" s="222" t="s">
        <v>1755</v>
      </c>
      <c r="C71" s="222" t="s">
        <v>2836</v>
      </c>
      <c r="D71" s="222">
        <v>30</v>
      </c>
      <c r="E71" s="222">
        <v>30</v>
      </c>
      <c r="F71" s="222" t="s">
        <v>1721</v>
      </c>
      <c r="G71" s="222">
        <v>-8.3221550185710793</v>
      </c>
      <c r="H71" s="222">
        <v>-5.9816344816193601</v>
      </c>
      <c r="I71" s="222">
        <v>0</v>
      </c>
      <c r="J71" s="222">
        <v>1</v>
      </c>
      <c r="K71" s="222" t="s">
        <v>2849</v>
      </c>
      <c r="L71" s="222">
        <v>1.04776707937065E-3</v>
      </c>
      <c r="M71" s="231">
        <v>1.2393969091736599E-5</v>
      </c>
      <c r="N71" s="222" t="s">
        <v>1938</v>
      </c>
      <c r="O71" s="222" t="s">
        <v>1817</v>
      </c>
      <c r="P71" s="222" t="s">
        <v>1597</v>
      </c>
      <c r="Q71" s="222" t="s">
        <v>1939</v>
      </c>
      <c r="R71" s="222" t="s">
        <v>1940</v>
      </c>
    </row>
    <row r="72" spans="1:18">
      <c r="A72" s="222" t="s">
        <v>2880</v>
      </c>
      <c r="B72" s="222" t="s">
        <v>1735</v>
      </c>
      <c r="C72" s="222" t="s">
        <v>2836</v>
      </c>
      <c r="D72" s="222">
        <v>30</v>
      </c>
      <c r="E72" s="222">
        <v>30</v>
      </c>
      <c r="F72" s="222" t="s">
        <v>440</v>
      </c>
      <c r="G72" s="222">
        <v>4.7372207357043798</v>
      </c>
      <c r="H72" s="222">
        <v>3.2475861987788499</v>
      </c>
      <c r="I72" s="222">
        <v>1.55028748665837</v>
      </c>
      <c r="J72" s="222" t="s">
        <v>848</v>
      </c>
      <c r="K72" s="222" t="s">
        <v>2837</v>
      </c>
      <c r="L72" s="222">
        <v>1.0907793823321001E-3</v>
      </c>
      <c r="M72" s="231">
        <v>3.81209633221704E-5</v>
      </c>
      <c r="N72" s="222" t="s">
        <v>2880</v>
      </c>
      <c r="O72" s="222" t="s">
        <v>1710</v>
      </c>
      <c r="P72" s="222" t="s">
        <v>2048</v>
      </c>
      <c r="Q72" s="222" t="s">
        <v>2881</v>
      </c>
    </row>
    <row r="73" spans="1:18">
      <c r="A73" s="222" t="s">
        <v>2632</v>
      </c>
      <c r="B73" s="222" t="s">
        <v>1735</v>
      </c>
      <c r="C73" s="222" t="s">
        <v>2836</v>
      </c>
      <c r="D73" s="222">
        <v>30</v>
      </c>
      <c r="E73" s="222">
        <v>30</v>
      </c>
      <c r="F73" s="222" t="s">
        <v>440</v>
      </c>
      <c r="G73" s="222">
        <v>3.4603290458077698</v>
      </c>
      <c r="H73" s="222">
        <v>2.6121717946410898</v>
      </c>
      <c r="I73" s="222">
        <v>1.5149253949707899</v>
      </c>
      <c r="J73" s="222" t="s">
        <v>848</v>
      </c>
      <c r="K73" s="222" t="s">
        <v>2837</v>
      </c>
      <c r="L73" s="222">
        <v>1.20412326367556E-3</v>
      </c>
      <c r="M73" s="231">
        <v>4.4109979783935503E-5</v>
      </c>
      <c r="N73" s="222" t="s">
        <v>2632</v>
      </c>
      <c r="O73" s="222" t="s">
        <v>2033</v>
      </c>
      <c r="P73" s="222" t="s">
        <v>2611</v>
      </c>
      <c r="Q73" s="222" t="s">
        <v>2633</v>
      </c>
    </row>
    <row r="74" spans="1:18">
      <c r="A74" s="222" t="s">
        <v>1525</v>
      </c>
      <c r="B74" s="222" t="s">
        <v>1735</v>
      </c>
      <c r="C74" s="222" t="s">
        <v>2836</v>
      </c>
      <c r="D74" s="222">
        <v>30</v>
      </c>
      <c r="E74" s="222">
        <v>30</v>
      </c>
      <c r="F74" s="222" t="s">
        <v>440</v>
      </c>
      <c r="G74" s="222">
        <v>-4.4754775742205704</v>
      </c>
      <c r="H74" s="222">
        <v>-3.1036943232573702</v>
      </c>
      <c r="I74" s="222">
        <v>0</v>
      </c>
      <c r="J74" s="222">
        <v>1</v>
      </c>
      <c r="K74" s="222" t="s">
        <v>2837</v>
      </c>
      <c r="L74" s="222">
        <v>1.20412326367556E-3</v>
      </c>
      <c r="M74" s="231">
        <v>4.4951384744044198E-5</v>
      </c>
      <c r="N74" s="222" t="s">
        <v>1525</v>
      </c>
      <c r="O74" s="222" t="s">
        <v>1524</v>
      </c>
      <c r="P74" s="222" t="s">
        <v>1524</v>
      </c>
      <c r="Q74" s="222" t="s">
        <v>1526</v>
      </c>
    </row>
    <row r="75" spans="1:18">
      <c r="A75" s="222" t="s">
        <v>2882</v>
      </c>
      <c r="B75" s="222" t="s">
        <v>1735</v>
      </c>
      <c r="C75" s="222" t="s">
        <v>2836</v>
      </c>
      <c r="D75" s="222">
        <v>30</v>
      </c>
      <c r="E75" s="222">
        <v>30</v>
      </c>
      <c r="F75" s="222" t="s">
        <v>440</v>
      </c>
      <c r="G75" s="222">
        <v>4.5715812611009996</v>
      </c>
      <c r="H75" s="222">
        <v>3.1510271533558298</v>
      </c>
      <c r="I75" s="222">
        <v>1.5718152384128801</v>
      </c>
      <c r="J75" s="222" t="s">
        <v>848</v>
      </c>
      <c r="K75" s="222" t="s">
        <v>2837</v>
      </c>
      <c r="L75" s="222">
        <v>1.20412326367556E-3</v>
      </c>
      <c r="M75" s="231">
        <v>4.3632340068598903E-5</v>
      </c>
      <c r="N75" s="222" t="s">
        <v>2882</v>
      </c>
      <c r="O75" s="222" t="s">
        <v>1710</v>
      </c>
      <c r="P75" s="222" t="s">
        <v>2536</v>
      </c>
      <c r="Q75" s="222" t="s">
        <v>2883</v>
      </c>
    </row>
    <row r="76" spans="1:18">
      <c r="A76" s="222" t="s">
        <v>2663</v>
      </c>
      <c r="B76" s="222" t="s">
        <v>1731</v>
      </c>
      <c r="C76" s="222" t="s">
        <v>2836</v>
      </c>
      <c r="D76" s="222">
        <v>30</v>
      </c>
      <c r="E76" s="222">
        <v>30</v>
      </c>
      <c r="F76" s="222" t="s">
        <v>1708</v>
      </c>
      <c r="G76" s="222">
        <v>-2.3621440998749801</v>
      </c>
      <c r="H76" s="222">
        <v>-1.72235557513459</v>
      </c>
      <c r="I76" s="222">
        <v>-4.1381967918923097</v>
      </c>
      <c r="J76" s="222" t="s">
        <v>848</v>
      </c>
      <c r="K76" s="222" t="s">
        <v>2857</v>
      </c>
      <c r="L76" s="222">
        <v>1.22043542233983E-3</v>
      </c>
      <c r="M76" s="231">
        <v>9.3341141287941405E-6</v>
      </c>
      <c r="N76" s="222" t="s">
        <v>2663</v>
      </c>
      <c r="O76" s="222" t="s">
        <v>1710</v>
      </c>
      <c r="P76" s="222" t="s">
        <v>2310</v>
      </c>
      <c r="Q76" s="222" t="s">
        <v>2664</v>
      </c>
    </row>
    <row r="77" spans="1:18">
      <c r="A77" s="222" t="s">
        <v>2221</v>
      </c>
      <c r="B77" s="222" t="s">
        <v>1735</v>
      </c>
      <c r="C77" s="222" t="s">
        <v>2836</v>
      </c>
      <c r="D77" s="222">
        <v>30</v>
      </c>
      <c r="E77" s="222">
        <v>30</v>
      </c>
      <c r="F77" s="222" t="s">
        <v>440</v>
      </c>
      <c r="G77" s="222">
        <v>3.4337633049774299</v>
      </c>
      <c r="H77" s="222">
        <v>2.5861654456485299</v>
      </c>
      <c r="I77" s="222">
        <v>1.36790336275041</v>
      </c>
      <c r="J77" s="222" t="s">
        <v>848</v>
      </c>
      <c r="K77" s="222" t="s">
        <v>2837</v>
      </c>
      <c r="L77" s="222">
        <v>1.29657360528412E-3</v>
      </c>
      <c r="M77" s="231">
        <v>4.94325123539619E-5</v>
      </c>
      <c r="N77" s="222" t="s">
        <v>2221</v>
      </c>
      <c r="O77" s="222" t="s">
        <v>1710</v>
      </c>
      <c r="P77" s="222" t="s">
        <v>2222</v>
      </c>
      <c r="Q77" s="222" t="s">
        <v>2884</v>
      </c>
      <c r="R77" s="222" t="s">
        <v>2238</v>
      </c>
    </row>
    <row r="78" spans="1:18">
      <c r="A78" s="222" t="s">
        <v>2044</v>
      </c>
      <c r="B78" s="222" t="s">
        <v>1735</v>
      </c>
      <c r="C78" s="222" t="s">
        <v>2836</v>
      </c>
      <c r="D78" s="222">
        <v>30</v>
      </c>
      <c r="E78" s="222">
        <v>30</v>
      </c>
      <c r="F78" s="222" t="s">
        <v>440</v>
      </c>
      <c r="G78" s="222">
        <v>2.7379713820427898</v>
      </c>
      <c r="H78" s="222">
        <v>2.1910234286055998</v>
      </c>
      <c r="I78" s="222">
        <v>1.0253063873352199</v>
      </c>
      <c r="J78" s="222" t="s">
        <v>848</v>
      </c>
      <c r="K78" s="222" t="s">
        <v>2837</v>
      </c>
      <c r="L78" s="222">
        <v>1.3072188182180801E-3</v>
      </c>
      <c r="M78" s="231">
        <v>5.1815875527210699E-5</v>
      </c>
      <c r="N78" s="222" t="s">
        <v>2044</v>
      </c>
      <c r="O78" s="222" t="s">
        <v>1710</v>
      </c>
      <c r="P78" s="222" t="s">
        <v>2045</v>
      </c>
      <c r="Q78" s="222" t="s">
        <v>2046</v>
      </c>
    </row>
    <row r="79" spans="1:18">
      <c r="A79" s="222" t="s">
        <v>2754</v>
      </c>
      <c r="B79" s="222" t="s">
        <v>1735</v>
      </c>
      <c r="C79" s="222" t="s">
        <v>2836</v>
      </c>
      <c r="D79" s="222">
        <v>30</v>
      </c>
      <c r="E79" s="222">
        <v>30</v>
      </c>
      <c r="F79" s="222" t="s">
        <v>440</v>
      </c>
      <c r="G79" s="222">
        <v>4.6667332404236799</v>
      </c>
      <c r="H79" s="222">
        <v>3.1581139088172501</v>
      </c>
      <c r="I79" s="222">
        <v>1.5773909403458599</v>
      </c>
      <c r="J79" s="222" t="s">
        <v>848</v>
      </c>
      <c r="K79" s="222" t="s">
        <v>2837</v>
      </c>
      <c r="L79" s="222">
        <v>1.3072188182180801E-3</v>
      </c>
      <c r="M79" s="231">
        <v>5.19149649808612E-5</v>
      </c>
      <c r="N79" s="222" t="s">
        <v>2754</v>
      </c>
      <c r="O79" s="222" t="s">
        <v>1710</v>
      </c>
      <c r="P79" s="222" t="s">
        <v>2310</v>
      </c>
      <c r="Q79" s="222" t="s">
        <v>2755</v>
      </c>
      <c r="R79" s="222" t="s">
        <v>2697</v>
      </c>
    </row>
    <row r="80" spans="1:18">
      <c r="A80" s="222" t="s">
        <v>2312</v>
      </c>
      <c r="B80" s="222" t="s">
        <v>1731</v>
      </c>
      <c r="C80" s="222" t="s">
        <v>2836</v>
      </c>
      <c r="D80" s="222">
        <v>30</v>
      </c>
      <c r="E80" s="222">
        <v>30</v>
      </c>
      <c r="F80" s="222" t="s">
        <v>1708</v>
      </c>
      <c r="G80" s="222">
        <v>1.3260538943118101</v>
      </c>
      <c r="H80" s="222">
        <v>0.96035916688421297</v>
      </c>
      <c r="I80" s="222">
        <v>0.78926516717170003</v>
      </c>
      <c r="J80" s="222" t="s">
        <v>848</v>
      </c>
      <c r="K80" s="222" t="s">
        <v>2857</v>
      </c>
      <c r="L80" s="222">
        <v>1.3153504749493601E-3</v>
      </c>
      <c r="M80" s="231">
        <v>1.13175471075949E-5</v>
      </c>
      <c r="N80" s="222" t="s">
        <v>2312</v>
      </c>
      <c r="O80" s="222" t="s">
        <v>2313</v>
      </c>
      <c r="P80" s="222" t="s">
        <v>1524</v>
      </c>
      <c r="Q80" s="222" t="s">
        <v>2314</v>
      </c>
    </row>
    <row r="81" spans="1:18">
      <c r="A81" s="222" t="s">
        <v>1529</v>
      </c>
      <c r="B81" s="222" t="s">
        <v>1755</v>
      </c>
      <c r="C81" s="222" t="s">
        <v>2836</v>
      </c>
      <c r="D81" s="222">
        <v>30</v>
      </c>
      <c r="E81" s="222">
        <v>30</v>
      </c>
      <c r="F81" s="222" t="s">
        <v>1721</v>
      </c>
      <c r="G81" s="222">
        <v>-6.6772699517151102</v>
      </c>
      <c r="H81" s="222">
        <v>-5.0335665217279599</v>
      </c>
      <c r="I81" s="222">
        <v>-8.9433375212415598</v>
      </c>
      <c r="J81" s="222" t="s">
        <v>848</v>
      </c>
      <c r="K81" s="222" t="s">
        <v>2849</v>
      </c>
      <c r="L81" s="222">
        <v>1.80426800011753E-3</v>
      </c>
      <c r="M81" s="231">
        <v>2.2984305733981299E-5</v>
      </c>
      <c r="N81" s="222" t="s">
        <v>1529</v>
      </c>
      <c r="O81" s="222" t="s">
        <v>1524</v>
      </c>
      <c r="P81" s="222" t="s">
        <v>1524</v>
      </c>
      <c r="Q81" s="222" t="s">
        <v>1530</v>
      </c>
    </row>
    <row r="82" spans="1:18">
      <c r="A82" s="222" t="s">
        <v>2291</v>
      </c>
      <c r="B82" s="222" t="s">
        <v>1735</v>
      </c>
      <c r="C82" s="222" t="s">
        <v>2836</v>
      </c>
      <c r="D82" s="222">
        <v>30</v>
      </c>
      <c r="E82" s="222">
        <v>30</v>
      </c>
      <c r="F82" s="222" t="s">
        <v>440</v>
      </c>
      <c r="G82" s="222">
        <v>-2.4780899311745399</v>
      </c>
      <c r="H82" s="222">
        <v>-2.0028048516468901</v>
      </c>
      <c r="I82" s="222">
        <v>-3.1596095042994499</v>
      </c>
      <c r="J82" s="222" t="s">
        <v>848</v>
      </c>
      <c r="K82" s="222" t="s">
        <v>2837</v>
      </c>
      <c r="L82" s="222">
        <v>2.01337721321832E-3</v>
      </c>
      <c r="M82" s="231">
        <v>8.1558568605349105E-5</v>
      </c>
      <c r="N82" s="222" t="s">
        <v>2291</v>
      </c>
      <c r="O82" s="222" t="s">
        <v>1543</v>
      </c>
      <c r="P82" s="222" t="s">
        <v>1543</v>
      </c>
      <c r="Q82" s="222" t="s">
        <v>2292</v>
      </c>
      <c r="R82" s="222" t="s">
        <v>2293</v>
      </c>
    </row>
    <row r="83" spans="1:18">
      <c r="A83" s="222" t="s">
        <v>2853</v>
      </c>
      <c r="B83" s="222" t="s">
        <v>1755</v>
      </c>
      <c r="C83" s="222" t="s">
        <v>2836</v>
      </c>
      <c r="D83" s="222">
        <v>30</v>
      </c>
      <c r="E83" s="222">
        <v>30</v>
      </c>
      <c r="F83" s="222" t="s">
        <v>1721</v>
      </c>
      <c r="G83" s="222">
        <v>-2.6629832280880401</v>
      </c>
      <c r="H83" s="222">
        <v>-1.98744069999005</v>
      </c>
      <c r="I83" s="222">
        <v>-3.7591294985916499</v>
      </c>
      <c r="J83" s="222" t="s">
        <v>848</v>
      </c>
      <c r="K83" s="222" t="s">
        <v>2849</v>
      </c>
      <c r="L83" s="222">
        <v>2.2672830089428202E-3</v>
      </c>
      <c r="M83" s="231">
        <v>3.09456279655526E-5</v>
      </c>
      <c r="N83" s="222" t="s">
        <v>2853</v>
      </c>
      <c r="O83" s="222" t="s">
        <v>1817</v>
      </c>
      <c r="P83" s="222" t="s">
        <v>2062</v>
      </c>
      <c r="Q83" s="222" t="s">
        <v>2854</v>
      </c>
      <c r="R83" s="222" t="s">
        <v>1964</v>
      </c>
    </row>
    <row r="84" spans="1:18">
      <c r="A84" s="222" t="s">
        <v>2885</v>
      </c>
      <c r="B84" s="222" t="s">
        <v>1735</v>
      </c>
      <c r="C84" s="222" t="s">
        <v>2836</v>
      </c>
      <c r="D84" s="222">
        <v>30</v>
      </c>
      <c r="E84" s="222">
        <v>30</v>
      </c>
      <c r="F84" s="222" t="s">
        <v>440</v>
      </c>
      <c r="G84" s="222">
        <v>-2.3632678260364099</v>
      </c>
      <c r="H84" s="222">
        <v>-1.9221324418977901</v>
      </c>
      <c r="I84" s="222">
        <v>-2.9492595975295899</v>
      </c>
      <c r="J84" s="222" t="s">
        <v>848</v>
      </c>
      <c r="K84" s="222" t="s">
        <v>2837</v>
      </c>
      <c r="L84" s="222">
        <v>2.2871129681563901E-3</v>
      </c>
      <c r="M84" s="231">
        <v>9.4463760400422797E-5</v>
      </c>
      <c r="N84" s="222" t="s">
        <v>2885</v>
      </c>
      <c r="O84" s="222" t="s">
        <v>1817</v>
      </c>
      <c r="P84" s="222" t="s">
        <v>2062</v>
      </c>
      <c r="Q84" s="222" t="s">
        <v>2886</v>
      </c>
    </row>
    <row r="85" spans="1:18">
      <c r="A85" s="222" t="s">
        <v>2887</v>
      </c>
      <c r="B85" s="222" t="s">
        <v>1735</v>
      </c>
      <c r="C85" s="222" t="s">
        <v>2836</v>
      </c>
      <c r="D85" s="222">
        <v>30</v>
      </c>
      <c r="E85" s="222">
        <v>30</v>
      </c>
      <c r="F85" s="222" t="s">
        <v>440</v>
      </c>
      <c r="G85" s="222">
        <v>1.3858185918291399</v>
      </c>
      <c r="H85" s="222">
        <v>1.21174903313725</v>
      </c>
      <c r="I85" s="222">
        <v>0.97751866363190998</v>
      </c>
      <c r="J85" s="222" t="s">
        <v>848</v>
      </c>
      <c r="K85" s="222" t="s">
        <v>2837</v>
      </c>
      <c r="L85" s="222">
        <v>2.3239468843313299E-3</v>
      </c>
      <c r="M85" s="231">
        <v>9.7830964948022802E-5</v>
      </c>
      <c r="N85" s="222" t="s">
        <v>2887</v>
      </c>
      <c r="O85" s="222" t="s">
        <v>2056</v>
      </c>
      <c r="P85" s="222" t="s">
        <v>2611</v>
      </c>
      <c r="Q85" s="222" t="s">
        <v>2888</v>
      </c>
    </row>
    <row r="86" spans="1:18">
      <c r="A86" s="222" t="s">
        <v>2191</v>
      </c>
      <c r="B86" s="222" t="s">
        <v>1735</v>
      </c>
      <c r="C86" s="222" t="s">
        <v>2836</v>
      </c>
      <c r="D86" s="222">
        <v>30</v>
      </c>
      <c r="E86" s="222">
        <v>30</v>
      </c>
      <c r="F86" s="222" t="s">
        <v>440</v>
      </c>
      <c r="G86" s="222">
        <v>2.4335765073340099</v>
      </c>
      <c r="H86" s="222">
        <v>1.9508319589827201</v>
      </c>
      <c r="I86" s="222">
        <v>1.3099861189637401</v>
      </c>
      <c r="J86" s="222" t="s">
        <v>848</v>
      </c>
      <c r="K86" s="222" t="s">
        <v>2837</v>
      </c>
      <c r="L86" s="222">
        <v>2.6875255895467401E-3</v>
      </c>
      <c r="M86" s="231">
        <v>1.17405804150175E-4</v>
      </c>
      <c r="N86" s="222" t="s">
        <v>2191</v>
      </c>
      <c r="O86" s="222" t="s">
        <v>1710</v>
      </c>
      <c r="P86" s="222" t="s">
        <v>2161</v>
      </c>
      <c r="Q86" s="222" t="s">
        <v>2192</v>
      </c>
    </row>
    <row r="87" spans="1:18">
      <c r="A87" s="222" t="s">
        <v>2777</v>
      </c>
      <c r="B87" s="222" t="s">
        <v>1735</v>
      </c>
      <c r="C87" s="222" t="s">
        <v>2836</v>
      </c>
      <c r="D87" s="222">
        <v>30</v>
      </c>
      <c r="E87" s="222">
        <v>30</v>
      </c>
      <c r="F87" s="222" t="s">
        <v>440</v>
      </c>
      <c r="G87" s="222">
        <v>-1.8651158340446401</v>
      </c>
      <c r="H87" s="222">
        <v>-1.5776770101294</v>
      </c>
      <c r="I87" s="222">
        <v>-2.2803921618880998</v>
      </c>
      <c r="J87" s="222" t="s">
        <v>848</v>
      </c>
      <c r="K87" s="222" t="s">
        <v>2837</v>
      </c>
      <c r="L87" s="222">
        <v>2.6875255895467401E-3</v>
      </c>
      <c r="M87" s="231">
        <v>1.17084977844749E-4</v>
      </c>
      <c r="N87" s="222" t="s">
        <v>2777</v>
      </c>
      <c r="O87" s="222" t="s">
        <v>2757</v>
      </c>
      <c r="P87" s="222" t="s">
        <v>2758</v>
      </c>
      <c r="Q87" s="222" t="s">
        <v>2778</v>
      </c>
    </row>
    <row r="88" spans="1:18">
      <c r="A88" s="222" t="s">
        <v>2610</v>
      </c>
      <c r="B88" s="222" t="s">
        <v>1755</v>
      </c>
      <c r="C88" s="222" t="s">
        <v>2836</v>
      </c>
      <c r="D88" s="222">
        <v>30</v>
      </c>
      <c r="E88" s="222">
        <v>30</v>
      </c>
      <c r="F88" s="222" t="s">
        <v>1721</v>
      </c>
      <c r="G88" s="222">
        <v>-7.6358279467237198</v>
      </c>
      <c r="H88" s="222">
        <v>-5.2414036813424199</v>
      </c>
      <c r="I88" s="222">
        <v>0</v>
      </c>
      <c r="J88" s="222">
        <v>1</v>
      </c>
      <c r="K88" s="222" t="s">
        <v>2849</v>
      </c>
      <c r="L88" s="222">
        <v>2.8811991877472302E-3</v>
      </c>
      <c r="M88" s="231">
        <v>4.1946484989950497E-5</v>
      </c>
      <c r="N88" s="222" t="s">
        <v>2610</v>
      </c>
      <c r="O88" s="222" t="s">
        <v>2033</v>
      </c>
      <c r="P88" s="222" t="s">
        <v>2611</v>
      </c>
      <c r="Q88" s="222" t="s">
        <v>2636</v>
      </c>
    </row>
    <row r="89" spans="1:18">
      <c r="A89" s="222" t="s">
        <v>2889</v>
      </c>
      <c r="B89" s="222" t="s">
        <v>1735</v>
      </c>
      <c r="C89" s="222" t="s">
        <v>2836</v>
      </c>
      <c r="D89" s="222">
        <v>30</v>
      </c>
      <c r="E89" s="222">
        <v>30</v>
      </c>
      <c r="F89" s="222" t="s">
        <v>440</v>
      </c>
      <c r="G89" s="222">
        <v>-2.3771583121366602</v>
      </c>
      <c r="H89" s="222">
        <v>-1.90875308538122</v>
      </c>
      <c r="I89" s="222">
        <v>-2.9710157977430498</v>
      </c>
      <c r="J89" s="222" t="s">
        <v>848</v>
      </c>
      <c r="K89" s="222" t="s">
        <v>2837</v>
      </c>
      <c r="L89" s="222">
        <v>2.95209762580541E-3</v>
      </c>
      <c r="M89" s="231">
        <v>1.31308552061241E-4</v>
      </c>
      <c r="N89" s="222" t="s">
        <v>2889</v>
      </c>
      <c r="O89" s="222" t="s">
        <v>1715</v>
      </c>
      <c r="P89" s="222" t="s">
        <v>1715</v>
      </c>
      <c r="Q89" s="222" t="s">
        <v>2890</v>
      </c>
      <c r="R89" s="222" t="s">
        <v>1747</v>
      </c>
    </row>
    <row r="90" spans="1:18">
      <c r="A90" s="222" t="s">
        <v>2891</v>
      </c>
      <c r="B90" s="222" t="s">
        <v>1735</v>
      </c>
      <c r="C90" s="222" t="s">
        <v>2836</v>
      </c>
      <c r="D90" s="222">
        <v>30</v>
      </c>
      <c r="E90" s="222">
        <v>30</v>
      </c>
      <c r="F90" s="222" t="s">
        <v>440</v>
      </c>
      <c r="G90" s="222">
        <v>4.3111085126144797</v>
      </c>
      <c r="H90" s="222">
        <v>2.8217627014404099</v>
      </c>
      <c r="I90" s="222">
        <v>1.57270548533857</v>
      </c>
      <c r="J90" s="222" t="s">
        <v>848</v>
      </c>
      <c r="K90" s="222" t="s">
        <v>2837</v>
      </c>
      <c r="L90" s="222">
        <v>3.0093509487346399E-3</v>
      </c>
      <c r="M90" s="231">
        <v>1.3624543612221899E-4</v>
      </c>
      <c r="N90" s="222" t="s">
        <v>2891</v>
      </c>
      <c r="O90" s="222" t="s">
        <v>1710</v>
      </c>
      <c r="P90" s="222" t="s">
        <v>2310</v>
      </c>
      <c r="Q90" s="222" t="s">
        <v>2892</v>
      </c>
      <c r="R90" s="222" t="s">
        <v>2697</v>
      </c>
    </row>
    <row r="91" spans="1:18">
      <c r="A91" s="222" t="s">
        <v>1926</v>
      </c>
      <c r="B91" s="222" t="s">
        <v>1735</v>
      </c>
      <c r="C91" s="222" t="s">
        <v>2836</v>
      </c>
      <c r="D91" s="222">
        <v>30</v>
      </c>
      <c r="E91" s="222">
        <v>30</v>
      </c>
      <c r="F91" s="222" t="s">
        <v>440</v>
      </c>
      <c r="G91" s="222">
        <v>-3.0627197812711202</v>
      </c>
      <c r="H91" s="222">
        <v>-2.2805516738241201</v>
      </c>
      <c r="I91" s="222">
        <v>-4.3416278959921097</v>
      </c>
      <c r="J91" s="222" t="s">
        <v>848</v>
      </c>
      <c r="K91" s="222" t="s">
        <v>2837</v>
      </c>
      <c r="L91" s="222">
        <v>3.0212653556248902E-3</v>
      </c>
      <c r="M91" s="231">
        <v>1.4158431769806801E-4</v>
      </c>
      <c r="N91" s="222" t="s">
        <v>1926</v>
      </c>
      <c r="O91" s="222" t="s">
        <v>1817</v>
      </c>
      <c r="P91" s="222" t="s">
        <v>1597</v>
      </c>
      <c r="Q91" s="222" t="s">
        <v>1927</v>
      </c>
    </row>
    <row r="92" spans="1:18">
      <c r="A92" s="222" t="s">
        <v>2676</v>
      </c>
      <c r="B92" s="222" t="s">
        <v>1735</v>
      </c>
      <c r="C92" s="222" t="s">
        <v>2836</v>
      </c>
      <c r="D92" s="222">
        <v>30</v>
      </c>
      <c r="E92" s="222">
        <v>30</v>
      </c>
      <c r="F92" s="222" t="s">
        <v>440</v>
      </c>
      <c r="G92" s="222">
        <v>2.65372131068328</v>
      </c>
      <c r="H92" s="222">
        <v>2.0653793654339601</v>
      </c>
      <c r="I92" s="222">
        <v>1.4227283145117</v>
      </c>
      <c r="J92" s="222" t="s">
        <v>848</v>
      </c>
      <c r="K92" s="222" t="s">
        <v>2837</v>
      </c>
      <c r="L92" s="222">
        <v>3.0212653556248902E-3</v>
      </c>
      <c r="M92" s="231">
        <v>1.3942448464401901E-4</v>
      </c>
      <c r="N92" s="222" t="s">
        <v>2676</v>
      </c>
      <c r="O92" s="222" t="s">
        <v>1710</v>
      </c>
      <c r="P92" s="222" t="s">
        <v>2310</v>
      </c>
      <c r="Q92" s="222" t="s">
        <v>2677</v>
      </c>
      <c r="R92" s="222" t="s">
        <v>2678</v>
      </c>
    </row>
    <row r="93" spans="1:18">
      <c r="A93" s="222" t="s">
        <v>1501</v>
      </c>
      <c r="B93" s="222" t="s">
        <v>1735</v>
      </c>
      <c r="C93" s="222" t="s">
        <v>2836</v>
      </c>
      <c r="D93" s="222">
        <v>30</v>
      </c>
      <c r="E93" s="222">
        <v>30</v>
      </c>
      <c r="F93" s="222" t="s">
        <v>440</v>
      </c>
      <c r="G93" s="222">
        <v>-1.6378638284127101</v>
      </c>
      <c r="H93" s="222">
        <v>-1.3986087686064199</v>
      </c>
      <c r="I93" s="222">
        <v>-2.01263270973898</v>
      </c>
      <c r="J93" s="222" t="s">
        <v>848</v>
      </c>
      <c r="K93" s="222" t="s">
        <v>2837</v>
      </c>
      <c r="L93" s="222">
        <v>3.19481017107236E-3</v>
      </c>
      <c r="M93" s="231">
        <v>1.5225465469765001E-4</v>
      </c>
      <c r="N93" s="222" t="s">
        <v>1501</v>
      </c>
      <c r="O93" s="222" t="s">
        <v>2583</v>
      </c>
      <c r="P93" s="222" t="s">
        <v>1464</v>
      </c>
      <c r="Q93" s="222" t="s">
        <v>1502</v>
      </c>
    </row>
    <row r="94" spans="1:18">
      <c r="A94" s="222" t="s">
        <v>2893</v>
      </c>
      <c r="B94" s="222" t="s">
        <v>1755</v>
      </c>
      <c r="C94" s="222" t="s">
        <v>2836</v>
      </c>
      <c r="D94" s="222">
        <v>30</v>
      </c>
      <c r="E94" s="222">
        <v>30</v>
      </c>
      <c r="F94" s="222" t="s">
        <v>1721</v>
      </c>
      <c r="G94" s="222">
        <v>3.1737446792953601</v>
      </c>
      <c r="H94" s="222">
        <v>2.2834312295467001</v>
      </c>
      <c r="I94" s="222">
        <v>2.0602220721426998</v>
      </c>
      <c r="J94" s="222" t="s">
        <v>848</v>
      </c>
      <c r="K94" s="222" t="s">
        <v>2849</v>
      </c>
      <c r="L94" s="222">
        <v>3.3607516197656402E-3</v>
      </c>
      <c r="M94" s="231">
        <v>5.1986148804381997E-5</v>
      </c>
      <c r="N94" s="222" t="s">
        <v>2893</v>
      </c>
      <c r="O94" s="222" t="s">
        <v>1710</v>
      </c>
      <c r="P94" s="222" t="s">
        <v>2161</v>
      </c>
      <c r="Q94" s="222" t="s">
        <v>2894</v>
      </c>
    </row>
    <row r="95" spans="1:18">
      <c r="A95" s="222" t="s">
        <v>1945</v>
      </c>
      <c r="B95" s="222" t="s">
        <v>1755</v>
      </c>
      <c r="C95" s="222" t="s">
        <v>2836</v>
      </c>
      <c r="D95" s="222">
        <v>30</v>
      </c>
      <c r="E95" s="222">
        <v>30</v>
      </c>
      <c r="F95" s="222" t="s">
        <v>1721</v>
      </c>
      <c r="G95" s="222">
        <v>-8.4388866155266999</v>
      </c>
      <c r="H95" s="222">
        <v>-5.3357443485703397</v>
      </c>
      <c r="I95" s="222">
        <v>0</v>
      </c>
      <c r="J95" s="222">
        <v>1</v>
      </c>
      <c r="K95" s="222" t="s">
        <v>2849</v>
      </c>
      <c r="L95" s="222">
        <v>3.3633383058345101E-3</v>
      </c>
      <c r="M95" s="231">
        <v>5.5086523662439699E-5</v>
      </c>
      <c r="N95" s="222" t="s">
        <v>1945</v>
      </c>
      <c r="O95" s="222" t="s">
        <v>1817</v>
      </c>
      <c r="P95" s="222" t="s">
        <v>1597</v>
      </c>
      <c r="Q95" s="222" t="s">
        <v>1946</v>
      </c>
      <c r="R95" s="222" t="s">
        <v>1940</v>
      </c>
    </row>
    <row r="96" spans="1:18">
      <c r="A96" s="222" t="s">
        <v>2895</v>
      </c>
      <c r="B96" s="222" t="s">
        <v>1735</v>
      </c>
      <c r="C96" s="222" t="s">
        <v>2836</v>
      </c>
      <c r="D96" s="222">
        <v>30</v>
      </c>
      <c r="E96" s="222">
        <v>30</v>
      </c>
      <c r="F96" s="222" t="s">
        <v>440</v>
      </c>
      <c r="G96" s="222">
        <v>4.9005812768974097</v>
      </c>
      <c r="H96" s="222">
        <v>2.9468936301118598</v>
      </c>
      <c r="I96" s="222">
        <v>1.5849625007211501</v>
      </c>
      <c r="J96" s="222" t="s">
        <v>848</v>
      </c>
      <c r="K96" s="222" t="s">
        <v>2837</v>
      </c>
      <c r="L96" s="222">
        <v>3.5419788287276298E-3</v>
      </c>
      <c r="M96" s="231">
        <v>1.71612953576159E-4</v>
      </c>
      <c r="N96" s="222" t="s">
        <v>2895</v>
      </c>
      <c r="O96" s="222" t="s">
        <v>1710</v>
      </c>
      <c r="P96" s="222" t="s">
        <v>2310</v>
      </c>
      <c r="Q96" s="222" t="s">
        <v>2896</v>
      </c>
    </row>
    <row r="97" spans="1:18">
      <c r="A97" s="222" t="s">
        <v>2627</v>
      </c>
      <c r="B97" s="222" t="s">
        <v>1735</v>
      </c>
      <c r="C97" s="222" t="s">
        <v>2836</v>
      </c>
      <c r="D97" s="222">
        <v>30</v>
      </c>
      <c r="E97" s="222">
        <v>30</v>
      </c>
      <c r="F97" s="222" t="s">
        <v>440</v>
      </c>
      <c r="G97" s="222">
        <v>4.6672960661334004</v>
      </c>
      <c r="H97" s="222">
        <v>2.8637172704269198</v>
      </c>
      <c r="I97" s="222">
        <v>1.57254979341382</v>
      </c>
      <c r="J97" s="222" t="s">
        <v>848</v>
      </c>
      <c r="K97" s="222" t="s">
        <v>2837</v>
      </c>
      <c r="L97" s="222">
        <v>3.73242615897429E-3</v>
      </c>
      <c r="M97" s="231">
        <v>1.8380494190342001E-4</v>
      </c>
      <c r="N97" s="222" t="s">
        <v>2627</v>
      </c>
      <c r="O97" s="222" t="s">
        <v>2033</v>
      </c>
      <c r="P97" s="222" t="s">
        <v>2611</v>
      </c>
      <c r="Q97" s="222" t="s">
        <v>2628</v>
      </c>
      <c r="R97" s="222" t="s">
        <v>2629</v>
      </c>
    </row>
    <row r="98" spans="1:18">
      <c r="A98" s="222" t="s">
        <v>2897</v>
      </c>
      <c r="B98" s="222" t="s">
        <v>1735</v>
      </c>
      <c r="C98" s="222" t="s">
        <v>2836</v>
      </c>
      <c r="D98" s="222">
        <v>30</v>
      </c>
      <c r="E98" s="222">
        <v>30</v>
      </c>
      <c r="F98" s="222" t="s">
        <v>440</v>
      </c>
      <c r="G98" s="222">
        <v>3.2402002546733701</v>
      </c>
      <c r="H98" s="222">
        <v>2.3309186296484699</v>
      </c>
      <c r="I98" s="222">
        <v>1.47806077863297</v>
      </c>
      <c r="J98" s="222" t="s">
        <v>848</v>
      </c>
      <c r="K98" s="222" t="s">
        <v>2837</v>
      </c>
      <c r="L98" s="222">
        <v>3.7426389152698698E-3</v>
      </c>
      <c r="M98" s="231">
        <v>1.8728058114535499E-4</v>
      </c>
      <c r="N98" s="222" t="s">
        <v>2897</v>
      </c>
      <c r="O98" s="222" t="s">
        <v>1710</v>
      </c>
      <c r="P98" s="222" t="s">
        <v>2536</v>
      </c>
      <c r="Q98" s="222" t="s">
        <v>2898</v>
      </c>
      <c r="R98" s="222" t="s">
        <v>2899</v>
      </c>
    </row>
    <row r="99" spans="1:18">
      <c r="A99" s="222" t="s">
        <v>2630</v>
      </c>
      <c r="B99" s="222" t="s">
        <v>1755</v>
      </c>
      <c r="C99" s="222" t="s">
        <v>2836</v>
      </c>
      <c r="D99" s="222">
        <v>30</v>
      </c>
      <c r="E99" s="222">
        <v>30</v>
      </c>
      <c r="F99" s="222" t="s">
        <v>1721</v>
      </c>
      <c r="G99" s="222">
        <v>-2.8457636057459399</v>
      </c>
      <c r="H99" s="222">
        <v>-2.0448158739711801</v>
      </c>
      <c r="I99" s="222">
        <v>-4.2730602316735604</v>
      </c>
      <c r="J99" s="222" t="s">
        <v>848</v>
      </c>
      <c r="K99" s="222" t="s">
        <v>2849</v>
      </c>
      <c r="L99" s="222">
        <v>3.75609049070352E-3</v>
      </c>
      <c r="M99" s="231">
        <v>6.4936960257840802E-5</v>
      </c>
      <c r="N99" s="222" t="s">
        <v>2630</v>
      </c>
      <c r="O99" s="222" t="s">
        <v>2033</v>
      </c>
      <c r="P99" s="222" t="s">
        <v>2611</v>
      </c>
      <c r="Q99" s="222" t="s">
        <v>2900</v>
      </c>
    </row>
    <row r="100" spans="1:18">
      <c r="A100" s="222" t="s">
        <v>2326</v>
      </c>
      <c r="B100" s="222" t="s">
        <v>1755</v>
      </c>
      <c r="C100" s="222" t="s">
        <v>2836</v>
      </c>
      <c r="D100" s="222">
        <v>30</v>
      </c>
      <c r="E100" s="222">
        <v>30</v>
      </c>
      <c r="F100" s="222" t="s">
        <v>1721</v>
      </c>
      <c r="G100" s="222">
        <v>2.46982012934349</v>
      </c>
      <c r="H100" s="222">
        <v>1.8233997880334201</v>
      </c>
      <c r="I100" s="222">
        <v>1.80937370373939</v>
      </c>
      <c r="J100" s="222" t="s">
        <v>848</v>
      </c>
      <c r="K100" s="222" t="s">
        <v>2849</v>
      </c>
      <c r="L100" s="222">
        <v>3.76661292578647E-3</v>
      </c>
      <c r="M100" s="231">
        <v>6.8546186092565501E-5</v>
      </c>
      <c r="N100" s="222" t="s">
        <v>2326</v>
      </c>
      <c r="O100" s="222" t="s">
        <v>2313</v>
      </c>
      <c r="P100" s="222" t="s">
        <v>1524</v>
      </c>
      <c r="Q100" s="222" t="s">
        <v>2327</v>
      </c>
    </row>
    <row r="101" spans="1:18">
      <c r="A101" s="222" t="s">
        <v>2855</v>
      </c>
      <c r="B101" s="222" t="s">
        <v>1755</v>
      </c>
      <c r="C101" s="222" t="s">
        <v>2836</v>
      </c>
      <c r="D101" s="222">
        <v>30</v>
      </c>
      <c r="E101" s="222">
        <v>30</v>
      </c>
      <c r="F101" s="222" t="s">
        <v>1721</v>
      </c>
      <c r="G101" s="222">
        <v>-1.9762487365789401</v>
      </c>
      <c r="H101" s="222">
        <v>-1.55766864837521</v>
      </c>
      <c r="I101" s="222">
        <v>-2.7156026708379501</v>
      </c>
      <c r="J101" s="222" t="s">
        <v>848</v>
      </c>
      <c r="K101" s="222" t="s">
        <v>2849</v>
      </c>
      <c r="L101" s="222">
        <v>3.81636464866612E-3</v>
      </c>
      <c r="M101" s="231">
        <v>7.2924165261136002E-5</v>
      </c>
      <c r="N101" s="222" t="s">
        <v>2855</v>
      </c>
      <c r="O101" s="222" t="s">
        <v>1817</v>
      </c>
      <c r="P101" s="222" t="s">
        <v>2062</v>
      </c>
      <c r="Q101" s="222" t="s">
        <v>2856</v>
      </c>
      <c r="R101" s="222" t="s">
        <v>1964</v>
      </c>
    </row>
    <row r="102" spans="1:18">
      <c r="A102" s="222" t="s">
        <v>2714</v>
      </c>
      <c r="B102" s="222" t="s">
        <v>1755</v>
      </c>
      <c r="C102" s="222" t="s">
        <v>2836</v>
      </c>
      <c r="D102" s="222">
        <v>30</v>
      </c>
      <c r="E102" s="222">
        <v>30</v>
      </c>
      <c r="F102" s="222" t="s">
        <v>1721</v>
      </c>
      <c r="G102" s="222">
        <v>-7.5373375241441201</v>
      </c>
      <c r="H102" s="222">
        <v>-4.8535887094615999</v>
      </c>
      <c r="I102" s="222">
        <v>0</v>
      </c>
      <c r="J102" s="222">
        <v>1</v>
      </c>
      <c r="K102" s="222" t="s">
        <v>2849</v>
      </c>
      <c r="L102" s="222">
        <v>4.2413636994975404E-3</v>
      </c>
      <c r="M102" s="231">
        <v>8.4904459862553201E-5</v>
      </c>
      <c r="N102" s="222" t="s">
        <v>2714</v>
      </c>
      <c r="O102" s="222" t="s">
        <v>1710</v>
      </c>
      <c r="P102" s="222" t="s">
        <v>2310</v>
      </c>
      <c r="Q102" s="222" t="s">
        <v>2715</v>
      </c>
    </row>
    <row r="103" spans="1:18">
      <c r="A103" s="222" t="s">
        <v>2607</v>
      </c>
      <c r="B103" s="222" t="s">
        <v>1735</v>
      </c>
      <c r="C103" s="222" t="s">
        <v>2836</v>
      </c>
      <c r="D103" s="222">
        <v>30</v>
      </c>
      <c r="E103" s="222">
        <v>30</v>
      </c>
      <c r="F103" s="222" t="s">
        <v>440</v>
      </c>
      <c r="G103" s="222">
        <v>2.6660831900875199</v>
      </c>
      <c r="H103" s="222">
        <v>2.0309158496714601</v>
      </c>
      <c r="I103" s="222">
        <v>1.2816272400462401</v>
      </c>
      <c r="J103" s="222" t="s">
        <v>848</v>
      </c>
      <c r="K103" s="222" t="s">
        <v>2837</v>
      </c>
      <c r="L103" s="222">
        <v>4.2677461682680603E-3</v>
      </c>
      <c r="M103" s="231">
        <v>2.16946588378996E-4</v>
      </c>
      <c r="N103" s="222" t="s">
        <v>2607</v>
      </c>
      <c r="O103" s="222" t="s">
        <v>2033</v>
      </c>
      <c r="P103" s="222" t="s">
        <v>2594</v>
      </c>
      <c r="Q103" s="222" t="s">
        <v>2608</v>
      </c>
      <c r="R103" s="222" t="s">
        <v>2609</v>
      </c>
    </row>
    <row r="104" spans="1:18">
      <c r="A104" s="222" t="s">
        <v>2901</v>
      </c>
      <c r="B104" s="222" t="s">
        <v>1735</v>
      </c>
      <c r="C104" s="222" t="s">
        <v>2836</v>
      </c>
      <c r="D104" s="222">
        <v>30</v>
      </c>
      <c r="E104" s="222">
        <v>30</v>
      </c>
      <c r="F104" s="222" t="s">
        <v>440</v>
      </c>
      <c r="G104" s="222">
        <v>3.01141548232623</v>
      </c>
      <c r="H104" s="222">
        <v>2.19648697582792</v>
      </c>
      <c r="I104" s="222">
        <v>1.4578087349084701</v>
      </c>
      <c r="J104" s="222" t="s">
        <v>848</v>
      </c>
      <c r="K104" s="222" t="s">
        <v>2837</v>
      </c>
      <c r="L104" s="222">
        <v>4.48888584067649E-3</v>
      </c>
      <c r="M104" s="231">
        <v>2.3175343895470401E-4</v>
      </c>
      <c r="N104" s="222" t="s">
        <v>2901</v>
      </c>
      <c r="O104" s="222" t="s">
        <v>1710</v>
      </c>
      <c r="P104" s="222" t="s">
        <v>2310</v>
      </c>
      <c r="Q104" s="222" t="s">
        <v>2902</v>
      </c>
    </row>
    <row r="105" spans="1:18">
      <c r="A105" s="222" t="s">
        <v>2336</v>
      </c>
      <c r="B105" s="222" t="s">
        <v>1735</v>
      </c>
      <c r="C105" s="222" t="s">
        <v>2836</v>
      </c>
      <c r="D105" s="222">
        <v>30</v>
      </c>
      <c r="E105" s="222">
        <v>30</v>
      </c>
      <c r="F105" s="222" t="s">
        <v>440</v>
      </c>
      <c r="G105" s="222">
        <v>-2.3300548144536801</v>
      </c>
      <c r="H105" s="222">
        <v>-1.8348036110182799</v>
      </c>
      <c r="I105" s="222">
        <v>-2.9555244801648302</v>
      </c>
      <c r="J105" s="222" t="s">
        <v>848</v>
      </c>
      <c r="K105" s="222" t="s">
        <v>2837</v>
      </c>
      <c r="L105" s="222">
        <v>4.5856702721145098E-3</v>
      </c>
      <c r="M105" s="231">
        <v>2.4039256390751199E-4</v>
      </c>
      <c r="N105" s="222" t="s">
        <v>2336</v>
      </c>
      <c r="O105" s="222" t="s">
        <v>1710</v>
      </c>
      <c r="P105" s="222" t="s">
        <v>2334</v>
      </c>
      <c r="Q105" s="222" t="s">
        <v>2337</v>
      </c>
    </row>
    <row r="106" spans="1:18">
      <c r="A106" s="222" t="s">
        <v>2868</v>
      </c>
      <c r="B106" s="222" t="s">
        <v>1731</v>
      </c>
      <c r="C106" s="222" t="s">
        <v>2836</v>
      </c>
      <c r="D106" s="222">
        <v>30</v>
      </c>
      <c r="E106" s="222">
        <v>30</v>
      </c>
      <c r="F106" s="222" t="s">
        <v>1708</v>
      </c>
      <c r="G106" s="222">
        <v>1.4063691387173201</v>
      </c>
      <c r="H106" s="222">
        <v>0.94638587015400999</v>
      </c>
      <c r="I106" s="222">
        <v>0.756255264946054</v>
      </c>
      <c r="J106" s="222" t="s">
        <v>848</v>
      </c>
      <c r="K106" s="222" t="s">
        <v>2857</v>
      </c>
      <c r="L106" s="222">
        <v>4.6020162293933303E-3</v>
      </c>
      <c r="M106" s="231">
        <v>4.39963310649458E-5</v>
      </c>
      <c r="N106" s="222" t="s">
        <v>2868</v>
      </c>
      <c r="O106" s="222" t="s">
        <v>2583</v>
      </c>
      <c r="P106" s="222" t="s">
        <v>1464</v>
      </c>
      <c r="Q106" s="222" t="s">
        <v>2869</v>
      </c>
    </row>
    <row r="107" spans="1:18">
      <c r="A107" s="222" t="s">
        <v>2064</v>
      </c>
      <c r="B107" s="222" t="s">
        <v>1735</v>
      </c>
      <c r="C107" s="222" t="s">
        <v>2836</v>
      </c>
      <c r="D107" s="222">
        <v>30</v>
      </c>
      <c r="E107" s="222">
        <v>30</v>
      </c>
      <c r="F107" s="222" t="s">
        <v>440</v>
      </c>
      <c r="G107" s="222">
        <v>7.3407555591269702</v>
      </c>
      <c r="H107" s="222">
        <v>2.9881588302198501</v>
      </c>
      <c r="I107" s="222">
        <v>1.58192253714123</v>
      </c>
      <c r="J107" s="222" t="s">
        <v>848</v>
      </c>
      <c r="K107" s="222" t="s">
        <v>2837</v>
      </c>
      <c r="L107" s="222">
        <v>4.6525251239568103E-3</v>
      </c>
      <c r="M107" s="231">
        <v>2.47592679352745E-4</v>
      </c>
      <c r="N107" s="222" t="s">
        <v>2064</v>
      </c>
      <c r="O107" s="222" t="s">
        <v>1817</v>
      </c>
      <c r="P107" s="222" t="s">
        <v>2062</v>
      </c>
      <c r="Q107" s="222" t="s">
        <v>2065</v>
      </c>
    </row>
    <row r="108" spans="1:18">
      <c r="A108" s="222" t="s">
        <v>2903</v>
      </c>
      <c r="B108" s="222" t="s">
        <v>1755</v>
      </c>
      <c r="C108" s="222" t="s">
        <v>2836</v>
      </c>
      <c r="D108" s="222">
        <v>30</v>
      </c>
      <c r="E108" s="222">
        <v>30</v>
      </c>
      <c r="F108" s="222" t="s">
        <v>1721</v>
      </c>
      <c r="G108" s="222">
        <v>-2.80032639579392</v>
      </c>
      <c r="H108" s="222">
        <v>-1.97112767753489</v>
      </c>
      <c r="I108" s="222">
        <v>-3.2806457405795899</v>
      </c>
      <c r="J108" s="222" t="s">
        <v>848</v>
      </c>
      <c r="K108" s="222" t="s">
        <v>2849</v>
      </c>
      <c r="L108" s="222">
        <v>5.2551145352982996E-3</v>
      </c>
      <c r="M108" s="231">
        <v>1.09979649055378E-4</v>
      </c>
      <c r="N108" s="222" t="s">
        <v>2903</v>
      </c>
      <c r="O108" s="222" t="s">
        <v>2033</v>
      </c>
      <c r="P108" s="222" t="s">
        <v>2611</v>
      </c>
      <c r="Q108" s="222" t="s">
        <v>2904</v>
      </c>
    </row>
    <row r="109" spans="1:18">
      <c r="A109" s="222" t="s">
        <v>1924</v>
      </c>
      <c r="B109" s="222" t="s">
        <v>1755</v>
      </c>
      <c r="C109" s="222" t="s">
        <v>2836</v>
      </c>
      <c r="D109" s="222">
        <v>30</v>
      </c>
      <c r="E109" s="222">
        <v>30</v>
      </c>
      <c r="F109" s="222" t="s">
        <v>1721</v>
      </c>
      <c r="G109" s="222">
        <v>-8.0412819065632792</v>
      </c>
      <c r="H109" s="222">
        <v>-4.7396819910038603</v>
      </c>
      <c r="I109" s="222">
        <v>0</v>
      </c>
      <c r="J109" s="222">
        <v>1</v>
      </c>
      <c r="K109" s="222" t="s">
        <v>2849</v>
      </c>
      <c r="L109" s="222">
        <v>5.5100995059772003E-3</v>
      </c>
      <c r="M109" s="231">
        <v>1.2534348284752499E-4</v>
      </c>
      <c r="N109" s="222" t="s">
        <v>1924</v>
      </c>
      <c r="O109" s="222" t="s">
        <v>1817</v>
      </c>
      <c r="P109" s="222" t="s">
        <v>1597</v>
      </c>
      <c r="Q109" s="222" t="s">
        <v>1925</v>
      </c>
      <c r="R109" s="222" t="s">
        <v>1920</v>
      </c>
    </row>
    <row r="110" spans="1:18">
      <c r="A110" s="222" t="s">
        <v>2324</v>
      </c>
      <c r="B110" s="222" t="s">
        <v>1755</v>
      </c>
      <c r="C110" s="222" t="s">
        <v>2836</v>
      </c>
      <c r="D110" s="222">
        <v>30</v>
      </c>
      <c r="E110" s="222">
        <v>30</v>
      </c>
      <c r="F110" s="222" t="s">
        <v>1721</v>
      </c>
      <c r="G110" s="222">
        <v>-7.86747131697516</v>
      </c>
      <c r="H110" s="222">
        <v>-4.7290539265698497</v>
      </c>
      <c r="I110" s="222">
        <v>0</v>
      </c>
      <c r="J110" s="222">
        <v>1</v>
      </c>
      <c r="K110" s="222" t="s">
        <v>2849</v>
      </c>
      <c r="L110" s="222">
        <v>5.5100995059772003E-3</v>
      </c>
      <c r="M110" s="231">
        <v>1.2077937860358399E-4</v>
      </c>
      <c r="N110" s="222" t="s">
        <v>2324</v>
      </c>
      <c r="O110" s="222" t="s">
        <v>2313</v>
      </c>
      <c r="P110" s="222" t="s">
        <v>1524</v>
      </c>
      <c r="Q110" s="222" t="s">
        <v>2325</v>
      </c>
    </row>
    <row r="111" spans="1:18">
      <c r="A111" s="222" t="s">
        <v>2905</v>
      </c>
      <c r="B111" s="222" t="s">
        <v>1735</v>
      </c>
      <c r="C111" s="222" t="s">
        <v>2836</v>
      </c>
      <c r="D111" s="222">
        <v>30</v>
      </c>
      <c r="E111" s="222">
        <v>30</v>
      </c>
      <c r="F111" s="222" t="s">
        <v>440</v>
      </c>
      <c r="G111" s="222">
        <v>-1.9642262542398199</v>
      </c>
      <c r="H111" s="222">
        <v>-1.59312255540852</v>
      </c>
      <c r="I111" s="222">
        <v>-2.43113894598548</v>
      </c>
      <c r="J111" s="222" t="s">
        <v>848</v>
      </c>
      <c r="K111" s="222" t="s">
        <v>2837</v>
      </c>
      <c r="L111" s="222">
        <v>5.5797945674690604E-3</v>
      </c>
      <c r="M111" s="231">
        <v>3.0137095360436498E-4</v>
      </c>
      <c r="N111" s="222" t="s">
        <v>2905</v>
      </c>
      <c r="O111" s="222" t="s">
        <v>1710</v>
      </c>
      <c r="P111" s="222" t="s">
        <v>2310</v>
      </c>
      <c r="Q111" s="222" t="s">
        <v>2906</v>
      </c>
      <c r="R111" s="222" t="s">
        <v>2907</v>
      </c>
    </row>
    <row r="112" spans="1:18">
      <c r="A112" s="222" t="s">
        <v>1580</v>
      </c>
      <c r="B112" s="222" t="s">
        <v>1735</v>
      </c>
      <c r="C112" s="222" t="s">
        <v>2836</v>
      </c>
      <c r="D112" s="222">
        <v>30</v>
      </c>
      <c r="E112" s="222">
        <v>30</v>
      </c>
      <c r="F112" s="222" t="s">
        <v>440</v>
      </c>
      <c r="G112" s="222">
        <v>-1.21225323880249</v>
      </c>
      <c r="H112" s="222">
        <v>-1.03126708154035</v>
      </c>
      <c r="I112" s="222">
        <v>-1.4483003069778699</v>
      </c>
      <c r="J112" s="222" t="s">
        <v>848</v>
      </c>
      <c r="K112" s="222" t="s">
        <v>2837</v>
      </c>
      <c r="L112" s="222">
        <v>5.7291884680417899E-3</v>
      </c>
      <c r="M112" s="231">
        <v>3.1854105858850301E-4</v>
      </c>
      <c r="N112" s="222" t="s">
        <v>1580</v>
      </c>
      <c r="O112" s="222" t="s">
        <v>1817</v>
      </c>
      <c r="P112" s="222" t="s">
        <v>1576</v>
      </c>
      <c r="Q112" s="222" t="s">
        <v>2197</v>
      </c>
    </row>
    <row r="113" spans="1:18">
      <c r="A113" s="222" t="s">
        <v>2055</v>
      </c>
      <c r="B113" s="222" t="s">
        <v>1735</v>
      </c>
      <c r="C113" s="222" t="s">
        <v>2836</v>
      </c>
      <c r="D113" s="222">
        <v>30</v>
      </c>
      <c r="E113" s="222">
        <v>30</v>
      </c>
      <c r="F113" s="222" t="s">
        <v>440</v>
      </c>
      <c r="G113" s="222">
        <v>-1.6751664611097301</v>
      </c>
      <c r="H113" s="222">
        <v>-1.39259404602071</v>
      </c>
      <c r="I113" s="222">
        <v>-2.07999464377985</v>
      </c>
      <c r="J113" s="222" t="s">
        <v>848</v>
      </c>
      <c r="K113" s="222" t="s">
        <v>2837</v>
      </c>
      <c r="L113" s="222">
        <v>5.7291884680417899E-3</v>
      </c>
      <c r="M113" s="231">
        <v>3.1554833530425303E-4</v>
      </c>
      <c r="N113" s="222" t="s">
        <v>2055</v>
      </c>
      <c r="O113" s="222" t="s">
        <v>2056</v>
      </c>
      <c r="P113" s="222" t="s">
        <v>2057</v>
      </c>
      <c r="Q113" s="222" t="s">
        <v>2058</v>
      </c>
      <c r="R113" s="222" t="s">
        <v>2059</v>
      </c>
    </row>
    <row r="114" spans="1:18">
      <c r="A114" s="222" t="s">
        <v>1986</v>
      </c>
      <c r="B114" s="222" t="s">
        <v>1731</v>
      </c>
      <c r="C114" s="222" t="s">
        <v>2836</v>
      </c>
      <c r="D114" s="222">
        <v>30</v>
      </c>
      <c r="E114" s="222">
        <v>30</v>
      </c>
      <c r="F114" s="222" t="s">
        <v>1708</v>
      </c>
      <c r="G114" s="222">
        <v>1.4498140022389101</v>
      </c>
      <c r="H114" s="222">
        <v>0.93323866311862402</v>
      </c>
      <c r="I114" s="222">
        <v>0.33360524649569301</v>
      </c>
      <c r="J114" s="222" t="s">
        <v>848</v>
      </c>
      <c r="K114" s="222" t="s">
        <v>2857</v>
      </c>
      <c r="L114" s="222">
        <v>6.6836475550134198E-3</v>
      </c>
      <c r="M114" s="231">
        <v>8.2316111171460603E-5</v>
      </c>
      <c r="N114" s="222" t="s">
        <v>1986</v>
      </c>
      <c r="O114" s="222" t="s">
        <v>1987</v>
      </c>
      <c r="P114" s="222" t="s">
        <v>1987</v>
      </c>
      <c r="Q114" s="222" t="s">
        <v>1988</v>
      </c>
    </row>
    <row r="115" spans="1:18">
      <c r="A115" s="222" t="s">
        <v>2183</v>
      </c>
      <c r="B115" s="222" t="s">
        <v>1731</v>
      </c>
      <c r="C115" s="222" t="s">
        <v>2836</v>
      </c>
      <c r="D115" s="222">
        <v>30</v>
      </c>
      <c r="E115" s="222">
        <v>30</v>
      </c>
      <c r="F115" s="222" t="s">
        <v>1708</v>
      </c>
      <c r="G115" s="222">
        <v>-1.73070341764561</v>
      </c>
      <c r="H115" s="222">
        <v>-1.0753675032182599</v>
      </c>
      <c r="I115" s="222">
        <v>-3.2232086443033898</v>
      </c>
      <c r="J115" s="222" t="s">
        <v>848</v>
      </c>
      <c r="K115" s="222" t="s">
        <v>2857</v>
      </c>
      <c r="L115" s="222">
        <v>6.6836475550134198E-3</v>
      </c>
      <c r="M115" s="231">
        <v>7.4365035281117394E-5</v>
      </c>
      <c r="N115" s="222" t="s">
        <v>2183</v>
      </c>
      <c r="O115" s="222" t="s">
        <v>1710</v>
      </c>
      <c r="P115" s="222" t="s">
        <v>2161</v>
      </c>
      <c r="Q115" s="222" t="s">
        <v>2184</v>
      </c>
      <c r="R115" s="222" t="s">
        <v>2185</v>
      </c>
    </row>
    <row r="116" spans="1:18">
      <c r="A116" s="222" t="s">
        <v>2191</v>
      </c>
      <c r="B116" s="222" t="s">
        <v>1731</v>
      </c>
      <c r="C116" s="222" t="s">
        <v>2836</v>
      </c>
      <c r="D116" s="222">
        <v>30</v>
      </c>
      <c r="E116" s="222">
        <v>30</v>
      </c>
      <c r="F116" s="222" t="s">
        <v>1708</v>
      </c>
      <c r="G116" s="222">
        <v>-1.8172831210412601</v>
      </c>
      <c r="H116" s="222">
        <v>-1.10406820032578</v>
      </c>
      <c r="I116" s="222">
        <v>-2.8432424993962</v>
      </c>
      <c r="J116" s="222" t="s">
        <v>848</v>
      </c>
      <c r="K116" s="222" t="s">
        <v>2857</v>
      </c>
      <c r="L116" s="222">
        <v>6.6836475550134198E-3</v>
      </c>
      <c r="M116" s="231">
        <v>8.8369806613856702E-5</v>
      </c>
      <c r="N116" s="222" t="s">
        <v>2191</v>
      </c>
      <c r="O116" s="222" t="s">
        <v>1710</v>
      </c>
      <c r="P116" s="222" t="s">
        <v>2161</v>
      </c>
      <c r="Q116" s="222" t="s">
        <v>2192</v>
      </c>
    </row>
    <row r="117" spans="1:18">
      <c r="A117" s="222" t="s">
        <v>2908</v>
      </c>
      <c r="B117" s="222" t="s">
        <v>1731</v>
      </c>
      <c r="C117" s="222" t="s">
        <v>2836</v>
      </c>
      <c r="D117" s="222">
        <v>30</v>
      </c>
      <c r="E117" s="222">
        <v>30</v>
      </c>
      <c r="F117" s="222" t="s">
        <v>1708</v>
      </c>
      <c r="G117" s="222">
        <v>2.6673337511835302</v>
      </c>
      <c r="H117" s="222">
        <v>1.5319219291711299</v>
      </c>
      <c r="I117" s="222">
        <v>0.88836476307044099</v>
      </c>
      <c r="J117" s="222" t="s">
        <v>848</v>
      </c>
      <c r="K117" s="222" t="s">
        <v>2857</v>
      </c>
      <c r="L117" s="222">
        <v>6.6836475550134198E-3</v>
      </c>
      <c r="M117" s="231">
        <v>8.9456085822359302E-5</v>
      </c>
      <c r="N117" s="222" t="s">
        <v>2908</v>
      </c>
      <c r="O117" s="222" t="s">
        <v>1710</v>
      </c>
      <c r="P117" s="222" t="s">
        <v>1831</v>
      </c>
      <c r="Q117" s="222" t="s">
        <v>2909</v>
      </c>
    </row>
    <row r="118" spans="1:18">
      <c r="A118" s="222" t="s">
        <v>2571</v>
      </c>
      <c r="B118" s="222" t="s">
        <v>1735</v>
      </c>
      <c r="C118" s="222" t="s">
        <v>2836</v>
      </c>
      <c r="D118" s="222">
        <v>30</v>
      </c>
      <c r="E118" s="222">
        <v>30</v>
      </c>
      <c r="F118" s="222" t="s">
        <v>440</v>
      </c>
      <c r="G118" s="222">
        <v>4.8429526246348003</v>
      </c>
      <c r="H118" s="222">
        <v>2.6844923568411199</v>
      </c>
      <c r="I118" s="222">
        <v>1.5849625007211501</v>
      </c>
      <c r="J118" s="222" t="s">
        <v>848</v>
      </c>
      <c r="K118" s="222" t="s">
        <v>2837</v>
      </c>
      <c r="L118" s="222">
        <v>6.6838831568175102E-3</v>
      </c>
      <c r="M118" s="231">
        <v>3.7693066253696798E-4</v>
      </c>
      <c r="N118" s="222" t="s">
        <v>2571</v>
      </c>
      <c r="O118" s="222" t="s">
        <v>1710</v>
      </c>
      <c r="P118" s="222" t="s">
        <v>2565</v>
      </c>
      <c r="Q118" s="222" t="s">
        <v>2572</v>
      </c>
      <c r="R118" s="222" t="s">
        <v>2573</v>
      </c>
    </row>
    <row r="119" spans="1:18">
      <c r="A119" s="222" t="s">
        <v>2910</v>
      </c>
      <c r="B119" s="222" t="s">
        <v>1755</v>
      </c>
      <c r="C119" s="222" t="s">
        <v>2836</v>
      </c>
      <c r="D119" s="222">
        <v>30</v>
      </c>
      <c r="E119" s="222">
        <v>30</v>
      </c>
      <c r="F119" s="222" t="s">
        <v>1721</v>
      </c>
      <c r="G119" s="222">
        <v>-4.24851194181631</v>
      </c>
      <c r="H119" s="222">
        <v>-2.86558789323065</v>
      </c>
      <c r="I119" s="222">
        <v>-5.0712901043552803</v>
      </c>
      <c r="J119" s="222" t="s">
        <v>848</v>
      </c>
      <c r="K119" s="222" t="s">
        <v>2849</v>
      </c>
      <c r="L119" s="222">
        <v>6.9312048224072298E-3</v>
      </c>
      <c r="M119" s="231">
        <v>1.63977548118824E-4</v>
      </c>
      <c r="N119" s="222" t="s">
        <v>2910</v>
      </c>
      <c r="O119" s="222" t="s">
        <v>1817</v>
      </c>
      <c r="P119" s="222" t="s">
        <v>1597</v>
      </c>
      <c r="Q119" s="222" t="s">
        <v>2911</v>
      </c>
      <c r="R119" s="222" t="s">
        <v>1964</v>
      </c>
    </row>
    <row r="120" spans="1:18">
      <c r="A120" s="222" t="s">
        <v>2723</v>
      </c>
      <c r="B120" s="222" t="s">
        <v>1731</v>
      </c>
      <c r="C120" s="222" t="s">
        <v>2836</v>
      </c>
      <c r="D120" s="222">
        <v>30</v>
      </c>
      <c r="E120" s="222">
        <v>30</v>
      </c>
      <c r="F120" s="222" t="s">
        <v>1708</v>
      </c>
      <c r="G120" s="222">
        <v>-2.9552608298445802</v>
      </c>
      <c r="H120" s="222">
        <v>-1.60516301364939</v>
      </c>
      <c r="I120" s="222">
        <v>0</v>
      </c>
      <c r="J120" s="222">
        <v>1</v>
      </c>
      <c r="K120" s="222" t="s">
        <v>2857</v>
      </c>
      <c r="L120" s="222">
        <v>7.1521822478637998E-3</v>
      </c>
      <c r="M120" s="231">
        <v>1.02564754988486E-4</v>
      </c>
      <c r="N120" s="222" t="s">
        <v>2723</v>
      </c>
      <c r="O120" s="222" t="s">
        <v>1710</v>
      </c>
      <c r="P120" s="222" t="s">
        <v>2310</v>
      </c>
      <c r="Q120" s="222" t="s">
        <v>2724</v>
      </c>
    </row>
    <row r="121" spans="1:18">
      <c r="A121" s="222" t="s">
        <v>2912</v>
      </c>
      <c r="B121" s="222" t="s">
        <v>1755</v>
      </c>
      <c r="C121" s="222" t="s">
        <v>2836</v>
      </c>
      <c r="D121" s="222">
        <v>30</v>
      </c>
      <c r="E121" s="222">
        <v>30</v>
      </c>
      <c r="F121" s="222" t="s">
        <v>1721</v>
      </c>
      <c r="G121" s="222">
        <v>-7.9282654851309804</v>
      </c>
      <c r="H121" s="222">
        <v>-4.4540814568016298</v>
      </c>
      <c r="I121" s="222">
        <v>0</v>
      </c>
      <c r="J121" s="222">
        <v>1</v>
      </c>
      <c r="K121" s="222" t="s">
        <v>2849</v>
      </c>
      <c r="L121" s="222">
        <v>7.48517963684814E-3</v>
      </c>
      <c r="M121" s="231">
        <v>1.8389431318917101E-4</v>
      </c>
      <c r="N121" s="222" t="s">
        <v>2912</v>
      </c>
      <c r="O121" s="222" t="s">
        <v>1817</v>
      </c>
      <c r="P121" s="222" t="s">
        <v>2062</v>
      </c>
      <c r="Q121" s="222" t="s">
        <v>2913</v>
      </c>
    </row>
    <row r="122" spans="1:18">
      <c r="A122" s="222" t="s">
        <v>2914</v>
      </c>
      <c r="B122" s="222" t="s">
        <v>1755</v>
      </c>
      <c r="C122" s="222" t="s">
        <v>2836</v>
      </c>
      <c r="D122" s="222">
        <v>30</v>
      </c>
      <c r="E122" s="222">
        <v>30</v>
      </c>
      <c r="F122" s="222" t="s">
        <v>1721</v>
      </c>
      <c r="G122" s="222">
        <v>2.0292296649068402</v>
      </c>
      <c r="H122" s="222">
        <v>1.53692001969601</v>
      </c>
      <c r="I122" s="222">
        <v>1.55554696577058</v>
      </c>
      <c r="J122" s="222" t="s">
        <v>848</v>
      </c>
      <c r="K122" s="222" t="s">
        <v>2849</v>
      </c>
      <c r="L122" s="222">
        <v>8.04175108062017E-3</v>
      </c>
      <c r="M122" s="231">
        <v>2.0488537785019501E-4</v>
      </c>
      <c r="N122" s="222" t="s">
        <v>2914</v>
      </c>
      <c r="O122" s="222" t="s">
        <v>2061</v>
      </c>
      <c r="P122" s="222" t="s">
        <v>2536</v>
      </c>
      <c r="Q122" s="222" t="s">
        <v>2915</v>
      </c>
      <c r="R122" s="222" t="s">
        <v>2916</v>
      </c>
    </row>
    <row r="123" spans="1:18">
      <c r="A123" s="222" t="s">
        <v>1727</v>
      </c>
      <c r="B123" s="222" t="s">
        <v>1731</v>
      </c>
      <c r="C123" s="222" t="s">
        <v>2836</v>
      </c>
      <c r="D123" s="222">
        <v>30</v>
      </c>
      <c r="E123" s="222">
        <v>30</v>
      </c>
      <c r="F123" s="222" t="s">
        <v>1708</v>
      </c>
      <c r="G123" s="222">
        <v>-2.4893578787181099</v>
      </c>
      <c r="H123" s="222">
        <v>-1.38597331449219</v>
      </c>
      <c r="I123" s="222">
        <v>-9.1617821135617792</v>
      </c>
      <c r="J123" s="222" t="s">
        <v>848</v>
      </c>
      <c r="K123" s="222" t="s">
        <v>2857</v>
      </c>
      <c r="L123" s="222">
        <v>8.0673995431894303E-3</v>
      </c>
      <c r="M123" s="231">
        <v>1.2340190505834601E-4</v>
      </c>
      <c r="N123" s="222" t="s">
        <v>1727</v>
      </c>
      <c r="O123" s="222" t="s">
        <v>1715</v>
      </c>
      <c r="P123" s="222" t="s">
        <v>1715</v>
      </c>
      <c r="Q123" s="222" t="s">
        <v>1728</v>
      </c>
      <c r="R123" s="222" t="s">
        <v>1729</v>
      </c>
    </row>
    <row r="124" spans="1:18">
      <c r="A124" s="222" t="s">
        <v>2637</v>
      </c>
      <c r="B124" s="222" t="s">
        <v>1755</v>
      </c>
      <c r="C124" s="222" t="s">
        <v>2836</v>
      </c>
      <c r="D124" s="222">
        <v>30</v>
      </c>
      <c r="E124" s="222">
        <v>30</v>
      </c>
      <c r="F124" s="222" t="s">
        <v>1721</v>
      </c>
      <c r="G124" s="222">
        <v>-2.7047292237807499</v>
      </c>
      <c r="H124" s="222">
        <v>-1.8562349313111699</v>
      </c>
      <c r="I124" s="222">
        <v>-3.3363579216244998</v>
      </c>
      <c r="J124" s="222" t="s">
        <v>848</v>
      </c>
      <c r="K124" s="222" t="s">
        <v>2849</v>
      </c>
      <c r="L124" s="222">
        <v>8.2568851432043705E-3</v>
      </c>
      <c r="M124" s="231">
        <v>2.1787958976608401E-4</v>
      </c>
      <c r="N124" s="222" t="s">
        <v>2637</v>
      </c>
      <c r="O124" s="222" t="s">
        <v>2033</v>
      </c>
      <c r="P124" s="222" t="s">
        <v>2611</v>
      </c>
      <c r="Q124" s="222" t="s">
        <v>2638</v>
      </c>
    </row>
    <row r="125" spans="1:18">
      <c r="A125" s="222" t="s">
        <v>2917</v>
      </c>
      <c r="B125" s="222" t="s">
        <v>1735</v>
      </c>
      <c r="C125" s="222" t="s">
        <v>2836</v>
      </c>
      <c r="D125" s="222">
        <v>30</v>
      </c>
      <c r="E125" s="222">
        <v>30</v>
      </c>
      <c r="F125" s="222" t="s">
        <v>440</v>
      </c>
      <c r="G125" s="222">
        <v>-4.29505738054538</v>
      </c>
      <c r="H125" s="222">
        <v>-2.4952658238208398</v>
      </c>
      <c r="I125" s="222">
        <v>-6.2322896402980001</v>
      </c>
      <c r="J125" s="222" t="s">
        <v>848</v>
      </c>
      <c r="K125" s="222" t="s">
        <v>2837</v>
      </c>
      <c r="L125" s="222">
        <v>8.3680122351387793E-3</v>
      </c>
      <c r="M125" s="231">
        <v>4.8370941525272199E-4</v>
      </c>
      <c r="N125" s="222" t="s">
        <v>2917</v>
      </c>
      <c r="O125" s="222" t="s">
        <v>1524</v>
      </c>
      <c r="P125" s="222" t="s">
        <v>1524</v>
      </c>
      <c r="Q125" s="222" t="s">
        <v>2918</v>
      </c>
    </row>
    <row r="126" spans="1:18">
      <c r="A126" s="222" t="s">
        <v>2397</v>
      </c>
      <c r="B126" s="222" t="s">
        <v>1735</v>
      </c>
      <c r="C126" s="222" t="s">
        <v>2836</v>
      </c>
      <c r="D126" s="222">
        <v>30</v>
      </c>
      <c r="E126" s="222">
        <v>30</v>
      </c>
      <c r="F126" s="222" t="s">
        <v>440</v>
      </c>
      <c r="G126" s="222">
        <v>2.0941547393269802</v>
      </c>
      <c r="H126" s="222">
        <v>1.63766262938505</v>
      </c>
      <c r="I126" s="222">
        <v>1.2841599919284901</v>
      </c>
      <c r="J126" s="222" t="s">
        <v>848</v>
      </c>
      <c r="K126" s="222" t="s">
        <v>2837</v>
      </c>
      <c r="L126" s="222">
        <v>8.3680122351387793E-3</v>
      </c>
      <c r="M126" s="231">
        <v>4.8519848543695902E-4</v>
      </c>
      <c r="N126" s="222" t="s">
        <v>2397</v>
      </c>
      <c r="O126" s="222" t="s">
        <v>2394</v>
      </c>
      <c r="P126" s="222" t="s">
        <v>2395</v>
      </c>
      <c r="Q126" s="222" t="s">
        <v>2398</v>
      </c>
    </row>
    <row r="127" spans="1:18">
      <c r="A127" s="222" t="s">
        <v>2919</v>
      </c>
      <c r="B127" s="222" t="s">
        <v>1735</v>
      </c>
      <c r="C127" s="222" t="s">
        <v>2836</v>
      </c>
      <c r="D127" s="222">
        <v>30</v>
      </c>
      <c r="E127" s="222">
        <v>30</v>
      </c>
      <c r="F127" s="222" t="s">
        <v>440</v>
      </c>
      <c r="G127" s="222">
        <v>3.7231754899594902</v>
      </c>
      <c r="H127" s="222">
        <v>2.3383042518422998</v>
      </c>
      <c r="I127" s="222">
        <v>1.44135149467788</v>
      </c>
      <c r="J127" s="222" t="s">
        <v>848</v>
      </c>
      <c r="K127" s="222" t="s">
        <v>2837</v>
      </c>
      <c r="L127" s="222">
        <v>8.4746745491443409E-3</v>
      </c>
      <c r="M127" s="231">
        <v>4.9811431027536196E-4</v>
      </c>
      <c r="N127" s="222" t="s">
        <v>2919</v>
      </c>
      <c r="O127" s="222" t="s">
        <v>2757</v>
      </c>
      <c r="P127" s="222" t="s">
        <v>2758</v>
      </c>
      <c r="Q127" s="222" t="s">
        <v>2920</v>
      </c>
    </row>
    <row r="128" spans="1:18">
      <c r="A128" s="222" t="s">
        <v>1580</v>
      </c>
      <c r="B128" s="222" t="s">
        <v>1731</v>
      </c>
      <c r="C128" s="222" t="s">
        <v>2836</v>
      </c>
      <c r="D128" s="222">
        <v>30</v>
      </c>
      <c r="E128" s="222">
        <v>30</v>
      </c>
      <c r="F128" s="222" t="s">
        <v>1708</v>
      </c>
      <c r="G128" s="222">
        <v>0.89667054548157998</v>
      </c>
      <c r="H128" s="222">
        <v>0.67401417281775</v>
      </c>
      <c r="I128" s="222">
        <v>0.63085075762518505</v>
      </c>
      <c r="J128" s="222" t="s">
        <v>848</v>
      </c>
      <c r="K128" s="222" t="s">
        <v>2857</v>
      </c>
      <c r="L128" s="222">
        <v>8.6329563816277006E-3</v>
      </c>
      <c r="M128" s="231">
        <v>1.4030617446239999E-4</v>
      </c>
      <c r="N128" s="222" t="s">
        <v>1580</v>
      </c>
      <c r="O128" s="222" t="s">
        <v>1817</v>
      </c>
      <c r="P128" s="222" t="s">
        <v>1576</v>
      </c>
      <c r="Q128" s="222" t="s">
        <v>2197</v>
      </c>
    </row>
    <row r="129" spans="1:18">
      <c r="A129" s="222" t="s">
        <v>1583</v>
      </c>
      <c r="B129" s="222" t="s">
        <v>1755</v>
      </c>
      <c r="C129" s="222" t="s">
        <v>2836</v>
      </c>
      <c r="D129" s="222">
        <v>30</v>
      </c>
      <c r="E129" s="222">
        <v>30</v>
      </c>
      <c r="F129" s="222" t="s">
        <v>1721</v>
      </c>
      <c r="G129" s="222">
        <v>-7.3520875048201404</v>
      </c>
      <c r="H129" s="222">
        <v>-4.1555948579926101</v>
      </c>
      <c r="I129" s="222">
        <v>0</v>
      </c>
      <c r="J129" s="222">
        <v>1</v>
      </c>
      <c r="K129" s="222" t="s">
        <v>2849</v>
      </c>
      <c r="L129" s="222">
        <v>8.8772743234654394E-3</v>
      </c>
      <c r="M129" s="231">
        <v>2.42327779530448E-4</v>
      </c>
      <c r="N129" s="222" t="s">
        <v>1583</v>
      </c>
      <c r="O129" s="222" t="s">
        <v>1817</v>
      </c>
      <c r="P129" s="222" t="s">
        <v>1576</v>
      </c>
      <c r="Q129" s="222" t="s">
        <v>1584</v>
      </c>
    </row>
    <row r="130" spans="1:18">
      <c r="A130" s="222" t="s">
        <v>1578</v>
      </c>
      <c r="B130" s="222" t="s">
        <v>1731</v>
      </c>
      <c r="C130" s="222" t="s">
        <v>2836</v>
      </c>
      <c r="D130" s="222">
        <v>30</v>
      </c>
      <c r="E130" s="222">
        <v>30</v>
      </c>
      <c r="F130" s="222" t="s">
        <v>1708</v>
      </c>
      <c r="G130" s="222">
        <v>0.87510557182017701</v>
      </c>
      <c r="H130" s="222">
        <v>0.66069471355712495</v>
      </c>
      <c r="I130" s="222">
        <v>0.63167691854916497</v>
      </c>
      <c r="J130" s="222" t="s">
        <v>848</v>
      </c>
      <c r="K130" s="222" t="s">
        <v>2857</v>
      </c>
      <c r="L130" s="222">
        <v>8.9786160720105104E-3</v>
      </c>
      <c r="M130" s="231">
        <v>1.59666225576345E-4</v>
      </c>
      <c r="N130" s="222" t="s">
        <v>1578</v>
      </c>
      <c r="O130" s="222" t="s">
        <v>1817</v>
      </c>
      <c r="P130" s="222" t="s">
        <v>1576</v>
      </c>
      <c r="Q130" s="222" t="s">
        <v>2196</v>
      </c>
    </row>
    <row r="131" spans="1:18">
      <c r="A131" s="222" t="s">
        <v>1943</v>
      </c>
      <c r="B131" s="222" t="s">
        <v>1731</v>
      </c>
      <c r="C131" s="222" t="s">
        <v>2836</v>
      </c>
      <c r="D131" s="222">
        <v>30</v>
      </c>
      <c r="E131" s="222">
        <v>30</v>
      </c>
      <c r="F131" s="222" t="s">
        <v>1708</v>
      </c>
      <c r="G131" s="222">
        <v>-1.18331988191962</v>
      </c>
      <c r="H131" s="222">
        <v>-0.78820135832461102</v>
      </c>
      <c r="I131" s="222">
        <v>-2.25158292840467</v>
      </c>
      <c r="J131" s="222" t="s">
        <v>848</v>
      </c>
      <c r="K131" s="222" t="s">
        <v>2857</v>
      </c>
      <c r="L131" s="222">
        <v>8.9786160720105104E-3</v>
      </c>
      <c r="M131" s="231">
        <v>1.7057984133614601E-4</v>
      </c>
      <c r="N131" s="222" t="s">
        <v>1943</v>
      </c>
      <c r="O131" s="222" t="s">
        <v>1817</v>
      </c>
      <c r="P131" s="222" t="s">
        <v>1597</v>
      </c>
      <c r="Q131" s="222" t="s">
        <v>1944</v>
      </c>
    </row>
    <row r="132" spans="1:18">
      <c r="A132" s="222" t="s">
        <v>2851</v>
      </c>
      <c r="B132" s="222" t="s">
        <v>1731</v>
      </c>
      <c r="C132" s="222" t="s">
        <v>2836</v>
      </c>
      <c r="D132" s="222">
        <v>30</v>
      </c>
      <c r="E132" s="222">
        <v>30</v>
      </c>
      <c r="F132" s="222" t="s">
        <v>1708</v>
      </c>
      <c r="G132" s="222">
        <v>-1.20120830519526</v>
      </c>
      <c r="H132" s="222">
        <v>-0.79472589393743798</v>
      </c>
      <c r="I132" s="222">
        <v>-2.2678773800621799</v>
      </c>
      <c r="J132" s="222" t="s">
        <v>848</v>
      </c>
      <c r="K132" s="222" t="s">
        <v>2857</v>
      </c>
      <c r="L132" s="222">
        <v>8.9786160720105104E-3</v>
      </c>
      <c r="M132" s="231">
        <v>1.71675259503069E-4</v>
      </c>
      <c r="N132" s="222" t="s">
        <v>2851</v>
      </c>
      <c r="O132" s="222" t="s">
        <v>1817</v>
      </c>
      <c r="P132" s="222" t="s">
        <v>1597</v>
      </c>
      <c r="Q132" s="222" t="s">
        <v>2852</v>
      </c>
      <c r="R132" s="222" t="s">
        <v>1964</v>
      </c>
    </row>
    <row r="133" spans="1:18">
      <c r="A133" s="222" t="s">
        <v>2921</v>
      </c>
      <c r="B133" s="222" t="s">
        <v>1735</v>
      </c>
      <c r="C133" s="222" t="s">
        <v>2836</v>
      </c>
      <c r="D133" s="222">
        <v>30</v>
      </c>
      <c r="E133" s="222">
        <v>30</v>
      </c>
      <c r="F133" s="222" t="s">
        <v>440</v>
      </c>
      <c r="G133" s="222">
        <v>4.1516925712408401</v>
      </c>
      <c r="H133" s="222">
        <v>2.4285217031225601</v>
      </c>
      <c r="I133" s="222">
        <v>1.56658194385467</v>
      </c>
      <c r="J133" s="222" t="s">
        <v>848</v>
      </c>
      <c r="K133" s="222" t="s">
        <v>2837</v>
      </c>
      <c r="L133" s="222">
        <v>9.1390910234224205E-3</v>
      </c>
      <c r="M133" s="231">
        <v>5.4442559710618098E-4</v>
      </c>
      <c r="N133" s="222" t="s">
        <v>2921</v>
      </c>
      <c r="O133" s="222" t="s">
        <v>1710</v>
      </c>
      <c r="P133" s="222" t="s">
        <v>2157</v>
      </c>
      <c r="Q133" s="222" t="s">
        <v>2922</v>
      </c>
      <c r="R133" s="222" t="s">
        <v>2157</v>
      </c>
    </row>
    <row r="134" spans="1:18">
      <c r="A134" s="222" t="s">
        <v>2923</v>
      </c>
      <c r="B134" s="222" t="s">
        <v>1755</v>
      </c>
      <c r="C134" s="222" t="s">
        <v>2836</v>
      </c>
      <c r="D134" s="222">
        <v>30</v>
      </c>
      <c r="E134" s="222">
        <v>30</v>
      </c>
      <c r="F134" s="222" t="s">
        <v>1721</v>
      </c>
      <c r="G134" s="222">
        <v>2.9911203149847001</v>
      </c>
      <c r="H134" s="222">
        <v>1.9668241223735301</v>
      </c>
      <c r="I134" s="222">
        <v>1.7905614465261299</v>
      </c>
      <c r="J134" s="222" t="s">
        <v>848</v>
      </c>
      <c r="K134" s="222" t="s">
        <v>2849</v>
      </c>
      <c r="L134" s="222">
        <v>9.2780250695115793E-3</v>
      </c>
      <c r="M134" s="231">
        <v>3.0120126031988199E-4</v>
      </c>
      <c r="N134" s="222" t="s">
        <v>2923</v>
      </c>
      <c r="O134" s="222" t="s">
        <v>1817</v>
      </c>
      <c r="P134" s="222" t="s">
        <v>1597</v>
      </c>
      <c r="Q134" s="222" t="s">
        <v>2924</v>
      </c>
      <c r="R134" s="222" t="s">
        <v>1940</v>
      </c>
    </row>
    <row r="135" spans="1:18">
      <c r="A135" s="222" t="s">
        <v>2925</v>
      </c>
      <c r="B135" s="222" t="s">
        <v>1755</v>
      </c>
      <c r="C135" s="222" t="s">
        <v>2836</v>
      </c>
      <c r="D135" s="222">
        <v>30</v>
      </c>
      <c r="E135" s="222">
        <v>30</v>
      </c>
      <c r="F135" s="222" t="s">
        <v>1721</v>
      </c>
      <c r="G135" s="222">
        <v>-2.6205796994317798</v>
      </c>
      <c r="H135" s="222">
        <v>-1.78867582767767</v>
      </c>
      <c r="I135" s="222">
        <v>-3.0748565862243402</v>
      </c>
      <c r="J135" s="222" t="s">
        <v>848</v>
      </c>
      <c r="K135" s="222" t="s">
        <v>2849</v>
      </c>
      <c r="L135" s="222">
        <v>9.2780250695115793E-3</v>
      </c>
      <c r="M135" s="231">
        <v>2.8874300237819199E-4</v>
      </c>
      <c r="N135" s="222" t="s">
        <v>2925</v>
      </c>
      <c r="O135" s="222" t="s">
        <v>2033</v>
      </c>
      <c r="P135" s="222" t="s">
        <v>2611</v>
      </c>
      <c r="Q135" s="222" t="s">
        <v>2926</v>
      </c>
    </row>
    <row r="136" spans="1:18">
      <c r="A136" s="222" t="s">
        <v>2490</v>
      </c>
      <c r="B136" s="222" t="s">
        <v>1755</v>
      </c>
      <c r="C136" s="222" t="s">
        <v>2836</v>
      </c>
      <c r="D136" s="222">
        <v>30</v>
      </c>
      <c r="E136" s="222">
        <v>30</v>
      </c>
      <c r="F136" s="222" t="s">
        <v>1721</v>
      </c>
      <c r="G136" s="222">
        <v>2.2581756656483001</v>
      </c>
      <c r="H136" s="222">
        <v>1.6185015587506599</v>
      </c>
      <c r="I136" s="222">
        <v>1.68892957282312</v>
      </c>
      <c r="J136" s="222" t="s">
        <v>848</v>
      </c>
      <c r="K136" s="222" t="s">
        <v>2849</v>
      </c>
      <c r="L136" s="222">
        <v>9.2780250695115793E-3</v>
      </c>
      <c r="M136" s="231">
        <v>3.0683498690443E-4</v>
      </c>
      <c r="N136" s="222" t="s">
        <v>2490</v>
      </c>
      <c r="O136" s="222" t="s">
        <v>2033</v>
      </c>
      <c r="P136" s="222" t="s">
        <v>2480</v>
      </c>
      <c r="Q136" s="222" t="s">
        <v>2491</v>
      </c>
    </row>
    <row r="137" spans="1:18">
      <c r="A137" s="222" t="s">
        <v>2322</v>
      </c>
      <c r="B137" s="222" t="s">
        <v>1755</v>
      </c>
      <c r="C137" s="222" t="s">
        <v>2836</v>
      </c>
      <c r="D137" s="222">
        <v>30</v>
      </c>
      <c r="E137" s="222">
        <v>30</v>
      </c>
      <c r="F137" s="222" t="s">
        <v>1721</v>
      </c>
      <c r="G137" s="222">
        <v>-5.2986383725677904</v>
      </c>
      <c r="H137" s="222">
        <v>-3.2841409671728998</v>
      </c>
      <c r="I137" s="222">
        <v>-6.3059995453620896</v>
      </c>
      <c r="J137" s="222" t="s">
        <v>848</v>
      </c>
      <c r="K137" s="222" t="s">
        <v>2849</v>
      </c>
      <c r="L137" s="222">
        <v>9.2780250695115793E-3</v>
      </c>
      <c r="M137" s="231">
        <v>3.1127354258742203E-4</v>
      </c>
      <c r="N137" s="222" t="s">
        <v>2322</v>
      </c>
      <c r="O137" s="222" t="s">
        <v>2313</v>
      </c>
      <c r="P137" s="222" t="s">
        <v>1524</v>
      </c>
      <c r="Q137" s="222" t="s">
        <v>2323</v>
      </c>
    </row>
    <row r="138" spans="1:18">
      <c r="A138" s="222" t="s">
        <v>2453</v>
      </c>
      <c r="B138" s="222" t="s">
        <v>1755</v>
      </c>
      <c r="C138" s="222" t="s">
        <v>2836</v>
      </c>
      <c r="D138" s="222">
        <v>30</v>
      </c>
      <c r="E138" s="222">
        <v>30</v>
      </c>
      <c r="F138" s="222" t="s">
        <v>1721</v>
      </c>
      <c r="G138" s="222">
        <v>-3.16311592511755</v>
      </c>
      <c r="H138" s="222">
        <v>-2.0528352656165301</v>
      </c>
      <c r="I138" s="222">
        <v>-3.9193889322997002</v>
      </c>
      <c r="J138" s="222" t="s">
        <v>848</v>
      </c>
      <c r="K138" s="222" t="s">
        <v>2849</v>
      </c>
      <c r="L138" s="222">
        <v>9.2780250695115793E-3</v>
      </c>
      <c r="M138" s="231">
        <v>3.1236299142122702E-4</v>
      </c>
      <c r="N138" s="222" t="s">
        <v>2453</v>
      </c>
      <c r="O138" s="222" t="s">
        <v>2394</v>
      </c>
      <c r="P138" s="222" t="s">
        <v>2433</v>
      </c>
      <c r="Q138" s="222" t="s">
        <v>2454</v>
      </c>
    </row>
    <row r="139" spans="1:18">
      <c r="A139" s="222" t="s">
        <v>2221</v>
      </c>
      <c r="B139" s="222" t="s">
        <v>1755</v>
      </c>
      <c r="C139" s="222" t="s">
        <v>2836</v>
      </c>
      <c r="D139" s="222">
        <v>30</v>
      </c>
      <c r="E139" s="222">
        <v>30</v>
      </c>
      <c r="F139" s="222" t="s">
        <v>1721</v>
      </c>
      <c r="G139" s="222">
        <v>-7.50162569086124</v>
      </c>
      <c r="H139" s="222">
        <v>-4.0607547264295301</v>
      </c>
      <c r="I139" s="222">
        <v>0</v>
      </c>
      <c r="J139" s="222">
        <v>1</v>
      </c>
      <c r="K139" s="222" t="s">
        <v>2849</v>
      </c>
      <c r="L139" s="222">
        <v>9.2780250695115793E-3</v>
      </c>
      <c r="M139" s="231">
        <v>2.8851136482374102E-4</v>
      </c>
      <c r="N139" s="222" t="s">
        <v>2221</v>
      </c>
      <c r="O139" s="222" t="s">
        <v>1710</v>
      </c>
      <c r="P139" s="222" t="s">
        <v>2222</v>
      </c>
      <c r="Q139" s="222" t="s">
        <v>2884</v>
      </c>
      <c r="R139" s="222" t="s">
        <v>2238</v>
      </c>
    </row>
    <row r="140" spans="1:18">
      <c r="A140" s="222" t="s">
        <v>2215</v>
      </c>
      <c r="B140" s="222" t="s">
        <v>1755</v>
      </c>
      <c r="C140" s="222" t="s">
        <v>2836</v>
      </c>
      <c r="D140" s="222">
        <v>30</v>
      </c>
      <c r="E140" s="222">
        <v>30</v>
      </c>
      <c r="F140" s="222" t="s">
        <v>1721</v>
      </c>
      <c r="G140" s="222">
        <v>4.8179982292261903</v>
      </c>
      <c r="H140" s="222">
        <v>3.0412176972191598</v>
      </c>
      <c r="I140" s="222">
        <v>2.4601696428995901</v>
      </c>
      <c r="J140" s="222" t="s">
        <v>848</v>
      </c>
      <c r="K140" s="222" t="s">
        <v>2849</v>
      </c>
      <c r="L140" s="222">
        <v>9.2780250695115793E-3</v>
      </c>
      <c r="M140" s="231">
        <v>3.0023204921565298E-4</v>
      </c>
      <c r="N140" s="222" t="s">
        <v>2215</v>
      </c>
      <c r="O140" s="222" t="s">
        <v>1710</v>
      </c>
      <c r="P140" s="222" t="s">
        <v>2200</v>
      </c>
      <c r="Q140" s="222" t="s">
        <v>2216</v>
      </c>
    </row>
    <row r="141" spans="1:18">
      <c r="A141" s="222" t="s">
        <v>2585</v>
      </c>
      <c r="B141" s="222" t="s">
        <v>1731</v>
      </c>
      <c r="C141" s="222" t="s">
        <v>2836</v>
      </c>
      <c r="D141" s="222">
        <v>30</v>
      </c>
      <c r="E141" s="222">
        <v>30</v>
      </c>
      <c r="F141" s="222" t="s">
        <v>1708</v>
      </c>
      <c r="G141" s="222">
        <v>2.1775001614096698</v>
      </c>
      <c r="H141" s="222">
        <v>1.1778534199420501</v>
      </c>
      <c r="I141" s="222">
        <v>0.90687555366504902</v>
      </c>
      <c r="J141" s="222" t="s">
        <v>848</v>
      </c>
      <c r="K141" s="222" t="s">
        <v>2857</v>
      </c>
      <c r="L141" s="222">
        <v>9.2792807887991605E-3</v>
      </c>
      <c r="M141" s="231">
        <v>1.8629531220342401E-4</v>
      </c>
      <c r="N141" s="222" t="s">
        <v>2585</v>
      </c>
      <c r="O141" s="222" t="s">
        <v>2583</v>
      </c>
      <c r="P141" s="222" t="s">
        <v>1464</v>
      </c>
      <c r="Q141" s="222" t="s">
        <v>2586</v>
      </c>
    </row>
    <row r="142" spans="1:18">
      <c r="A142" s="222" t="s">
        <v>2927</v>
      </c>
      <c r="B142" s="222" t="s">
        <v>1755</v>
      </c>
      <c r="C142" s="222" t="s">
        <v>2836</v>
      </c>
      <c r="D142" s="222">
        <v>30</v>
      </c>
      <c r="E142" s="222">
        <v>30</v>
      </c>
      <c r="F142" s="222" t="s">
        <v>1721</v>
      </c>
      <c r="G142" s="222">
        <v>-2.44529730573394</v>
      </c>
      <c r="H142" s="222">
        <v>-1.6972146627862501</v>
      </c>
      <c r="I142" s="222">
        <v>-2.8628155340736701</v>
      </c>
      <c r="J142" s="222" t="s">
        <v>848</v>
      </c>
      <c r="K142" s="222" t="s">
        <v>2849</v>
      </c>
      <c r="L142" s="222">
        <v>9.3207061361484794E-3</v>
      </c>
      <c r="M142" s="231">
        <v>3.2719345902468202E-4</v>
      </c>
      <c r="N142" s="222" t="s">
        <v>2927</v>
      </c>
      <c r="O142" s="222" t="s">
        <v>1715</v>
      </c>
      <c r="P142" s="222" t="s">
        <v>1715</v>
      </c>
      <c r="Q142" s="222" t="s">
        <v>2928</v>
      </c>
    </row>
    <row r="143" spans="1:18">
      <c r="A143" s="222" t="s">
        <v>2929</v>
      </c>
      <c r="B143" s="222" t="s">
        <v>1755</v>
      </c>
      <c r="C143" s="222" t="s">
        <v>2836</v>
      </c>
      <c r="D143" s="222">
        <v>30</v>
      </c>
      <c r="E143" s="222">
        <v>30</v>
      </c>
      <c r="F143" s="222" t="s">
        <v>1721</v>
      </c>
      <c r="G143" s="222">
        <v>-2.5786734112988801</v>
      </c>
      <c r="H143" s="222">
        <v>-1.74961564797258</v>
      </c>
      <c r="I143" s="222">
        <v>-3.1707937681462002</v>
      </c>
      <c r="J143" s="222" t="s">
        <v>848</v>
      </c>
      <c r="K143" s="222" t="s">
        <v>2849</v>
      </c>
      <c r="L143" s="222">
        <v>9.3207061361484794E-3</v>
      </c>
      <c r="M143" s="231">
        <v>3.5620533004389099E-4</v>
      </c>
      <c r="N143" s="222" t="s">
        <v>2929</v>
      </c>
      <c r="O143" s="222" t="s">
        <v>1817</v>
      </c>
      <c r="P143" s="222" t="s">
        <v>1597</v>
      </c>
      <c r="Q143" s="222" t="s">
        <v>2930</v>
      </c>
      <c r="R143" s="222" t="s">
        <v>1964</v>
      </c>
    </row>
    <row r="144" spans="1:18">
      <c r="A144" s="222" t="s">
        <v>2931</v>
      </c>
      <c r="B144" s="222" t="s">
        <v>1755</v>
      </c>
      <c r="C144" s="222" t="s">
        <v>2836</v>
      </c>
      <c r="D144" s="222">
        <v>30</v>
      </c>
      <c r="E144" s="222">
        <v>30</v>
      </c>
      <c r="F144" s="222" t="s">
        <v>1721</v>
      </c>
      <c r="G144" s="222">
        <v>-2.37559148115287</v>
      </c>
      <c r="H144" s="222">
        <v>-1.6646521846309299</v>
      </c>
      <c r="I144" s="222">
        <v>-2.8512132134790198</v>
      </c>
      <c r="J144" s="222" t="s">
        <v>848</v>
      </c>
      <c r="K144" s="222" t="s">
        <v>2849</v>
      </c>
      <c r="L144" s="222">
        <v>9.3207061361484794E-3</v>
      </c>
      <c r="M144" s="231">
        <v>3.3327290265294801E-4</v>
      </c>
      <c r="N144" s="222" t="s">
        <v>2931</v>
      </c>
      <c r="O144" s="222" t="s">
        <v>2033</v>
      </c>
      <c r="P144" s="222" t="s">
        <v>2611</v>
      </c>
      <c r="Q144" s="222" t="s">
        <v>2932</v>
      </c>
    </row>
    <row r="145" spans="1:18">
      <c r="A145" s="222" t="s">
        <v>2933</v>
      </c>
      <c r="B145" s="222" t="s">
        <v>1755</v>
      </c>
      <c r="C145" s="222" t="s">
        <v>2836</v>
      </c>
      <c r="D145" s="222">
        <v>30</v>
      </c>
      <c r="E145" s="222">
        <v>30</v>
      </c>
      <c r="F145" s="222" t="s">
        <v>1721</v>
      </c>
      <c r="G145" s="222">
        <v>-2.1167869109422401</v>
      </c>
      <c r="H145" s="222">
        <v>-1.5456491585465699</v>
      </c>
      <c r="I145" s="222">
        <v>-2.5249124379357601</v>
      </c>
      <c r="J145" s="222" t="s">
        <v>848</v>
      </c>
      <c r="K145" s="222" t="s">
        <v>2849</v>
      </c>
      <c r="L145" s="222">
        <v>9.3207061361484794E-3</v>
      </c>
      <c r="M145" s="231">
        <v>3.5546193263041198E-4</v>
      </c>
      <c r="N145" s="222" t="s">
        <v>2933</v>
      </c>
      <c r="O145" s="222" t="s">
        <v>2033</v>
      </c>
      <c r="P145" s="222" t="s">
        <v>2611</v>
      </c>
      <c r="Q145" s="222" t="s">
        <v>2934</v>
      </c>
    </row>
    <row r="146" spans="1:18">
      <c r="A146" s="222" t="s">
        <v>2687</v>
      </c>
      <c r="B146" s="222" t="s">
        <v>1755</v>
      </c>
      <c r="C146" s="222" t="s">
        <v>2836</v>
      </c>
      <c r="D146" s="222">
        <v>30</v>
      </c>
      <c r="E146" s="222">
        <v>30</v>
      </c>
      <c r="F146" s="222" t="s">
        <v>1721</v>
      </c>
      <c r="G146" s="222">
        <v>-7.1907212224309598</v>
      </c>
      <c r="H146" s="222">
        <v>-3.8563920815942598</v>
      </c>
      <c r="I146" s="222">
        <v>0</v>
      </c>
      <c r="J146" s="222">
        <v>1</v>
      </c>
      <c r="K146" s="222" t="s">
        <v>2849</v>
      </c>
      <c r="L146" s="222">
        <v>9.3207061361484794E-3</v>
      </c>
      <c r="M146" s="231">
        <v>3.5592556583216302E-4</v>
      </c>
      <c r="N146" s="222" t="s">
        <v>2687</v>
      </c>
      <c r="O146" s="222" t="s">
        <v>1710</v>
      </c>
      <c r="P146" s="222" t="s">
        <v>2310</v>
      </c>
      <c r="Q146" s="222" t="s">
        <v>2688</v>
      </c>
    </row>
    <row r="147" spans="1:18">
      <c r="A147" s="222" t="s">
        <v>2935</v>
      </c>
      <c r="B147" s="222" t="s">
        <v>1735</v>
      </c>
      <c r="C147" s="222" t="s">
        <v>2836</v>
      </c>
      <c r="D147" s="222">
        <v>30</v>
      </c>
      <c r="E147" s="222">
        <v>30</v>
      </c>
      <c r="F147" s="222" t="s">
        <v>440</v>
      </c>
      <c r="G147" s="222">
        <v>-2.4751432472166299</v>
      </c>
      <c r="H147" s="222">
        <v>-1.8255504028940699</v>
      </c>
      <c r="I147" s="222">
        <v>-3.1620466328385199</v>
      </c>
      <c r="J147" s="222" t="s">
        <v>848</v>
      </c>
      <c r="K147" s="222" t="s">
        <v>2837</v>
      </c>
      <c r="L147" s="222">
        <v>9.59710792942285E-3</v>
      </c>
      <c r="M147" s="231">
        <v>5.79332964762618E-4</v>
      </c>
      <c r="N147" s="222" t="s">
        <v>2935</v>
      </c>
      <c r="O147" s="222" t="s">
        <v>1710</v>
      </c>
      <c r="P147" s="222" t="s">
        <v>2310</v>
      </c>
      <c r="Q147" s="222" t="s">
        <v>2936</v>
      </c>
    </row>
    <row r="148" spans="1:18">
      <c r="A148" s="222" t="s">
        <v>2876</v>
      </c>
      <c r="B148" s="222" t="s">
        <v>1731</v>
      </c>
      <c r="C148" s="222" t="s">
        <v>2836</v>
      </c>
      <c r="D148" s="222">
        <v>30</v>
      </c>
      <c r="E148" s="222">
        <v>30</v>
      </c>
      <c r="F148" s="222" t="s">
        <v>1708</v>
      </c>
      <c r="G148" s="222">
        <v>-3.0317013245971598</v>
      </c>
      <c r="H148" s="222">
        <v>-1.4185422567588699</v>
      </c>
      <c r="I148" s="222">
        <v>0</v>
      </c>
      <c r="J148" s="222">
        <v>1</v>
      </c>
      <c r="K148" s="222" t="s">
        <v>2857</v>
      </c>
      <c r="L148" s="222">
        <v>9.6331234160276901E-3</v>
      </c>
      <c r="M148" s="231">
        <v>2.08499202452938E-4</v>
      </c>
      <c r="N148" s="222" t="s">
        <v>2876</v>
      </c>
      <c r="O148" s="222" t="s">
        <v>1710</v>
      </c>
      <c r="P148" s="222" t="s">
        <v>2222</v>
      </c>
      <c r="Q148" s="222" t="s">
        <v>2877</v>
      </c>
    </row>
    <row r="149" spans="1:18">
      <c r="A149" s="222" t="s">
        <v>2520</v>
      </c>
      <c r="B149" s="222" t="s">
        <v>1731</v>
      </c>
      <c r="C149" s="222" t="s">
        <v>2836</v>
      </c>
      <c r="D149" s="222">
        <v>30</v>
      </c>
      <c r="E149" s="222">
        <v>30</v>
      </c>
      <c r="F149" s="222" t="s">
        <v>1708</v>
      </c>
      <c r="G149" s="222">
        <v>-1.25239777915116</v>
      </c>
      <c r="H149" s="222">
        <v>-0.80367556730449097</v>
      </c>
      <c r="I149" s="222">
        <v>-2.5433213085204098</v>
      </c>
      <c r="J149" s="222" t="s">
        <v>848</v>
      </c>
      <c r="K149" s="222" t="s">
        <v>2857</v>
      </c>
      <c r="L149" s="222">
        <v>9.6331234160276901E-3</v>
      </c>
      <c r="M149" s="231">
        <v>2.11818201308448E-4</v>
      </c>
      <c r="N149" s="222" t="s">
        <v>2520</v>
      </c>
      <c r="O149" s="222" t="s">
        <v>1710</v>
      </c>
      <c r="P149" s="222" t="s">
        <v>2514</v>
      </c>
      <c r="Q149" s="222" t="s">
        <v>2521</v>
      </c>
      <c r="R149" s="222" t="s">
        <v>2522</v>
      </c>
    </row>
    <row r="150" spans="1:18">
      <c r="A150" s="222" t="s">
        <v>2937</v>
      </c>
      <c r="B150" s="222" t="s">
        <v>1735</v>
      </c>
      <c r="C150" s="222" t="s">
        <v>2836</v>
      </c>
      <c r="D150" s="222">
        <v>30</v>
      </c>
      <c r="E150" s="222">
        <v>30</v>
      </c>
      <c r="F150" s="222" t="s">
        <v>440</v>
      </c>
      <c r="G150" s="222">
        <v>2.48774307010197</v>
      </c>
      <c r="H150" s="222">
        <v>1.8289021412781401</v>
      </c>
      <c r="I150" s="222">
        <v>1.38837066685522</v>
      </c>
      <c r="J150" s="222" t="s">
        <v>848</v>
      </c>
      <c r="K150" s="222" t="s">
        <v>2837</v>
      </c>
      <c r="L150" s="222">
        <v>9.6974072613858295E-3</v>
      </c>
      <c r="M150" s="231">
        <v>5.9309003902042003E-4</v>
      </c>
      <c r="N150" s="222" t="s">
        <v>2937</v>
      </c>
      <c r="O150" s="222" t="s">
        <v>1710</v>
      </c>
      <c r="P150" s="222" t="s">
        <v>2310</v>
      </c>
      <c r="Q150" s="222" t="s">
        <v>2938</v>
      </c>
    </row>
    <row r="151" spans="1:18">
      <c r="A151" s="222" t="s">
        <v>2908</v>
      </c>
      <c r="B151" s="222" t="s">
        <v>1755</v>
      </c>
      <c r="C151" s="222" t="s">
        <v>2836</v>
      </c>
      <c r="D151" s="222">
        <v>30</v>
      </c>
      <c r="E151" s="222">
        <v>30</v>
      </c>
      <c r="F151" s="222" t="s">
        <v>1721</v>
      </c>
      <c r="G151" s="222">
        <v>-7.2108320829302999</v>
      </c>
      <c r="H151" s="222">
        <v>-3.79171735256618</v>
      </c>
      <c r="I151" s="222">
        <v>0</v>
      </c>
      <c r="J151" s="222">
        <v>1</v>
      </c>
      <c r="K151" s="222" t="s">
        <v>2849</v>
      </c>
      <c r="L151" s="222">
        <v>1.00096730848931E-2</v>
      </c>
      <c r="M151" s="231">
        <v>3.9164325991847601E-4</v>
      </c>
      <c r="N151" s="222" t="s">
        <v>2908</v>
      </c>
      <c r="O151" s="222" t="s">
        <v>1710</v>
      </c>
      <c r="P151" s="222" t="s">
        <v>1831</v>
      </c>
      <c r="Q151" s="222" t="s">
        <v>2909</v>
      </c>
    </row>
    <row r="152" spans="1:18">
      <c r="A152" s="222" t="s">
        <v>2939</v>
      </c>
      <c r="B152" s="222" t="s">
        <v>1731</v>
      </c>
      <c r="C152" s="222" t="s">
        <v>2836</v>
      </c>
      <c r="D152" s="222">
        <v>30</v>
      </c>
      <c r="E152" s="222">
        <v>30</v>
      </c>
      <c r="F152" s="222" t="s">
        <v>1708</v>
      </c>
      <c r="G152" s="222">
        <v>1.0830716235689299</v>
      </c>
      <c r="H152" s="222">
        <v>0.73697740286174995</v>
      </c>
      <c r="I152" s="222">
        <v>0.69375136218579903</v>
      </c>
      <c r="J152" s="222" t="s">
        <v>848</v>
      </c>
      <c r="K152" s="222" t="s">
        <v>2857</v>
      </c>
      <c r="L152" s="222">
        <v>1.02848404653125E-2</v>
      </c>
      <c r="M152" s="231">
        <v>2.3598104318116699E-4</v>
      </c>
      <c r="N152" s="222" t="s">
        <v>2939</v>
      </c>
      <c r="O152" s="222" t="s">
        <v>2056</v>
      </c>
      <c r="P152" s="222" t="s">
        <v>2034</v>
      </c>
      <c r="Q152" s="222" t="s">
        <v>2940</v>
      </c>
    </row>
    <row r="153" spans="1:18">
      <c r="A153" s="222" t="s">
        <v>2309</v>
      </c>
      <c r="B153" s="222" t="s">
        <v>1735</v>
      </c>
      <c r="C153" s="222" t="s">
        <v>2836</v>
      </c>
      <c r="D153" s="222">
        <v>30</v>
      </c>
      <c r="E153" s="222">
        <v>30</v>
      </c>
      <c r="F153" s="222" t="s">
        <v>440</v>
      </c>
      <c r="G153" s="222">
        <v>-1.9452675464673601</v>
      </c>
      <c r="H153" s="222">
        <v>-1.5230450829864799</v>
      </c>
      <c r="I153" s="222">
        <v>-2.4323750794015</v>
      </c>
      <c r="J153" s="222" t="s">
        <v>848</v>
      </c>
      <c r="K153" s="222" t="s">
        <v>2837</v>
      </c>
      <c r="L153" s="222">
        <v>1.05883404771483E-2</v>
      </c>
      <c r="M153" s="231">
        <v>6.5598932265097099E-4</v>
      </c>
      <c r="N153" s="222" t="s">
        <v>2309</v>
      </c>
      <c r="O153" s="222" t="s">
        <v>1710</v>
      </c>
      <c r="P153" s="222" t="s">
        <v>2310</v>
      </c>
      <c r="Q153" s="222" t="s">
        <v>2311</v>
      </c>
    </row>
    <row r="154" spans="1:18">
      <c r="A154" s="222" t="s">
        <v>2941</v>
      </c>
      <c r="B154" s="222" t="s">
        <v>1735</v>
      </c>
      <c r="C154" s="222" t="s">
        <v>2836</v>
      </c>
      <c r="D154" s="222">
        <v>30</v>
      </c>
      <c r="E154" s="222">
        <v>30</v>
      </c>
      <c r="F154" s="222" t="s">
        <v>440</v>
      </c>
      <c r="G154" s="222">
        <v>4.1461435873917099</v>
      </c>
      <c r="H154" s="222">
        <v>2.3640689939002999</v>
      </c>
      <c r="I154" s="222">
        <v>1.5112934034621499</v>
      </c>
      <c r="J154" s="222" t="s">
        <v>848</v>
      </c>
      <c r="K154" s="222" t="s">
        <v>2837</v>
      </c>
      <c r="L154" s="222">
        <v>1.07638854753797E-2</v>
      </c>
      <c r="M154" s="231">
        <v>6.7541457708896195E-4</v>
      </c>
      <c r="N154" s="222" t="s">
        <v>2941</v>
      </c>
      <c r="O154" s="222" t="s">
        <v>2033</v>
      </c>
      <c r="P154" s="222" t="s">
        <v>2611</v>
      </c>
      <c r="Q154" s="222" t="s">
        <v>2942</v>
      </c>
    </row>
    <row r="155" spans="1:18">
      <c r="A155" s="222" t="s">
        <v>2116</v>
      </c>
      <c r="B155" s="222" t="s">
        <v>1735</v>
      </c>
      <c r="C155" s="222" t="s">
        <v>2836</v>
      </c>
      <c r="D155" s="222">
        <v>30</v>
      </c>
      <c r="E155" s="222">
        <v>30</v>
      </c>
      <c r="F155" s="222" t="s">
        <v>440</v>
      </c>
      <c r="G155" s="222">
        <v>4.1735905034851699</v>
      </c>
      <c r="H155" s="222">
        <v>2.3589127906129699</v>
      </c>
      <c r="I155" s="222">
        <v>1.55974672904336</v>
      </c>
      <c r="J155" s="222" t="s">
        <v>848</v>
      </c>
      <c r="K155" s="222" t="s">
        <v>2837</v>
      </c>
      <c r="L155" s="222">
        <v>1.10092873075316E-2</v>
      </c>
      <c r="M155" s="231">
        <v>6.9955757315530995E-4</v>
      </c>
      <c r="N155" s="222" t="s">
        <v>2116</v>
      </c>
      <c r="O155" s="222" t="s">
        <v>1817</v>
      </c>
      <c r="P155" s="222" t="s">
        <v>2062</v>
      </c>
      <c r="Q155" s="222" t="s">
        <v>2117</v>
      </c>
    </row>
    <row r="156" spans="1:18">
      <c r="A156" s="222" t="s">
        <v>1860</v>
      </c>
      <c r="B156" s="222" t="s">
        <v>1735</v>
      </c>
      <c r="C156" s="222" t="s">
        <v>2836</v>
      </c>
      <c r="D156" s="222">
        <v>30</v>
      </c>
      <c r="E156" s="222">
        <v>30</v>
      </c>
      <c r="F156" s="222" t="s">
        <v>440</v>
      </c>
      <c r="G156" s="222">
        <v>4.24268403706012</v>
      </c>
      <c r="H156" s="222">
        <v>2.3540118366078602</v>
      </c>
      <c r="I156" s="222">
        <v>1.56648052356927</v>
      </c>
      <c r="J156" s="222" t="s">
        <v>848</v>
      </c>
      <c r="K156" s="222" t="s">
        <v>2837</v>
      </c>
      <c r="L156" s="222">
        <v>1.15143878473955E-2</v>
      </c>
      <c r="M156" s="231">
        <v>7.4079858271567896E-4</v>
      </c>
      <c r="N156" s="222" t="s">
        <v>1860</v>
      </c>
      <c r="O156" s="222" t="s">
        <v>1848</v>
      </c>
      <c r="P156" s="222" t="s">
        <v>1849</v>
      </c>
      <c r="Q156" s="222" t="s">
        <v>1861</v>
      </c>
      <c r="R156" s="222" t="s">
        <v>1862</v>
      </c>
    </row>
    <row r="157" spans="1:18">
      <c r="A157" s="222" t="s">
        <v>2943</v>
      </c>
      <c r="B157" s="222" t="s">
        <v>1755</v>
      </c>
      <c r="C157" s="222" t="s">
        <v>2836</v>
      </c>
      <c r="D157" s="222">
        <v>30</v>
      </c>
      <c r="E157" s="222">
        <v>30</v>
      </c>
      <c r="F157" s="222" t="s">
        <v>1721</v>
      </c>
      <c r="G157" s="222">
        <v>-3.3172106355086499</v>
      </c>
      <c r="H157" s="222">
        <v>-2.0657452803789398</v>
      </c>
      <c r="I157" s="222">
        <v>-3.90205396517272</v>
      </c>
      <c r="J157" s="222" t="s">
        <v>848</v>
      </c>
      <c r="K157" s="222" t="s">
        <v>2849</v>
      </c>
      <c r="L157" s="222">
        <v>1.17331233322051E-2</v>
      </c>
      <c r="M157" s="231">
        <v>4.8042816191922599E-4</v>
      </c>
      <c r="N157" s="222" t="s">
        <v>2943</v>
      </c>
      <c r="O157" s="222" t="s">
        <v>2033</v>
      </c>
      <c r="P157" s="222" t="s">
        <v>2611</v>
      </c>
      <c r="Q157" s="222" t="s">
        <v>2944</v>
      </c>
    </row>
    <row r="158" spans="1:18">
      <c r="A158" s="222" t="s">
        <v>2702</v>
      </c>
      <c r="B158" s="222" t="s">
        <v>1755</v>
      </c>
      <c r="C158" s="222" t="s">
        <v>2836</v>
      </c>
      <c r="D158" s="222">
        <v>30</v>
      </c>
      <c r="E158" s="222">
        <v>30</v>
      </c>
      <c r="F158" s="222" t="s">
        <v>1721</v>
      </c>
      <c r="G158" s="222">
        <v>-4.2215975292825796</v>
      </c>
      <c r="H158" s="222">
        <v>-2.5525047555885299</v>
      </c>
      <c r="I158" s="222">
        <v>-6.3892383900820304</v>
      </c>
      <c r="J158" s="222" t="s">
        <v>848</v>
      </c>
      <c r="K158" s="222" t="s">
        <v>2849</v>
      </c>
      <c r="L158" s="222">
        <v>1.17331233322051E-2</v>
      </c>
      <c r="M158" s="231">
        <v>4.7942388443077399E-4</v>
      </c>
      <c r="N158" s="222" t="s">
        <v>2702</v>
      </c>
      <c r="O158" s="222" t="s">
        <v>1710</v>
      </c>
      <c r="P158" s="222" t="s">
        <v>2310</v>
      </c>
      <c r="Q158" s="222" t="s">
        <v>2703</v>
      </c>
      <c r="R158" s="222" t="s">
        <v>2697</v>
      </c>
    </row>
    <row r="159" spans="1:18">
      <c r="A159" s="222" t="s">
        <v>2945</v>
      </c>
      <c r="B159" s="222" t="s">
        <v>1735</v>
      </c>
      <c r="C159" s="222" t="s">
        <v>2836</v>
      </c>
      <c r="D159" s="222">
        <v>30</v>
      </c>
      <c r="E159" s="222">
        <v>30</v>
      </c>
      <c r="F159" s="222" t="s">
        <v>440</v>
      </c>
      <c r="G159" s="222">
        <v>1.38809918350399</v>
      </c>
      <c r="H159" s="222">
        <v>1.13442461523405</v>
      </c>
      <c r="I159" s="222">
        <v>1.0088147745448801</v>
      </c>
      <c r="J159" s="222" t="s">
        <v>848</v>
      </c>
      <c r="K159" s="222" t="s">
        <v>2837</v>
      </c>
      <c r="L159" s="222">
        <v>1.1796627934561099E-2</v>
      </c>
      <c r="M159" s="231">
        <v>7.7697998100327895E-4</v>
      </c>
      <c r="N159" s="222" t="s">
        <v>2945</v>
      </c>
      <c r="O159" s="222" t="s">
        <v>2033</v>
      </c>
      <c r="P159" s="222" t="s">
        <v>2565</v>
      </c>
      <c r="Q159" s="222" t="s">
        <v>2946</v>
      </c>
      <c r="R159" s="222" t="s">
        <v>2947</v>
      </c>
    </row>
    <row r="160" spans="1:18">
      <c r="A160" s="222" t="s">
        <v>2948</v>
      </c>
      <c r="B160" s="222" t="s">
        <v>1735</v>
      </c>
      <c r="C160" s="222" t="s">
        <v>2836</v>
      </c>
      <c r="D160" s="222">
        <v>30</v>
      </c>
      <c r="E160" s="222">
        <v>30</v>
      </c>
      <c r="F160" s="222" t="s">
        <v>440</v>
      </c>
      <c r="G160" s="222">
        <v>4.7324583019497997</v>
      </c>
      <c r="H160" s="222">
        <v>2.4069820483526501</v>
      </c>
      <c r="I160" s="222">
        <v>1.5849625007211501</v>
      </c>
      <c r="J160" s="222" t="s">
        <v>848</v>
      </c>
      <c r="K160" s="222" t="s">
        <v>2837</v>
      </c>
      <c r="L160" s="222">
        <v>1.1796627934561099E-2</v>
      </c>
      <c r="M160" s="231">
        <v>7.7769667876773302E-4</v>
      </c>
      <c r="N160" s="222" t="s">
        <v>2948</v>
      </c>
      <c r="O160" s="222" t="s">
        <v>1710</v>
      </c>
      <c r="P160" s="222" t="s">
        <v>2334</v>
      </c>
      <c r="Q160" s="222" t="s">
        <v>2949</v>
      </c>
    </row>
    <row r="161" spans="1:18">
      <c r="A161" s="222" t="s">
        <v>2950</v>
      </c>
      <c r="B161" s="222" t="s">
        <v>1735</v>
      </c>
      <c r="C161" s="222" t="s">
        <v>2836</v>
      </c>
      <c r="D161" s="222">
        <v>30</v>
      </c>
      <c r="E161" s="222">
        <v>30</v>
      </c>
      <c r="F161" s="222" t="s">
        <v>440</v>
      </c>
      <c r="G161" s="222">
        <v>4.7559340081496302</v>
      </c>
      <c r="H161" s="222">
        <v>2.3930202182219</v>
      </c>
      <c r="I161" s="222">
        <v>1.5849625007211501</v>
      </c>
      <c r="J161" s="222" t="s">
        <v>848</v>
      </c>
      <c r="K161" s="222" t="s">
        <v>2837</v>
      </c>
      <c r="L161" s="222">
        <v>1.21654242558113E-2</v>
      </c>
      <c r="M161" s="231">
        <v>8.1167246821934496E-4</v>
      </c>
      <c r="N161" s="222" t="s">
        <v>2950</v>
      </c>
      <c r="O161" s="222" t="s">
        <v>2757</v>
      </c>
      <c r="P161" s="222" t="s">
        <v>2758</v>
      </c>
      <c r="Q161" s="222" t="s">
        <v>2951</v>
      </c>
    </row>
    <row r="162" spans="1:18">
      <c r="A162" s="222" t="s">
        <v>2912</v>
      </c>
      <c r="B162" s="222" t="s">
        <v>1731</v>
      </c>
      <c r="C162" s="222" t="s">
        <v>2836</v>
      </c>
      <c r="D162" s="222">
        <v>30</v>
      </c>
      <c r="E162" s="222">
        <v>30</v>
      </c>
      <c r="F162" s="222" t="s">
        <v>1708</v>
      </c>
      <c r="G162" s="222">
        <v>2.4886548698815698</v>
      </c>
      <c r="H162" s="222">
        <v>1.18499920876872</v>
      </c>
      <c r="I162" s="222">
        <v>0.80595306866951399</v>
      </c>
      <c r="J162" s="222" t="s">
        <v>848</v>
      </c>
      <c r="K162" s="222" t="s">
        <v>2857</v>
      </c>
      <c r="L162" s="222">
        <v>1.3015526631629E-2</v>
      </c>
      <c r="M162" s="231">
        <v>3.1492766906752198E-4</v>
      </c>
      <c r="N162" s="222" t="s">
        <v>2912</v>
      </c>
      <c r="O162" s="222" t="s">
        <v>1817</v>
      </c>
      <c r="P162" s="222" t="s">
        <v>2062</v>
      </c>
      <c r="Q162" s="222" t="s">
        <v>2913</v>
      </c>
    </row>
    <row r="163" spans="1:18">
      <c r="A163" s="222" t="s">
        <v>2952</v>
      </c>
      <c r="B163" s="222" t="s">
        <v>1731</v>
      </c>
      <c r="C163" s="222" t="s">
        <v>2836</v>
      </c>
      <c r="D163" s="222">
        <v>30</v>
      </c>
      <c r="E163" s="222">
        <v>30</v>
      </c>
      <c r="F163" s="222" t="s">
        <v>1708</v>
      </c>
      <c r="G163" s="222">
        <v>3.2991395061173998</v>
      </c>
      <c r="H163" s="222">
        <v>1.2941011023753699</v>
      </c>
      <c r="I163" s="222">
        <v>1</v>
      </c>
      <c r="J163" s="222" t="s">
        <v>848</v>
      </c>
      <c r="K163" s="222" t="s">
        <v>2857</v>
      </c>
      <c r="L163" s="222">
        <v>1.3015526631629E-2</v>
      </c>
      <c r="M163" s="231">
        <v>3.3596483657168601E-4</v>
      </c>
      <c r="N163" s="222" t="s">
        <v>2952</v>
      </c>
      <c r="O163" s="222" t="s">
        <v>2394</v>
      </c>
      <c r="P163" s="222" t="s">
        <v>2953</v>
      </c>
      <c r="Q163" s="222" t="s">
        <v>2954</v>
      </c>
      <c r="R163" s="222" t="s">
        <v>2955</v>
      </c>
    </row>
    <row r="164" spans="1:18">
      <c r="A164" s="222" t="s">
        <v>1501</v>
      </c>
      <c r="B164" s="222" t="s">
        <v>1731</v>
      </c>
      <c r="C164" s="222" t="s">
        <v>2836</v>
      </c>
      <c r="D164" s="222">
        <v>30</v>
      </c>
      <c r="E164" s="222">
        <v>30</v>
      </c>
      <c r="F164" s="222" t="s">
        <v>1708</v>
      </c>
      <c r="G164" s="222">
        <v>1.0438697420606899</v>
      </c>
      <c r="H164" s="222">
        <v>0.70928583587785399</v>
      </c>
      <c r="I164" s="222">
        <v>0.66300074551307697</v>
      </c>
      <c r="J164" s="222" t="s">
        <v>848</v>
      </c>
      <c r="K164" s="222" t="s">
        <v>2857</v>
      </c>
      <c r="L164" s="222">
        <v>1.3015526631629E-2</v>
      </c>
      <c r="M164" s="231">
        <v>3.3196270315686102E-4</v>
      </c>
      <c r="N164" s="222" t="s">
        <v>1501</v>
      </c>
      <c r="O164" s="222" t="s">
        <v>2583</v>
      </c>
      <c r="P164" s="222" t="s">
        <v>1464</v>
      </c>
      <c r="Q164" s="222" t="s">
        <v>1502</v>
      </c>
    </row>
    <row r="165" spans="1:18">
      <c r="A165" s="222" t="s">
        <v>2956</v>
      </c>
      <c r="B165" s="222" t="s">
        <v>1735</v>
      </c>
      <c r="C165" s="222" t="s">
        <v>2836</v>
      </c>
      <c r="D165" s="222">
        <v>30</v>
      </c>
      <c r="E165" s="222">
        <v>30</v>
      </c>
      <c r="F165" s="222" t="s">
        <v>440</v>
      </c>
      <c r="G165" s="222">
        <v>4.1516368536552699</v>
      </c>
      <c r="H165" s="222">
        <v>2.2809677253138498</v>
      </c>
      <c r="I165" s="222">
        <v>1.55842780163709</v>
      </c>
      <c r="J165" s="222" t="s">
        <v>848</v>
      </c>
      <c r="K165" s="222" t="s">
        <v>2837</v>
      </c>
      <c r="L165" s="222">
        <v>1.3121179627009601E-2</v>
      </c>
      <c r="M165" s="231">
        <v>8.8586200817777699E-4</v>
      </c>
      <c r="N165" s="222" t="s">
        <v>2956</v>
      </c>
      <c r="O165" s="222" t="s">
        <v>1817</v>
      </c>
      <c r="P165" s="222" t="s">
        <v>2062</v>
      </c>
      <c r="Q165" s="222" t="s">
        <v>2957</v>
      </c>
    </row>
    <row r="166" spans="1:18">
      <c r="A166" s="222" t="s">
        <v>1513</v>
      </c>
      <c r="B166" s="222" t="s">
        <v>1735</v>
      </c>
      <c r="C166" s="222" t="s">
        <v>2836</v>
      </c>
      <c r="D166" s="222">
        <v>30</v>
      </c>
      <c r="E166" s="222">
        <v>30</v>
      </c>
      <c r="F166" s="222" t="s">
        <v>440</v>
      </c>
      <c r="G166" s="222">
        <v>-2.03216258118848</v>
      </c>
      <c r="H166" s="222">
        <v>-1.5417759898916701</v>
      </c>
      <c r="I166" s="222">
        <v>-2.4966374707947998</v>
      </c>
      <c r="J166" s="222" t="s">
        <v>848</v>
      </c>
      <c r="K166" s="222" t="s">
        <v>2837</v>
      </c>
      <c r="L166" s="222">
        <v>1.3452697022339E-2</v>
      </c>
      <c r="M166" s="231">
        <v>9.2713400893636297E-4</v>
      </c>
      <c r="N166" s="222" t="s">
        <v>1513</v>
      </c>
      <c r="O166" s="222" t="s">
        <v>1817</v>
      </c>
      <c r="P166" s="222" t="s">
        <v>1512</v>
      </c>
      <c r="Q166" s="222" t="s">
        <v>1511</v>
      </c>
      <c r="R166" s="222" t="s">
        <v>2366</v>
      </c>
    </row>
    <row r="167" spans="1:18">
      <c r="A167" s="222" t="s">
        <v>2764</v>
      </c>
      <c r="B167" s="222" t="s">
        <v>1735</v>
      </c>
      <c r="C167" s="222" t="s">
        <v>2836</v>
      </c>
      <c r="D167" s="222">
        <v>30</v>
      </c>
      <c r="E167" s="222">
        <v>30</v>
      </c>
      <c r="F167" s="222" t="s">
        <v>440</v>
      </c>
      <c r="G167" s="222">
        <v>4.7478421356870601</v>
      </c>
      <c r="H167" s="222">
        <v>2.33943248145034</v>
      </c>
      <c r="I167" s="222">
        <v>1.5849625007211501</v>
      </c>
      <c r="J167" s="222" t="s">
        <v>848</v>
      </c>
      <c r="K167" s="222" t="s">
        <v>2837</v>
      </c>
      <c r="L167" s="222">
        <v>1.3452697022339E-2</v>
      </c>
      <c r="M167" s="231">
        <v>9.2961448843804299E-4</v>
      </c>
      <c r="N167" s="222" t="s">
        <v>2764</v>
      </c>
      <c r="O167" s="222" t="s">
        <v>2757</v>
      </c>
      <c r="P167" s="222" t="s">
        <v>2758</v>
      </c>
      <c r="Q167" s="222" t="s">
        <v>2765</v>
      </c>
    </row>
    <row r="168" spans="1:18">
      <c r="A168" s="222" t="s">
        <v>2958</v>
      </c>
      <c r="B168" s="222" t="s">
        <v>1731</v>
      </c>
      <c r="C168" s="222" t="s">
        <v>2836</v>
      </c>
      <c r="D168" s="222">
        <v>30</v>
      </c>
      <c r="E168" s="222">
        <v>30</v>
      </c>
      <c r="F168" s="222" t="s">
        <v>1708</v>
      </c>
      <c r="G168" s="222">
        <v>3.1170379764155798</v>
      </c>
      <c r="H168" s="222">
        <v>1.2588583977400101</v>
      </c>
      <c r="I168" s="222">
        <v>1</v>
      </c>
      <c r="J168" s="222" t="s">
        <v>848</v>
      </c>
      <c r="K168" s="222" t="s">
        <v>2857</v>
      </c>
      <c r="L168" s="222">
        <v>1.35412099332906E-2</v>
      </c>
      <c r="M168" s="231">
        <v>3.6247980700969098E-4</v>
      </c>
      <c r="N168" s="222" t="s">
        <v>2958</v>
      </c>
      <c r="O168" s="222" t="s">
        <v>2033</v>
      </c>
      <c r="P168" s="222" t="s">
        <v>2480</v>
      </c>
      <c r="Q168" s="222" t="s">
        <v>2959</v>
      </c>
    </row>
    <row r="169" spans="1:18">
      <c r="A169" s="222" t="s">
        <v>2173</v>
      </c>
      <c r="B169" s="222" t="s">
        <v>1755</v>
      </c>
      <c r="C169" s="222" t="s">
        <v>2836</v>
      </c>
      <c r="D169" s="222">
        <v>30</v>
      </c>
      <c r="E169" s="222">
        <v>30</v>
      </c>
      <c r="F169" s="222" t="s">
        <v>1721</v>
      </c>
      <c r="G169" s="222">
        <v>2.0299544009655501</v>
      </c>
      <c r="H169" s="222">
        <v>1.4697698863458299</v>
      </c>
      <c r="I169" s="222">
        <v>1.55789767013858</v>
      </c>
      <c r="J169" s="222" t="s">
        <v>848</v>
      </c>
      <c r="K169" s="222" t="s">
        <v>2849</v>
      </c>
      <c r="L169" s="222">
        <v>1.40583905526077E-2</v>
      </c>
      <c r="M169" s="231">
        <v>6.4131808054457404E-4</v>
      </c>
      <c r="N169" s="222" t="s">
        <v>2173</v>
      </c>
      <c r="O169" s="222" t="s">
        <v>2061</v>
      </c>
      <c r="P169" s="222" t="s">
        <v>2161</v>
      </c>
      <c r="Q169" s="222" t="s">
        <v>2174</v>
      </c>
      <c r="R169" s="222" t="s">
        <v>2166</v>
      </c>
    </row>
    <row r="170" spans="1:18">
      <c r="A170" s="222" t="s">
        <v>1950</v>
      </c>
      <c r="B170" s="222" t="s">
        <v>1755</v>
      </c>
      <c r="C170" s="222" t="s">
        <v>2836</v>
      </c>
      <c r="D170" s="222">
        <v>30</v>
      </c>
      <c r="E170" s="222">
        <v>30</v>
      </c>
      <c r="F170" s="222" t="s">
        <v>1721</v>
      </c>
      <c r="G170" s="222">
        <v>-6.9969048538070799</v>
      </c>
      <c r="H170" s="222">
        <v>-3.4248148833286201</v>
      </c>
      <c r="I170" s="222">
        <v>0</v>
      </c>
      <c r="J170" s="222">
        <v>1</v>
      </c>
      <c r="K170" s="222" t="s">
        <v>2849</v>
      </c>
      <c r="L170" s="222">
        <v>1.40583905526077E-2</v>
      </c>
      <c r="M170" s="231">
        <v>6.2056908126698301E-4</v>
      </c>
      <c r="N170" s="222" t="s">
        <v>1950</v>
      </c>
      <c r="O170" s="222" t="s">
        <v>1817</v>
      </c>
      <c r="P170" s="222" t="s">
        <v>1597</v>
      </c>
      <c r="Q170" s="222" t="s">
        <v>1951</v>
      </c>
      <c r="R170" s="222" t="s">
        <v>1952</v>
      </c>
    </row>
    <row r="171" spans="1:18">
      <c r="A171" s="222" t="s">
        <v>1926</v>
      </c>
      <c r="B171" s="222" t="s">
        <v>1755</v>
      </c>
      <c r="C171" s="222" t="s">
        <v>2836</v>
      </c>
      <c r="D171" s="222">
        <v>30</v>
      </c>
      <c r="E171" s="222">
        <v>30</v>
      </c>
      <c r="F171" s="222" t="s">
        <v>1721</v>
      </c>
      <c r="G171" s="222">
        <v>3.2208118275636499</v>
      </c>
      <c r="H171" s="222">
        <v>1.9639164692753099</v>
      </c>
      <c r="I171" s="222">
        <v>1.7871551361568601</v>
      </c>
      <c r="J171" s="222" t="s">
        <v>848</v>
      </c>
      <c r="K171" s="222" t="s">
        <v>2849</v>
      </c>
      <c r="L171" s="222">
        <v>1.40583905526077E-2</v>
      </c>
      <c r="M171" s="231">
        <v>6.6214925749435603E-4</v>
      </c>
      <c r="N171" s="222" t="s">
        <v>1926</v>
      </c>
      <c r="O171" s="222" t="s">
        <v>1817</v>
      </c>
      <c r="P171" s="222" t="s">
        <v>1597</v>
      </c>
      <c r="Q171" s="222" t="s">
        <v>1927</v>
      </c>
    </row>
    <row r="172" spans="1:18">
      <c r="A172" s="222" t="s">
        <v>2622</v>
      </c>
      <c r="B172" s="222" t="s">
        <v>1755</v>
      </c>
      <c r="C172" s="222" t="s">
        <v>2836</v>
      </c>
      <c r="D172" s="222">
        <v>30</v>
      </c>
      <c r="E172" s="222">
        <v>30</v>
      </c>
      <c r="F172" s="222" t="s">
        <v>1721</v>
      </c>
      <c r="G172" s="222">
        <v>-4.1135479977344698</v>
      </c>
      <c r="H172" s="222">
        <v>-2.43304022935444</v>
      </c>
      <c r="I172" s="222">
        <v>-4.8743279945646698</v>
      </c>
      <c r="J172" s="222" t="s">
        <v>848</v>
      </c>
      <c r="K172" s="222" t="s">
        <v>2849</v>
      </c>
      <c r="L172" s="222">
        <v>1.40583905526077E-2</v>
      </c>
      <c r="M172" s="231">
        <v>5.9243980221386397E-4</v>
      </c>
      <c r="N172" s="222" t="s">
        <v>2622</v>
      </c>
      <c r="O172" s="222" t="s">
        <v>2033</v>
      </c>
      <c r="P172" s="222" t="s">
        <v>2611</v>
      </c>
      <c r="Q172" s="222" t="s">
        <v>2623</v>
      </c>
      <c r="R172" s="222" t="s">
        <v>2624</v>
      </c>
    </row>
    <row r="173" spans="1:18">
      <c r="A173" s="222" t="s">
        <v>2887</v>
      </c>
      <c r="B173" s="222" t="s">
        <v>1755</v>
      </c>
      <c r="C173" s="222" t="s">
        <v>2836</v>
      </c>
      <c r="D173" s="222">
        <v>30</v>
      </c>
      <c r="E173" s="222">
        <v>30</v>
      </c>
      <c r="F173" s="222" t="s">
        <v>1721</v>
      </c>
      <c r="G173" s="222">
        <v>-1.9168055252367799</v>
      </c>
      <c r="H173" s="222">
        <v>-1.4219495017381001</v>
      </c>
      <c r="I173" s="222">
        <v>-2.4766712113734402</v>
      </c>
      <c r="J173" s="222" t="s">
        <v>848</v>
      </c>
      <c r="K173" s="222" t="s">
        <v>2849</v>
      </c>
      <c r="L173" s="222">
        <v>1.40583905526077E-2</v>
      </c>
      <c r="M173" s="231">
        <v>6.3778236921721001E-4</v>
      </c>
      <c r="N173" s="222" t="s">
        <v>2887</v>
      </c>
      <c r="O173" s="222" t="s">
        <v>2056</v>
      </c>
      <c r="P173" s="222" t="s">
        <v>2611</v>
      </c>
      <c r="Q173" s="222" t="s">
        <v>2888</v>
      </c>
    </row>
    <row r="174" spans="1:18">
      <c r="A174" s="222" t="s">
        <v>1830</v>
      </c>
      <c r="B174" s="222" t="s">
        <v>1755</v>
      </c>
      <c r="C174" s="222" t="s">
        <v>2836</v>
      </c>
      <c r="D174" s="222">
        <v>30</v>
      </c>
      <c r="E174" s="222">
        <v>30</v>
      </c>
      <c r="F174" s="222" t="s">
        <v>1721</v>
      </c>
      <c r="G174" s="222">
        <v>-6.6520411463752103</v>
      </c>
      <c r="H174" s="222">
        <v>-3.32009445160885</v>
      </c>
      <c r="I174" s="222">
        <v>0</v>
      </c>
      <c r="J174" s="222">
        <v>1</v>
      </c>
      <c r="K174" s="222" t="s">
        <v>2849</v>
      </c>
      <c r="L174" s="222">
        <v>1.40583905526077E-2</v>
      </c>
      <c r="M174" s="231">
        <v>6.6518317446369898E-4</v>
      </c>
      <c r="N174" s="222" t="s">
        <v>1830</v>
      </c>
      <c r="O174" s="222" t="s">
        <v>1710</v>
      </c>
      <c r="P174" s="222" t="s">
        <v>1831</v>
      </c>
      <c r="Q174" s="222" t="s">
        <v>1832</v>
      </c>
      <c r="R174" s="222" t="s">
        <v>1833</v>
      </c>
    </row>
    <row r="175" spans="1:18">
      <c r="A175" s="222" t="s">
        <v>2858</v>
      </c>
      <c r="B175" s="222" t="s">
        <v>1755</v>
      </c>
      <c r="C175" s="222" t="s">
        <v>2836</v>
      </c>
      <c r="D175" s="222">
        <v>30</v>
      </c>
      <c r="E175" s="222">
        <v>30</v>
      </c>
      <c r="F175" s="222" t="s">
        <v>1721</v>
      </c>
      <c r="G175" s="222">
        <v>-7.2978505489197403</v>
      </c>
      <c r="H175" s="222">
        <v>-3.44961937153845</v>
      </c>
      <c r="I175" s="222">
        <v>0</v>
      </c>
      <c r="J175" s="222">
        <v>1</v>
      </c>
      <c r="K175" s="222" t="s">
        <v>2849</v>
      </c>
      <c r="L175" s="222">
        <v>1.40583905526077E-2</v>
      </c>
      <c r="M175" s="231">
        <v>6.2953728614850496E-4</v>
      </c>
      <c r="N175" s="222" t="s">
        <v>2858</v>
      </c>
      <c r="O175" s="222" t="s">
        <v>1464</v>
      </c>
      <c r="P175" s="222" t="s">
        <v>1464</v>
      </c>
      <c r="Q175" s="222" t="s">
        <v>2859</v>
      </c>
    </row>
    <row r="176" spans="1:18">
      <c r="A176" s="222" t="s">
        <v>2752</v>
      </c>
      <c r="B176" s="222" t="s">
        <v>1735</v>
      </c>
      <c r="C176" s="222" t="s">
        <v>2836</v>
      </c>
      <c r="D176" s="222">
        <v>30</v>
      </c>
      <c r="E176" s="222">
        <v>30</v>
      </c>
      <c r="F176" s="222" t="s">
        <v>440</v>
      </c>
      <c r="G176" s="222">
        <v>3.39079174440197</v>
      </c>
      <c r="H176" s="222">
        <v>2.07738928954823</v>
      </c>
      <c r="I176" s="222">
        <v>1.39689727739348</v>
      </c>
      <c r="J176" s="222" t="s">
        <v>848</v>
      </c>
      <c r="K176" s="222" t="s">
        <v>2837</v>
      </c>
      <c r="L176" s="222">
        <v>1.42541062913836E-2</v>
      </c>
      <c r="M176" s="222">
        <v>1.00763737881902E-3</v>
      </c>
      <c r="N176" s="222" t="s">
        <v>2752</v>
      </c>
      <c r="O176" s="222" t="s">
        <v>1710</v>
      </c>
      <c r="P176" s="222" t="s">
        <v>2310</v>
      </c>
      <c r="Q176" s="222" t="s">
        <v>2753</v>
      </c>
    </row>
    <row r="177" spans="1:18">
      <c r="A177" s="222" t="s">
        <v>2801</v>
      </c>
      <c r="B177" s="222" t="s">
        <v>1735</v>
      </c>
      <c r="C177" s="222" t="s">
        <v>2836</v>
      </c>
      <c r="D177" s="222">
        <v>30</v>
      </c>
      <c r="E177" s="222">
        <v>30</v>
      </c>
      <c r="F177" s="222" t="s">
        <v>440</v>
      </c>
      <c r="G177" s="222">
        <v>2.5802258007171699</v>
      </c>
      <c r="H177" s="222">
        <v>1.79954410807821</v>
      </c>
      <c r="I177" s="222">
        <v>1.3983301391498499</v>
      </c>
      <c r="J177" s="222" t="s">
        <v>848</v>
      </c>
      <c r="K177" s="222" t="s">
        <v>2837</v>
      </c>
      <c r="L177" s="222">
        <v>1.42541062913836E-2</v>
      </c>
      <c r="M177" s="222">
        <v>1.0012427829138399E-3</v>
      </c>
      <c r="N177" s="222" t="s">
        <v>2801</v>
      </c>
      <c r="O177" s="222" t="s">
        <v>2757</v>
      </c>
      <c r="P177" s="222" t="s">
        <v>2758</v>
      </c>
      <c r="Q177" s="222" t="s">
        <v>2802</v>
      </c>
    </row>
    <row r="178" spans="1:18">
      <c r="A178" s="222" t="s">
        <v>2960</v>
      </c>
      <c r="B178" s="222" t="s">
        <v>1735</v>
      </c>
      <c r="C178" s="222" t="s">
        <v>2836</v>
      </c>
      <c r="D178" s="222">
        <v>30</v>
      </c>
      <c r="E178" s="222">
        <v>30</v>
      </c>
      <c r="F178" s="222" t="s">
        <v>440</v>
      </c>
      <c r="G178" s="222">
        <v>-1.7220941897772899</v>
      </c>
      <c r="H178" s="222">
        <v>-1.3475162557462199</v>
      </c>
      <c r="I178" s="222">
        <v>-2.3165959601313602</v>
      </c>
      <c r="J178" s="222" t="s">
        <v>848</v>
      </c>
      <c r="K178" s="222" t="s">
        <v>2837</v>
      </c>
      <c r="L178" s="222">
        <v>1.44178837040438E-2</v>
      </c>
      <c r="M178" s="222">
        <v>1.03066682554721E-3</v>
      </c>
      <c r="N178" s="222" t="s">
        <v>2960</v>
      </c>
      <c r="O178" s="222" t="s">
        <v>1715</v>
      </c>
      <c r="P178" s="222" t="s">
        <v>1715</v>
      </c>
      <c r="Q178" s="222" t="s">
        <v>2961</v>
      </c>
      <c r="R178" s="222" t="s">
        <v>1718</v>
      </c>
    </row>
    <row r="179" spans="1:18">
      <c r="A179" s="222" t="s">
        <v>1531</v>
      </c>
      <c r="B179" s="222" t="s">
        <v>1755</v>
      </c>
      <c r="C179" s="222" t="s">
        <v>2836</v>
      </c>
      <c r="D179" s="222">
        <v>30</v>
      </c>
      <c r="E179" s="222">
        <v>30</v>
      </c>
      <c r="F179" s="222" t="s">
        <v>1721</v>
      </c>
      <c r="G179" s="222">
        <v>-3.5152902196112099</v>
      </c>
      <c r="H179" s="222">
        <v>-2.08926997879336</v>
      </c>
      <c r="I179" s="222">
        <v>-4.2504464040395797</v>
      </c>
      <c r="J179" s="222" t="s">
        <v>848</v>
      </c>
      <c r="K179" s="222" t="s">
        <v>2849</v>
      </c>
      <c r="L179" s="222">
        <v>1.4714225748963399E-2</v>
      </c>
      <c r="M179" s="231">
        <v>7.0960324358058599E-4</v>
      </c>
      <c r="N179" s="222" t="s">
        <v>1531</v>
      </c>
      <c r="O179" s="222" t="s">
        <v>1524</v>
      </c>
      <c r="P179" s="222" t="s">
        <v>1524</v>
      </c>
      <c r="Q179" s="222" t="s">
        <v>1532</v>
      </c>
    </row>
    <row r="180" spans="1:18">
      <c r="A180" s="222" t="s">
        <v>2960</v>
      </c>
      <c r="B180" s="222" t="s">
        <v>1755</v>
      </c>
      <c r="C180" s="222" t="s">
        <v>2836</v>
      </c>
      <c r="D180" s="222">
        <v>30</v>
      </c>
      <c r="E180" s="222">
        <v>30</v>
      </c>
      <c r="F180" s="222" t="s">
        <v>1721</v>
      </c>
      <c r="G180" s="222">
        <v>2.40060073576982</v>
      </c>
      <c r="H180" s="222">
        <v>1.60610290813328</v>
      </c>
      <c r="I180" s="222">
        <v>1.6285943756655901</v>
      </c>
      <c r="J180" s="222" t="s">
        <v>848</v>
      </c>
      <c r="K180" s="222" t="s">
        <v>2849</v>
      </c>
      <c r="L180" s="222">
        <v>1.5072681457038601E-2</v>
      </c>
      <c r="M180" s="231">
        <v>7.4060491235676605E-4</v>
      </c>
      <c r="N180" s="222" t="s">
        <v>2960</v>
      </c>
      <c r="O180" s="222" t="s">
        <v>1715</v>
      </c>
      <c r="P180" s="222" t="s">
        <v>1715</v>
      </c>
      <c r="Q180" s="222" t="s">
        <v>2961</v>
      </c>
      <c r="R180" s="222" t="s">
        <v>1718</v>
      </c>
    </row>
    <row r="181" spans="1:18">
      <c r="A181" s="222" t="s">
        <v>2066</v>
      </c>
      <c r="B181" s="222" t="s">
        <v>1731</v>
      </c>
      <c r="C181" s="222" t="s">
        <v>2836</v>
      </c>
      <c r="D181" s="222">
        <v>30</v>
      </c>
      <c r="E181" s="222">
        <v>30</v>
      </c>
      <c r="F181" s="222" t="s">
        <v>1708</v>
      </c>
      <c r="G181" s="222">
        <v>-2.4559309489048999</v>
      </c>
      <c r="H181" s="222">
        <v>-1.1128691089913401</v>
      </c>
      <c r="I181" s="222">
        <v>-9.2934228274985902</v>
      </c>
      <c r="J181" s="222" t="s">
        <v>848</v>
      </c>
      <c r="K181" s="222" t="s">
        <v>2857</v>
      </c>
      <c r="L181" s="222">
        <v>1.52025040329971E-2</v>
      </c>
      <c r="M181" s="231">
        <v>4.2189922645783598E-4</v>
      </c>
      <c r="N181" s="222" t="s">
        <v>2066</v>
      </c>
      <c r="O181" s="222" t="s">
        <v>1817</v>
      </c>
      <c r="P181" s="222" t="s">
        <v>2062</v>
      </c>
      <c r="Q181" s="222" t="s">
        <v>2067</v>
      </c>
      <c r="R181" s="222" t="s">
        <v>1964</v>
      </c>
    </row>
    <row r="182" spans="1:18">
      <c r="A182" s="222" t="s">
        <v>2812</v>
      </c>
      <c r="B182" s="222" t="s">
        <v>1731</v>
      </c>
      <c r="C182" s="222" t="s">
        <v>2836</v>
      </c>
      <c r="D182" s="222">
        <v>30</v>
      </c>
      <c r="E182" s="222">
        <v>30</v>
      </c>
      <c r="F182" s="222" t="s">
        <v>1708</v>
      </c>
      <c r="G182" s="222">
        <v>2.2308580316253801</v>
      </c>
      <c r="H182" s="222">
        <v>1.0495691938649401</v>
      </c>
      <c r="I182" s="222">
        <v>0.88002092684270095</v>
      </c>
      <c r="J182" s="222" t="s">
        <v>848</v>
      </c>
      <c r="K182" s="222" t="s">
        <v>2857</v>
      </c>
      <c r="L182" s="222">
        <v>1.52025040329971E-2</v>
      </c>
      <c r="M182" s="231">
        <v>4.3601828010508202E-4</v>
      </c>
      <c r="N182" s="222" t="s">
        <v>2812</v>
      </c>
      <c r="O182" s="222" t="s">
        <v>2757</v>
      </c>
      <c r="P182" s="222" t="s">
        <v>2758</v>
      </c>
      <c r="Q182" s="222" t="s">
        <v>2813</v>
      </c>
      <c r="R182" s="222" t="s">
        <v>2814</v>
      </c>
    </row>
    <row r="183" spans="1:18">
      <c r="A183" s="222" t="s">
        <v>2962</v>
      </c>
      <c r="B183" s="222" t="s">
        <v>1735</v>
      </c>
      <c r="C183" s="222" t="s">
        <v>2836</v>
      </c>
      <c r="D183" s="222">
        <v>30</v>
      </c>
      <c r="E183" s="222">
        <v>30</v>
      </c>
      <c r="F183" s="222" t="s">
        <v>440</v>
      </c>
      <c r="G183" s="222">
        <v>-2.0434656678563501</v>
      </c>
      <c r="H183" s="222">
        <v>-1.52603603741349</v>
      </c>
      <c r="I183" s="222">
        <v>-2.5226582751304898</v>
      </c>
      <c r="J183" s="222" t="s">
        <v>848</v>
      </c>
      <c r="K183" s="222" t="s">
        <v>2837</v>
      </c>
      <c r="L183" s="222">
        <v>1.5745927360286498E-2</v>
      </c>
      <c r="M183" s="222">
        <v>1.1429230495585399E-3</v>
      </c>
      <c r="N183" s="222" t="s">
        <v>2962</v>
      </c>
      <c r="O183" s="222" t="s">
        <v>1817</v>
      </c>
      <c r="P183" s="222" t="s">
        <v>1512</v>
      </c>
      <c r="Q183" s="222" t="s">
        <v>1511</v>
      </c>
      <c r="R183" s="222" t="s">
        <v>2366</v>
      </c>
    </row>
    <row r="184" spans="1:18">
      <c r="A184" s="222" t="s">
        <v>2963</v>
      </c>
      <c r="B184" s="222" t="s">
        <v>1735</v>
      </c>
      <c r="C184" s="222" t="s">
        <v>2836</v>
      </c>
      <c r="D184" s="222">
        <v>30</v>
      </c>
      <c r="E184" s="222">
        <v>30</v>
      </c>
      <c r="F184" s="222" t="s">
        <v>440</v>
      </c>
      <c r="G184" s="222">
        <v>4.2897937263031096</v>
      </c>
      <c r="H184" s="222">
        <v>2.2130119914614501</v>
      </c>
      <c r="I184" s="222">
        <v>1.5737629551943799</v>
      </c>
      <c r="J184" s="222" t="s">
        <v>848</v>
      </c>
      <c r="K184" s="222" t="s">
        <v>2837</v>
      </c>
      <c r="L184" s="222">
        <v>1.5745927360286498E-2</v>
      </c>
      <c r="M184" s="222">
        <v>1.1506158198144199E-3</v>
      </c>
      <c r="N184" s="222" t="s">
        <v>2963</v>
      </c>
      <c r="O184" s="222" t="s">
        <v>1817</v>
      </c>
      <c r="P184" s="222" t="s">
        <v>1597</v>
      </c>
      <c r="Q184" s="222" t="s">
        <v>2964</v>
      </c>
      <c r="R184" s="222" t="s">
        <v>2965</v>
      </c>
    </row>
    <row r="185" spans="1:18">
      <c r="A185" s="222" t="s">
        <v>2260</v>
      </c>
      <c r="B185" s="222" t="s">
        <v>1735</v>
      </c>
      <c r="C185" s="222" t="s">
        <v>2836</v>
      </c>
      <c r="D185" s="222">
        <v>30</v>
      </c>
      <c r="E185" s="222">
        <v>30</v>
      </c>
      <c r="F185" s="222" t="s">
        <v>440</v>
      </c>
      <c r="G185" s="222">
        <v>-2.0102250622063802</v>
      </c>
      <c r="H185" s="222">
        <v>-1.50366429056384</v>
      </c>
      <c r="I185" s="222">
        <v>-2.4821092201141499</v>
      </c>
      <c r="J185" s="222" t="s">
        <v>848</v>
      </c>
      <c r="K185" s="222" t="s">
        <v>2837</v>
      </c>
      <c r="L185" s="222">
        <v>1.61177778638673E-2</v>
      </c>
      <c r="M185" s="222">
        <v>1.1905904220330899E-3</v>
      </c>
      <c r="N185" s="222" t="s">
        <v>2260</v>
      </c>
      <c r="O185" s="222" t="s">
        <v>1710</v>
      </c>
      <c r="P185" s="222" t="s">
        <v>2222</v>
      </c>
      <c r="Q185" s="222" t="s">
        <v>2261</v>
      </c>
      <c r="R185" s="222" t="s">
        <v>2262</v>
      </c>
    </row>
    <row r="186" spans="1:18">
      <c r="A186" s="222" t="s">
        <v>1869</v>
      </c>
      <c r="B186" s="222" t="s">
        <v>1735</v>
      </c>
      <c r="C186" s="222" t="s">
        <v>2836</v>
      </c>
      <c r="D186" s="222">
        <v>30</v>
      </c>
      <c r="E186" s="222">
        <v>30</v>
      </c>
      <c r="F186" s="222" t="s">
        <v>440</v>
      </c>
      <c r="G186" s="222">
        <v>-3.71994739249108</v>
      </c>
      <c r="H186" s="222">
        <v>-2.0996004575876701</v>
      </c>
      <c r="I186" s="222">
        <v>0</v>
      </c>
      <c r="J186" s="222">
        <v>1</v>
      </c>
      <c r="K186" s="222" t="s">
        <v>2837</v>
      </c>
      <c r="L186" s="222">
        <v>1.6589764501627899E-2</v>
      </c>
      <c r="M186" s="222">
        <v>1.23863213912075E-3</v>
      </c>
      <c r="N186" s="222" t="s">
        <v>1869</v>
      </c>
      <c r="O186" s="222" t="s">
        <v>1848</v>
      </c>
      <c r="P186" s="222" t="s">
        <v>1849</v>
      </c>
      <c r="Q186" s="222" t="s">
        <v>1870</v>
      </c>
      <c r="R186" s="222" t="s">
        <v>1865</v>
      </c>
    </row>
    <row r="187" spans="1:18">
      <c r="A187" s="222" t="s">
        <v>2110</v>
      </c>
      <c r="B187" s="222" t="s">
        <v>1755</v>
      </c>
      <c r="C187" s="222" t="s">
        <v>2836</v>
      </c>
      <c r="D187" s="222">
        <v>30</v>
      </c>
      <c r="E187" s="222">
        <v>30</v>
      </c>
      <c r="F187" s="222" t="s">
        <v>1721</v>
      </c>
      <c r="G187" s="222">
        <v>2.2452554618607299</v>
      </c>
      <c r="H187" s="222">
        <v>1.5210016128278001</v>
      </c>
      <c r="I187" s="222">
        <v>1.6613387860314299</v>
      </c>
      <c r="J187" s="222" t="s">
        <v>848</v>
      </c>
      <c r="K187" s="222" t="s">
        <v>2849</v>
      </c>
      <c r="L187" s="222">
        <v>1.9046380105823799E-2</v>
      </c>
      <c r="M187" s="231">
        <v>9.8784682987439502E-4</v>
      </c>
      <c r="N187" s="222" t="s">
        <v>2110</v>
      </c>
      <c r="O187" s="222" t="s">
        <v>1817</v>
      </c>
      <c r="P187" s="222" t="s">
        <v>2062</v>
      </c>
      <c r="Q187" s="222" t="s">
        <v>2111</v>
      </c>
    </row>
    <row r="188" spans="1:18">
      <c r="A188" s="222" t="s">
        <v>2607</v>
      </c>
      <c r="B188" s="222" t="s">
        <v>1755</v>
      </c>
      <c r="C188" s="222" t="s">
        <v>2836</v>
      </c>
      <c r="D188" s="222">
        <v>30</v>
      </c>
      <c r="E188" s="222">
        <v>30</v>
      </c>
      <c r="F188" s="222" t="s">
        <v>1721</v>
      </c>
      <c r="G188" s="222">
        <v>-5.16362925749028</v>
      </c>
      <c r="H188" s="222">
        <v>-2.70058405100955</v>
      </c>
      <c r="I188" s="222">
        <v>-6.6971890961170404</v>
      </c>
      <c r="J188" s="222" t="s">
        <v>848</v>
      </c>
      <c r="K188" s="222" t="s">
        <v>2849</v>
      </c>
      <c r="L188" s="222">
        <v>1.9046380105823799E-2</v>
      </c>
      <c r="M188" s="231">
        <v>9.7483603100748301E-4</v>
      </c>
      <c r="N188" s="222" t="s">
        <v>2607</v>
      </c>
      <c r="O188" s="222" t="s">
        <v>2033</v>
      </c>
      <c r="P188" s="222" t="s">
        <v>2594</v>
      </c>
      <c r="Q188" s="222" t="s">
        <v>2608</v>
      </c>
      <c r="R188" s="222" t="s">
        <v>2609</v>
      </c>
    </row>
    <row r="189" spans="1:18">
      <c r="A189" s="222" t="s">
        <v>2357</v>
      </c>
      <c r="B189" s="222" t="s">
        <v>1755</v>
      </c>
      <c r="C189" s="222" t="s">
        <v>2836</v>
      </c>
      <c r="D189" s="222">
        <v>30</v>
      </c>
      <c r="E189" s="222">
        <v>30</v>
      </c>
      <c r="F189" s="222" t="s">
        <v>1721</v>
      </c>
      <c r="G189" s="222">
        <v>-7.1547862907143998</v>
      </c>
      <c r="H189" s="222">
        <v>-3.0973927928295302</v>
      </c>
      <c r="I189" s="222">
        <v>0</v>
      </c>
      <c r="J189" s="222">
        <v>1</v>
      </c>
      <c r="K189" s="222" t="s">
        <v>2849</v>
      </c>
      <c r="L189" s="222">
        <v>1.9046380105823799E-2</v>
      </c>
      <c r="M189" s="231">
        <v>9.8173430152124195E-4</v>
      </c>
      <c r="N189" s="222" t="s">
        <v>2357</v>
      </c>
      <c r="O189" s="222" t="s">
        <v>1710</v>
      </c>
      <c r="P189" s="222" t="s">
        <v>2334</v>
      </c>
      <c r="Q189" s="222" t="s">
        <v>2358</v>
      </c>
    </row>
    <row r="190" spans="1:18">
      <c r="A190" s="222" t="s">
        <v>2193</v>
      </c>
      <c r="B190" s="222" t="s">
        <v>1755</v>
      </c>
      <c r="C190" s="222" t="s">
        <v>2836</v>
      </c>
      <c r="D190" s="222">
        <v>30</v>
      </c>
      <c r="E190" s="222">
        <v>30</v>
      </c>
      <c r="F190" s="222" t="s">
        <v>1721</v>
      </c>
      <c r="G190" s="222">
        <v>-7.0224658407636804</v>
      </c>
      <c r="H190" s="222">
        <v>-3.0533737139651902</v>
      </c>
      <c r="I190" s="222">
        <v>0</v>
      </c>
      <c r="J190" s="222">
        <v>1</v>
      </c>
      <c r="K190" s="222" t="s">
        <v>2849</v>
      </c>
      <c r="L190" s="222">
        <v>1.9479572976667001E-2</v>
      </c>
      <c r="M190" s="222">
        <v>1.0280393381680499E-3</v>
      </c>
      <c r="N190" s="222" t="s">
        <v>2193</v>
      </c>
      <c r="O190" s="222" t="s">
        <v>1710</v>
      </c>
      <c r="P190" s="222" t="s">
        <v>2161</v>
      </c>
      <c r="Q190" s="222" t="s">
        <v>2194</v>
      </c>
      <c r="R190" s="222" t="s">
        <v>2195</v>
      </c>
    </row>
    <row r="191" spans="1:18">
      <c r="A191" s="222" t="s">
        <v>2966</v>
      </c>
      <c r="B191" s="222" t="s">
        <v>1735</v>
      </c>
      <c r="C191" s="222" t="s">
        <v>2836</v>
      </c>
      <c r="D191" s="222">
        <v>30</v>
      </c>
      <c r="E191" s="222">
        <v>30</v>
      </c>
      <c r="F191" s="222" t="s">
        <v>440</v>
      </c>
      <c r="G191" s="222">
        <v>1.26014833814205</v>
      </c>
      <c r="H191" s="222">
        <v>1.0042232753716001</v>
      </c>
      <c r="I191" s="222">
        <v>0.92639364214131703</v>
      </c>
      <c r="J191" s="222" t="s">
        <v>848</v>
      </c>
      <c r="K191" s="222" t="s">
        <v>2837</v>
      </c>
      <c r="L191" s="222">
        <v>2.0246834169563299E-2</v>
      </c>
      <c r="M191" s="222">
        <v>1.5277595282831701E-3</v>
      </c>
      <c r="N191" s="222" t="s">
        <v>2966</v>
      </c>
      <c r="O191" s="222" t="s">
        <v>1848</v>
      </c>
      <c r="P191" s="222" t="s">
        <v>1849</v>
      </c>
      <c r="Q191" s="222" t="s">
        <v>2967</v>
      </c>
      <c r="R191" s="222" t="s">
        <v>1882</v>
      </c>
    </row>
    <row r="192" spans="1:18">
      <c r="A192" s="222" t="s">
        <v>1910</v>
      </c>
      <c r="B192" s="222" t="s">
        <v>1731</v>
      </c>
      <c r="C192" s="222" t="s">
        <v>2836</v>
      </c>
      <c r="D192" s="222">
        <v>30</v>
      </c>
      <c r="E192" s="222">
        <v>30</v>
      </c>
      <c r="F192" s="222" t="s">
        <v>1708</v>
      </c>
      <c r="G192" s="222">
        <v>1.04927725929492</v>
      </c>
      <c r="H192" s="222">
        <v>0.68547417329531601</v>
      </c>
      <c r="I192" s="222">
        <v>0.701213890591315</v>
      </c>
      <c r="J192" s="222" t="s">
        <v>848</v>
      </c>
      <c r="K192" s="222" t="s">
        <v>2857</v>
      </c>
      <c r="L192" s="222">
        <v>2.0935851195290098E-2</v>
      </c>
      <c r="M192" s="231">
        <v>6.2076958101573202E-4</v>
      </c>
      <c r="N192" s="222" t="s">
        <v>1910</v>
      </c>
      <c r="O192" s="222" t="s">
        <v>1889</v>
      </c>
      <c r="P192" s="222" t="s">
        <v>1597</v>
      </c>
      <c r="Q192" s="222" t="s">
        <v>1911</v>
      </c>
    </row>
    <row r="193" spans="1:18">
      <c r="A193" s="222" t="s">
        <v>2291</v>
      </c>
      <c r="B193" s="222" t="s">
        <v>1731</v>
      </c>
      <c r="C193" s="222" t="s">
        <v>2836</v>
      </c>
      <c r="D193" s="222">
        <v>30</v>
      </c>
      <c r="E193" s="222">
        <v>30</v>
      </c>
      <c r="F193" s="222" t="s">
        <v>1708</v>
      </c>
      <c r="G193" s="222">
        <v>1.4314589714047601</v>
      </c>
      <c r="H193" s="222">
        <v>0.78851513555383601</v>
      </c>
      <c r="I193" s="222">
        <v>0.71156533390767296</v>
      </c>
      <c r="J193" s="222" t="s">
        <v>848</v>
      </c>
      <c r="K193" s="222" t="s">
        <v>2857</v>
      </c>
      <c r="L193" s="222">
        <v>2.0935851195290098E-2</v>
      </c>
      <c r="M193" s="231">
        <v>6.4048493140467005E-4</v>
      </c>
      <c r="N193" s="222" t="s">
        <v>2291</v>
      </c>
      <c r="O193" s="222" t="s">
        <v>1543</v>
      </c>
      <c r="P193" s="222" t="s">
        <v>1543</v>
      </c>
      <c r="Q193" s="222" t="s">
        <v>2292</v>
      </c>
      <c r="R193" s="222" t="s">
        <v>2293</v>
      </c>
    </row>
    <row r="194" spans="1:18">
      <c r="A194" s="222" t="s">
        <v>1727</v>
      </c>
      <c r="B194" s="222" t="s">
        <v>1755</v>
      </c>
      <c r="C194" s="222" t="s">
        <v>2836</v>
      </c>
      <c r="D194" s="222">
        <v>30</v>
      </c>
      <c r="E194" s="222">
        <v>30</v>
      </c>
      <c r="F194" s="222" t="s">
        <v>1721</v>
      </c>
      <c r="G194" s="222">
        <v>-6.1734531115091196</v>
      </c>
      <c r="H194" s="222">
        <v>-2.8770081982231202</v>
      </c>
      <c r="I194" s="222">
        <v>0</v>
      </c>
      <c r="J194" s="222">
        <v>1</v>
      </c>
      <c r="K194" s="222" t="s">
        <v>2849</v>
      </c>
      <c r="L194" s="222">
        <v>2.11082029453908E-2</v>
      </c>
      <c r="M194" s="222">
        <v>1.13623984048936E-3</v>
      </c>
      <c r="N194" s="222" t="s">
        <v>1727</v>
      </c>
      <c r="O194" s="222" t="s">
        <v>1715</v>
      </c>
      <c r="P194" s="222" t="s">
        <v>1715</v>
      </c>
      <c r="Q194" s="222" t="s">
        <v>1728</v>
      </c>
      <c r="R194" s="222" t="s">
        <v>1729</v>
      </c>
    </row>
    <row r="195" spans="1:18">
      <c r="A195" s="222" t="s">
        <v>2866</v>
      </c>
      <c r="B195" s="222" t="s">
        <v>1755</v>
      </c>
      <c r="C195" s="222" t="s">
        <v>2836</v>
      </c>
      <c r="D195" s="222">
        <v>30</v>
      </c>
      <c r="E195" s="222">
        <v>30</v>
      </c>
      <c r="F195" s="222" t="s">
        <v>1721</v>
      </c>
      <c r="G195" s="222">
        <v>-2.3776281992855601</v>
      </c>
      <c r="H195" s="222">
        <v>-1.5515781057618401</v>
      </c>
      <c r="I195" s="222">
        <v>-3.34026813985168</v>
      </c>
      <c r="J195" s="222" t="s">
        <v>848</v>
      </c>
      <c r="K195" s="222" t="s">
        <v>2849</v>
      </c>
      <c r="L195" s="222">
        <v>2.11082029453908E-2</v>
      </c>
      <c r="M195" s="222">
        <v>1.18278189101986E-3</v>
      </c>
      <c r="N195" s="222" t="s">
        <v>2866</v>
      </c>
      <c r="O195" s="222" t="s">
        <v>1715</v>
      </c>
      <c r="P195" s="222" t="s">
        <v>1715</v>
      </c>
      <c r="Q195" s="222" t="s">
        <v>2867</v>
      </c>
      <c r="R195" s="222" t="s">
        <v>1747</v>
      </c>
    </row>
    <row r="196" spans="1:18">
      <c r="A196" s="222" t="s">
        <v>1812</v>
      </c>
      <c r="B196" s="222" t="s">
        <v>1755</v>
      </c>
      <c r="C196" s="222" t="s">
        <v>2836</v>
      </c>
      <c r="D196" s="222">
        <v>30</v>
      </c>
      <c r="E196" s="222">
        <v>30</v>
      </c>
      <c r="F196" s="222" t="s">
        <v>1721</v>
      </c>
      <c r="G196" s="222">
        <v>1.8023602778243999</v>
      </c>
      <c r="H196" s="222">
        <v>1.3353951156677399</v>
      </c>
      <c r="I196" s="222">
        <v>1.3358703001788701</v>
      </c>
      <c r="J196" s="222" t="s">
        <v>848</v>
      </c>
      <c r="K196" s="222" t="s">
        <v>2849</v>
      </c>
      <c r="L196" s="222">
        <v>2.11082029453908E-2</v>
      </c>
      <c r="M196" s="222">
        <v>1.1908176365916501E-3</v>
      </c>
      <c r="N196" s="222" t="s">
        <v>1812</v>
      </c>
      <c r="O196" s="222" t="s">
        <v>1715</v>
      </c>
      <c r="P196" s="222" t="s">
        <v>1715</v>
      </c>
      <c r="Q196" s="222" t="s">
        <v>1813</v>
      </c>
      <c r="R196" s="222" t="s">
        <v>1747</v>
      </c>
    </row>
    <row r="197" spans="1:18">
      <c r="A197" s="222" t="s">
        <v>2968</v>
      </c>
      <c r="B197" s="222" t="s">
        <v>1755</v>
      </c>
      <c r="C197" s="222" t="s">
        <v>2836</v>
      </c>
      <c r="D197" s="222">
        <v>30</v>
      </c>
      <c r="E197" s="222">
        <v>30</v>
      </c>
      <c r="F197" s="222" t="s">
        <v>1721</v>
      </c>
      <c r="G197" s="222">
        <v>-1.8702237354187401</v>
      </c>
      <c r="H197" s="222">
        <v>-1.3639720977995899</v>
      </c>
      <c r="I197" s="222">
        <v>-2.1937055167736998</v>
      </c>
      <c r="J197" s="222" t="s">
        <v>848</v>
      </c>
      <c r="K197" s="222" t="s">
        <v>2849</v>
      </c>
      <c r="L197" s="222">
        <v>2.11082029453908E-2</v>
      </c>
      <c r="M197" s="222">
        <v>1.17837704761553E-3</v>
      </c>
      <c r="N197" s="222" t="s">
        <v>2968</v>
      </c>
      <c r="O197" s="222" t="s">
        <v>2056</v>
      </c>
      <c r="P197" s="222" t="s">
        <v>2594</v>
      </c>
      <c r="Q197" s="222" t="s">
        <v>2969</v>
      </c>
      <c r="R197" s="222" t="s">
        <v>2602</v>
      </c>
    </row>
    <row r="198" spans="1:18">
      <c r="A198" s="222" t="s">
        <v>2970</v>
      </c>
      <c r="B198" s="222" t="s">
        <v>1755</v>
      </c>
      <c r="C198" s="222" t="s">
        <v>2836</v>
      </c>
      <c r="D198" s="222">
        <v>30</v>
      </c>
      <c r="E198" s="222">
        <v>30</v>
      </c>
      <c r="F198" s="222" t="s">
        <v>1721</v>
      </c>
      <c r="G198" s="222">
        <v>2.55507051807411</v>
      </c>
      <c r="H198" s="222">
        <v>1.60835759672204</v>
      </c>
      <c r="I198" s="222">
        <v>1.7274114652174299</v>
      </c>
      <c r="J198" s="222" t="s">
        <v>848</v>
      </c>
      <c r="K198" s="222" t="s">
        <v>2849</v>
      </c>
      <c r="L198" s="222">
        <v>2.1644840581145401E-2</v>
      </c>
      <c r="M198" s="222">
        <v>1.2407870396834899E-3</v>
      </c>
      <c r="N198" s="222" t="s">
        <v>2970</v>
      </c>
      <c r="O198" s="222" t="s">
        <v>1987</v>
      </c>
      <c r="P198" s="222" t="s">
        <v>1987</v>
      </c>
      <c r="Q198" s="222" t="s">
        <v>2971</v>
      </c>
    </row>
    <row r="199" spans="1:18">
      <c r="A199" s="222" t="s">
        <v>2972</v>
      </c>
      <c r="B199" s="222" t="s">
        <v>1755</v>
      </c>
      <c r="C199" s="222" t="s">
        <v>2836</v>
      </c>
      <c r="D199" s="222">
        <v>30</v>
      </c>
      <c r="E199" s="222">
        <v>30</v>
      </c>
      <c r="F199" s="222" t="s">
        <v>1721</v>
      </c>
      <c r="G199" s="222">
        <v>-6.7320445526037798</v>
      </c>
      <c r="H199" s="222">
        <v>-2.87092646189455</v>
      </c>
      <c r="I199" s="222">
        <v>0</v>
      </c>
      <c r="J199" s="222">
        <v>1</v>
      </c>
      <c r="K199" s="222" t="s">
        <v>2849</v>
      </c>
      <c r="L199" s="222">
        <v>2.19244537521418E-2</v>
      </c>
      <c r="M199" s="222">
        <v>1.27676527764975E-3</v>
      </c>
      <c r="N199" s="222" t="s">
        <v>2972</v>
      </c>
      <c r="O199" s="222" t="s">
        <v>1710</v>
      </c>
      <c r="P199" s="222" t="s">
        <v>1831</v>
      </c>
      <c r="Q199" s="222" t="s">
        <v>2973</v>
      </c>
      <c r="R199" s="222" t="s">
        <v>2974</v>
      </c>
    </row>
    <row r="200" spans="1:18">
      <c r="A200" s="222" t="s">
        <v>2975</v>
      </c>
      <c r="B200" s="222" t="s">
        <v>1735</v>
      </c>
      <c r="C200" s="222" t="s">
        <v>2836</v>
      </c>
      <c r="D200" s="222">
        <v>30</v>
      </c>
      <c r="E200" s="222">
        <v>30</v>
      </c>
      <c r="F200" s="222" t="s">
        <v>440</v>
      </c>
      <c r="G200" s="222">
        <v>-2.1709193828784201</v>
      </c>
      <c r="H200" s="222">
        <v>-1.5404910845029001</v>
      </c>
      <c r="I200" s="222">
        <v>-2.6773809015422301</v>
      </c>
      <c r="J200" s="222" t="s">
        <v>848</v>
      </c>
      <c r="K200" s="222" t="s">
        <v>2837</v>
      </c>
      <c r="L200" s="222">
        <v>2.24702741757585E-2</v>
      </c>
      <c r="M200" s="222">
        <v>1.7133807155463199E-3</v>
      </c>
      <c r="N200" s="222" t="s">
        <v>2975</v>
      </c>
      <c r="O200" s="222" t="s">
        <v>1817</v>
      </c>
      <c r="P200" s="222" t="s">
        <v>2062</v>
      </c>
      <c r="Q200" s="222" t="s">
        <v>2976</v>
      </c>
    </row>
    <row r="201" spans="1:18">
      <c r="A201" s="222" t="s">
        <v>2977</v>
      </c>
      <c r="B201" s="222" t="s">
        <v>1755</v>
      </c>
      <c r="C201" s="222" t="s">
        <v>2836</v>
      </c>
      <c r="D201" s="222">
        <v>30</v>
      </c>
      <c r="E201" s="222">
        <v>30</v>
      </c>
      <c r="F201" s="222" t="s">
        <v>1721</v>
      </c>
      <c r="G201" s="222">
        <v>-2.30128085657585</v>
      </c>
      <c r="H201" s="222">
        <v>-1.5116407856132901</v>
      </c>
      <c r="I201" s="222">
        <v>-2.7183065038469199</v>
      </c>
      <c r="J201" s="222" t="s">
        <v>848</v>
      </c>
      <c r="K201" s="222" t="s">
        <v>2849</v>
      </c>
      <c r="L201" s="222">
        <v>2.2495323852725398E-2</v>
      </c>
      <c r="M201" s="222">
        <v>1.35094756531381E-3</v>
      </c>
      <c r="N201" s="222" t="s">
        <v>2977</v>
      </c>
      <c r="O201" s="222" t="s">
        <v>1710</v>
      </c>
      <c r="P201" s="222" t="s">
        <v>2310</v>
      </c>
      <c r="Q201" s="222" t="s">
        <v>2978</v>
      </c>
    </row>
    <row r="202" spans="1:18">
      <c r="A202" s="222" t="s">
        <v>2979</v>
      </c>
      <c r="B202" s="222" t="s">
        <v>1755</v>
      </c>
      <c r="C202" s="222" t="s">
        <v>2836</v>
      </c>
      <c r="D202" s="222">
        <v>30</v>
      </c>
      <c r="E202" s="222">
        <v>30</v>
      </c>
      <c r="F202" s="222" t="s">
        <v>1721</v>
      </c>
      <c r="G202" s="222">
        <v>-7.2428802360989897</v>
      </c>
      <c r="H202" s="222">
        <v>-2.8651379934992698</v>
      </c>
      <c r="I202" s="222">
        <v>0</v>
      </c>
      <c r="J202" s="222">
        <v>1</v>
      </c>
      <c r="K202" s="222" t="s">
        <v>2849</v>
      </c>
      <c r="L202" s="222">
        <v>2.2495323852725398E-2</v>
      </c>
      <c r="M202" s="222">
        <v>1.33411811291288E-3</v>
      </c>
      <c r="N202" s="222" t="s">
        <v>2979</v>
      </c>
      <c r="O202" s="222" t="s">
        <v>2757</v>
      </c>
      <c r="P202" s="222" t="s">
        <v>2758</v>
      </c>
      <c r="Q202" s="222" t="s">
        <v>2980</v>
      </c>
    </row>
    <row r="203" spans="1:18">
      <c r="A203" s="222" t="s">
        <v>1885</v>
      </c>
      <c r="B203" s="222" t="s">
        <v>1735</v>
      </c>
      <c r="C203" s="222" t="s">
        <v>2836</v>
      </c>
      <c r="D203" s="222">
        <v>30</v>
      </c>
      <c r="E203" s="222">
        <v>30</v>
      </c>
      <c r="F203" s="222" t="s">
        <v>440</v>
      </c>
      <c r="G203" s="222">
        <v>4.5880623459535101</v>
      </c>
      <c r="H203" s="222">
        <v>2.0761472305865101</v>
      </c>
      <c r="I203" s="222">
        <v>1.5849625007211501</v>
      </c>
      <c r="J203" s="222" t="s">
        <v>848</v>
      </c>
      <c r="K203" s="222" t="s">
        <v>2837</v>
      </c>
      <c r="L203" s="222">
        <v>2.2652351432447398E-2</v>
      </c>
      <c r="M203" s="222">
        <v>1.74525662346894E-3</v>
      </c>
      <c r="N203" s="222" t="s">
        <v>1885</v>
      </c>
      <c r="O203" s="222" t="s">
        <v>1848</v>
      </c>
      <c r="P203" s="222" t="s">
        <v>1849</v>
      </c>
      <c r="Q203" s="222" t="s">
        <v>1886</v>
      </c>
      <c r="R203" s="222" t="s">
        <v>1887</v>
      </c>
    </row>
    <row r="204" spans="1:18">
      <c r="A204" s="222" t="s">
        <v>2981</v>
      </c>
      <c r="B204" s="222" t="s">
        <v>1755</v>
      </c>
      <c r="C204" s="222" t="s">
        <v>2836</v>
      </c>
      <c r="D204" s="222">
        <v>30</v>
      </c>
      <c r="E204" s="222">
        <v>30</v>
      </c>
      <c r="F204" s="222" t="s">
        <v>1721</v>
      </c>
      <c r="G204" s="222">
        <v>-5.27363479482052</v>
      </c>
      <c r="H204" s="222">
        <v>-2.5454864431104198</v>
      </c>
      <c r="I204" s="222">
        <v>-6.2285379971919399</v>
      </c>
      <c r="J204" s="222" t="s">
        <v>848</v>
      </c>
      <c r="K204" s="222" t="s">
        <v>2849</v>
      </c>
      <c r="L204" s="222">
        <v>2.3146083012454501E-2</v>
      </c>
      <c r="M204" s="222">
        <v>1.4237919045374801E-3</v>
      </c>
      <c r="N204" s="222" t="s">
        <v>2981</v>
      </c>
      <c r="O204" s="222" t="s">
        <v>2394</v>
      </c>
      <c r="P204" s="222" t="s">
        <v>2433</v>
      </c>
      <c r="Q204" s="222" t="s">
        <v>2982</v>
      </c>
    </row>
    <row r="205" spans="1:18">
      <c r="A205" s="222" t="s">
        <v>2679</v>
      </c>
      <c r="B205" s="222" t="s">
        <v>1755</v>
      </c>
      <c r="C205" s="222" t="s">
        <v>2836</v>
      </c>
      <c r="D205" s="222">
        <v>30</v>
      </c>
      <c r="E205" s="222">
        <v>30</v>
      </c>
      <c r="F205" s="222" t="s">
        <v>1721</v>
      </c>
      <c r="G205" s="222">
        <v>-6.9509362679014099</v>
      </c>
      <c r="H205" s="222">
        <v>-2.8017439650723399</v>
      </c>
      <c r="I205" s="222">
        <v>0</v>
      </c>
      <c r="J205" s="222">
        <v>1</v>
      </c>
      <c r="K205" s="222" t="s">
        <v>2849</v>
      </c>
      <c r="L205" s="222">
        <v>2.3146083012454501E-2</v>
      </c>
      <c r="M205" s="222">
        <v>1.43215072324559E-3</v>
      </c>
      <c r="N205" s="222" t="s">
        <v>2679</v>
      </c>
      <c r="O205" s="222" t="s">
        <v>1710</v>
      </c>
      <c r="P205" s="222" t="s">
        <v>2310</v>
      </c>
      <c r="Q205" s="222" t="s">
        <v>2680</v>
      </c>
      <c r="R205" s="222" t="s">
        <v>2673</v>
      </c>
    </row>
    <row r="206" spans="1:18">
      <c r="A206" s="222" t="s">
        <v>2177</v>
      </c>
      <c r="B206" s="222" t="s">
        <v>1735</v>
      </c>
      <c r="C206" s="222" t="s">
        <v>2836</v>
      </c>
      <c r="D206" s="222">
        <v>30</v>
      </c>
      <c r="E206" s="222">
        <v>30</v>
      </c>
      <c r="F206" s="222" t="s">
        <v>440</v>
      </c>
      <c r="G206" s="222">
        <v>-1.9843998649475401</v>
      </c>
      <c r="H206" s="222">
        <v>-1.44173647246188</v>
      </c>
      <c r="I206" s="222">
        <v>-4.1827948705294</v>
      </c>
      <c r="J206" s="222" t="s">
        <v>848</v>
      </c>
      <c r="K206" s="222" t="s">
        <v>2837</v>
      </c>
      <c r="L206" s="222">
        <v>2.3179253165898001E-2</v>
      </c>
      <c r="M206" s="222">
        <v>1.81926279530495E-3</v>
      </c>
      <c r="N206" s="222" t="s">
        <v>2177</v>
      </c>
      <c r="O206" s="222" t="s">
        <v>2061</v>
      </c>
      <c r="P206" s="222" t="s">
        <v>2161</v>
      </c>
      <c r="Q206" s="222" t="s">
        <v>2178</v>
      </c>
    </row>
    <row r="207" spans="1:18">
      <c r="A207" s="222" t="s">
        <v>2983</v>
      </c>
      <c r="B207" s="222" t="s">
        <v>1735</v>
      </c>
      <c r="C207" s="222" t="s">
        <v>2836</v>
      </c>
      <c r="D207" s="222">
        <v>30</v>
      </c>
      <c r="E207" s="222">
        <v>30</v>
      </c>
      <c r="F207" s="222" t="s">
        <v>440</v>
      </c>
      <c r="G207" s="222">
        <v>1.58314017025681</v>
      </c>
      <c r="H207" s="222">
        <v>1.2129441240335701</v>
      </c>
      <c r="I207" s="222">
        <v>1.0956067773697999</v>
      </c>
      <c r="J207" s="222" t="s">
        <v>848</v>
      </c>
      <c r="K207" s="222" t="s">
        <v>2837</v>
      </c>
      <c r="L207" s="222">
        <v>2.3179253165898001E-2</v>
      </c>
      <c r="M207" s="222">
        <v>1.8226736008132699E-3</v>
      </c>
      <c r="N207" s="222" t="s">
        <v>2983</v>
      </c>
      <c r="O207" s="222" t="s">
        <v>1848</v>
      </c>
      <c r="P207" s="222" t="s">
        <v>1849</v>
      </c>
      <c r="Q207" s="222" t="s">
        <v>2984</v>
      </c>
      <c r="R207" s="222" t="s">
        <v>1865</v>
      </c>
    </row>
    <row r="208" spans="1:18">
      <c r="A208" s="222" t="s">
        <v>2897</v>
      </c>
      <c r="B208" s="222" t="s">
        <v>1731</v>
      </c>
      <c r="C208" s="222" t="s">
        <v>2836</v>
      </c>
      <c r="D208" s="222">
        <v>30</v>
      </c>
      <c r="E208" s="222">
        <v>30</v>
      </c>
      <c r="F208" s="222" t="s">
        <v>1708</v>
      </c>
      <c r="G208" s="222">
        <v>-2.2472566867930102</v>
      </c>
      <c r="H208" s="222">
        <v>-0.95825194532374203</v>
      </c>
      <c r="I208" s="222">
        <v>-4.7623457008852501</v>
      </c>
      <c r="J208" s="222" t="s">
        <v>848</v>
      </c>
      <c r="K208" s="222" t="s">
        <v>2857</v>
      </c>
      <c r="L208" s="222">
        <v>2.3225414002535999E-2</v>
      </c>
      <c r="M208" s="231">
        <v>7.32732946542725E-4</v>
      </c>
      <c r="N208" s="222" t="s">
        <v>2897</v>
      </c>
      <c r="O208" s="222" t="s">
        <v>1710</v>
      </c>
      <c r="P208" s="222" t="s">
        <v>2536</v>
      </c>
      <c r="Q208" s="222" t="s">
        <v>2898</v>
      </c>
    </row>
    <row r="209" spans="1:18">
      <c r="A209" s="222" t="s">
        <v>2022</v>
      </c>
      <c r="B209" s="222" t="s">
        <v>1731</v>
      </c>
      <c r="C209" s="222" t="s">
        <v>2836</v>
      </c>
      <c r="D209" s="222">
        <v>30</v>
      </c>
      <c r="E209" s="222">
        <v>30</v>
      </c>
      <c r="F209" s="222" t="s">
        <v>1708</v>
      </c>
      <c r="G209" s="222">
        <v>1.97278422189258</v>
      </c>
      <c r="H209" s="222">
        <v>0.89553722183224704</v>
      </c>
      <c r="I209" s="222">
        <v>0.850744467172598</v>
      </c>
      <c r="J209" s="222" t="s">
        <v>848</v>
      </c>
      <c r="K209" s="222" t="s">
        <v>2857</v>
      </c>
      <c r="L209" s="222">
        <v>2.3569120779085101E-2</v>
      </c>
      <c r="M209" s="231">
        <v>7.6610908842150705E-4</v>
      </c>
      <c r="N209" s="222" t="s">
        <v>2022</v>
      </c>
      <c r="O209" s="222" t="s">
        <v>1710</v>
      </c>
      <c r="P209" s="222" t="s">
        <v>2014</v>
      </c>
      <c r="Q209" s="222" t="s">
        <v>2023</v>
      </c>
    </row>
    <row r="210" spans="1:18">
      <c r="A210" s="222" t="s">
        <v>2862</v>
      </c>
      <c r="B210" s="222" t="s">
        <v>1755</v>
      </c>
      <c r="C210" s="222" t="s">
        <v>2836</v>
      </c>
      <c r="D210" s="222">
        <v>30</v>
      </c>
      <c r="E210" s="222">
        <v>30</v>
      </c>
      <c r="F210" s="222" t="s">
        <v>1721</v>
      </c>
      <c r="G210" s="222">
        <v>-6.7138403095115304</v>
      </c>
      <c r="H210" s="222">
        <v>-2.7590037357758699</v>
      </c>
      <c r="I210" s="222">
        <v>0</v>
      </c>
      <c r="J210" s="222">
        <v>1</v>
      </c>
      <c r="K210" s="222" t="s">
        <v>2849</v>
      </c>
      <c r="L210" s="222">
        <v>2.3731807838798101E-2</v>
      </c>
      <c r="M210" s="222">
        <v>1.4899861154477399E-3</v>
      </c>
      <c r="N210" s="222" t="s">
        <v>2862</v>
      </c>
      <c r="O210" s="222" t="s">
        <v>1817</v>
      </c>
      <c r="P210" s="222" t="s">
        <v>2062</v>
      </c>
      <c r="Q210" s="222" t="s">
        <v>2863</v>
      </c>
    </row>
    <row r="211" spans="1:18">
      <c r="A211" s="222" t="s">
        <v>2068</v>
      </c>
      <c r="B211" s="222" t="s">
        <v>1735</v>
      </c>
      <c r="C211" s="222" t="s">
        <v>2836</v>
      </c>
      <c r="D211" s="222">
        <v>30</v>
      </c>
      <c r="E211" s="222">
        <v>30</v>
      </c>
      <c r="F211" s="222" t="s">
        <v>440</v>
      </c>
      <c r="G211" s="222">
        <v>1.81059412264325</v>
      </c>
      <c r="H211" s="222">
        <v>1.3441463361505499</v>
      </c>
      <c r="I211" s="222">
        <v>1.1763178631242499</v>
      </c>
      <c r="J211" s="222" t="s">
        <v>848</v>
      </c>
      <c r="K211" s="222" t="s">
        <v>2837</v>
      </c>
      <c r="L211" s="222">
        <v>2.3896844420695298E-2</v>
      </c>
      <c r="M211" s="222">
        <v>1.89808136780741E-3</v>
      </c>
      <c r="N211" s="222" t="s">
        <v>2068</v>
      </c>
      <c r="O211" s="222" t="s">
        <v>1817</v>
      </c>
      <c r="P211" s="222" t="s">
        <v>2062</v>
      </c>
      <c r="Q211" s="222" t="s">
        <v>2069</v>
      </c>
      <c r="R211" s="222" t="s">
        <v>2070</v>
      </c>
    </row>
    <row r="212" spans="1:18">
      <c r="A212" s="222" t="s">
        <v>2706</v>
      </c>
      <c r="B212" s="222" t="s">
        <v>1755</v>
      </c>
      <c r="C212" s="222" t="s">
        <v>2836</v>
      </c>
      <c r="D212" s="222">
        <v>30</v>
      </c>
      <c r="E212" s="222">
        <v>30</v>
      </c>
      <c r="F212" s="222" t="s">
        <v>1721</v>
      </c>
      <c r="G212" s="222">
        <v>-6.6419900931287996</v>
      </c>
      <c r="H212" s="222">
        <v>-2.7289270870273699</v>
      </c>
      <c r="I212" s="222">
        <v>0</v>
      </c>
      <c r="J212" s="222">
        <v>1</v>
      </c>
      <c r="K212" s="222" t="s">
        <v>2849</v>
      </c>
      <c r="L212" s="222">
        <v>2.3903322419401199E-2</v>
      </c>
      <c r="M212" s="222">
        <v>1.5430135061699399E-3</v>
      </c>
      <c r="N212" s="222" t="s">
        <v>2706</v>
      </c>
      <c r="O212" s="222" t="s">
        <v>1710</v>
      </c>
      <c r="P212" s="222" t="s">
        <v>2310</v>
      </c>
      <c r="Q212" s="222" t="s">
        <v>2707</v>
      </c>
    </row>
    <row r="213" spans="1:18">
      <c r="A213" s="222" t="s">
        <v>2985</v>
      </c>
      <c r="B213" s="222" t="s">
        <v>1755</v>
      </c>
      <c r="C213" s="222" t="s">
        <v>2836</v>
      </c>
      <c r="D213" s="222">
        <v>30</v>
      </c>
      <c r="E213" s="222">
        <v>30</v>
      </c>
      <c r="F213" s="222" t="s">
        <v>1721</v>
      </c>
      <c r="G213" s="222">
        <v>4.7896741073112699</v>
      </c>
      <c r="H213" s="222">
        <v>2.3670603481471</v>
      </c>
      <c r="I213" s="222">
        <v>2.4872271540247999</v>
      </c>
      <c r="J213" s="222" t="s">
        <v>848</v>
      </c>
      <c r="K213" s="222" t="s">
        <v>2849</v>
      </c>
      <c r="L213" s="222">
        <v>2.3903322419401199E-2</v>
      </c>
      <c r="M213" s="222">
        <v>1.54425467859643E-3</v>
      </c>
      <c r="N213" s="222" t="s">
        <v>2985</v>
      </c>
      <c r="O213" s="222" t="s">
        <v>1710</v>
      </c>
      <c r="P213" s="222" t="s">
        <v>2155</v>
      </c>
      <c r="Q213" s="222" t="s">
        <v>2986</v>
      </c>
      <c r="R213" s="222" t="s">
        <v>2987</v>
      </c>
    </row>
    <row r="214" spans="1:18">
      <c r="A214" s="222" t="s">
        <v>2988</v>
      </c>
      <c r="B214" s="222" t="s">
        <v>1755</v>
      </c>
      <c r="C214" s="222" t="s">
        <v>2836</v>
      </c>
      <c r="D214" s="222">
        <v>30</v>
      </c>
      <c r="E214" s="222">
        <v>30</v>
      </c>
      <c r="F214" s="222" t="s">
        <v>1721</v>
      </c>
      <c r="G214" s="222">
        <v>1.9543931690090299</v>
      </c>
      <c r="H214" s="222">
        <v>1.3757059550058901</v>
      </c>
      <c r="I214" s="222">
        <v>1.4484339688274199</v>
      </c>
      <c r="J214" s="222" t="s">
        <v>848</v>
      </c>
      <c r="K214" s="222" t="s">
        <v>2849</v>
      </c>
      <c r="L214" s="222">
        <v>2.4100322859084301E-2</v>
      </c>
      <c r="M214" s="222">
        <v>1.57891105173254E-3</v>
      </c>
      <c r="N214" s="222" t="s">
        <v>2988</v>
      </c>
      <c r="O214" s="222" t="s">
        <v>1715</v>
      </c>
      <c r="P214" s="222" t="s">
        <v>1715</v>
      </c>
      <c r="Q214" s="222" t="s">
        <v>2989</v>
      </c>
    </row>
    <row r="215" spans="1:18">
      <c r="A215" s="222" t="s">
        <v>2807</v>
      </c>
      <c r="B215" s="222" t="s">
        <v>1735</v>
      </c>
      <c r="C215" s="222" t="s">
        <v>2836</v>
      </c>
      <c r="D215" s="222">
        <v>30</v>
      </c>
      <c r="E215" s="222">
        <v>30</v>
      </c>
      <c r="F215" s="222" t="s">
        <v>440</v>
      </c>
      <c r="G215" s="222">
        <v>3.2550323631140601</v>
      </c>
      <c r="H215" s="222">
        <v>1.8792372482083499</v>
      </c>
      <c r="I215" s="222">
        <v>1.4107502767475999</v>
      </c>
      <c r="J215" s="222" t="s">
        <v>848</v>
      </c>
      <c r="K215" s="222" t="s">
        <v>2837</v>
      </c>
      <c r="L215" s="222">
        <v>2.41489420719041E-2</v>
      </c>
      <c r="M215" s="222">
        <v>1.9372860597794399E-3</v>
      </c>
      <c r="N215" s="222" t="s">
        <v>2807</v>
      </c>
      <c r="O215" s="222" t="s">
        <v>2757</v>
      </c>
      <c r="P215" s="222" t="s">
        <v>2758</v>
      </c>
      <c r="Q215" s="222" t="s">
        <v>2808</v>
      </c>
    </row>
    <row r="216" spans="1:18">
      <c r="A216" s="222" t="s">
        <v>2874</v>
      </c>
      <c r="B216" s="222" t="s">
        <v>1731</v>
      </c>
      <c r="C216" s="222" t="s">
        <v>2836</v>
      </c>
      <c r="D216" s="222">
        <v>30</v>
      </c>
      <c r="E216" s="222">
        <v>30</v>
      </c>
      <c r="F216" s="222" t="s">
        <v>1708</v>
      </c>
      <c r="G216" s="222">
        <v>-2.8270796539532301</v>
      </c>
      <c r="H216" s="222">
        <v>-1.00840747167752</v>
      </c>
      <c r="I216" s="222">
        <v>0</v>
      </c>
      <c r="J216" s="222">
        <v>1</v>
      </c>
      <c r="K216" s="222" t="s">
        <v>2857</v>
      </c>
      <c r="L216" s="222">
        <v>2.4158897626342501E-2</v>
      </c>
      <c r="M216" s="231">
        <v>8.0837611560419698E-4</v>
      </c>
      <c r="N216" s="222" t="s">
        <v>2874</v>
      </c>
      <c r="O216" s="222" t="s">
        <v>2757</v>
      </c>
      <c r="P216" s="222" t="s">
        <v>2758</v>
      </c>
      <c r="Q216" s="222" t="s">
        <v>2875</v>
      </c>
    </row>
    <row r="217" spans="1:18">
      <c r="A217" s="222" t="s">
        <v>1753</v>
      </c>
      <c r="B217" s="222" t="s">
        <v>1731</v>
      </c>
      <c r="C217" s="222" t="s">
        <v>2836</v>
      </c>
      <c r="D217" s="222">
        <v>30</v>
      </c>
      <c r="E217" s="222">
        <v>30</v>
      </c>
      <c r="F217" s="222" t="s">
        <v>1708</v>
      </c>
      <c r="G217" s="222">
        <v>1.25964458872366</v>
      </c>
      <c r="H217" s="222">
        <v>0.72801878982430501</v>
      </c>
      <c r="I217" s="222">
        <v>0.76692007837514697</v>
      </c>
      <c r="J217" s="222" t="s">
        <v>848</v>
      </c>
      <c r="K217" s="222" t="s">
        <v>2857</v>
      </c>
      <c r="L217" s="222">
        <v>2.4208123240636401E-2</v>
      </c>
      <c r="M217" s="231">
        <v>8.3316676545211498E-4</v>
      </c>
      <c r="N217" s="222" t="s">
        <v>1753</v>
      </c>
      <c r="O217" s="222" t="s">
        <v>1715</v>
      </c>
      <c r="P217" s="222" t="s">
        <v>1715</v>
      </c>
      <c r="Q217" s="222" t="s">
        <v>1754</v>
      </c>
    </row>
    <row r="218" spans="1:18">
      <c r="A218" s="222" t="s">
        <v>2990</v>
      </c>
      <c r="B218" s="222" t="s">
        <v>1731</v>
      </c>
      <c r="C218" s="222" t="s">
        <v>2836</v>
      </c>
      <c r="D218" s="222">
        <v>30</v>
      </c>
      <c r="E218" s="222">
        <v>30</v>
      </c>
      <c r="F218" s="222" t="s">
        <v>1708</v>
      </c>
      <c r="G218" s="222">
        <v>2.84396624227122</v>
      </c>
      <c r="H218" s="222">
        <v>0.99332892207395396</v>
      </c>
      <c r="I218" s="222">
        <v>0.93506204649788105</v>
      </c>
      <c r="J218" s="222" t="s">
        <v>848</v>
      </c>
      <c r="K218" s="222" t="s">
        <v>2857</v>
      </c>
      <c r="L218" s="222">
        <v>2.4290389924545099E-2</v>
      </c>
      <c r="M218" s="231">
        <v>8.5922029369805801E-4</v>
      </c>
      <c r="N218" s="222" t="s">
        <v>2990</v>
      </c>
      <c r="O218" s="222" t="s">
        <v>1817</v>
      </c>
      <c r="P218" s="222" t="s">
        <v>2062</v>
      </c>
      <c r="Q218" s="222" t="s">
        <v>2991</v>
      </c>
    </row>
    <row r="219" spans="1:18">
      <c r="A219" s="222" t="s">
        <v>2812</v>
      </c>
      <c r="B219" s="222" t="s">
        <v>1735</v>
      </c>
      <c r="C219" s="222" t="s">
        <v>2836</v>
      </c>
      <c r="D219" s="222">
        <v>30</v>
      </c>
      <c r="E219" s="222">
        <v>30</v>
      </c>
      <c r="F219" s="222" t="s">
        <v>440</v>
      </c>
      <c r="G219" s="222">
        <v>-3.4479667885138898</v>
      </c>
      <c r="H219" s="222">
        <v>-1.9091226295930399</v>
      </c>
      <c r="I219" s="222">
        <v>-4.8304511341313798</v>
      </c>
      <c r="J219" s="222" t="s">
        <v>848</v>
      </c>
      <c r="K219" s="222" t="s">
        <v>2837</v>
      </c>
      <c r="L219" s="222">
        <v>2.4679932096682799E-2</v>
      </c>
      <c r="M219" s="222">
        <v>1.9994861587463398E-3</v>
      </c>
      <c r="N219" s="222" t="s">
        <v>2812</v>
      </c>
      <c r="O219" s="222" t="s">
        <v>2757</v>
      </c>
      <c r="P219" s="222" t="s">
        <v>2758</v>
      </c>
      <c r="Q219" s="222" t="s">
        <v>2813</v>
      </c>
      <c r="R219" s="222" t="s">
        <v>2814</v>
      </c>
    </row>
    <row r="220" spans="1:18">
      <c r="A220" s="222" t="s">
        <v>2992</v>
      </c>
      <c r="B220" s="222" t="s">
        <v>1755</v>
      </c>
      <c r="C220" s="222" t="s">
        <v>2836</v>
      </c>
      <c r="D220" s="222">
        <v>30</v>
      </c>
      <c r="E220" s="222">
        <v>30</v>
      </c>
      <c r="F220" s="222" t="s">
        <v>1721</v>
      </c>
      <c r="G220" s="222">
        <v>-2.7542420704606401</v>
      </c>
      <c r="H220" s="222">
        <v>-1.6371135813543201</v>
      </c>
      <c r="I220" s="222">
        <v>-3.23045075471564</v>
      </c>
      <c r="J220" s="222" t="s">
        <v>848</v>
      </c>
      <c r="K220" s="222" t="s">
        <v>2849</v>
      </c>
      <c r="L220" s="222">
        <v>2.4738055886505399E-2</v>
      </c>
      <c r="M220" s="222">
        <v>1.6657107694280299E-3</v>
      </c>
      <c r="N220" s="222" t="s">
        <v>2992</v>
      </c>
      <c r="O220" s="222" t="s">
        <v>1715</v>
      </c>
      <c r="P220" s="222" t="s">
        <v>1715</v>
      </c>
      <c r="Q220" s="222" t="s">
        <v>2993</v>
      </c>
      <c r="R220" s="222" t="s">
        <v>2994</v>
      </c>
    </row>
    <row r="221" spans="1:18">
      <c r="A221" s="222" t="s">
        <v>2704</v>
      </c>
      <c r="B221" s="222" t="s">
        <v>1755</v>
      </c>
      <c r="C221" s="222" t="s">
        <v>2836</v>
      </c>
      <c r="D221" s="222">
        <v>30</v>
      </c>
      <c r="E221" s="222">
        <v>30</v>
      </c>
      <c r="F221" s="222" t="s">
        <v>1721</v>
      </c>
      <c r="G221" s="222">
        <v>-6.9043824600977803</v>
      </c>
      <c r="H221" s="222">
        <v>-2.6969811630819902</v>
      </c>
      <c r="I221" s="222">
        <v>0</v>
      </c>
      <c r="J221" s="222">
        <v>1</v>
      </c>
      <c r="K221" s="222" t="s">
        <v>2849</v>
      </c>
      <c r="L221" s="222">
        <v>2.4738055886505399E-2</v>
      </c>
      <c r="M221" s="222">
        <v>1.64674846966858E-3</v>
      </c>
      <c r="N221" s="222" t="s">
        <v>2704</v>
      </c>
      <c r="O221" s="222" t="s">
        <v>1710</v>
      </c>
      <c r="P221" s="222" t="s">
        <v>2310</v>
      </c>
      <c r="Q221" s="222" t="s">
        <v>2705</v>
      </c>
    </row>
    <row r="222" spans="1:18">
      <c r="A222" s="222" t="s">
        <v>2995</v>
      </c>
      <c r="B222" s="222" t="s">
        <v>1735</v>
      </c>
      <c r="C222" s="222" t="s">
        <v>2836</v>
      </c>
      <c r="D222" s="222">
        <v>30</v>
      </c>
      <c r="E222" s="222">
        <v>30</v>
      </c>
      <c r="F222" s="222" t="s">
        <v>440</v>
      </c>
      <c r="G222" s="222">
        <v>4.0814906064727303</v>
      </c>
      <c r="H222" s="222">
        <v>1.97282530929686</v>
      </c>
      <c r="I222" s="222">
        <v>1.5626496816995801</v>
      </c>
      <c r="J222" s="222" t="s">
        <v>848</v>
      </c>
      <c r="K222" s="222" t="s">
        <v>2837</v>
      </c>
      <c r="L222" s="222">
        <v>2.5832724129514699E-2</v>
      </c>
      <c r="M222" s="222">
        <v>2.11339998835585E-3</v>
      </c>
      <c r="N222" s="222" t="s">
        <v>2995</v>
      </c>
      <c r="O222" s="222" t="s">
        <v>2033</v>
      </c>
      <c r="P222" s="222" t="s">
        <v>2594</v>
      </c>
      <c r="Q222" s="222" t="s">
        <v>2996</v>
      </c>
    </row>
    <row r="223" spans="1:18">
      <c r="A223" s="222" t="s">
        <v>1740</v>
      </c>
      <c r="B223" s="222" t="s">
        <v>1731</v>
      </c>
      <c r="C223" s="222" t="s">
        <v>2836</v>
      </c>
      <c r="D223" s="222">
        <v>30</v>
      </c>
      <c r="E223" s="222">
        <v>30</v>
      </c>
      <c r="F223" s="222" t="s">
        <v>1708</v>
      </c>
      <c r="G223" s="222">
        <v>-1.39405416866237</v>
      </c>
      <c r="H223" s="222">
        <v>-0.74877238757713105</v>
      </c>
      <c r="I223" s="222">
        <v>-2.0983598920078999</v>
      </c>
      <c r="J223" s="222" t="s">
        <v>848</v>
      </c>
      <c r="K223" s="222" t="s">
        <v>2857</v>
      </c>
      <c r="L223" s="222">
        <v>2.6071535313192399E-2</v>
      </c>
      <c r="M223" s="231">
        <v>9.5510295653455197E-4</v>
      </c>
      <c r="N223" s="222" t="s">
        <v>1740</v>
      </c>
      <c r="O223" s="222" t="s">
        <v>1715</v>
      </c>
      <c r="P223" s="222" t="s">
        <v>1715</v>
      </c>
      <c r="Q223" s="222" t="s">
        <v>1741</v>
      </c>
      <c r="R223" s="222" t="s">
        <v>1742</v>
      </c>
    </row>
    <row r="224" spans="1:18">
      <c r="A224" s="222" t="s">
        <v>2336</v>
      </c>
      <c r="B224" s="222" t="s">
        <v>1731</v>
      </c>
      <c r="C224" s="222" t="s">
        <v>2836</v>
      </c>
      <c r="D224" s="222">
        <v>30</v>
      </c>
      <c r="E224" s="222">
        <v>30</v>
      </c>
      <c r="F224" s="222" t="s">
        <v>1708</v>
      </c>
      <c r="G224" s="222">
        <v>1.35327599281839</v>
      </c>
      <c r="H224" s="222">
        <v>0.73870822031108496</v>
      </c>
      <c r="I224" s="222">
        <v>0.69937313755465602</v>
      </c>
      <c r="J224" s="222" t="s">
        <v>848</v>
      </c>
      <c r="K224" s="222" t="s">
        <v>2857</v>
      </c>
      <c r="L224" s="222">
        <v>2.6071535313192399E-2</v>
      </c>
      <c r="M224" s="231">
        <v>9.7207445240392602E-4</v>
      </c>
      <c r="N224" s="222" t="s">
        <v>2336</v>
      </c>
      <c r="O224" s="222" t="s">
        <v>1710</v>
      </c>
      <c r="P224" s="222" t="s">
        <v>2334</v>
      </c>
      <c r="Q224" s="222" t="s">
        <v>2337</v>
      </c>
    </row>
    <row r="225" spans="1:18">
      <c r="A225" s="222" t="s">
        <v>1537</v>
      </c>
      <c r="B225" s="222" t="s">
        <v>1731</v>
      </c>
      <c r="C225" s="222" t="s">
        <v>2836</v>
      </c>
      <c r="D225" s="222">
        <v>30</v>
      </c>
      <c r="E225" s="222">
        <v>30</v>
      </c>
      <c r="F225" s="222" t="s">
        <v>1708</v>
      </c>
      <c r="G225" s="222">
        <v>-0.95295698992561895</v>
      </c>
      <c r="H225" s="222">
        <v>-0.63371663353598995</v>
      </c>
      <c r="I225" s="222">
        <v>-1.70343876545894</v>
      </c>
      <c r="J225" s="222" t="s">
        <v>848</v>
      </c>
      <c r="K225" s="222" t="s">
        <v>2857</v>
      </c>
      <c r="L225" s="222">
        <v>2.6120315876405401E-2</v>
      </c>
      <c r="M225" s="222">
        <v>1.0238364731669401E-3</v>
      </c>
      <c r="N225" s="222" t="s">
        <v>1537</v>
      </c>
      <c r="O225" s="222" t="s">
        <v>2313</v>
      </c>
      <c r="P225" s="222" t="s">
        <v>1524</v>
      </c>
      <c r="Q225" s="222" t="s">
        <v>1536</v>
      </c>
    </row>
    <row r="226" spans="1:18">
      <c r="A226" s="222" t="s">
        <v>2983</v>
      </c>
      <c r="B226" s="222" t="s">
        <v>1731</v>
      </c>
      <c r="C226" s="222" t="s">
        <v>2836</v>
      </c>
      <c r="D226" s="222">
        <v>30</v>
      </c>
      <c r="E226" s="222">
        <v>30</v>
      </c>
      <c r="F226" s="222" t="s">
        <v>1708</v>
      </c>
      <c r="G226" s="222">
        <v>-1.1997710884459201</v>
      </c>
      <c r="H226" s="222">
        <v>-0.70122175737763004</v>
      </c>
      <c r="I226" s="222">
        <v>-1.77490197196674</v>
      </c>
      <c r="J226" s="222" t="s">
        <v>848</v>
      </c>
      <c r="K226" s="222" t="s">
        <v>2857</v>
      </c>
      <c r="L226" s="222">
        <v>2.6120315876405401E-2</v>
      </c>
      <c r="M226" s="222">
        <v>1.01748442513682E-3</v>
      </c>
      <c r="N226" s="222" t="s">
        <v>2983</v>
      </c>
      <c r="O226" s="222" t="s">
        <v>1848</v>
      </c>
      <c r="P226" s="222" t="s">
        <v>1849</v>
      </c>
      <c r="Q226" s="222" t="s">
        <v>2984</v>
      </c>
      <c r="R226" s="222" t="s">
        <v>1865</v>
      </c>
    </row>
    <row r="227" spans="1:18">
      <c r="A227" s="222" t="s">
        <v>2077</v>
      </c>
      <c r="B227" s="222" t="s">
        <v>1735</v>
      </c>
      <c r="C227" s="222" t="s">
        <v>2836</v>
      </c>
      <c r="D227" s="222">
        <v>30</v>
      </c>
      <c r="E227" s="222">
        <v>30</v>
      </c>
      <c r="F227" s="222" t="s">
        <v>440</v>
      </c>
      <c r="G227" s="222">
        <v>3.4535306644957702</v>
      </c>
      <c r="H227" s="222">
        <v>1.8679904041164801</v>
      </c>
      <c r="I227" s="222">
        <v>1.50965019594051</v>
      </c>
      <c r="J227" s="222" t="s">
        <v>848</v>
      </c>
      <c r="K227" s="222" t="s">
        <v>2837</v>
      </c>
      <c r="L227" s="222">
        <v>2.7919715989270701E-2</v>
      </c>
      <c r="M227" s="222">
        <v>2.3063149030056801E-3</v>
      </c>
      <c r="N227" s="222" t="s">
        <v>2077</v>
      </c>
      <c r="O227" s="222" t="s">
        <v>1817</v>
      </c>
      <c r="P227" s="222" t="s">
        <v>2062</v>
      </c>
      <c r="Q227" s="222" t="s">
        <v>2078</v>
      </c>
    </row>
    <row r="228" spans="1:18">
      <c r="A228" s="222" t="s">
        <v>1514</v>
      </c>
      <c r="B228" s="222" t="s">
        <v>1735</v>
      </c>
      <c r="C228" s="222" t="s">
        <v>2836</v>
      </c>
      <c r="D228" s="222">
        <v>30</v>
      </c>
      <c r="E228" s="222">
        <v>30</v>
      </c>
      <c r="F228" s="222" t="s">
        <v>440</v>
      </c>
      <c r="G228" s="222">
        <v>-1.6232155341460801</v>
      </c>
      <c r="H228" s="222">
        <v>-1.21551510370919</v>
      </c>
      <c r="I228" s="222">
        <v>-1.9076785838765999</v>
      </c>
      <c r="J228" s="222" t="s">
        <v>848</v>
      </c>
      <c r="K228" s="222" t="s">
        <v>2837</v>
      </c>
      <c r="L228" s="222">
        <v>2.7997086135428499E-2</v>
      </c>
      <c r="M228" s="222">
        <v>2.3349436411596401E-3</v>
      </c>
      <c r="N228" s="222" t="s">
        <v>1514</v>
      </c>
      <c r="O228" s="222" t="s">
        <v>1817</v>
      </c>
      <c r="P228" s="222" t="s">
        <v>1512</v>
      </c>
      <c r="Q228" s="222" t="s">
        <v>1511</v>
      </c>
      <c r="R228" s="222" t="s">
        <v>2366</v>
      </c>
    </row>
    <row r="229" spans="1:18">
      <c r="A229" s="222" t="s">
        <v>1962</v>
      </c>
      <c r="B229" s="222" t="s">
        <v>1735</v>
      </c>
      <c r="C229" s="222" t="s">
        <v>2836</v>
      </c>
      <c r="D229" s="222">
        <v>30</v>
      </c>
      <c r="E229" s="222">
        <v>30</v>
      </c>
      <c r="F229" s="222" t="s">
        <v>440</v>
      </c>
      <c r="G229" s="222">
        <v>-3.5228008507023199</v>
      </c>
      <c r="H229" s="222">
        <v>-1.8706699741261601</v>
      </c>
      <c r="I229" s="222">
        <v>0</v>
      </c>
      <c r="J229" s="222">
        <v>1</v>
      </c>
      <c r="K229" s="222" t="s">
        <v>2837</v>
      </c>
      <c r="L229" s="222">
        <v>2.8139054955812901E-2</v>
      </c>
      <c r="M229" s="222">
        <v>2.36913409477059E-3</v>
      </c>
      <c r="N229" s="222" t="s">
        <v>1962</v>
      </c>
      <c r="O229" s="222" t="s">
        <v>1817</v>
      </c>
      <c r="P229" s="222" t="s">
        <v>1597</v>
      </c>
      <c r="Q229" s="222" t="s">
        <v>1963</v>
      </c>
      <c r="R229" s="222" t="s">
        <v>1964</v>
      </c>
    </row>
    <row r="230" spans="1:18">
      <c r="A230" s="222" t="s">
        <v>2835</v>
      </c>
      <c r="B230" s="222" t="s">
        <v>1755</v>
      </c>
      <c r="C230" s="222" t="s">
        <v>2836</v>
      </c>
      <c r="D230" s="222">
        <v>30</v>
      </c>
      <c r="E230" s="222">
        <v>30</v>
      </c>
      <c r="F230" s="222" t="s">
        <v>1721</v>
      </c>
      <c r="G230" s="222">
        <v>-5.9390905572328903</v>
      </c>
      <c r="H230" s="222">
        <v>-2.4821519629453301</v>
      </c>
      <c r="I230" s="222">
        <v>0</v>
      </c>
      <c r="J230" s="222">
        <v>1</v>
      </c>
      <c r="K230" s="222" t="s">
        <v>2849</v>
      </c>
      <c r="L230" s="222">
        <v>2.8524070222954199E-2</v>
      </c>
      <c r="M230" s="222">
        <v>2.0085175811715701E-3</v>
      </c>
      <c r="N230" s="222" t="s">
        <v>2835</v>
      </c>
      <c r="O230" s="222" t="s">
        <v>1715</v>
      </c>
      <c r="P230" s="222" t="s">
        <v>1767</v>
      </c>
      <c r="Q230" s="222" t="s">
        <v>2838</v>
      </c>
      <c r="R230" s="222" t="s">
        <v>2839</v>
      </c>
    </row>
    <row r="231" spans="1:18">
      <c r="A231" s="222" t="s">
        <v>2649</v>
      </c>
      <c r="B231" s="222" t="s">
        <v>1755</v>
      </c>
      <c r="C231" s="222" t="s">
        <v>2836</v>
      </c>
      <c r="D231" s="222">
        <v>30</v>
      </c>
      <c r="E231" s="222">
        <v>30</v>
      </c>
      <c r="F231" s="222" t="s">
        <v>1721</v>
      </c>
      <c r="G231" s="222">
        <v>-6.6915261487586504</v>
      </c>
      <c r="H231" s="222">
        <v>-2.5266937579147801</v>
      </c>
      <c r="I231" s="222">
        <v>0</v>
      </c>
      <c r="J231" s="222">
        <v>1</v>
      </c>
      <c r="K231" s="222" t="s">
        <v>2849</v>
      </c>
      <c r="L231" s="222">
        <v>2.8524070222954199E-2</v>
      </c>
      <c r="M231" s="222">
        <v>2.0646945029209802E-3</v>
      </c>
      <c r="N231" s="222" t="s">
        <v>2649</v>
      </c>
      <c r="O231" s="222" t="s">
        <v>2056</v>
      </c>
      <c r="P231" s="222" t="s">
        <v>2650</v>
      </c>
      <c r="Q231" s="222" t="s">
        <v>2651</v>
      </c>
    </row>
    <row r="232" spans="1:18">
      <c r="A232" s="222" t="s">
        <v>2564</v>
      </c>
      <c r="B232" s="222" t="s">
        <v>1755</v>
      </c>
      <c r="C232" s="222" t="s">
        <v>2836</v>
      </c>
      <c r="D232" s="222">
        <v>30</v>
      </c>
      <c r="E232" s="222">
        <v>30</v>
      </c>
      <c r="F232" s="222" t="s">
        <v>1721</v>
      </c>
      <c r="G232" s="222">
        <v>-6.6742522692983597</v>
      </c>
      <c r="H232" s="222">
        <v>-2.5367434742875501</v>
      </c>
      <c r="I232" s="222">
        <v>0</v>
      </c>
      <c r="J232" s="222">
        <v>1</v>
      </c>
      <c r="K232" s="222" t="s">
        <v>2849</v>
      </c>
      <c r="L232" s="222">
        <v>2.8524070222954199E-2</v>
      </c>
      <c r="M232" s="222">
        <v>2.0332982154523099E-3</v>
      </c>
      <c r="N232" s="222" t="s">
        <v>2564</v>
      </c>
      <c r="O232" s="222" t="s">
        <v>2394</v>
      </c>
      <c r="P232" s="222" t="s">
        <v>2565</v>
      </c>
      <c r="Q232" s="222" t="s">
        <v>2566</v>
      </c>
    </row>
    <row r="233" spans="1:18">
      <c r="A233" s="222" t="s">
        <v>2997</v>
      </c>
      <c r="B233" s="222" t="s">
        <v>1755</v>
      </c>
      <c r="C233" s="222" t="s">
        <v>2836</v>
      </c>
      <c r="D233" s="222">
        <v>30</v>
      </c>
      <c r="E233" s="222">
        <v>30</v>
      </c>
      <c r="F233" s="222" t="s">
        <v>1721</v>
      </c>
      <c r="G233" s="222">
        <v>-6.7169560628537903</v>
      </c>
      <c r="H233" s="222">
        <v>-2.5308848710024798</v>
      </c>
      <c r="I233" s="222">
        <v>0</v>
      </c>
      <c r="J233" s="222">
        <v>1</v>
      </c>
      <c r="K233" s="222" t="s">
        <v>2849</v>
      </c>
      <c r="L233" s="222">
        <v>2.8524070222954199E-2</v>
      </c>
      <c r="M233" s="222">
        <v>2.0551958509359399E-3</v>
      </c>
      <c r="N233" s="222" t="s">
        <v>2997</v>
      </c>
      <c r="O233" s="222" t="s">
        <v>2394</v>
      </c>
      <c r="P233" s="222" t="s">
        <v>2433</v>
      </c>
      <c r="Q233" s="222" t="s">
        <v>2998</v>
      </c>
    </row>
    <row r="234" spans="1:18">
      <c r="A234" s="222" t="s">
        <v>2689</v>
      </c>
      <c r="B234" s="222" t="s">
        <v>1755</v>
      </c>
      <c r="C234" s="222" t="s">
        <v>2836</v>
      </c>
      <c r="D234" s="222">
        <v>30</v>
      </c>
      <c r="E234" s="222">
        <v>30</v>
      </c>
      <c r="F234" s="222" t="s">
        <v>1721</v>
      </c>
      <c r="G234" s="222">
        <v>-6.8266780540905998</v>
      </c>
      <c r="H234" s="222">
        <v>-2.55532286597701</v>
      </c>
      <c r="I234" s="222">
        <v>0</v>
      </c>
      <c r="J234" s="222">
        <v>1</v>
      </c>
      <c r="K234" s="222" t="s">
        <v>2849</v>
      </c>
      <c r="L234" s="222">
        <v>2.8524070222954199E-2</v>
      </c>
      <c r="M234" s="222">
        <v>1.9954523022161301E-3</v>
      </c>
      <c r="N234" s="222" t="s">
        <v>2689</v>
      </c>
      <c r="O234" s="222" t="s">
        <v>1710</v>
      </c>
      <c r="P234" s="222" t="s">
        <v>2310</v>
      </c>
      <c r="Q234" s="222" t="s">
        <v>2690</v>
      </c>
    </row>
    <row r="235" spans="1:18">
      <c r="A235" s="222" t="s">
        <v>2217</v>
      </c>
      <c r="B235" s="222" t="s">
        <v>1755</v>
      </c>
      <c r="C235" s="222" t="s">
        <v>2836</v>
      </c>
      <c r="D235" s="222">
        <v>30</v>
      </c>
      <c r="E235" s="222">
        <v>30</v>
      </c>
      <c r="F235" s="222" t="s">
        <v>1721</v>
      </c>
      <c r="G235" s="222">
        <v>-4.9294343623188102</v>
      </c>
      <c r="H235" s="222">
        <v>-2.2724187532268201</v>
      </c>
      <c r="I235" s="222">
        <v>-6.9741852483023203</v>
      </c>
      <c r="J235" s="222" t="s">
        <v>848</v>
      </c>
      <c r="K235" s="222" t="s">
        <v>2849</v>
      </c>
      <c r="L235" s="222">
        <v>2.8524070222954199E-2</v>
      </c>
      <c r="M235" s="222">
        <v>2.0763654393415199E-3</v>
      </c>
      <c r="N235" s="222" t="s">
        <v>2217</v>
      </c>
      <c r="O235" s="222" t="s">
        <v>1710</v>
      </c>
      <c r="P235" s="222" t="s">
        <v>2200</v>
      </c>
      <c r="Q235" s="222" t="s">
        <v>2218</v>
      </c>
    </row>
    <row r="236" spans="1:18">
      <c r="A236" s="222" t="s">
        <v>2312</v>
      </c>
      <c r="B236" s="222" t="s">
        <v>1735</v>
      </c>
      <c r="C236" s="222" t="s">
        <v>2836</v>
      </c>
      <c r="D236" s="222">
        <v>30</v>
      </c>
      <c r="E236" s="222">
        <v>30</v>
      </c>
      <c r="F236" s="222" t="s">
        <v>440</v>
      </c>
      <c r="G236" s="222">
        <v>-1.31482989330276</v>
      </c>
      <c r="H236" s="222">
        <v>-1.0152763569811301</v>
      </c>
      <c r="I236" s="222">
        <v>-1.80646109190941</v>
      </c>
      <c r="J236" s="222" t="s">
        <v>848</v>
      </c>
      <c r="K236" s="222" t="s">
        <v>2837</v>
      </c>
      <c r="L236" s="222">
        <v>2.8541343911028701E-2</v>
      </c>
      <c r="M236" s="222">
        <v>2.42731998844746E-3</v>
      </c>
      <c r="N236" s="222" t="s">
        <v>2312</v>
      </c>
      <c r="O236" s="222" t="s">
        <v>2313</v>
      </c>
      <c r="P236" s="222" t="s">
        <v>1524</v>
      </c>
      <c r="Q236" s="222" t="s">
        <v>2314</v>
      </c>
    </row>
    <row r="237" spans="1:18">
      <c r="A237" s="222" t="s">
        <v>2671</v>
      </c>
      <c r="B237" s="222" t="s">
        <v>1735</v>
      </c>
      <c r="C237" s="222" t="s">
        <v>2836</v>
      </c>
      <c r="D237" s="222">
        <v>30</v>
      </c>
      <c r="E237" s="222">
        <v>30</v>
      </c>
      <c r="F237" s="222" t="s">
        <v>440</v>
      </c>
      <c r="G237" s="222">
        <v>4.0297113649584899</v>
      </c>
      <c r="H237" s="222">
        <v>1.9147653616456799</v>
      </c>
      <c r="I237" s="222">
        <v>1.5588462640440699</v>
      </c>
      <c r="J237" s="222" t="s">
        <v>848</v>
      </c>
      <c r="K237" s="222" t="s">
        <v>2837</v>
      </c>
      <c r="L237" s="222">
        <v>2.8541343911028701E-2</v>
      </c>
      <c r="M237" s="222">
        <v>2.44834403684758E-3</v>
      </c>
      <c r="N237" s="222" t="s">
        <v>2671</v>
      </c>
      <c r="O237" s="222" t="s">
        <v>1710</v>
      </c>
      <c r="P237" s="222" t="s">
        <v>2310</v>
      </c>
      <c r="Q237" s="222" t="s">
        <v>2672</v>
      </c>
      <c r="R237" s="222" t="s">
        <v>2673</v>
      </c>
    </row>
    <row r="238" spans="1:18">
      <c r="A238" s="222" t="s">
        <v>2999</v>
      </c>
      <c r="B238" s="222" t="s">
        <v>1735</v>
      </c>
      <c r="C238" s="222" t="s">
        <v>2836</v>
      </c>
      <c r="D238" s="222">
        <v>30</v>
      </c>
      <c r="E238" s="222">
        <v>30</v>
      </c>
      <c r="F238" s="222" t="s">
        <v>440</v>
      </c>
      <c r="G238" s="222">
        <v>-3.4111893244038698</v>
      </c>
      <c r="H238" s="222">
        <v>-1.83482710574508</v>
      </c>
      <c r="I238" s="222">
        <v>0</v>
      </c>
      <c r="J238" s="222">
        <v>1</v>
      </c>
      <c r="K238" s="222" t="s">
        <v>2837</v>
      </c>
      <c r="L238" s="222">
        <v>2.85552499859466E-2</v>
      </c>
      <c r="M238" s="222">
        <v>2.5175796254488202E-3</v>
      </c>
      <c r="N238" s="222" t="s">
        <v>2999</v>
      </c>
      <c r="O238" s="222" t="s">
        <v>1715</v>
      </c>
      <c r="P238" s="222" t="s">
        <v>1767</v>
      </c>
      <c r="Q238" s="222" t="s">
        <v>3000</v>
      </c>
      <c r="R238" s="222" t="s">
        <v>3001</v>
      </c>
    </row>
    <row r="239" spans="1:18">
      <c r="A239" s="222" t="s">
        <v>2923</v>
      </c>
      <c r="B239" s="222" t="s">
        <v>1735</v>
      </c>
      <c r="C239" s="222" t="s">
        <v>2836</v>
      </c>
      <c r="D239" s="222">
        <v>30</v>
      </c>
      <c r="E239" s="222">
        <v>30</v>
      </c>
      <c r="F239" s="222" t="s">
        <v>440</v>
      </c>
      <c r="G239" s="222">
        <v>-2.53793178326295</v>
      </c>
      <c r="H239" s="222">
        <v>-1.6264809158496301</v>
      </c>
      <c r="I239" s="222">
        <v>-3.6043485865120202</v>
      </c>
      <c r="J239" s="222" t="s">
        <v>848</v>
      </c>
      <c r="K239" s="222" t="s">
        <v>2837</v>
      </c>
      <c r="L239" s="222">
        <v>2.85552499859466E-2</v>
      </c>
      <c r="M239" s="222">
        <v>2.4775981075234898E-3</v>
      </c>
      <c r="N239" s="222" t="s">
        <v>2923</v>
      </c>
      <c r="O239" s="222" t="s">
        <v>1817</v>
      </c>
      <c r="P239" s="222" t="s">
        <v>1597</v>
      </c>
      <c r="Q239" s="222" t="s">
        <v>2924</v>
      </c>
      <c r="R239" s="222" t="s">
        <v>1940</v>
      </c>
    </row>
    <row r="240" spans="1:18">
      <c r="A240" s="222" t="s">
        <v>3002</v>
      </c>
      <c r="B240" s="222" t="s">
        <v>1735</v>
      </c>
      <c r="C240" s="222" t="s">
        <v>2836</v>
      </c>
      <c r="D240" s="222">
        <v>30</v>
      </c>
      <c r="E240" s="222">
        <v>30</v>
      </c>
      <c r="F240" s="222" t="s">
        <v>440</v>
      </c>
      <c r="G240" s="222">
        <v>-1.9173952535877601</v>
      </c>
      <c r="H240" s="222">
        <v>-1.3687231925403001</v>
      </c>
      <c r="I240" s="222">
        <v>-2.34253723202441</v>
      </c>
      <c r="J240" s="222" t="s">
        <v>848</v>
      </c>
      <c r="K240" s="222" t="s">
        <v>2837</v>
      </c>
      <c r="L240" s="222">
        <v>2.85552499859466E-2</v>
      </c>
      <c r="M240" s="222">
        <v>2.4990650191184802E-3</v>
      </c>
      <c r="N240" s="222" t="s">
        <v>3002</v>
      </c>
      <c r="O240" s="222" t="s">
        <v>1817</v>
      </c>
      <c r="P240" s="222" t="s">
        <v>1597</v>
      </c>
      <c r="Q240" s="222" t="s">
        <v>3003</v>
      </c>
      <c r="R240" s="222" t="s">
        <v>1940</v>
      </c>
    </row>
    <row r="241" spans="1:18">
      <c r="A241" s="222" t="s">
        <v>1914</v>
      </c>
      <c r="B241" s="222" t="s">
        <v>1735</v>
      </c>
      <c r="C241" s="222" t="s">
        <v>2836</v>
      </c>
      <c r="D241" s="222">
        <v>30</v>
      </c>
      <c r="E241" s="222">
        <v>30</v>
      </c>
      <c r="F241" s="222" t="s">
        <v>440</v>
      </c>
      <c r="G241" s="222">
        <v>1.1786763437815899</v>
      </c>
      <c r="H241" s="222">
        <v>0.91701559990812997</v>
      </c>
      <c r="I241" s="222">
        <v>0.90163558014403</v>
      </c>
      <c r="J241" s="222" t="s">
        <v>848</v>
      </c>
      <c r="K241" s="222" t="s">
        <v>2837</v>
      </c>
      <c r="L241" s="222">
        <v>2.8562312762471901E-2</v>
      </c>
      <c r="M241" s="222">
        <v>2.5862618386987999E-3</v>
      </c>
      <c r="N241" s="222" t="s">
        <v>1914</v>
      </c>
      <c r="O241" s="222" t="s">
        <v>1889</v>
      </c>
      <c r="P241" s="222" t="s">
        <v>1597</v>
      </c>
      <c r="Q241" s="222" t="s">
        <v>1915</v>
      </c>
      <c r="R241" s="222" t="s">
        <v>1903</v>
      </c>
    </row>
    <row r="242" spans="1:18">
      <c r="A242" s="222" t="s">
        <v>3004</v>
      </c>
      <c r="B242" s="222" t="s">
        <v>1735</v>
      </c>
      <c r="C242" s="222" t="s">
        <v>2836</v>
      </c>
      <c r="D242" s="222">
        <v>30</v>
      </c>
      <c r="E242" s="222">
        <v>30</v>
      </c>
      <c r="F242" s="222" t="s">
        <v>440</v>
      </c>
      <c r="G242" s="222">
        <v>-3.47801388403178</v>
      </c>
      <c r="H242" s="222">
        <v>-1.83942878682349</v>
      </c>
      <c r="I242" s="222">
        <v>0</v>
      </c>
      <c r="J242" s="222">
        <v>1</v>
      </c>
      <c r="K242" s="222" t="s">
        <v>2837</v>
      </c>
      <c r="L242" s="222">
        <v>2.8562312762471901E-2</v>
      </c>
      <c r="M242" s="222">
        <v>2.5651123862585499E-3</v>
      </c>
      <c r="N242" s="222" t="s">
        <v>3004</v>
      </c>
      <c r="O242" s="222" t="s">
        <v>2394</v>
      </c>
      <c r="P242" s="222" t="s">
        <v>2433</v>
      </c>
      <c r="Q242" s="222" t="s">
        <v>3005</v>
      </c>
    </row>
    <row r="243" spans="1:18">
      <c r="A243" s="222" t="s">
        <v>3006</v>
      </c>
      <c r="B243" s="222" t="s">
        <v>1735</v>
      </c>
      <c r="C243" s="222" t="s">
        <v>2836</v>
      </c>
      <c r="D243" s="222">
        <v>30</v>
      </c>
      <c r="E243" s="222">
        <v>30</v>
      </c>
      <c r="F243" s="222" t="s">
        <v>440</v>
      </c>
      <c r="G243" s="222">
        <v>-1.9095772706193901</v>
      </c>
      <c r="H243" s="222">
        <v>-1.3610036892683399</v>
      </c>
      <c r="I243" s="222">
        <v>-2.4615992620148202</v>
      </c>
      <c r="J243" s="222" t="s">
        <v>848</v>
      </c>
      <c r="K243" s="222" t="s">
        <v>2837</v>
      </c>
      <c r="L243" s="222">
        <v>2.8562312762471901E-2</v>
      </c>
      <c r="M243" s="222">
        <v>2.57588809066705E-3</v>
      </c>
      <c r="N243" s="222" t="s">
        <v>3006</v>
      </c>
      <c r="O243" s="222" t="s">
        <v>2757</v>
      </c>
      <c r="P243" s="222" t="s">
        <v>2758</v>
      </c>
      <c r="Q243" s="222" t="s">
        <v>3007</v>
      </c>
    </row>
    <row r="244" spans="1:18">
      <c r="A244" s="222" t="s">
        <v>2071</v>
      </c>
      <c r="B244" s="222" t="s">
        <v>1735</v>
      </c>
      <c r="C244" s="222" t="s">
        <v>2836</v>
      </c>
      <c r="D244" s="222">
        <v>30</v>
      </c>
      <c r="E244" s="222">
        <v>30</v>
      </c>
      <c r="F244" s="222" t="s">
        <v>440</v>
      </c>
      <c r="G244" s="222">
        <v>4.6416657767607203</v>
      </c>
      <c r="H244" s="222">
        <v>1.90678089715918</v>
      </c>
      <c r="I244" s="222">
        <v>1.5849625007211501</v>
      </c>
      <c r="J244" s="222" t="s">
        <v>848</v>
      </c>
      <c r="K244" s="222" t="s">
        <v>2837</v>
      </c>
      <c r="L244" s="222">
        <v>2.8564676937403902E-2</v>
      </c>
      <c r="M244" s="222">
        <v>2.6091642953148899E-3</v>
      </c>
      <c r="N244" s="222" t="s">
        <v>2071</v>
      </c>
      <c r="O244" s="222" t="s">
        <v>1817</v>
      </c>
      <c r="P244" s="222" t="s">
        <v>2062</v>
      </c>
      <c r="Q244" s="222" t="s">
        <v>2072</v>
      </c>
      <c r="R244" s="222" t="s">
        <v>2073</v>
      </c>
    </row>
    <row r="245" spans="1:18">
      <c r="A245" s="222" t="s">
        <v>3008</v>
      </c>
      <c r="B245" s="222" t="s">
        <v>1735</v>
      </c>
      <c r="C245" s="222" t="s">
        <v>2836</v>
      </c>
      <c r="D245" s="222">
        <v>30</v>
      </c>
      <c r="E245" s="222">
        <v>30</v>
      </c>
      <c r="F245" s="222" t="s">
        <v>440</v>
      </c>
      <c r="G245" s="222">
        <v>3.4564846619154901</v>
      </c>
      <c r="H245" s="222">
        <v>1.8259195066595399</v>
      </c>
      <c r="I245" s="222">
        <v>1.5388589076519601</v>
      </c>
      <c r="J245" s="222" t="s">
        <v>848</v>
      </c>
      <c r="K245" s="222" t="s">
        <v>2837</v>
      </c>
      <c r="L245" s="222">
        <v>2.8787825601237001E-2</v>
      </c>
      <c r="M245" s="222">
        <v>2.6524128433228701E-3</v>
      </c>
      <c r="N245" s="222" t="s">
        <v>3008</v>
      </c>
      <c r="O245" s="222" t="s">
        <v>1710</v>
      </c>
      <c r="P245" s="222" t="s">
        <v>2594</v>
      </c>
      <c r="Q245" s="222" t="s">
        <v>3009</v>
      </c>
    </row>
    <row r="246" spans="1:18">
      <c r="A246" s="222" t="s">
        <v>1896</v>
      </c>
      <c r="B246" s="222" t="s">
        <v>1735</v>
      </c>
      <c r="C246" s="222" t="s">
        <v>2836</v>
      </c>
      <c r="D246" s="222">
        <v>30</v>
      </c>
      <c r="E246" s="222">
        <v>30</v>
      </c>
      <c r="F246" s="222" t="s">
        <v>440</v>
      </c>
      <c r="G246" s="222">
        <v>1.4909151391125199</v>
      </c>
      <c r="H246" s="222">
        <v>1.1205045140086001</v>
      </c>
      <c r="I246" s="222">
        <v>0.733247242379924</v>
      </c>
      <c r="J246" s="222" t="s">
        <v>848</v>
      </c>
      <c r="K246" s="222" t="s">
        <v>2837</v>
      </c>
      <c r="L246" s="222">
        <v>2.9563223914646799E-2</v>
      </c>
      <c r="M246" s="222">
        <v>2.7473369324969598E-3</v>
      </c>
      <c r="N246" s="222" t="s">
        <v>1896</v>
      </c>
      <c r="O246" s="222" t="s">
        <v>1889</v>
      </c>
      <c r="P246" s="222" t="s">
        <v>1597</v>
      </c>
      <c r="Q246" s="222" t="s">
        <v>1897</v>
      </c>
      <c r="R246" s="222" t="s">
        <v>1898</v>
      </c>
    </row>
    <row r="247" spans="1:18">
      <c r="A247" s="222" t="s">
        <v>2471</v>
      </c>
      <c r="B247" s="222" t="s">
        <v>1731</v>
      </c>
      <c r="C247" s="222" t="s">
        <v>2836</v>
      </c>
      <c r="D247" s="222">
        <v>30</v>
      </c>
      <c r="E247" s="222">
        <v>30</v>
      </c>
      <c r="F247" s="222" t="s">
        <v>1708</v>
      </c>
      <c r="G247" s="222">
        <v>1.2341735880770199</v>
      </c>
      <c r="H247" s="222">
        <v>0.69713902037893705</v>
      </c>
      <c r="I247" s="222">
        <v>0.76559552853276303</v>
      </c>
      <c r="J247" s="222" t="s">
        <v>848</v>
      </c>
      <c r="K247" s="222" t="s">
        <v>2857</v>
      </c>
      <c r="L247" s="222">
        <v>3.0501322905921301E-2</v>
      </c>
      <c r="M247" s="222">
        <v>1.2247185105628E-3</v>
      </c>
      <c r="N247" s="222" t="s">
        <v>2471</v>
      </c>
      <c r="O247" s="222" t="s">
        <v>2033</v>
      </c>
      <c r="P247" s="222" t="s">
        <v>2461</v>
      </c>
      <c r="Q247" s="222" t="s">
        <v>2472</v>
      </c>
    </row>
    <row r="248" spans="1:18">
      <c r="A248" s="222" t="s">
        <v>3010</v>
      </c>
      <c r="B248" s="222" t="s">
        <v>1755</v>
      </c>
      <c r="C248" s="222" t="s">
        <v>2836</v>
      </c>
      <c r="D248" s="222">
        <v>30</v>
      </c>
      <c r="E248" s="222">
        <v>30</v>
      </c>
      <c r="F248" s="222" t="s">
        <v>1721</v>
      </c>
      <c r="G248" s="222">
        <v>-3.45018290148928</v>
      </c>
      <c r="H248" s="222">
        <v>-1.7937408980798</v>
      </c>
      <c r="I248" s="222">
        <v>-4.0644350651257399</v>
      </c>
      <c r="J248" s="222" t="s">
        <v>848</v>
      </c>
      <c r="K248" s="222" t="s">
        <v>2849</v>
      </c>
      <c r="L248" s="222">
        <v>3.1681757353165502E-2</v>
      </c>
      <c r="M248" s="222">
        <v>2.36943436999963E-3</v>
      </c>
      <c r="N248" s="222" t="s">
        <v>3010</v>
      </c>
      <c r="O248" s="222" t="s">
        <v>2033</v>
      </c>
      <c r="P248" s="222" t="s">
        <v>2611</v>
      </c>
      <c r="Q248" s="222" t="s">
        <v>3011</v>
      </c>
    </row>
    <row r="249" spans="1:18">
      <c r="A249" s="222" t="s">
        <v>2644</v>
      </c>
      <c r="B249" s="222" t="s">
        <v>1755</v>
      </c>
      <c r="C249" s="222" t="s">
        <v>2836</v>
      </c>
      <c r="D249" s="222">
        <v>30</v>
      </c>
      <c r="E249" s="222">
        <v>30</v>
      </c>
      <c r="F249" s="222" t="s">
        <v>1721</v>
      </c>
      <c r="G249" s="222">
        <v>-1.90984785142765</v>
      </c>
      <c r="H249" s="222">
        <v>-1.3272888153478799</v>
      </c>
      <c r="I249" s="222">
        <v>-2.2451910642722899</v>
      </c>
      <c r="J249" s="222" t="s">
        <v>848</v>
      </c>
      <c r="K249" s="222" t="s">
        <v>2849</v>
      </c>
      <c r="L249" s="222">
        <v>3.1681757353165502E-2</v>
      </c>
      <c r="M249" s="222">
        <v>2.38188875095754E-3</v>
      </c>
      <c r="N249" s="222" t="s">
        <v>2644</v>
      </c>
      <c r="O249" s="222" t="s">
        <v>2033</v>
      </c>
      <c r="P249" s="222" t="s">
        <v>2611</v>
      </c>
      <c r="Q249" s="222" t="s">
        <v>2645</v>
      </c>
    </row>
    <row r="250" spans="1:18">
      <c r="A250" s="222" t="s">
        <v>2732</v>
      </c>
      <c r="B250" s="222" t="s">
        <v>1755</v>
      </c>
      <c r="C250" s="222" t="s">
        <v>2836</v>
      </c>
      <c r="D250" s="222">
        <v>30</v>
      </c>
      <c r="E250" s="222">
        <v>30</v>
      </c>
      <c r="F250" s="222" t="s">
        <v>1721</v>
      </c>
      <c r="G250" s="222">
        <v>-6.6208550169079601</v>
      </c>
      <c r="H250" s="222">
        <v>-2.4217825538887698</v>
      </c>
      <c r="I250" s="222">
        <v>0</v>
      </c>
      <c r="J250" s="222">
        <v>1</v>
      </c>
      <c r="K250" s="222" t="s">
        <v>2849</v>
      </c>
      <c r="L250" s="222">
        <v>3.1681757353165502E-2</v>
      </c>
      <c r="M250" s="222">
        <v>2.39270778918357E-3</v>
      </c>
      <c r="N250" s="222" t="s">
        <v>2732</v>
      </c>
      <c r="O250" s="222" t="s">
        <v>1710</v>
      </c>
      <c r="P250" s="222" t="s">
        <v>2310</v>
      </c>
      <c r="Q250" s="222" t="s">
        <v>2733</v>
      </c>
    </row>
    <row r="251" spans="1:18">
      <c r="A251" s="222" t="s">
        <v>2412</v>
      </c>
      <c r="B251" s="222" t="s">
        <v>1755</v>
      </c>
      <c r="C251" s="222" t="s">
        <v>2836</v>
      </c>
      <c r="D251" s="222">
        <v>30</v>
      </c>
      <c r="E251" s="222">
        <v>30</v>
      </c>
      <c r="F251" s="222" t="s">
        <v>1721</v>
      </c>
      <c r="G251" s="222">
        <v>-6.8711642250163303</v>
      </c>
      <c r="H251" s="222">
        <v>-2.4122136247069399</v>
      </c>
      <c r="I251" s="222">
        <v>0</v>
      </c>
      <c r="J251" s="222">
        <v>1</v>
      </c>
      <c r="K251" s="222" t="s">
        <v>2849</v>
      </c>
      <c r="L251" s="222">
        <v>3.1938095885539003E-2</v>
      </c>
      <c r="M251" s="222">
        <v>2.4411283479392801E-3</v>
      </c>
      <c r="N251" s="222" t="s">
        <v>2412</v>
      </c>
      <c r="O251" s="222" t="s">
        <v>2394</v>
      </c>
      <c r="P251" s="222" t="s">
        <v>2395</v>
      </c>
      <c r="Q251" s="222" t="s">
        <v>2413</v>
      </c>
    </row>
    <row r="252" spans="1:18">
      <c r="A252" s="222" t="s">
        <v>1585</v>
      </c>
      <c r="B252" s="222" t="s">
        <v>1755</v>
      </c>
      <c r="C252" s="222" t="s">
        <v>2836</v>
      </c>
      <c r="D252" s="222">
        <v>30</v>
      </c>
      <c r="E252" s="222">
        <v>30</v>
      </c>
      <c r="F252" s="222" t="s">
        <v>1721</v>
      </c>
      <c r="G252" s="222">
        <v>-6.5228179082868101</v>
      </c>
      <c r="H252" s="222">
        <v>-2.38957715347424</v>
      </c>
      <c r="I252" s="222">
        <v>0</v>
      </c>
      <c r="J252" s="222">
        <v>1</v>
      </c>
      <c r="K252" s="222" t="s">
        <v>2849</v>
      </c>
      <c r="L252" s="222">
        <v>3.22723253655701E-2</v>
      </c>
      <c r="M252" s="222">
        <v>2.4960397234517302E-3</v>
      </c>
      <c r="N252" s="222" t="s">
        <v>1585</v>
      </c>
      <c r="O252" s="222" t="s">
        <v>1817</v>
      </c>
      <c r="P252" s="222" t="s">
        <v>1576</v>
      </c>
      <c r="Q252" s="222" t="s">
        <v>1584</v>
      </c>
    </row>
    <row r="253" spans="1:18">
      <c r="A253" s="222" t="s">
        <v>3012</v>
      </c>
      <c r="B253" s="222" t="s">
        <v>1735</v>
      </c>
      <c r="C253" s="222" t="s">
        <v>2836</v>
      </c>
      <c r="D253" s="222">
        <v>30</v>
      </c>
      <c r="E253" s="222">
        <v>30</v>
      </c>
      <c r="F253" s="222" t="s">
        <v>440</v>
      </c>
      <c r="G253" s="222">
        <v>3.6674219439806501</v>
      </c>
      <c r="H253" s="222">
        <v>1.80569694192911</v>
      </c>
      <c r="I253" s="222">
        <v>1.49708106127095</v>
      </c>
      <c r="J253" s="222" t="s">
        <v>848</v>
      </c>
      <c r="K253" s="222" t="s">
        <v>2837</v>
      </c>
      <c r="L253" s="222">
        <v>3.25401379590202E-2</v>
      </c>
      <c r="M253" s="222">
        <v>3.0553564753806801E-3</v>
      </c>
      <c r="N253" s="222" t="s">
        <v>3012</v>
      </c>
      <c r="O253" s="222" t="s">
        <v>1817</v>
      </c>
      <c r="P253" s="222" t="s">
        <v>1597</v>
      </c>
      <c r="Q253" s="222" t="s">
        <v>3013</v>
      </c>
      <c r="R253" s="222" t="s">
        <v>1961</v>
      </c>
    </row>
    <row r="254" spans="1:18">
      <c r="A254" s="222" t="s">
        <v>3014</v>
      </c>
      <c r="B254" s="222" t="s">
        <v>1735</v>
      </c>
      <c r="C254" s="222" t="s">
        <v>2836</v>
      </c>
      <c r="D254" s="222">
        <v>30</v>
      </c>
      <c r="E254" s="222">
        <v>30</v>
      </c>
      <c r="F254" s="222" t="s">
        <v>440</v>
      </c>
      <c r="G254" s="222">
        <v>1.7003156704218401</v>
      </c>
      <c r="H254" s="222">
        <v>1.23117418633705</v>
      </c>
      <c r="I254" s="222">
        <v>1.15202762042135</v>
      </c>
      <c r="J254" s="222" t="s">
        <v>848</v>
      </c>
      <c r="K254" s="222" t="s">
        <v>2837</v>
      </c>
      <c r="L254" s="222">
        <v>3.25401379590202E-2</v>
      </c>
      <c r="M254" s="222">
        <v>3.0756762645936398E-3</v>
      </c>
      <c r="N254" s="222" t="s">
        <v>3014</v>
      </c>
      <c r="O254" s="222" t="s">
        <v>1710</v>
      </c>
      <c r="P254" s="222" t="s">
        <v>2514</v>
      </c>
      <c r="Q254" s="222" t="s">
        <v>3015</v>
      </c>
      <c r="R254" s="222" t="s">
        <v>2519</v>
      </c>
    </row>
    <row r="255" spans="1:18">
      <c r="A255" s="222" t="s">
        <v>3016</v>
      </c>
      <c r="B255" s="222" t="s">
        <v>1735</v>
      </c>
      <c r="C255" s="222" t="s">
        <v>2836</v>
      </c>
      <c r="D255" s="222">
        <v>30</v>
      </c>
      <c r="E255" s="222">
        <v>30</v>
      </c>
      <c r="F255" s="222" t="s">
        <v>440</v>
      </c>
      <c r="G255" s="222">
        <v>-3.5288250569564799</v>
      </c>
      <c r="H255" s="222">
        <v>-1.7855331246928701</v>
      </c>
      <c r="I255" s="222">
        <v>0</v>
      </c>
      <c r="J255" s="222">
        <v>1</v>
      </c>
      <c r="K255" s="222" t="s">
        <v>2837</v>
      </c>
      <c r="L255" s="222">
        <v>3.2567605075732198E-2</v>
      </c>
      <c r="M255" s="222">
        <v>3.10414027727391E-3</v>
      </c>
      <c r="N255" s="222" t="s">
        <v>3016</v>
      </c>
      <c r="O255" s="222" t="s">
        <v>2757</v>
      </c>
      <c r="P255" s="222" t="s">
        <v>2758</v>
      </c>
      <c r="Q255" s="222" t="s">
        <v>2810</v>
      </c>
    </row>
    <row r="256" spans="1:18">
      <c r="A256" s="222" t="s">
        <v>3006</v>
      </c>
      <c r="B256" s="222" t="s">
        <v>1731</v>
      </c>
      <c r="C256" s="222" t="s">
        <v>2836</v>
      </c>
      <c r="D256" s="222">
        <v>30</v>
      </c>
      <c r="E256" s="222">
        <v>30</v>
      </c>
      <c r="F256" s="222" t="s">
        <v>1708</v>
      </c>
      <c r="G256" s="222">
        <v>1.3448976414989899</v>
      </c>
      <c r="H256" s="222">
        <v>0.71012986812621803</v>
      </c>
      <c r="I256" s="222">
        <v>0.77165214106163105</v>
      </c>
      <c r="J256" s="222" t="s">
        <v>848</v>
      </c>
      <c r="K256" s="222" t="s">
        <v>2857</v>
      </c>
      <c r="L256" s="222">
        <v>3.3666399704981601E-2</v>
      </c>
      <c r="M256" s="222">
        <v>1.3839915748701801E-3</v>
      </c>
      <c r="N256" s="222" t="s">
        <v>3006</v>
      </c>
      <c r="O256" s="222" t="s">
        <v>2757</v>
      </c>
      <c r="P256" s="222" t="s">
        <v>2758</v>
      </c>
      <c r="Q256" s="222" t="s">
        <v>3007</v>
      </c>
    </row>
    <row r="257" spans="1:18">
      <c r="A257" s="222" t="s">
        <v>1986</v>
      </c>
      <c r="B257" s="222" t="s">
        <v>1755</v>
      </c>
      <c r="C257" s="222" t="s">
        <v>2836</v>
      </c>
      <c r="D257" s="222">
        <v>30</v>
      </c>
      <c r="E257" s="222">
        <v>30</v>
      </c>
      <c r="F257" s="222" t="s">
        <v>1721</v>
      </c>
      <c r="G257" s="222">
        <v>2.3274944590667701</v>
      </c>
      <c r="H257" s="222">
        <v>1.44256303068215</v>
      </c>
      <c r="I257" s="222">
        <v>1.08742579179986</v>
      </c>
      <c r="J257" s="222" t="s">
        <v>848</v>
      </c>
      <c r="K257" s="222" t="s">
        <v>2849</v>
      </c>
      <c r="L257" s="222">
        <v>3.3752177024100903E-2</v>
      </c>
      <c r="M257" s="222">
        <v>2.7519221496690401E-3</v>
      </c>
      <c r="N257" s="222" t="s">
        <v>1986</v>
      </c>
      <c r="O257" s="222" t="s">
        <v>1987</v>
      </c>
      <c r="P257" s="222" t="s">
        <v>1987</v>
      </c>
      <c r="Q257" s="222" t="s">
        <v>1988</v>
      </c>
    </row>
    <row r="258" spans="1:18">
      <c r="A258" s="222" t="s">
        <v>2060</v>
      </c>
      <c r="B258" s="222" t="s">
        <v>1755</v>
      </c>
      <c r="C258" s="222" t="s">
        <v>2836</v>
      </c>
      <c r="D258" s="222">
        <v>30</v>
      </c>
      <c r="E258" s="222">
        <v>30</v>
      </c>
      <c r="F258" s="222" t="s">
        <v>1721</v>
      </c>
      <c r="G258" s="222">
        <v>2.02136455787155</v>
      </c>
      <c r="H258" s="222">
        <v>1.35146962624907</v>
      </c>
      <c r="I258" s="222">
        <v>1.548408997114</v>
      </c>
      <c r="J258" s="222" t="s">
        <v>848</v>
      </c>
      <c r="K258" s="222" t="s">
        <v>2849</v>
      </c>
      <c r="L258" s="222">
        <v>3.3752177024100903E-2</v>
      </c>
      <c r="M258" s="222">
        <v>2.7544755643543499E-3</v>
      </c>
      <c r="N258" s="222" t="s">
        <v>2060</v>
      </c>
      <c r="O258" s="222" t="s">
        <v>2061</v>
      </c>
      <c r="P258" s="222" t="s">
        <v>2062</v>
      </c>
      <c r="Q258" s="222" t="s">
        <v>2063</v>
      </c>
    </row>
    <row r="259" spans="1:18">
      <c r="A259" s="222" t="s">
        <v>2990</v>
      </c>
      <c r="B259" s="222" t="s">
        <v>1755</v>
      </c>
      <c r="C259" s="222" t="s">
        <v>2836</v>
      </c>
      <c r="D259" s="222">
        <v>30</v>
      </c>
      <c r="E259" s="222">
        <v>30</v>
      </c>
      <c r="F259" s="222" t="s">
        <v>1721</v>
      </c>
      <c r="G259" s="222">
        <v>-6.7077543840842804</v>
      </c>
      <c r="H259" s="222">
        <v>-2.3243355921518001</v>
      </c>
      <c r="I259" s="222">
        <v>0</v>
      </c>
      <c r="J259" s="222">
        <v>1</v>
      </c>
      <c r="K259" s="222" t="s">
        <v>2849</v>
      </c>
      <c r="L259" s="222">
        <v>3.3752177024100903E-2</v>
      </c>
      <c r="M259" s="222">
        <v>2.7640545333658599E-3</v>
      </c>
      <c r="N259" s="222" t="s">
        <v>2990</v>
      </c>
      <c r="O259" s="222" t="s">
        <v>1817</v>
      </c>
      <c r="P259" s="222" t="s">
        <v>2062</v>
      </c>
      <c r="Q259" s="222" t="s">
        <v>2991</v>
      </c>
    </row>
    <row r="260" spans="1:18">
      <c r="A260" s="222" t="s">
        <v>3017</v>
      </c>
      <c r="B260" s="222" t="s">
        <v>1755</v>
      </c>
      <c r="C260" s="222" t="s">
        <v>2836</v>
      </c>
      <c r="D260" s="222">
        <v>30</v>
      </c>
      <c r="E260" s="222">
        <v>30</v>
      </c>
      <c r="F260" s="222" t="s">
        <v>1721</v>
      </c>
      <c r="G260" s="222">
        <v>-2.31587876349754</v>
      </c>
      <c r="H260" s="222">
        <v>-1.44311874765537</v>
      </c>
      <c r="I260" s="222">
        <v>-2.72604334052805</v>
      </c>
      <c r="J260" s="222" t="s">
        <v>848</v>
      </c>
      <c r="K260" s="222" t="s">
        <v>2849</v>
      </c>
      <c r="L260" s="222">
        <v>3.3752177024100903E-2</v>
      </c>
      <c r="M260" s="222">
        <v>2.66296956301481E-3</v>
      </c>
      <c r="N260" s="222" t="s">
        <v>3017</v>
      </c>
      <c r="O260" s="222" t="s">
        <v>2033</v>
      </c>
      <c r="P260" s="222" t="s">
        <v>2611</v>
      </c>
      <c r="Q260" s="222" t="s">
        <v>3018</v>
      </c>
    </row>
    <row r="261" spans="1:18">
      <c r="A261" s="222" t="s">
        <v>2727</v>
      </c>
      <c r="B261" s="222" t="s">
        <v>1755</v>
      </c>
      <c r="C261" s="222" t="s">
        <v>2836</v>
      </c>
      <c r="D261" s="222">
        <v>30</v>
      </c>
      <c r="E261" s="222">
        <v>30</v>
      </c>
      <c r="F261" s="222" t="s">
        <v>1721</v>
      </c>
      <c r="G261" s="222">
        <v>-6.8949403592263998</v>
      </c>
      <c r="H261" s="222">
        <v>-2.3419488162203499</v>
      </c>
      <c r="I261" s="222">
        <v>0</v>
      </c>
      <c r="J261" s="222">
        <v>1</v>
      </c>
      <c r="K261" s="222" t="s">
        <v>2849</v>
      </c>
      <c r="L261" s="222">
        <v>3.3752177024100903E-2</v>
      </c>
      <c r="M261" s="222">
        <v>2.6961687826773501E-3</v>
      </c>
      <c r="N261" s="222" t="s">
        <v>2727</v>
      </c>
      <c r="O261" s="222" t="s">
        <v>1710</v>
      </c>
      <c r="P261" s="222" t="s">
        <v>2310</v>
      </c>
      <c r="Q261" s="222" t="s">
        <v>2728</v>
      </c>
      <c r="R261" s="222" t="s">
        <v>2673</v>
      </c>
    </row>
    <row r="262" spans="1:18">
      <c r="A262" s="222" t="s">
        <v>2872</v>
      </c>
      <c r="B262" s="222" t="s">
        <v>1731</v>
      </c>
      <c r="C262" s="222" t="s">
        <v>2836</v>
      </c>
      <c r="D262" s="222">
        <v>30</v>
      </c>
      <c r="E262" s="222">
        <v>30</v>
      </c>
      <c r="F262" s="222" t="s">
        <v>1708</v>
      </c>
      <c r="G262" s="222">
        <v>1.1943611106641401</v>
      </c>
      <c r="H262" s="222">
        <v>0.67789526606887895</v>
      </c>
      <c r="I262" s="222">
        <v>0.49178522372357603</v>
      </c>
      <c r="J262" s="222" t="s">
        <v>848</v>
      </c>
      <c r="K262" s="222" t="s">
        <v>2857</v>
      </c>
      <c r="L262" s="222">
        <v>3.4407819529700401E-2</v>
      </c>
      <c r="M262" s="222">
        <v>1.4473652574634899E-3</v>
      </c>
      <c r="N262" s="222" t="s">
        <v>2872</v>
      </c>
      <c r="O262" s="222" t="s">
        <v>1817</v>
      </c>
      <c r="P262" s="222" t="s">
        <v>2062</v>
      </c>
      <c r="Q262" s="222" t="s">
        <v>2873</v>
      </c>
    </row>
    <row r="263" spans="1:18">
      <c r="A263" s="222" t="s">
        <v>1812</v>
      </c>
      <c r="B263" s="222" t="s">
        <v>1735</v>
      </c>
      <c r="C263" s="222" t="s">
        <v>2836</v>
      </c>
      <c r="D263" s="222">
        <v>30</v>
      </c>
      <c r="E263" s="222">
        <v>30</v>
      </c>
      <c r="F263" s="222" t="s">
        <v>440</v>
      </c>
      <c r="G263" s="222">
        <v>-1.1508109884753199</v>
      </c>
      <c r="H263" s="222">
        <v>-0.88344520550493399</v>
      </c>
      <c r="I263" s="222">
        <v>-1.44185491327286</v>
      </c>
      <c r="J263" s="222" t="s">
        <v>848</v>
      </c>
      <c r="K263" s="222" t="s">
        <v>2837</v>
      </c>
      <c r="L263" s="222">
        <v>3.4594557330088198E-2</v>
      </c>
      <c r="M263" s="222">
        <v>3.3248144852586802E-3</v>
      </c>
      <c r="N263" s="222" t="s">
        <v>1812</v>
      </c>
      <c r="O263" s="222" t="s">
        <v>1715</v>
      </c>
      <c r="P263" s="222" t="s">
        <v>1715</v>
      </c>
      <c r="Q263" s="222" t="s">
        <v>1813</v>
      </c>
      <c r="R263" s="222" t="s">
        <v>1747</v>
      </c>
    </row>
    <row r="264" spans="1:18">
      <c r="A264" s="222" t="s">
        <v>2999</v>
      </c>
      <c r="B264" s="222" t="s">
        <v>1755</v>
      </c>
      <c r="C264" s="222" t="s">
        <v>2836</v>
      </c>
      <c r="D264" s="222">
        <v>30</v>
      </c>
      <c r="E264" s="222">
        <v>30</v>
      </c>
      <c r="F264" s="222" t="s">
        <v>1721</v>
      </c>
      <c r="G264" s="222">
        <v>3.0963653248382199</v>
      </c>
      <c r="H264" s="222">
        <v>1.6393084021439299</v>
      </c>
      <c r="I264" s="222">
        <v>1.63434112463853</v>
      </c>
      <c r="J264" s="222" t="s">
        <v>848</v>
      </c>
      <c r="K264" s="222" t="s">
        <v>2849</v>
      </c>
      <c r="L264" s="222">
        <v>3.4914306790428097E-2</v>
      </c>
      <c r="M264" s="222">
        <v>3.0016634359607201E-3</v>
      </c>
      <c r="N264" s="222" t="s">
        <v>2999</v>
      </c>
      <c r="O264" s="222" t="s">
        <v>1715</v>
      </c>
      <c r="P264" s="222" t="s">
        <v>1767</v>
      </c>
      <c r="Q264" s="222" t="s">
        <v>3000</v>
      </c>
      <c r="R264" s="222" t="s">
        <v>3001</v>
      </c>
    </row>
    <row r="265" spans="1:18">
      <c r="A265" s="222" t="s">
        <v>1997</v>
      </c>
      <c r="B265" s="222" t="s">
        <v>1755</v>
      </c>
      <c r="C265" s="222" t="s">
        <v>2836</v>
      </c>
      <c r="D265" s="222">
        <v>30</v>
      </c>
      <c r="E265" s="222">
        <v>30</v>
      </c>
      <c r="F265" s="222" t="s">
        <v>1721</v>
      </c>
      <c r="G265" s="222">
        <v>2.4198214400982798</v>
      </c>
      <c r="H265" s="222">
        <v>1.4591200224873</v>
      </c>
      <c r="I265" s="222">
        <v>1.6637898394889299</v>
      </c>
      <c r="J265" s="222" t="s">
        <v>848</v>
      </c>
      <c r="K265" s="222" t="s">
        <v>2849</v>
      </c>
      <c r="L265" s="222">
        <v>3.4914306790428097E-2</v>
      </c>
      <c r="M265" s="222">
        <v>2.9621399788807398E-3</v>
      </c>
      <c r="N265" s="222" t="s">
        <v>1997</v>
      </c>
      <c r="O265" s="222" t="s">
        <v>1987</v>
      </c>
      <c r="P265" s="222" t="s">
        <v>1987</v>
      </c>
      <c r="Q265" s="222" t="s">
        <v>1998</v>
      </c>
    </row>
    <row r="266" spans="1:18">
      <c r="A266" s="222" t="s">
        <v>1535</v>
      </c>
      <c r="B266" s="222" t="s">
        <v>1755</v>
      </c>
      <c r="C266" s="222" t="s">
        <v>2836</v>
      </c>
      <c r="D266" s="222">
        <v>30</v>
      </c>
      <c r="E266" s="222">
        <v>30</v>
      </c>
      <c r="F266" s="222" t="s">
        <v>1721</v>
      </c>
      <c r="G266" s="222">
        <v>1.68890348173266</v>
      </c>
      <c r="H266" s="222">
        <v>1.23217205312113</v>
      </c>
      <c r="I266" s="222">
        <v>1.3175016882934001</v>
      </c>
      <c r="J266" s="222" t="s">
        <v>848</v>
      </c>
      <c r="K266" s="222" t="s">
        <v>2849</v>
      </c>
      <c r="L266" s="222">
        <v>3.4914306790428097E-2</v>
      </c>
      <c r="M266" s="222">
        <v>2.8945833594008E-3</v>
      </c>
      <c r="N266" s="222" t="s">
        <v>1535</v>
      </c>
      <c r="O266" s="222" t="s">
        <v>2313</v>
      </c>
      <c r="P266" s="222" t="s">
        <v>1524</v>
      </c>
      <c r="Q266" s="222" t="s">
        <v>1536</v>
      </c>
    </row>
    <row r="267" spans="1:18">
      <c r="A267" s="222" t="s">
        <v>3019</v>
      </c>
      <c r="B267" s="222" t="s">
        <v>1755</v>
      </c>
      <c r="C267" s="222" t="s">
        <v>2836</v>
      </c>
      <c r="D267" s="222">
        <v>30</v>
      </c>
      <c r="E267" s="222">
        <v>30</v>
      </c>
      <c r="F267" s="222" t="s">
        <v>1721</v>
      </c>
      <c r="G267" s="222">
        <v>3.19920445186342</v>
      </c>
      <c r="H267" s="222">
        <v>1.66876776707815</v>
      </c>
      <c r="I267" s="222">
        <v>2.0920928780221</v>
      </c>
      <c r="J267" s="222" t="s">
        <v>848</v>
      </c>
      <c r="K267" s="222" t="s">
        <v>2849</v>
      </c>
      <c r="L267" s="222">
        <v>3.4914306790428097E-2</v>
      </c>
      <c r="M267" s="222">
        <v>2.98267259976307E-3</v>
      </c>
      <c r="N267" s="222" t="s">
        <v>3019</v>
      </c>
      <c r="O267" s="222" t="s">
        <v>1710</v>
      </c>
      <c r="P267" s="222" t="s">
        <v>2222</v>
      </c>
      <c r="Q267" s="222" t="s">
        <v>3020</v>
      </c>
      <c r="R267" s="222" t="s">
        <v>2275</v>
      </c>
    </row>
    <row r="268" spans="1:18">
      <c r="A268" s="222" t="s">
        <v>3021</v>
      </c>
      <c r="B268" s="222" t="s">
        <v>1755</v>
      </c>
      <c r="C268" s="222" t="s">
        <v>2836</v>
      </c>
      <c r="D268" s="222">
        <v>30</v>
      </c>
      <c r="E268" s="222">
        <v>30</v>
      </c>
      <c r="F268" s="222" t="s">
        <v>1721</v>
      </c>
      <c r="G268" s="222">
        <v>-6.7090226192569702</v>
      </c>
      <c r="H268" s="222">
        <v>-2.2642050751354899</v>
      </c>
      <c r="I268" s="222">
        <v>0</v>
      </c>
      <c r="J268" s="222">
        <v>1</v>
      </c>
      <c r="K268" s="222" t="s">
        <v>2849</v>
      </c>
      <c r="L268" s="222">
        <v>3.4914306790428097E-2</v>
      </c>
      <c r="M268" s="222">
        <v>3.0180701957148999E-3</v>
      </c>
      <c r="N268" s="222" t="s">
        <v>3021</v>
      </c>
      <c r="O268" s="222" t="s">
        <v>1710</v>
      </c>
      <c r="P268" s="222" t="s">
        <v>1831</v>
      </c>
      <c r="Q268" s="222" t="s">
        <v>3022</v>
      </c>
      <c r="R268" s="222" t="s">
        <v>2974</v>
      </c>
    </row>
    <row r="269" spans="1:18">
      <c r="A269" s="222" t="s">
        <v>2309</v>
      </c>
      <c r="B269" s="222" t="s">
        <v>1731</v>
      </c>
      <c r="C269" s="222" t="s">
        <v>2836</v>
      </c>
      <c r="D269" s="222">
        <v>30</v>
      </c>
      <c r="E269" s="222">
        <v>30</v>
      </c>
      <c r="F269" s="222" t="s">
        <v>1708</v>
      </c>
      <c r="G269" s="222">
        <v>1.25953577466054</v>
      </c>
      <c r="H269" s="222">
        <v>0.68780651378494995</v>
      </c>
      <c r="I269" s="222">
        <v>0.72654560077613195</v>
      </c>
      <c r="J269" s="222" t="s">
        <v>848</v>
      </c>
      <c r="K269" s="222" t="s">
        <v>2857</v>
      </c>
      <c r="L269" s="222">
        <v>3.5126813534672501E-2</v>
      </c>
      <c r="M269" s="222">
        <v>1.5111917868644901E-3</v>
      </c>
      <c r="N269" s="222" t="s">
        <v>2309</v>
      </c>
      <c r="O269" s="222" t="s">
        <v>1710</v>
      </c>
      <c r="P269" s="222" t="s">
        <v>2310</v>
      </c>
      <c r="Q269" s="222" t="s">
        <v>2311</v>
      </c>
    </row>
    <row r="270" spans="1:18">
      <c r="A270" s="222" t="s">
        <v>2649</v>
      </c>
      <c r="B270" s="222" t="s">
        <v>1735</v>
      </c>
      <c r="C270" s="222" t="s">
        <v>2836</v>
      </c>
      <c r="D270" s="222">
        <v>30</v>
      </c>
      <c r="E270" s="222">
        <v>30</v>
      </c>
      <c r="F270" s="222" t="s">
        <v>440</v>
      </c>
      <c r="G270" s="222">
        <v>2.8390252810290599</v>
      </c>
      <c r="H270" s="222">
        <v>1.6388665784526</v>
      </c>
      <c r="I270" s="222">
        <v>1.2412663699219899</v>
      </c>
      <c r="J270" s="222" t="s">
        <v>848</v>
      </c>
      <c r="K270" s="222" t="s">
        <v>2837</v>
      </c>
      <c r="L270" s="222">
        <v>3.5422372602841E-2</v>
      </c>
      <c r="M270" s="222">
        <v>3.4325094976541699E-3</v>
      </c>
      <c r="N270" s="222" t="s">
        <v>2649</v>
      </c>
      <c r="O270" s="222" t="s">
        <v>2056</v>
      </c>
      <c r="P270" s="222" t="s">
        <v>2650</v>
      </c>
      <c r="Q270" s="222" t="s">
        <v>2651</v>
      </c>
    </row>
    <row r="271" spans="1:18">
      <c r="A271" s="222" t="s">
        <v>2716</v>
      </c>
      <c r="B271" s="222" t="s">
        <v>1735</v>
      </c>
      <c r="C271" s="222" t="s">
        <v>2836</v>
      </c>
      <c r="D271" s="222">
        <v>30</v>
      </c>
      <c r="E271" s="222">
        <v>30</v>
      </c>
      <c r="F271" s="222" t="s">
        <v>440</v>
      </c>
      <c r="G271" s="222">
        <v>3.0863161980644298</v>
      </c>
      <c r="H271" s="222">
        <v>1.6857325542436401</v>
      </c>
      <c r="I271" s="222">
        <v>1.3205457284820199</v>
      </c>
      <c r="J271" s="222" t="s">
        <v>848</v>
      </c>
      <c r="K271" s="222" t="s">
        <v>2837</v>
      </c>
      <c r="L271" s="222">
        <v>3.5612022848113899E-2</v>
      </c>
      <c r="M271" s="222">
        <v>3.4791730026354399E-3</v>
      </c>
      <c r="N271" s="222" t="s">
        <v>2716</v>
      </c>
      <c r="O271" s="222" t="s">
        <v>1710</v>
      </c>
      <c r="P271" s="222" t="s">
        <v>2310</v>
      </c>
      <c r="Q271" s="222" t="s">
        <v>2717</v>
      </c>
    </row>
    <row r="272" spans="1:18">
      <c r="A272" s="222" t="s">
        <v>2917</v>
      </c>
      <c r="B272" s="222" t="s">
        <v>1755</v>
      </c>
      <c r="C272" s="222" t="s">
        <v>2836</v>
      </c>
      <c r="D272" s="222">
        <v>30</v>
      </c>
      <c r="E272" s="222">
        <v>30</v>
      </c>
      <c r="F272" s="222" t="s">
        <v>1721</v>
      </c>
      <c r="G272" s="222">
        <v>3.9471152264002498</v>
      </c>
      <c r="H272" s="222">
        <v>1.8584243429738101</v>
      </c>
      <c r="I272" s="222">
        <v>1.8924630818200501</v>
      </c>
      <c r="J272" s="222" t="s">
        <v>848</v>
      </c>
      <c r="K272" s="222" t="s">
        <v>2849</v>
      </c>
      <c r="L272" s="222">
        <v>3.56983200744048E-2</v>
      </c>
      <c r="M272" s="222">
        <v>3.1310233270021299E-3</v>
      </c>
      <c r="N272" s="222" t="s">
        <v>2917</v>
      </c>
      <c r="O272" s="222" t="s">
        <v>1524</v>
      </c>
      <c r="P272" s="222" t="s">
        <v>1524</v>
      </c>
      <c r="Q272" s="222" t="s">
        <v>2918</v>
      </c>
    </row>
    <row r="273" spans="1:18">
      <c r="A273" s="222" t="s">
        <v>3023</v>
      </c>
      <c r="B273" s="222" t="s">
        <v>1755</v>
      </c>
      <c r="C273" s="222" t="s">
        <v>2836</v>
      </c>
      <c r="D273" s="222">
        <v>30</v>
      </c>
      <c r="E273" s="222">
        <v>30</v>
      </c>
      <c r="F273" s="222" t="s">
        <v>1721</v>
      </c>
      <c r="G273" s="222">
        <v>2.5898287903406101</v>
      </c>
      <c r="H273" s="222">
        <v>1.4960575162991201</v>
      </c>
      <c r="I273" s="222">
        <v>1.7829498125328</v>
      </c>
      <c r="J273" s="222" t="s">
        <v>848</v>
      </c>
      <c r="K273" s="222" t="s">
        <v>2849</v>
      </c>
      <c r="L273" s="222">
        <v>3.56983200744048E-2</v>
      </c>
      <c r="M273" s="222">
        <v>3.1508071403250799E-3</v>
      </c>
      <c r="N273" s="222" t="s">
        <v>3023</v>
      </c>
      <c r="O273" s="222" t="s">
        <v>1710</v>
      </c>
      <c r="P273" s="222" t="s">
        <v>2222</v>
      </c>
      <c r="Q273" s="222" t="s">
        <v>3024</v>
      </c>
    </row>
    <row r="274" spans="1:18">
      <c r="A274" s="222" t="s">
        <v>3025</v>
      </c>
      <c r="B274" s="222" t="s">
        <v>1735</v>
      </c>
      <c r="C274" s="222" t="s">
        <v>2836</v>
      </c>
      <c r="D274" s="222">
        <v>30</v>
      </c>
      <c r="E274" s="222">
        <v>30</v>
      </c>
      <c r="F274" s="222" t="s">
        <v>440</v>
      </c>
      <c r="G274" s="222">
        <v>2.1519880446133199</v>
      </c>
      <c r="H274" s="222">
        <v>1.41610881733229</v>
      </c>
      <c r="I274" s="222">
        <v>1.32507093631323</v>
      </c>
      <c r="J274" s="222" t="s">
        <v>848</v>
      </c>
      <c r="K274" s="222" t="s">
        <v>2837</v>
      </c>
      <c r="L274" s="222">
        <v>3.721356769781E-2</v>
      </c>
      <c r="M274" s="222">
        <v>3.6651965008168701E-3</v>
      </c>
      <c r="N274" s="222" t="s">
        <v>3025</v>
      </c>
      <c r="O274" s="222" t="s">
        <v>1715</v>
      </c>
      <c r="P274" s="222" t="s">
        <v>1715</v>
      </c>
      <c r="Q274" s="222" t="s">
        <v>3026</v>
      </c>
      <c r="R274" s="222" t="s">
        <v>3027</v>
      </c>
    </row>
    <row r="275" spans="1:18">
      <c r="A275" s="222" t="s">
        <v>2055</v>
      </c>
      <c r="B275" s="222" t="s">
        <v>1755</v>
      </c>
      <c r="C275" s="222" t="s">
        <v>2836</v>
      </c>
      <c r="D275" s="222">
        <v>30</v>
      </c>
      <c r="E275" s="222">
        <v>30</v>
      </c>
      <c r="F275" s="222" t="s">
        <v>1721</v>
      </c>
      <c r="G275" s="222">
        <v>1.79770684921019</v>
      </c>
      <c r="H275" s="222">
        <v>1.2604548117916501</v>
      </c>
      <c r="I275" s="222">
        <v>1.2188615553342499</v>
      </c>
      <c r="J275" s="222" t="s">
        <v>848</v>
      </c>
      <c r="K275" s="222" t="s">
        <v>2849</v>
      </c>
      <c r="L275" s="222">
        <v>3.7817029560287901E-2</v>
      </c>
      <c r="M275" s="222">
        <v>3.3722191964587899E-3</v>
      </c>
      <c r="N275" s="222" t="s">
        <v>2055</v>
      </c>
      <c r="O275" s="222" t="s">
        <v>2056</v>
      </c>
      <c r="P275" s="222" t="s">
        <v>2057</v>
      </c>
      <c r="Q275" s="222" t="s">
        <v>2058</v>
      </c>
      <c r="R275" s="222" t="s">
        <v>2059</v>
      </c>
    </row>
    <row r="276" spans="1:18">
      <c r="A276" s="222" t="s">
        <v>3028</v>
      </c>
      <c r="B276" s="222" t="s">
        <v>1755</v>
      </c>
      <c r="C276" s="222" t="s">
        <v>2836</v>
      </c>
      <c r="D276" s="222">
        <v>30</v>
      </c>
      <c r="E276" s="222">
        <v>30</v>
      </c>
      <c r="F276" s="222" t="s">
        <v>1721</v>
      </c>
      <c r="G276" s="222">
        <v>-6.5263557161236099</v>
      </c>
      <c r="H276" s="222">
        <v>-2.18107917441748</v>
      </c>
      <c r="I276" s="222">
        <v>0</v>
      </c>
      <c r="J276" s="222">
        <v>1</v>
      </c>
      <c r="K276" s="222" t="s">
        <v>2849</v>
      </c>
      <c r="L276" s="222">
        <v>3.7883633979691501E-2</v>
      </c>
      <c r="M276" s="222">
        <v>3.4126294485800398E-3</v>
      </c>
      <c r="N276" s="222" t="s">
        <v>3028</v>
      </c>
      <c r="O276" s="222" t="s">
        <v>1543</v>
      </c>
      <c r="P276" s="222" t="s">
        <v>1543</v>
      </c>
      <c r="Q276" s="222" t="s">
        <v>3029</v>
      </c>
    </row>
    <row r="277" spans="1:18">
      <c r="A277" s="222" t="s">
        <v>2988</v>
      </c>
      <c r="B277" s="222" t="s">
        <v>1735</v>
      </c>
      <c r="C277" s="222" t="s">
        <v>2836</v>
      </c>
      <c r="D277" s="222">
        <v>30</v>
      </c>
      <c r="E277" s="222">
        <v>30</v>
      </c>
      <c r="F277" s="222" t="s">
        <v>440</v>
      </c>
      <c r="G277" s="222">
        <v>-1.1678104156156399</v>
      </c>
      <c r="H277" s="222">
        <v>-0.88542259503871001</v>
      </c>
      <c r="I277" s="222">
        <v>-1.5003593133506501</v>
      </c>
      <c r="J277" s="222" t="s">
        <v>848</v>
      </c>
      <c r="K277" s="222" t="s">
        <v>2837</v>
      </c>
      <c r="L277" s="222">
        <v>3.8064890024201499E-2</v>
      </c>
      <c r="M277" s="222">
        <v>3.9002151017648902E-3</v>
      </c>
      <c r="N277" s="222" t="s">
        <v>2988</v>
      </c>
      <c r="O277" s="222" t="s">
        <v>1715</v>
      </c>
      <c r="P277" s="222" t="s">
        <v>1715</v>
      </c>
      <c r="Q277" s="222" t="s">
        <v>2989</v>
      </c>
    </row>
    <row r="278" spans="1:18">
      <c r="A278" s="222" t="s">
        <v>2022</v>
      </c>
      <c r="B278" s="222" t="s">
        <v>1735</v>
      </c>
      <c r="C278" s="222" t="s">
        <v>2836</v>
      </c>
      <c r="D278" s="222">
        <v>30</v>
      </c>
      <c r="E278" s="222">
        <v>30</v>
      </c>
      <c r="F278" s="222" t="s">
        <v>440</v>
      </c>
      <c r="G278" s="222">
        <v>-3.0712406095003599</v>
      </c>
      <c r="H278" s="222">
        <v>-1.65843194478525</v>
      </c>
      <c r="I278" s="222">
        <v>-4.2344002722742502</v>
      </c>
      <c r="J278" s="222" t="s">
        <v>848</v>
      </c>
      <c r="K278" s="222" t="s">
        <v>2837</v>
      </c>
      <c r="L278" s="222">
        <v>3.8064890024201499E-2</v>
      </c>
      <c r="M278" s="222">
        <v>3.7964724675647698E-3</v>
      </c>
      <c r="N278" s="222" t="s">
        <v>2022</v>
      </c>
      <c r="O278" s="222" t="s">
        <v>1710</v>
      </c>
      <c r="P278" s="222" t="s">
        <v>2014</v>
      </c>
      <c r="Q278" s="222" t="s">
        <v>2023</v>
      </c>
    </row>
    <row r="279" spans="1:18">
      <c r="A279" s="222" t="s">
        <v>2542</v>
      </c>
      <c r="B279" s="222" t="s">
        <v>1735</v>
      </c>
      <c r="C279" s="222" t="s">
        <v>2836</v>
      </c>
      <c r="D279" s="222">
        <v>30</v>
      </c>
      <c r="E279" s="222">
        <v>30</v>
      </c>
      <c r="F279" s="222" t="s">
        <v>440</v>
      </c>
      <c r="G279" s="222">
        <v>4.4870960415224896</v>
      </c>
      <c r="H279" s="222">
        <v>1.7368581744304601</v>
      </c>
      <c r="I279" s="222">
        <v>1.5849625007211501</v>
      </c>
      <c r="J279" s="222" t="s">
        <v>848</v>
      </c>
      <c r="K279" s="222" t="s">
        <v>2837</v>
      </c>
      <c r="L279" s="222">
        <v>3.8064890024201499E-2</v>
      </c>
      <c r="M279" s="222">
        <v>3.8947723565168398E-3</v>
      </c>
      <c r="N279" s="222" t="s">
        <v>2542</v>
      </c>
      <c r="O279" s="222" t="s">
        <v>1710</v>
      </c>
      <c r="P279" s="222" t="s">
        <v>2536</v>
      </c>
      <c r="Q279" s="222" t="s">
        <v>2543</v>
      </c>
      <c r="R279" s="222" t="s">
        <v>2544</v>
      </c>
    </row>
    <row r="280" spans="1:18">
      <c r="A280" s="222" t="s">
        <v>2585</v>
      </c>
      <c r="B280" s="222" t="s">
        <v>1735</v>
      </c>
      <c r="C280" s="222" t="s">
        <v>2836</v>
      </c>
      <c r="D280" s="222">
        <v>30</v>
      </c>
      <c r="E280" s="222">
        <v>30</v>
      </c>
      <c r="F280" s="222" t="s">
        <v>440</v>
      </c>
      <c r="G280" s="222">
        <v>-3.0564793757850701</v>
      </c>
      <c r="H280" s="222">
        <v>-1.6529782606929</v>
      </c>
      <c r="I280" s="222">
        <v>-4.3720284833960799</v>
      </c>
      <c r="J280" s="222" t="s">
        <v>848</v>
      </c>
      <c r="K280" s="222" t="s">
        <v>2837</v>
      </c>
      <c r="L280" s="222">
        <v>3.8064890024201499E-2</v>
      </c>
      <c r="M280" s="222">
        <v>3.8356154540262598E-3</v>
      </c>
      <c r="N280" s="222" t="s">
        <v>2585</v>
      </c>
      <c r="O280" s="222" t="s">
        <v>2583</v>
      </c>
      <c r="P280" s="222" t="s">
        <v>1464</v>
      </c>
      <c r="Q280" s="222" t="s">
        <v>2586</v>
      </c>
    </row>
    <row r="281" spans="1:18">
      <c r="A281" s="222" t="s">
        <v>3030</v>
      </c>
      <c r="B281" s="222" t="s">
        <v>1735</v>
      </c>
      <c r="C281" s="222" t="s">
        <v>2836</v>
      </c>
      <c r="D281" s="222">
        <v>30</v>
      </c>
      <c r="E281" s="222">
        <v>30</v>
      </c>
      <c r="F281" s="222" t="s">
        <v>440</v>
      </c>
      <c r="G281" s="222">
        <v>4.4870960415224896</v>
      </c>
      <c r="H281" s="222">
        <v>1.7368581744304601</v>
      </c>
      <c r="I281" s="222">
        <v>1.5849625007211501</v>
      </c>
      <c r="J281" s="222" t="s">
        <v>848</v>
      </c>
      <c r="K281" s="222" t="s">
        <v>2837</v>
      </c>
      <c r="L281" s="222">
        <v>3.8064890024201499E-2</v>
      </c>
      <c r="M281" s="222">
        <v>3.8947723565168398E-3</v>
      </c>
      <c r="N281" s="222" t="s">
        <v>3030</v>
      </c>
      <c r="O281" s="222" t="s">
        <v>2757</v>
      </c>
      <c r="P281" s="222" t="s">
        <v>2758</v>
      </c>
      <c r="Q281" s="222" t="s">
        <v>3031</v>
      </c>
    </row>
    <row r="282" spans="1:18">
      <c r="A282" s="222" t="s">
        <v>2369</v>
      </c>
      <c r="B282" s="222" t="s">
        <v>1720</v>
      </c>
      <c r="C282" s="222" t="s">
        <v>3032</v>
      </c>
      <c r="D282" s="222">
        <v>55</v>
      </c>
      <c r="E282" s="222">
        <v>55</v>
      </c>
      <c r="F282" s="222" t="s">
        <v>1721</v>
      </c>
      <c r="G282" s="222">
        <v>3.88127094566015</v>
      </c>
      <c r="H282" s="222">
        <v>2.66065607251124</v>
      </c>
      <c r="I282" s="222">
        <v>1.3619847380763599</v>
      </c>
      <c r="J282" s="222" t="s">
        <v>848</v>
      </c>
      <c r="K282" s="222" t="s">
        <v>3033</v>
      </c>
      <c r="L282" s="222">
        <v>3.8305767116575497E-2</v>
      </c>
      <c r="M282" s="231">
        <v>1.1207070543175899E-5</v>
      </c>
      <c r="N282" s="222" t="s">
        <v>2369</v>
      </c>
      <c r="O282" s="222" t="s">
        <v>1710</v>
      </c>
      <c r="P282" s="222" t="s">
        <v>2370</v>
      </c>
      <c r="Q282" s="222" t="s">
        <v>2371</v>
      </c>
    </row>
    <row r="283" spans="1:18">
      <c r="A283" s="222" t="s">
        <v>1901</v>
      </c>
      <c r="B283" s="222" t="s">
        <v>1755</v>
      </c>
      <c r="C283" s="222" t="s">
        <v>2836</v>
      </c>
      <c r="D283" s="222">
        <v>30</v>
      </c>
      <c r="E283" s="222">
        <v>30</v>
      </c>
      <c r="F283" s="222" t="s">
        <v>1721</v>
      </c>
      <c r="G283" s="222">
        <v>-1.58942266535153</v>
      </c>
      <c r="H283" s="222">
        <v>-1.17940002483475</v>
      </c>
      <c r="I283" s="222">
        <v>-1.88142739987222</v>
      </c>
      <c r="J283" s="222" t="s">
        <v>848</v>
      </c>
      <c r="K283" s="222" t="s">
        <v>2849</v>
      </c>
      <c r="L283" s="222">
        <v>3.8334156924319802E-2</v>
      </c>
      <c r="M283" s="222">
        <v>3.5536645411650201E-3</v>
      </c>
      <c r="N283" s="222" t="s">
        <v>1901</v>
      </c>
      <c r="O283" s="222" t="s">
        <v>1889</v>
      </c>
      <c r="P283" s="222" t="s">
        <v>1597</v>
      </c>
      <c r="Q283" s="222" t="s">
        <v>1902</v>
      </c>
      <c r="R283" s="222" t="s">
        <v>1903</v>
      </c>
    </row>
    <row r="284" spans="1:18">
      <c r="A284" s="222" t="s">
        <v>3034</v>
      </c>
      <c r="B284" s="222" t="s">
        <v>1755</v>
      </c>
      <c r="C284" s="222" t="s">
        <v>2836</v>
      </c>
      <c r="D284" s="222">
        <v>30</v>
      </c>
      <c r="E284" s="222">
        <v>30</v>
      </c>
      <c r="F284" s="222" t="s">
        <v>1721</v>
      </c>
      <c r="G284" s="222">
        <v>-2.4124596545868902</v>
      </c>
      <c r="H284" s="222">
        <v>-1.43049488477757</v>
      </c>
      <c r="I284" s="222">
        <v>-2.8220431320730701</v>
      </c>
      <c r="J284" s="222" t="s">
        <v>848</v>
      </c>
      <c r="K284" s="222" t="s">
        <v>2849</v>
      </c>
      <c r="L284" s="222">
        <v>3.8334156924319802E-2</v>
      </c>
      <c r="M284" s="222">
        <v>3.6276181256863198E-3</v>
      </c>
      <c r="N284" s="222" t="s">
        <v>3034</v>
      </c>
      <c r="O284" s="222" t="s">
        <v>2033</v>
      </c>
      <c r="P284" s="222" t="s">
        <v>2611</v>
      </c>
      <c r="Q284" s="222" t="s">
        <v>3035</v>
      </c>
    </row>
    <row r="285" spans="1:18">
      <c r="A285" s="222" t="s">
        <v>3036</v>
      </c>
      <c r="B285" s="222" t="s">
        <v>1755</v>
      </c>
      <c r="C285" s="222" t="s">
        <v>2836</v>
      </c>
      <c r="D285" s="222">
        <v>30</v>
      </c>
      <c r="E285" s="222">
        <v>30</v>
      </c>
      <c r="F285" s="222" t="s">
        <v>1721</v>
      </c>
      <c r="G285" s="222">
        <v>-6.9737489765034502</v>
      </c>
      <c r="H285" s="222">
        <v>-2.1458862543099602</v>
      </c>
      <c r="I285" s="222">
        <v>0</v>
      </c>
      <c r="J285" s="222">
        <v>1</v>
      </c>
      <c r="K285" s="222" t="s">
        <v>2849</v>
      </c>
      <c r="L285" s="222">
        <v>3.8334156924319802E-2</v>
      </c>
      <c r="M285" s="222">
        <v>3.5662593341835198E-3</v>
      </c>
      <c r="N285" s="222" t="s">
        <v>3036</v>
      </c>
      <c r="O285" s="222" t="s">
        <v>1710</v>
      </c>
      <c r="P285" s="222" t="s">
        <v>2565</v>
      </c>
      <c r="Q285" s="222" t="s">
        <v>3037</v>
      </c>
      <c r="R285" s="222" t="s">
        <v>3038</v>
      </c>
    </row>
    <row r="286" spans="1:18">
      <c r="A286" s="222" t="s">
        <v>3039</v>
      </c>
      <c r="B286" s="222" t="s">
        <v>1755</v>
      </c>
      <c r="C286" s="222" t="s">
        <v>2836</v>
      </c>
      <c r="D286" s="222">
        <v>30</v>
      </c>
      <c r="E286" s="222">
        <v>30</v>
      </c>
      <c r="F286" s="222" t="s">
        <v>1721</v>
      </c>
      <c r="G286" s="222">
        <v>-6.40054184496812</v>
      </c>
      <c r="H286" s="222">
        <v>-2.1445086417759298</v>
      </c>
      <c r="I286" s="222">
        <v>0</v>
      </c>
      <c r="J286" s="222">
        <v>1</v>
      </c>
      <c r="K286" s="222" t="s">
        <v>2849</v>
      </c>
      <c r="L286" s="222">
        <v>3.8334156924319802E-2</v>
      </c>
      <c r="M286" s="222">
        <v>3.6020785002306298E-3</v>
      </c>
      <c r="N286" s="222" t="s">
        <v>3039</v>
      </c>
      <c r="O286" s="222" t="s">
        <v>1710</v>
      </c>
      <c r="P286" s="222" t="s">
        <v>2310</v>
      </c>
      <c r="Q286" s="222" t="s">
        <v>3040</v>
      </c>
    </row>
    <row r="287" spans="1:18">
      <c r="A287" s="222" t="s">
        <v>2919</v>
      </c>
      <c r="B287" s="222" t="s">
        <v>1755</v>
      </c>
      <c r="C287" s="222" t="s">
        <v>2836</v>
      </c>
      <c r="D287" s="222">
        <v>30</v>
      </c>
      <c r="E287" s="222">
        <v>30</v>
      </c>
      <c r="F287" s="222" t="s">
        <v>1721</v>
      </c>
      <c r="G287" s="222">
        <v>-6.69195511487065</v>
      </c>
      <c r="H287" s="222">
        <v>-2.16059613349212</v>
      </c>
      <c r="I287" s="222">
        <v>0</v>
      </c>
      <c r="J287" s="222">
        <v>1</v>
      </c>
      <c r="K287" s="222" t="s">
        <v>2849</v>
      </c>
      <c r="L287" s="222">
        <v>3.8334156924319802E-2</v>
      </c>
      <c r="M287" s="222">
        <v>3.5196651348255001E-3</v>
      </c>
      <c r="N287" s="222" t="s">
        <v>2919</v>
      </c>
      <c r="O287" s="222" t="s">
        <v>2757</v>
      </c>
      <c r="P287" s="222" t="s">
        <v>2758</v>
      </c>
      <c r="Q287" s="222" t="s">
        <v>2920</v>
      </c>
    </row>
    <row r="288" spans="1:18">
      <c r="A288" s="222" t="s">
        <v>3028</v>
      </c>
      <c r="B288" s="222" t="s">
        <v>1731</v>
      </c>
      <c r="C288" s="222" t="s">
        <v>2836</v>
      </c>
      <c r="D288" s="222">
        <v>30</v>
      </c>
      <c r="E288" s="222">
        <v>30</v>
      </c>
      <c r="F288" s="222" t="s">
        <v>1708</v>
      </c>
      <c r="G288" s="222">
        <v>2.6623665713456499</v>
      </c>
      <c r="H288" s="222">
        <v>0.82343090691646603</v>
      </c>
      <c r="I288" s="222">
        <v>0.91312434809700505</v>
      </c>
      <c r="J288" s="222" t="s">
        <v>848</v>
      </c>
      <c r="K288" s="222" t="s">
        <v>2857</v>
      </c>
      <c r="L288" s="222">
        <v>3.85417953800904E-2</v>
      </c>
      <c r="M288" s="222">
        <v>1.6949546725469899E-3</v>
      </c>
      <c r="N288" s="222" t="s">
        <v>3028</v>
      </c>
      <c r="O288" s="222" t="s">
        <v>1543</v>
      </c>
      <c r="P288" s="222" t="s">
        <v>1543</v>
      </c>
      <c r="Q288" s="222" t="s">
        <v>3029</v>
      </c>
    </row>
    <row r="289" spans="1:18">
      <c r="A289" s="222" t="s">
        <v>2066</v>
      </c>
      <c r="B289" s="222" t="s">
        <v>1755</v>
      </c>
      <c r="C289" s="222" t="s">
        <v>2836</v>
      </c>
      <c r="D289" s="222">
        <v>30</v>
      </c>
      <c r="E289" s="222">
        <v>30</v>
      </c>
      <c r="F289" s="222" t="s">
        <v>1721</v>
      </c>
      <c r="G289" s="222">
        <v>-5.6231994350780399</v>
      </c>
      <c r="H289" s="222">
        <v>-2.0816833967193502</v>
      </c>
      <c r="I289" s="222">
        <v>0</v>
      </c>
      <c r="J289" s="222">
        <v>1</v>
      </c>
      <c r="K289" s="222" t="s">
        <v>2849</v>
      </c>
      <c r="L289" s="222">
        <v>3.8828491734586003E-2</v>
      </c>
      <c r="M289" s="222">
        <v>3.7450592573849998E-3</v>
      </c>
      <c r="N289" s="222" t="s">
        <v>2066</v>
      </c>
      <c r="O289" s="222" t="s">
        <v>1817</v>
      </c>
      <c r="P289" s="222" t="s">
        <v>2062</v>
      </c>
      <c r="Q289" s="222" t="s">
        <v>2067</v>
      </c>
      <c r="R289" s="222" t="s">
        <v>1964</v>
      </c>
    </row>
    <row r="290" spans="1:18">
      <c r="A290" s="222" t="s">
        <v>3041</v>
      </c>
      <c r="B290" s="222" t="s">
        <v>1755</v>
      </c>
      <c r="C290" s="222" t="s">
        <v>2836</v>
      </c>
      <c r="D290" s="222">
        <v>30</v>
      </c>
      <c r="E290" s="222">
        <v>30</v>
      </c>
      <c r="F290" s="222" t="s">
        <v>1721</v>
      </c>
      <c r="G290" s="222">
        <v>-2.1685026548120598</v>
      </c>
      <c r="H290" s="222">
        <v>-1.3637925057250899</v>
      </c>
      <c r="I290" s="222">
        <v>-2.5439592863512002</v>
      </c>
      <c r="J290" s="222" t="s">
        <v>848</v>
      </c>
      <c r="K290" s="222" t="s">
        <v>2849</v>
      </c>
      <c r="L290" s="222">
        <v>3.8828491734586003E-2</v>
      </c>
      <c r="M290" s="222">
        <v>3.7123903327447999E-3</v>
      </c>
      <c r="N290" s="222" t="s">
        <v>3041</v>
      </c>
      <c r="O290" s="222" t="s">
        <v>2033</v>
      </c>
      <c r="P290" s="222" t="s">
        <v>2611</v>
      </c>
      <c r="Q290" s="222" t="s">
        <v>3042</v>
      </c>
    </row>
    <row r="291" spans="1:18">
      <c r="A291" s="222" t="s">
        <v>2453</v>
      </c>
      <c r="B291" s="222" t="s">
        <v>1735</v>
      </c>
      <c r="C291" s="222" t="s">
        <v>2836</v>
      </c>
      <c r="D291" s="222">
        <v>30</v>
      </c>
      <c r="E291" s="222">
        <v>30</v>
      </c>
      <c r="F291" s="222" t="s">
        <v>440</v>
      </c>
      <c r="G291" s="222">
        <v>1.5749491122691499</v>
      </c>
      <c r="H291" s="222">
        <v>1.13347900658947</v>
      </c>
      <c r="I291" s="222">
        <v>0.99840597151794797</v>
      </c>
      <c r="J291" s="222" t="s">
        <v>848</v>
      </c>
      <c r="K291" s="222" t="s">
        <v>2837</v>
      </c>
      <c r="L291" s="222">
        <v>3.8888755236447699E-2</v>
      </c>
      <c r="M291" s="222">
        <v>4.01551880916458E-3</v>
      </c>
      <c r="N291" s="222" t="s">
        <v>2453</v>
      </c>
      <c r="O291" s="222" t="s">
        <v>2394</v>
      </c>
      <c r="P291" s="222" t="s">
        <v>2433</v>
      </c>
      <c r="Q291" s="222" t="s">
        <v>2454</v>
      </c>
    </row>
    <row r="292" spans="1:18">
      <c r="A292" s="222" t="s">
        <v>2637</v>
      </c>
      <c r="B292" s="222" t="s">
        <v>1735</v>
      </c>
      <c r="C292" s="222" t="s">
        <v>2836</v>
      </c>
      <c r="D292" s="222">
        <v>30</v>
      </c>
      <c r="E292" s="222">
        <v>30</v>
      </c>
      <c r="F292" s="222" t="s">
        <v>440</v>
      </c>
      <c r="G292" s="222">
        <v>1.33906275770619</v>
      </c>
      <c r="H292" s="222">
        <v>0.99307041879186098</v>
      </c>
      <c r="I292" s="222">
        <v>0.87832531831268801</v>
      </c>
      <c r="J292" s="222" t="s">
        <v>848</v>
      </c>
      <c r="K292" s="222" t="s">
        <v>2837</v>
      </c>
      <c r="L292" s="222">
        <v>3.9188626504130603E-2</v>
      </c>
      <c r="M292" s="222">
        <v>4.0776092708825398E-3</v>
      </c>
      <c r="N292" s="222" t="s">
        <v>2637</v>
      </c>
      <c r="O292" s="222" t="s">
        <v>2033</v>
      </c>
      <c r="P292" s="222" t="s">
        <v>2611</v>
      </c>
      <c r="Q292" s="222" t="s">
        <v>2638</v>
      </c>
    </row>
    <row r="293" spans="1:18">
      <c r="A293" s="222" t="s">
        <v>2970</v>
      </c>
      <c r="B293" s="222" t="s">
        <v>1735</v>
      </c>
      <c r="C293" s="222" t="s">
        <v>2836</v>
      </c>
      <c r="D293" s="222">
        <v>30</v>
      </c>
      <c r="E293" s="222">
        <v>30</v>
      </c>
      <c r="F293" s="222" t="s">
        <v>440</v>
      </c>
      <c r="G293" s="222">
        <v>-1.71118538345016</v>
      </c>
      <c r="H293" s="222">
        <v>-1.2013845085077099</v>
      </c>
      <c r="I293" s="222">
        <v>-2.36546067529732</v>
      </c>
      <c r="J293" s="222" t="s">
        <v>848</v>
      </c>
      <c r="K293" s="222" t="s">
        <v>2837</v>
      </c>
      <c r="L293" s="222">
        <v>3.9731223781565503E-2</v>
      </c>
      <c r="M293" s="222">
        <v>4.1656247332538896E-3</v>
      </c>
      <c r="N293" s="222" t="s">
        <v>2970</v>
      </c>
      <c r="O293" s="222" t="s">
        <v>1987</v>
      </c>
      <c r="P293" s="222" t="s">
        <v>1987</v>
      </c>
      <c r="Q293" s="222" t="s">
        <v>2971</v>
      </c>
    </row>
    <row r="294" spans="1:18">
      <c r="A294" s="222" t="s">
        <v>2784</v>
      </c>
      <c r="B294" s="222" t="s">
        <v>1735</v>
      </c>
      <c r="C294" s="222" t="s">
        <v>2836</v>
      </c>
      <c r="D294" s="222">
        <v>30</v>
      </c>
      <c r="E294" s="222">
        <v>30</v>
      </c>
      <c r="F294" s="222" t="s">
        <v>440</v>
      </c>
      <c r="G294" s="222">
        <v>3.3885954574150401</v>
      </c>
      <c r="H294" s="222">
        <v>1.6650262952589101</v>
      </c>
      <c r="I294" s="222">
        <v>1.41411183803714</v>
      </c>
      <c r="J294" s="222" t="s">
        <v>848</v>
      </c>
      <c r="K294" s="222" t="s">
        <v>2837</v>
      </c>
      <c r="L294" s="222">
        <v>4.05156337478478E-2</v>
      </c>
      <c r="M294" s="222">
        <v>4.2800470917106898E-3</v>
      </c>
      <c r="N294" s="222" t="s">
        <v>2784</v>
      </c>
      <c r="O294" s="222" t="s">
        <v>2757</v>
      </c>
      <c r="P294" s="222" t="s">
        <v>2758</v>
      </c>
      <c r="Q294" s="222" t="s">
        <v>2758</v>
      </c>
    </row>
    <row r="295" spans="1:18">
      <c r="A295" s="222" t="s">
        <v>2598</v>
      </c>
      <c r="B295" s="222" t="s">
        <v>1755</v>
      </c>
      <c r="C295" s="222" t="s">
        <v>2836</v>
      </c>
      <c r="D295" s="222">
        <v>30</v>
      </c>
      <c r="E295" s="222">
        <v>30</v>
      </c>
      <c r="F295" s="222" t="s">
        <v>1721</v>
      </c>
      <c r="G295" s="222">
        <v>2.6228952811520898</v>
      </c>
      <c r="H295" s="222">
        <v>1.46709412902105</v>
      </c>
      <c r="I295" s="222">
        <v>1.7564447150174001</v>
      </c>
      <c r="J295" s="222" t="s">
        <v>848</v>
      </c>
      <c r="K295" s="222" t="s">
        <v>2849</v>
      </c>
      <c r="L295" s="222">
        <v>4.1331301911446003E-2</v>
      </c>
      <c r="M295" s="222">
        <v>4.0240667011143998E-3</v>
      </c>
      <c r="N295" s="222" t="s">
        <v>2598</v>
      </c>
      <c r="O295" s="222" t="s">
        <v>2033</v>
      </c>
      <c r="P295" s="222" t="s">
        <v>2594</v>
      </c>
      <c r="Q295" s="222" t="s">
        <v>2599</v>
      </c>
    </row>
    <row r="296" spans="1:18">
      <c r="A296" s="222" t="s">
        <v>3043</v>
      </c>
      <c r="B296" s="222" t="s">
        <v>1755</v>
      </c>
      <c r="C296" s="222" t="s">
        <v>2836</v>
      </c>
      <c r="D296" s="222">
        <v>30</v>
      </c>
      <c r="E296" s="222">
        <v>30</v>
      </c>
      <c r="F296" s="222" t="s">
        <v>1721</v>
      </c>
      <c r="G296" s="222">
        <v>-6.47986857832172</v>
      </c>
      <c r="H296" s="222">
        <v>-2.0523304570244099</v>
      </c>
      <c r="I296" s="222">
        <v>0</v>
      </c>
      <c r="J296" s="222">
        <v>1</v>
      </c>
      <c r="K296" s="222" t="s">
        <v>2849</v>
      </c>
      <c r="L296" s="222">
        <v>4.1805112670038599E-2</v>
      </c>
      <c r="M296" s="222">
        <v>4.16311603592025E-3</v>
      </c>
      <c r="N296" s="222" t="s">
        <v>3043</v>
      </c>
      <c r="O296" s="222" t="s">
        <v>1817</v>
      </c>
      <c r="P296" s="222" t="s">
        <v>1597</v>
      </c>
      <c r="Q296" s="222" t="s">
        <v>3044</v>
      </c>
      <c r="R296" s="222" t="s">
        <v>3045</v>
      </c>
    </row>
    <row r="297" spans="1:18">
      <c r="A297" s="222" t="s">
        <v>1873</v>
      </c>
      <c r="B297" s="222" t="s">
        <v>1755</v>
      </c>
      <c r="C297" s="222" t="s">
        <v>2836</v>
      </c>
      <c r="D297" s="222">
        <v>30</v>
      </c>
      <c r="E297" s="222">
        <v>30</v>
      </c>
      <c r="F297" s="222" t="s">
        <v>1721</v>
      </c>
      <c r="G297" s="222">
        <v>1.66227405692706</v>
      </c>
      <c r="H297" s="222">
        <v>1.1949427251829901</v>
      </c>
      <c r="I297" s="222">
        <v>1.28355669813636</v>
      </c>
      <c r="J297" s="222" t="s">
        <v>848</v>
      </c>
      <c r="K297" s="222" t="s">
        <v>2849</v>
      </c>
      <c r="L297" s="222">
        <v>4.1805112670038599E-2</v>
      </c>
      <c r="M297" s="222">
        <v>4.2374546187094898E-3</v>
      </c>
      <c r="N297" s="222" t="s">
        <v>1873</v>
      </c>
      <c r="O297" s="222" t="s">
        <v>1848</v>
      </c>
      <c r="P297" s="222" t="s">
        <v>1849</v>
      </c>
      <c r="Q297" s="222" t="s">
        <v>1874</v>
      </c>
      <c r="R297" s="222" t="s">
        <v>1875</v>
      </c>
    </row>
    <row r="298" spans="1:18">
      <c r="A298" s="222" t="s">
        <v>3046</v>
      </c>
      <c r="B298" s="222" t="s">
        <v>1755</v>
      </c>
      <c r="C298" s="222" t="s">
        <v>2836</v>
      </c>
      <c r="D298" s="222">
        <v>30</v>
      </c>
      <c r="E298" s="222">
        <v>30</v>
      </c>
      <c r="F298" s="222" t="s">
        <v>1721</v>
      </c>
      <c r="G298" s="222">
        <v>-6.7478936854423903</v>
      </c>
      <c r="H298" s="222">
        <v>-2.0472836637054099</v>
      </c>
      <c r="I298" s="222">
        <v>0</v>
      </c>
      <c r="J298" s="222">
        <v>1</v>
      </c>
      <c r="K298" s="222" t="s">
        <v>2849</v>
      </c>
      <c r="L298" s="222">
        <v>4.1805112670038599E-2</v>
      </c>
      <c r="M298" s="222">
        <v>4.1708915606512298E-3</v>
      </c>
      <c r="N298" s="222" t="s">
        <v>3046</v>
      </c>
      <c r="O298" s="222" t="s">
        <v>1710</v>
      </c>
      <c r="P298" s="222" t="s">
        <v>2310</v>
      </c>
      <c r="Q298" s="222" t="s">
        <v>3047</v>
      </c>
      <c r="R298" s="222" t="s">
        <v>2673</v>
      </c>
    </row>
    <row r="299" spans="1:18">
      <c r="A299" s="222" t="s">
        <v>2716</v>
      </c>
      <c r="B299" s="222" t="s">
        <v>1755</v>
      </c>
      <c r="C299" s="222" t="s">
        <v>2836</v>
      </c>
      <c r="D299" s="222">
        <v>30</v>
      </c>
      <c r="E299" s="222">
        <v>30</v>
      </c>
      <c r="F299" s="222" t="s">
        <v>1721</v>
      </c>
      <c r="G299" s="222">
        <v>-6.4808763458570002</v>
      </c>
      <c r="H299" s="222">
        <v>-2.04370991952762</v>
      </c>
      <c r="I299" s="222">
        <v>0</v>
      </c>
      <c r="J299" s="222">
        <v>1</v>
      </c>
      <c r="K299" s="222" t="s">
        <v>2849</v>
      </c>
      <c r="L299" s="222">
        <v>4.1805112670038599E-2</v>
      </c>
      <c r="M299" s="222">
        <v>4.2198263121529904E-3</v>
      </c>
      <c r="N299" s="222" t="s">
        <v>2716</v>
      </c>
      <c r="O299" s="222" t="s">
        <v>1710</v>
      </c>
      <c r="P299" s="222" t="s">
        <v>2310</v>
      </c>
      <c r="Q299" s="222" t="s">
        <v>2717</v>
      </c>
    </row>
    <row r="300" spans="1:18">
      <c r="A300" s="222" t="s">
        <v>3048</v>
      </c>
      <c r="B300" s="222" t="s">
        <v>1755</v>
      </c>
      <c r="C300" s="222" t="s">
        <v>2836</v>
      </c>
      <c r="D300" s="222">
        <v>30</v>
      </c>
      <c r="E300" s="222">
        <v>30</v>
      </c>
      <c r="F300" s="222" t="s">
        <v>1721</v>
      </c>
      <c r="G300" s="222">
        <v>-6.4082713530103703</v>
      </c>
      <c r="H300" s="222">
        <v>-2.0377962176710298</v>
      </c>
      <c r="I300" s="222">
        <v>0</v>
      </c>
      <c r="J300" s="222">
        <v>1</v>
      </c>
      <c r="K300" s="222" t="s">
        <v>2849</v>
      </c>
      <c r="L300" s="222">
        <v>4.1805112670038599E-2</v>
      </c>
      <c r="M300" s="222">
        <v>4.2603936479020197E-3</v>
      </c>
      <c r="N300" s="222" t="s">
        <v>3048</v>
      </c>
      <c r="O300" s="222" t="s">
        <v>1710</v>
      </c>
      <c r="P300" s="222" t="s">
        <v>2334</v>
      </c>
      <c r="Q300" s="222" t="s">
        <v>3049</v>
      </c>
    </row>
    <row r="301" spans="1:18">
      <c r="A301" s="222" t="s">
        <v>1578</v>
      </c>
      <c r="B301" s="222" t="s">
        <v>1735</v>
      </c>
      <c r="C301" s="222" t="s">
        <v>2836</v>
      </c>
      <c r="D301" s="222">
        <v>30</v>
      </c>
      <c r="E301" s="222">
        <v>30</v>
      </c>
      <c r="F301" s="222" t="s">
        <v>440</v>
      </c>
      <c r="G301" s="222">
        <v>-0.93683501681324299</v>
      </c>
      <c r="H301" s="222">
        <v>-0.72191624725744397</v>
      </c>
      <c r="I301" s="222">
        <v>-1.1534129634545101</v>
      </c>
      <c r="J301" s="222" t="s">
        <v>848</v>
      </c>
      <c r="K301" s="222" t="s">
        <v>2837</v>
      </c>
      <c r="L301" s="222">
        <v>4.2269980535509601E-2</v>
      </c>
      <c r="M301" s="222">
        <v>4.4989494771710001E-3</v>
      </c>
      <c r="N301" s="222" t="s">
        <v>1578</v>
      </c>
      <c r="O301" s="222" t="s">
        <v>1817</v>
      </c>
      <c r="P301" s="222" t="s">
        <v>1576</v>
      </c>
      <c r="Q301" s="222" t="s">
        <v>2196</v>
      </c>
    </row>
    <row r="302" spans="1:18">
      <c r="A302" s="222" t="s">
        <v>3050</v>
      </c>
      <c r="B302" s="222" t="s">
        <v>1755</v>
      </c>
      <c r="C302" s="222" t="s">
        <v>2836</v>
      </c>
      <c r="D302" s="222">
        <v>30</v>
      </c>
      <c r="E302" s="222">
        <v>30</v>
      </c>
      <c r="F302" s="222" t="s">
        <v>1721</v>
      </c>
      <c r="G302" s="222">
        <v>-1.9084699426445899</v>
      </c>
      <c r="H302" s="222">
        <v>-1.2735409201561401</v>
      </c>
      <c r="I302" s="222">
        <v>-2.3276210065839198</v>
      </c>
      <c r="J302" s="222" t="s">
        <v>848</v>
      </c>
      <c r="K302" s="222" t="s">
        <v>2849</v>
      </c>
      <c r="L302" s="222">
        <v>4.2356527045158E-2</v>
      </c>
      <c r="M302" s="222">
        <v>4.3551297143792998E-3</v>
      </c>
      <c r="N302" s="222" t="s">
        <v>3050</v>
      </c>
      <c r="O302" s="222" t="s">
        <v>1710</v>
      </c>
      <c r="P302" s="222" t="s">
        <v>2222</v>
      </c>
      <c r="Q302" s="222" t="s">
        <v>3051</v>
      </c>
    </row>
    <row r="303" spans="1:18">
      <c r="A303" s="222" t="s">
        <v>3052</v>
      </c>
      <c r="B303" s="222" t="s">
        <v>1735</v>
      </c>
      <c r="C303" s="222" t="s">
        <v>2836</v>
      </c>
      <c r="D303" s="222">
        <v>30</v>
      </c>
      <c r="E303" s="222">
        <v>30</v>
      </c>
      <c r="F303" s="222" t="s">
        <v>440</v>
      </c>
      <c r="G303" s="222">
        <v>-3.3305160729212901</v>
      </c>
      <c r="H303" s="222">
        <v>-1.6341310258039401</v>
      </c>
      <c r="I303" s="222">
        <v>0</v>
      </c>
      <c r="J303" s="222">
        <v>1</v>
      </c>
      <c r="K303" s="222" t="s">
        <v>2837</v>
      </c>
      <c r="L303" s="222">
        <v>4.3078491307411197E-2</v>
      </c>
      <c r="M303" s="222">
        <v>4.6192186866564804E-3</v>
      </c>
      <c r="N303" s="222" t="s">
        <v>3052</v>
      </c>
      <c r="O303" s="222" t="s">
        <v>1817</v>
      </c>
      <c r="P303" s="222" t="s">
        <v>2062</v>
      </c>
      <c r="Q303" s="222" t="s">
        <v>3053</v>
      </c>
      <c r="R303" s="222" t="s">
        <v>3054</v>
      </c>
    </row>
    <row r="304" spans="1:18">
      <c r="A304" s="222" t="s">
        <v>3055</v>
      </c>
      <c r="B304" s="222" t="s">
        <v>1735</v>
      </c>
      <c r="C304" s="222" t="s">
        <v>2836</v>
      </c>
      <c r="D304" s="222">
        <v>30</v>
      </c>
      <c r="E304" s="222">
        <v>30</v>
      </c>
      <c r="F304" s="222" t="s">
        <v>440</v>
      </c>
      <c r="G304" s="222">
        <v>-2.7766946447133698</v>
      </c>
      <c r="H304" s="222">
        <v>-1.5435058660804699</v>
      </c>
      <c r="I304" s="222">
        <v>-3.7870549023600799</v>
      </c>
      <c r="J304" s="222" t="s">
        <v>848</v>
      </c>
      <c r="K304" s="222" t="s">
        <v>2837</v>
      </c>
      <c r="L304" s="222">
        <v>4.3777675098763298E-2</v>
      </c>
      <c r="M304" s="222">
        <v>4.7289625205971502E-3</v>
      </c>
      <c r="N304" s="222" t="s">
        <v>3055</v>
      </c>
      <c r="O304" s="222" t="s">
        <v>2298</v>
      </c>
      <c r="P304" s="222" t="s">
        <v>1543</v>
      </c>
      <c r="Q304" s="222" t="s">
        <v>3056</v>
      </c>
    </row>
    <row r="305" spans="1:18">
      <c r="A305" s="222" t="s">
        <v>1866</v>
      </c>
      <c r="B305" s="222" t="s">
        <v>1755</v>
      </c>
      <c r="C305" s="222" t="s">
        <v>2836</v>
      </c>
      <c r="D305" s="222">
        <v>30</v>
      </c>
      <c r="E305" s="222">
        <v>30</v>
      </c>
      <c r="F305" s="222" t="s">
        <v>1721</v>
      </c>
      <c r="G305" s="222">
        <v>1.6464085584802599</v>
      </c>
      <c r="H305" s="222">
        <v>1.1837203527359501</v>
      </c>
      <c r="I305" s="222">
        <v>1.3008200480462999</v>
      </c>
      <c r="J305" s="222" t="s">
        <v>848</v>
      </c>
      <c r="K305" s="222" t="s">
        <v>2849</v>
      </c>
      <c r="L305" s="222">
        <v>4.3955278309445102E-2</v>
      </c>
      <c r="M305" s="222">
        <v>4.5595102159024002E-3</v>
      </c>
      <c r="N305" s="222" t="s">
        <v>1866</v>
      </c>
      <c r="O305" s="222" t="s">
        <v>1848</v>
      </c>
      <c r="P305" s="222" t="s">
        <v>1849</v>
      </c>
      <c r="Q305" s="222" t="s">
        <v>1867</v>
      </c>
      <c r="R305" s="222" t="s">
        <v>1868</v>
      </c>
    </row>
    <row r="306" spans="1:18">
      <c r="A306" s="222" t="s">
        <v>3057</v>
      </c>
      <c r="B306" s="222" t="s">
        <v>1755</v>
      </c>
      <c r="C306" s="222" t="s">
        <v>2836</v>
      </c>
      <c r="D306" s="222">
        <v>30</v>
      </c>
      <c r="E306" s="222">
        <v>30</v>
      </c>
      <c r="F306" s="222" t="s">
        <v>1721</v>
      </c>
      <c r="G306" s="222">
        <v>-6.6194808102224503</v>
      </c>
      <c r="H306" s="222">
        <v>-1.97875720835804</v>
      </c>
      <c r="I306" s="222">
        <v>0</v>
      </c>
      <c r="J306" s="222">
        <v>1</v>
      </c>
      <c r="K306" s="222" t="s">
        <v>2849</v>
      </c>
      <c r="L306" s="222">
        <v>4.4524052621428202E-2</v>
      </c>
      <c r="M306" s="222">
        <v>4.6590227947809299E-3</v>
      </c>
      <c r="N306" s="222" t="s">
        <v>3057</v>
      </c>
      <c r="O306" s="222" t="s">
        <v>2061</v>
      </c>
      <c r="P306" s="222" t="s">
        <v>3058</v>
      </c>
      <c r="Q306" s="222" t="s">
        <v>3059</v>
      </c>
      <c r="R306" s="222" t="s">
        <v>3060</v>
      </c>
    </row>
    <row r="307" spans="1:18">
      <c r="A307" s="222" t="s">
        <v>3061</v>
      </c>
      <c r="B307" s="222" t="s">
        <v>1735</v>
      </c>
      <c r="C307" s="222" t="s">
        <v>2836</v>
      </c>
      <c r="D307" s="222">
        <v>30</v>
      </c>
      <c r="E307" s="222">
        <v>30</v>
      </c>
      <c r="F307" s="222" t="s">
        <v>440</v>
      </c>
      <c r="G307" s="222">
        <v>3.2065200658844999</v>
      </c>
      <c r="H307" s="222">
        <v>1.5995246508887599</v>
      </c>
      <c r="I307" s="222">
        <v>1.4299461996909699</v>
      </c>
      <c r="J307" s="222" t="s">
        <v>848</v>
      </c>
      <c r="K307" s="222" t="s">
        <v>2837</v>
      </c>
      <c r="L307" s="222">
        <v>4.4926344931888497E-2</v>
      </c>
      <c r="M307" s="222">
        <v>4.9319312071656202E-3</v>
      </c>
      <c r="N307" s="222" t="s">
        <v>3061</v>
      </c>
      <c r="O307" s="222" t="s">
        <v>2033</v>
      </c>
      <c r="P307" s="222" t="s">
        <v>2034</v>
      </c>
      <c r="Q307" s="222" t="s">
        <v>3062</v>
      </c>
    </row>
    <row r="308" spans="1:18">
      <c r="A308" s="222" t="s">
        <v>2435</v>
      </c>
      <c r="B308" s="222" t="s">
        <v>1735</v>
      </c>
      <c r="C308" s="222" t="s">
        <v>2836</v>
      </c>
      <c r="D308" s="222">
        <v>30</v>
      </c>
      <c r="E308" s="222">
        <v>30</v>
      </c>
      <c r="F308" s="222" t="s">
        <v>440</v>
      </c>
      <c r="G308" s="222">
        <v>4.5061137521262999</v>
      </c>
      <c r="H308" s="222">
        <v>1.6317542185402001</v>
      </c>
      <c r="I308" s="222">
        <v>1.5849625007211501</v>
      </c>
      <c r="J308" s="222" t="s">
        <v>848</v>
      </c>
      <c r="K308" s="222" t="s">
        <v>2837</v>
      </c>
      <c r="L308" s="222">
        <v>4.4926344931888497E-2</v>
      </c>
      <c r="M308" s="222">
        <v>4.9600968590409102E-3</v>
      </c>
      <c r="N308" s="222" t="s">
        <v>2435</v>
      </c>
      <c r="O308" s="222" t="s">
        <v>2394</v>
      </c>
      <c r="P308" s="222" t="s">
        <v>2433</v>
      </c>
      <c r="Q308" s="222" t="s">
        <v>2436</v>
      </c>
    </row>
    <row r="309" spans="1:18">
      <c r="A309" s="222" t="s">
        <v>3063</v>
      </c>
      <c r="B309" s="222" t="s">
        <v>1735</v>
      </c>
      <c r="C309" s="222" t="s">
        <v>2836</v>
      </c>
      <c r="D309" s="222">
        <v>30</v>
      </c>
      <c r="E309" s="222">
        <v>30</v>
      </c>
      <c r="F309" s="222" t="s">
        <v>440</v>
      </c>
      <c r="G309" s="222">
        <v>-3.3371691813177198</v>
      </c>
      <c r="H309" s="222">
        <v>-1.61307033198304</v>
      </c>
      <c r="I309" s="222">
        <v>0</v>
      </c>
      <c r="J309" s="222">
        <v>1</v>
      </c>
      <c r="K309" s="222" t="s">
        <v>2837</v>
      </c>
      <c r="L309" s="222">
        <v>4.4926344931888497E-2</v>
      </c>
      <c r="M309" s="222">
        <v>4.9362508189567502E-3</v>
      </c>
      <c r="N309" s="222" t="s">
        <v>3063</v>
      </c>
      <c r="O309" s="222" t="s">
        <v>2757</v>
      </c>
      <c r="P309" s="222" t="s">
        <v>2758</v>
      </c>
      <c r="Q309" s="222" t="s">
        <v>3064</v>
      </c>
    </row>
    <row r="310" spans="1:18">
      <c r="A310" s="222" t="s">
        <v>2420</v>
      </c>
      <c r="B310" s="222" t="s">
        <v>1755</v>
      </c>
      <c r="C310" s="222" t="s">
        <v>2836</v>
      </c>
      <c r="D310" s="222">
        <v>30</v>
      </c>
      <c r="E310" s="222">
        <v>30</v>
      </c>
      <c r="F310" s="222" t="s">
        <v>1721</v>
      </c>
      <c r="G310" s="222">
        <v>-3.7205657096914799</v>
      </c>
      <c r="H310" s="222">
        <v>-1.6761247655374001</v>
      </c>
      <c r="I310" s="222">
        <v>-4.6145577447152402</v>
      </c>
      <c r="J310" s="222" t="s">
        <v>848</v>
      </c>
      <c r="K310" s="222" t="s">
        <v>2849</v>
      </c>
      <c r="L310" s="222">
        <v>4.5228660244814901E-2</v>
      </c>
      <c r="M310" s="222">
        <v>4.7739077237475202E-3</v>
      </c>
      <c r="N310" s="222" t="s">
        <v>2420</v>
      </c>
      <c r="O310" s="222" t="s">
        <v>2394</v>
      </c>
      <c r="P310" s="222" t="s">
        <v>2395</v>
      </c>
      <c r="Q310" s="222" t="s">
        <v>2421</v>
      </c>
    </row>
    <row r="311" spans="1:18">
      <c r="A311" s="222" t="s">
        <v>2885</v>
      </c>
      <c r="B311" s="222" t="s">
        <v>1731</v>
      </c>
      <c r="C311" s="222" t="s">
        <v>2836</v>
      </c>
      <c r="D311" s="222">
        <v>30</v>
      </c>
      <c r="E311" s="222">
        <v>30</v>
      </c>
      <c r="F311" s="222" t="s">
        <v>1708</v>
      </c>
      <c r="G311" s="222">
        <v>1.2559769385167701</v>
      </c>
      <c r="H311" s="222">
        <v>0.66519904272991603</v>
      </c>
      <c r="I311" s="222">
        <v>0.62043408291670299</v>
      </c>
      <c r="J311" s="222" t="s">
        <v>848</v>
      </c>
      <c r="K311" s="222" t="s">
        <v>2857</v>
      </c>
      <c r="L311" s="222">
        <v>4.5521847265633901E-2</v>
      </c>
      <c r="M311" s="222">
        <v>2.0454367318210199E-3</v>
      </c>
      <c r="N311" s="222" t="s">
        <v>2885</v>
      </c>
      <c r="O311" s="222" t="s">
        <v>1817</v>
      </c>
      <c r="P311" s="222" t="s">
        <v>2062</v>
      </c>
      <c r="Q311" s="222" t="s">
        <v>2886</v>
      </c>
    </row>
    <row r="312" spans="1:18">
      <c r="A312" s="222" t="s">
        <v>3065</v>
      </c>
      <c r="B312" s="222" t="s">
        <v>1755</v>
      </c>
      <c r="C312" s="222" t="s">
        <v>2836</v>
      </c>
      <c r="D312" s="222">
        <v>30</v>
      </c>
      <c r="E312" s="222">
        <v>30</v>
      </c>
      <c r="F312" s="222" t="s">
        <v>1721</v>
      </c>
      <c r="G312" s="222">
        <v>-6.6960832884822796</v>
      </c>
      <c r="H312" s="222">
        <v>-1.9483868026854601</v>
      </c>
      <c r="I312" s="222">
        <v>0</v>
      </c>
      <c r="J312" s="222">
        <v>1</v>
      </c>
      <c r="K312" s="222" t="s">
        <v>2849</v>
      </c>
      <c r="L312" s="222">
        <v>4.5753452605905402E-2</v>
      </c>
      <c r="M312" s="222">
        <v>4.8709317150963903E-3</v>
      </c>
      <c r="N312" s="222" t="s">
        <v>3065</v>
      </c>
      <c r="O312" s="222" t="s">
        <v>1710</v>
      </c>
      <c r="P312" s="222" t="s">
        <v>1831</v>
      </c>
      <c r="Q312" s="222" t="s">
        <v>3066</v>
      </c>
      <c r="R312" s="222" t="s">
        <v>3067</v>
      </c>
    </row>
    <row r="313" spans="1:18">
      <c r="A313" s="222" t="s">
        <v>3068</v>
      </c>
      <c r="B313" s="222" t="s">
        <v>1755</v>
      </c>
      <c r="C313" s="222" t="s">
        <v>2836</v>
      </c>
      <c r="D313" s="222">
        <v>30</v>
      </c>
      <c r="E313" s="222">
        <v>30</v>
      </c>
      <c r="F313" s="222" t="s">
        <v>1721</v>
      </c>
      <c r="G313" s="222">
        <v>1.74374563828808</v>
      </c>
      <c r="H313" s="222">
        <v>1.2099090280632301</v>
      </c>
      <c r="I313" s="222">
        <v>1.37381942433636</v>
      </c>
      <c r="J313" s="222" t="s">
        <v>848</v>
      </c>
      <c r="K313" s="222" t="s">
        <v>2849</v>
      </c>
      <c r="L313" s="222">
        <v>4.65010524561097E-2</v>
      </c>
      <c r="M313" s="222">
        <v>4.9928336577078599E-3</v>
      </c>
      <c r="N313" s="222" t="s">
        <v>3068</v>
      </c>
      <c r="O313" s="222" t="s">
        <v>2061</v>
      </c>
      <c r="P313" s="222" t="s">
        <v>2161</v>
      </c>
      <c r="Q313" s="222" t="s">
        <v>3069</v>
      </c>
    </row>
    <row r="314" spans="1:18">
      <c r="A314" s="222" t="s">
        <v>2737</v>
      </c>
      <c r="B314" s="222" t="s">
        <v>1735</v>
      </c>
      <c r="C314" s="222" t="s">
        <v>2836</v>
      </c>
      <c r="D314" s="222">
        <v>30</v>
      </c>
      <c r="E314" s="222">
        <v>30</v>
      </c>
      <c r="F314" s="222" t="s">
        <v>440</v>
      </c>
      <c r="G314" s="222">
        <v>3.8744734281419899</v>
      </c>
      <c r="H314" s="222">
        <v>1.62350673726835</v>
      </c>
      <c r="I314" s="222">
        <v>1.46197246376887</v>
      </c>
      <c r="J314" s="222" t="s">
        <v>848</v>
      </c>
      <c r="K314" s="222" t="s">
        <v>2837</v>
      </c>
      <c r="L314" s="222">
        <v>4.6709759789980203E-2</v>
      </c>
      <c r="M314" s="222">
        <v>5.1940956080994702E-3</v>
      </c>
      <c r="N314" s="222" t="s">
        <v>2737</v>
      </c>
      <c r="O314" s="222" t="s">
        <v>1710</v>
      </c>
      <c r="P314" s="222" t="s">
        <v>2310</v>
      </c>
      <c r="Q314" s="222" t="s">
        <v>2738</v>
      </c>
      <c r="R314" s="222" t="s">
        <v>2739</v>
      </c>
    </row>
    <row r="315" spans="1:18">
      <c r="A315" s="222" t="s">
        <v>3070</v>
      </c>
      <c r="B315" s="222" t="s">
        <v>1755</v>
      </c>
      <c r="C315" s="222" t="s">
        <v>2836</v>
      </c>
      <c r="D315" s="222">
        <v>30</v>
      </c>
      <c r="E315" s="222">
        <v>30</v>
      </c>
      <c r="F315" s="222" t="s">
        <v>1721</v>
      </c>
      <c r="G315" s="222">
        <v>-6.4155427911817098</v>
      </c>
      <c r="H315" s="222">
        <v>-1.9132205307219601</v>
      </c>
      <c r="I315" s="222">
        <v>0</v>
      </c>
      <c r="J315" s="222">
        <v>1</v>
      </c>
      <c r="K315" s="222" t="s">
        <v>2849</v>
      </c>
      <c r="L315" s="222">
        <v>4.7669796795996297E-2</v>
      </c>
      <c r="M315" s="222">
        <v>5.20507335352098E-3</v>
      </c>
      <c r="N315" s="222" t="s">
        <v>3070</v>
      </c>
      <c r="O315" s="222" t="s">
        <v>1817</v>
      </c>
      <c r="P315" s="222" t="s">
        <v>1597</v>
      </c>
      <c r="Q315" s="222" t="s">
        <v>3071</v>
      </c>
      <c r="R315" s="222" t="s">
        <v>1920</v>
      </c>
    </row>
    <row r="316" spans="1:18">
      <c r="A316" s="222" t="s">
        <v>2390</v>
      </c>
      <c r="B316" s="222" t="s">
        <v>1755</v>
      </c>
      <c r="C316" s="222" t="s">
        <v>2836</v>
      </c>
      <c r="D316" s="222">
        <v>30</v>
      </c>
      <c r="E316" s="222">
        <v>30</v>
      </c>
      <c r="F316" s="222" t="s">
        <v>1721</v>
      </c>
      <c r="G316" s="222">
        <v>-2.2127422715151899</v>
      </c>
      <c r="H316" s="222">
        <v>-1.33502564591726</v>
      </c>
      <c r="I316" s="222">
        <v>-2.7008442196998099</v>
      </c>
      <c r="J316" s="222" t="s">
        <v>848</v>
      </c>
      <c r="K316" s="222" t="s">
        <v>2849</v>
      </c>
      <c r="L316" s="222">
        <v>4.7669796795996297E-2</v>
      </c>
      <c r="M316" s="222">
        <v>5.1787862503954998E-3</v>
      </c>
      <c r="N316" s="222" t="s">
        <v>2390</v>
      </c>
      <c r="O316" s="222" t="s">
        <v>2033</v>
      </c>
      <c r="P316" s="222" t="s">
        <v>2382</v>
      </c>
      <c r="Q316" s="222" t="s">
        <v>2391</v>
      </c>
      <c r="R316" s="222" t="s">
        <v>2392</v>
      </c>
    </row>
    <row r="317" spans="1:18">
      <c r="A317" s="222" t="s">
        <v>2374</v>
      </c>
      <c r="B317" s="222" t="s">
        <v>1735</v>
      </c>
      <c r="C317" s="222" t="s">
        <v>2836</v>
      </c>
      <c r="D317" s="222">
        <v>30</v>
      </c>
      <c r="E317" s="222">
        <v>30</v>
      </c>
      <c r="F317" s="222" t="s">
        <v>440</v>
      </c>
      <c r="G317" s="222">
        <v>3.3479075421098701</v>
      </c>
      <c r="H317" s="222">
        <v>1.58661694419108</v>
      </c>
      <c r="I317" s="222">
        <v>1.45683181770377</v>
      </c>
      <c r="J317" s="222" t="s">
        <v>848</v>
      </c>
      <c r="K317" s="222" t="s">
        <v>2837</v>
      </c>
      <c r="L317" s="222">
        <v>4.7872757634802303E-2</v>
      </c>
      <c r="M317" s="222">
        <v>5.3614446596561803E-3</v>
      </c>
      <c r="N317" s="222" t="s">
        <v>2374</v>
      </c>
      <c r="O317" s="222" t="s">
        <v>1710</v>
      </c>
      <c r="P317" s="222" t="s">
        <v>2370</v>
      </c>
      <c r="Q317" s="222" t="s">
        <v>2375</v>
      </c>
    </row>
    <row r="318" spans="1:18">
      <c r="A318" s="222" t="s">
        <v>1585</v>
      </c>
      <c r="B318" s="222" t="s">
        <v>1735</v>
      </c>
      <c r="C318" s="222" t="s">
        <v>2836</v>
      </c>
      <c r="D318" s="222">
        <v>30</v>
      </c>
      <c r="E318" s="222">
        <v>30</v>
      </c>
      <c r="F318" s="222" t="s">
        <v>440</v>
      </c>
      <c r="G318" s="222">
        <v>2.6843254933902001</v>
      </c>
      <c r="H318" s="222">
        <v>1.48678596006636</v>
      </c>
      <c r="I318" s="222">
        <v>1.21375720379028</v>
      </c>
      <c r="J318" s="222" t="s">
        <v>848</v>
      </c>
      <c r="K318" s="222" t="s">
        <v>2837</v>
      </c>
      <c r="L318" s="222">
        <v>4.8184054878814199E-2</v>
      </c>
      <c r="M318" s="222">
        <v>5.4728513484276703E-3</v>
      </c>
      <c r="N318" s="222" t="s">
        <v>1585</v>
      </c>
      <c r="O318" s="222" t="s">
        <v>1817</v>
      </c>
      <c r="P318" s="222" t="s">
        <v>1576</v>
      </c>
      <c r="Q318" s="222" t="s">
        <v>1584</v>
      </c>
    </row>
    <row r="319" spans="1:18">
      <c r="A319" s="222" t="s">
        <v>2443</v>
      </c>
      <c r="B319" s="222" t="s">
        <v>1735</v>
      </c>
      <c r="C319" s="222" t="s">
        <v>2836</v>
      </c>
      <c r="D319" s="222">
        <v>30</v>
      </c>
      <c r="E319" s="222">
        <v>30</v>
      </c>
      <c r="F319" s="222" t="s">
        <v>440</v>
      </c>
      <c r="G319" s="222">
        <v>-2.7454163272163798</v>
      </c>
      <c r="H319" s="222">
        <v>-1.4993550406077201</v>
      </c>
      <c r="I319" s="222">
        <v>-3.53401619295698</v>
      </c>
      <c r="J319" s="222" t="s">
        <v>848</v>
      </c>
      <c r="K319" s="222" t="s">
        <v>2837</v>
      </c>
      <c r="L319" s="222">
        <v>4.8184054878814199E-2</v>
      </c>
      <c r="M319" s="222">
        <v>5.4634103206669497E-3</v>
      </c>
      <c r="N319" s="222" t="s">
        <v>2443</v>
      </c>
      <c r="O319" s="222" t="s">
        <v>2394</v>
      </c>
      <c r="P319" s="222" t="s">
        <v>2433</v>
      </c>
      <c r="Q319" s="222" t="s">
        <v>2434</v>
      </c>
    </row>
    <row r="320" spans="1:18">
      <c r="A320" s="222" t="s">
        <v>2092</v>
      </c>
      <c r="B320" s="222" t="s">
        <v>1731</v>
      </c>
      <c r="C320" s="222" t="s">
        <v>2836</v>
      </c>
      <c r="D320" s="222">
        <v>30</v>
      </c>
      <c r="E320" s="222">
        <v>30</v>
      </c>
      <c r="F320" s="222" t="s">
        <v>1708</v>
      </c>
      <c r="G320" s="222">
        <v>-2.22794732182737</v>
      </c>
      <c r="H320" s="222">
        <v>-0.74806041958730496</v>
      </c>
      <c r="I320" s="222">
        <v>-8.6316405790911794</v>
      </c>
      <c r="J320" s="222" t="s">
        <v>848</v>
      </c>
      <c r="K320" s="222" t="s">
        <v>2857</v>
      </c>
      <c r="L320" s="222">
        <v>4.8375061255214E-2</v>
      </c>
      <c r="M320" s="222">
        <v>2.3123834252014299E-3</v>
      </c>
      <c r="N320" s="222" t="s">
        <v>2092</v>
      </c>
      <c r="O320" s="222" t="s">
        <v>1817</v>
      </c>
      <c r="P320" s="222" t="s">
        <v>2062</v>
      </c>
      <c r="Q320" s="222" t="s">
        <v>2093</v>
      </c>
    </row>
    <row r="321" spans="1:18">
      <c r="A321" s="222" t="s">
        <v>2248</v>
      </c>
      <c r="B321" s="222" t="s">
        <v>1731</v>
      </c>
      <c r="C321" s="222" t="s">
        <v>2836</v>
      </c>
      <c r="D321" s="222">
        <v>30</v>
      </c>
      <c r="E321" s="222">
        <v>30</v>
      </c>
      <c r="F321" s="222" t="s">
        <v>1708</v>
      </c>
      <c r="G321" s="222">
        <v>1.17963360715967</v>
      </c>
      <c r="H321" s="222">
        <v>0.64402213298478606</v>
      </c>
      <c r="I321" s="222">
        <v>0.72371644197451801</v>
      </c>
      <c r="J321" s="222" t="s">
        <v>848</v>
      </c>
      <c r="K321" s="222" t="s">
        <v>2857</v>
      </c>
      <c r="L321" s="222">
        <v>4.8375061255214E-2</v>
      </c>
      <c r="M321" s="222">
        <v>2.3073720819089699E-3</v>
      </c>
      <c r="N321" s="222" t="s">
        <v>2248</v>
      </c>
      <c r="O321" s="222" t="s">
        <v>1710</v>
      </c>
      <c r="P321" s="222" t="s">
        <v>2222</v>
      </c>
      <c r="Q321" s="222" t="s">
        <v>2249</v>
      </c>
    </row>
    <row r="322" spans="1:18">
      <c r="A322" s="222" t="s">
        <v>2972</v>
      </c>
      <c r="B322" s="222" t="s">
        <v>1731</v>
      </c>
      <c r="C322" s="222" t="s">
        <v>2836</v>
      </c>
      <c r="D322" s="222">
        <v>30</v>
      </c>
      <c r="E322" s="222">
        <v>30</v>
      </c>
      <c r="F322" s="222" t="s">
        <v>1708</v>
      </c>
      <c r="G322" s="222">
        <v>2.1881784150912398</v>
      </c>
      <c r="H322" s="222">
        <v>0.74616060430489395</v>
      </c>
      <c r="I322" s="222">
        <v>0.79407282799075396</v>
      </c>
      <c r="J322" s="222" t="s">
        <v>848</v>
      </c>
      <c r="K322" s="222" t="s">
        <v>2857</v>
      </c>
      <c r="L322" s="222">
        <v>4.8375061255214E-2</v>
      </c>
      <c r="M322" s="222">
        <v>2.31204050712652E-3</v>
      </c>
      <c r="N322" s="222" t="s">
        <v>2972</v>
      </c>
      <c r="O322" s="222" t="s">
        <v>1710</v>
      </c>
      <c r="P322" s="222" t="s">
        <v>1831</v>
      </c>
      <c r="Q322" s="222" t="s">
        <v>2973</v>
      </c>
      <c r="R322" s="222" t="s">
        <v>2974</v>
      </c>
    </row>
    <row r="323" spans="1:18">
      <c r="A323" s="222" t="s">
        <v>3072</v>
      </c>
      <c r="B323" s="222" t="s">
        <v>1735</v>
      </c>
      <c r="C323" s="222" t="s">
        <v>2836</v>
      </c>
      <c r="D323" s="222">
        <v>30</v>
      </c>
      <c r="E323" s="222">
        <v>30</v>
      </c>
      <c r="F323" s="222" t="s">
        <v>440</v>
      </c>
      <c r="G323" s="222">
        <v>-2.3841868515134998</v>
      </c>
      <c r="H323" s="222">
        <v>-1.4106694942282001</v>
      </c>
      <c r="I323" s="222">
        <v>-3.0862328554867098</v>
      </c>
      <c r="J323" s="222" t="s">
        <v>848</v>
      </c>
      <c r="K323" s="222" t="s">
        <v>2837</v>
      </c>
      <c r="L323" s="222">
        <v>4.8798813889672797E-2</v>
      </c>
      <c r="M323" s="222">
        <v>5.5814370135924404E-3</v>
      </c>
      <c r="N323" s="222" t="s">
        <v>3072</v>
      </c>
      <c r="O323" s="222" t="s">
        <v>1817</v>
      </c>
      <c r="P323" s="222" t="s">
        <v>2062</v>
      </c>
      <c r="Q323" s="222" t="s">
        <v>3073</v>
      </c>
    </row>
    <row r="324" spans="1:18">
      <c r="A324" s="222" t="s">
        <v>3074</v>
      </c>
      <c r="B324" s="222" t="s">
        <v>1755</v>
      </c>
      <c r="C324" s="222" t="s">
        <v>2836</v>
      </c>
      <c r="D324" s="222">
        <v>30</v>
      </c>
      <c r="E324" s="222">
        <v>30</v>
      </c>
      <c r="F324" s="222" t="s">
        <v>1721</v>
      </c>
      <c r="G324" s="222">
        <v>-1.7136387324225799</v>
      </c>
      <c r="H324" s="222">
        <v>-1.19351187590707</v>
      </c>
      <c r="I324" s="222">
        <v>-2.0193491474427501</v>
      </c>
      <c r="J324" s="222" t="s">
        <v>848</v>
      </c>
      <c r="K324" s="222" t="s">
        <v>2849</v>
      </c>
      <c r="L324" s="222">
        <v>4.89904955186201E-2</v>
      </c>
      <c r="M324" s="222">
        <v>5.3938580143339703E-3</v>
      </c>
      <c r="N324" s="222" t="s">
        <v>3074</v>
      </c>
      <c r="O324" s="222" t="s">
        <v>2033</v>
      </c>
      <c r="P324" s="222" t="s">
        <v>2611</v>
      </c>
      <c r="Q324" s="222" t="s">
        <v>3075</v>
      </c>
    </row>
    <row r="325" spans="1:18">
      <c r="A325" s="222" t="s">
        <v>1993</v>
      </c>
      <c r="B325" s="222" t="s">
        <v>1755</v>
      </c>
      <c r="C325" s="222" t="s">
        <v>2836</v>
      </c>
      <c r="D325" s="222">
        <v>30</v>
      </c>
      <c r="E325" s="222">
        <v>30</v>
      </c>
      <c r="F325" s="222" t="s">
        <v>1721</v>
      </c>
      <c r="G325" s="222">
        <v>1.4212285227664101</v>
      </c>
      <c r="H325" s="222">
        <v>1.0831363265626199</v>
      </c>
      <c r="I325" s="222">
        <v>1.12065398021714</v>
      </c>
      <c r="J325" s="222" t="s">
        <v>848</v>
      </c>
      <c r="K325" s="222" t="s">
        <v>2849</v>
      </c>
      <c r="L325" s="222">
        <v>4.9062046476357597E-2</v>
      </c>
      <c r="M325" s="222">
        <v>5.4463782257648998E-3</v>
      </c>
      <c r="N325" s="222" t="s">
        <v>1993</v>
      </c>
      <c r="O325" s="222" t="s">
        <v>1987</v>
      </c>
      <c r="P325" s="222" t="s">
        <v>1987</v>
      </c>
      <c r="Q325" s="222" t="s">
        <v>1994</v>
      </c>
    </row>
    <row r="326" spans="1:18">
      <c r="A326" s="222" t="s">
        <v>2147</v>
      </c>
      <c r="B326" s="222" t="s">
        <v>1735</v>
      </c>
      <c r="C326" s="222" t="s">
        <v>2836</v>
      </c>
      <c r="D326" s="222">
        <v>30</v>
      </c>
      <c r="E326" s="222">
        <v>30</v>
      </c>
      <c r="F326" s="222" t="s">
        <v>440</v>
      </c>
      <c r="G326" s="222">
        <v>-1.90984162162115</v>
      </c>
      <c r="H326" s="222">
        <v>-1.24819514479461</v>
      </c>
      <c r="I326" s="222">
        <v>-2.3410518369793398</v>
      </c>
      <c r="J326" s="222" t="s">
        <v>848</v>
      </c>
      <c r="K326" s="222" t="s">
        <v>2837</v>
      </c>
      <c r="L326" s="222">
        <v>4.9219458982241303E-2</v>
      </c>
      <c r="M326" s="222">
        <v>5.6686430122517796E-3</v>
      </c>
      <c r="N326" s="222" t="s">
        <v>2147</v>
      </c>
      <c r="O326" s="222" t="s">
        <v>2033</v>
      </c>
      <c r="P326" s="222" t="s">
        <v>2127</v>
      </c>
      <c r="Q326" s="222" t="s">
        <v>2148</v>
      </c>
      <c r="R326" s="222" t="s">
        <v>2136</v>
      </c>
    </row>
    <row r="327" spans="1:18">
      <c r="A327" s="222" t="s">
        <v>1816</v>
      </c>
      <c r="B327" s="222" t="s">
        <v>1735</v>
      </c>
      <c r="C327" s="222" t="s">
        <v>2836</v>
      </c>
      <c r="D327" s="222">
        <v>30</v>
      </c>
      <c r="E327" s="222">
        <v>30</v>
      </c>
      <c r="F327" s="222" t="s">
        <v>440</v>
      </c>
      <c r="G327" s="222">
        <v>-1.4924896083716399</v>
      </c>
      <c r="H327" s="222">
        <v>-1.0493701818294801</v>
      </c>
      <c r="I327" s="222">
        <v>-2.4582275933828202</v>
      </c>
      <c r="J327" s="222" t="s">
        <v>848</v>
      </c>
      <c r="K327" s="222" t="s">
        <v>2837</v>
      </c>
      <c r="L327" s="222">
        <v>4.9232036374692402E-2</v>
      </c>
      <c r="M327" s="222">
        <v>5.7801529817328298E-3</v>
      </c>
      <c r="N327" s="222" t="s">
        <v>1816</v>
      </c>
      <c r="O327" s="222" t="s">
        <v>1817</v>
      </c>
      <c r="P327" s="222" t="s">
        <v>1818</v>
      </c>
      <c r="Q327" s="222" t="s">
        <v>1819</v>
      </c>
      <c r="R327" s="222" t="s">
        <v>1820</v>
      </c>
    </row>
    <row r="328" spans="1:18">
      <c r="A328" s="222" t="s">
        <v>3076</v>
      </c>
      <c r="B328" s="222" t="s">
        <v>1735</v>
      </c>
      <c r="C328" s="222" t="s">
        <v>2836</v>
      </c>
      <c r="D328" s="222">
        <v>30</v>
      </c>
      <c r="E328" s="222">
        <v>30</v>
      </c>
      <c r="F328" s="222" t="s">
        <v>440</v>
      </c>
      <c r="G328" s="222">
        <v>2.7903504155376799</v>
      </c>
      <c r="H328" s="222">
        <v>1.4942269949303999</v>
      </c>
      <c r="I328" s="222">
        <v>1.47145172394555</v>
      </c>
      <c r="J328" s="222" t="s">
        <v>848</v>
      </c>
      <c r="K328" s="222" t="s">
        <v>2837</v>
      </c>
      <c r="L328" s="222">
        <v>4.9232036374692402E-2</v>
      </c>
      <c r="M328" s="222">
        <v>5.7423234791451599E-3</v>
      </c>
      <c r="N328" s="222" t="s">
        <v>3076</v>
      </c>
      <c r="O328" s="222" t="s">
        <v>1848</v>
      </c>
      <c r="P328" s="222" t="s">
        <v>1849</v>
      </c>
      <c r="Q328" s="222" t="s">
        <v>3077</v>
      </c>
      <c r="R328" s="222" t="s">
        <v>3078</v>
      </c>
    </row>
    <row r="329" spans="1:18">
      <c r="A329" s="222" t="s">
        <v>2248</v>
      </c>
      <c r="B329" s="222" t="s">
        <v>1735</v>
      </c>
      <c r="C329" s="222" t="s">
        <v>2836</v>
      </c>
      <c r="D329" s="222">
        <v>30</v>
      </c>
      <c r="E329" s="222">
        <v>30</v>
      </c>
      <c r="F329" s="222" t="s">
        <v>440</v>
      </c>
      <c r="G329" s="222">
        <v>-1.7240442997630501</v>
      </c>
      <c r="H329" s="222">
        <v>-1.1647559988035401</v>
      </c>
      <c r="I329" s="222">
        <v>-2.18927363281496</v>
      </c>
      <c r="J329" s="222" t="s">
        <v>848</v>
      </c>
      <c r="K329" s="222" t="s">
        <v>2837</v>
      </c>
      <c r="L329" s="222">
        <v>4.9232036374692402E-2</v>
      </c>
      <c r="M329" s="222">
        <v>5.7874037994078403E-3</v>
      </c>
      <c r="N329" s="222" t="s">
        <v>2248</v>
      </c>
      <c r="O329" s="222" t="s">
        <v>1710</v>
      </c>
      <c r="P329" s="222" t="s">
        <v>2222</v>
      </c>
      <c r="Q329" s="222" t="s">
        <v>2249</v>
      </c>
    </row>
    <row r="330" spans="1:18">
      <c r="A330" s="222" t="s">
        <v>1725</v>
      </c>
      <c r="B330" s="222" t="s">
        <v>1755</v>
      </c>
      <c r="C330" s="222" t="s">
        <v>2836</v>
      </c>
      <c r="D330" s="222">
        <v>30</v>
      </c>
      <c r="E330" s="222">
        <v>30</v>
      </c>
      <c r="F330" s="222" t="s">
        <v>1721</v>
      </c>
      <c r="G330" s="222">
        <v>1.3873929719423701</v>
      </c>
      <c r="H330" s="222">
        <v>1.0669699941856301</v>
      </c>
      <c r="I330" s="222">
        <v>1.08997705951801</v>
      </c>
      <c r="J330" s="222" t="s">
        <v>848</v>
      </c>
      <c r="K330" s="222" t="s">
        <v>2849</v>
      </c>
      <c r="L330" s="222">
        <v>4.9487534046533499E-2</v>
      </c>
      <c r="M330" s="222">
        <v>5.58367081143781E-3</v>
      </c>
      <c r="N330" s="222" t="s">
        <v>1725</v>
      </c>
      <c r="O330" s="222" t="s">
        <v>1715</v>
      </c>
      <c r="P330" s="222" t="s">
        <v>1715</v>
      </c>
      <c r="Q330" s="222" t="s">
        <v>1726</v>
      </c>
      <c r="R330" s="222" t="s">
        <v>1718</v>
      </c>
    </row>
    <row r="331" spans="1:18">
      <c r="A331" s="222" t="s">
        <v>2496</v>
      </c>
      <c r="B331" s="222" t="s">
        <v>1755</v>
      </c>
      <c r="C331" s="222" t="s">
        <v>2836</v>
      </c>
      <c r="D331" s="222">
        <v>30</v>
      </c>
      <c r="E331" s="222">
        <v>30</v>
      </c>
      <c r="F331" s="222" t="s">
        <v>1721</v>
      </c>
      <c r="G331" s="222">
        <v>-1.7024468419277701</v>
      </c>
      <c r="H331" s="222">
        <v>-1.18731239758414</v>
      </c>
      <c r="I331" s="222">
        <v>-2.0530543297196702</v>
      </c>
      <c r="J331" s="222" t="s">
        <v>848</v>
      </c>
      <c r="K331" s="222" t="s">
        <v>2849</v>
      </c>
      <c r="L331" s="222">
        <v>4.9487534046533499E-2</v>
      </c>
      <c r="M331" s="222">
        <v>5.55775288654163E-3</v>
      </c>
      <c r="N331" s="222" t="s">
        <v>2496</v>
      </c>
      <c r="O331" s="222" t="s">
        <v>2056</v>
      </c>
      <c r="P331" s="222" t="s">
        <v>2480</v>
      </c>
      <c r="Q331" s="222" t="s">
        <v>2497</v>
      </c>
    </row>
    <row r="332" spans="1:18">
      <c r="A332" s="222" t="s">
        <v>2966</v>
      </c>
      <c r="B332" s="222" t="s">
        <v>1755</v>
      </c>
      <c r="C332" s="222" t="s">
        <v>2836</v>
      </c>
      <c r="D332" s="222">
        <v>30</v>
      </c>
      <c r="E332" s="222">
        <v>30</v>
      </c>
      <c r="F332" s="222" t="s">
        <v>1721</v>
      </c>
      <c r="G332" s="222">
        <v>-1.6966464567218</v>
      </c>
      <c r="H332" s="222">
        <v>-1.1843313589911599</v>
      </c>
      <c r="I332" s="222">
        <v>-2.1992534200195801</v>
      </c>
      <c r="J332" s="222" t="s">
        <v>848</v>
      </c>
      <c r="K332" s="222" t="s">
        <v>2849</v>
      </c>
      <c r="L332" s="222">
        <v>4.9491024817936102E-2</v>
      </c>
      <c r="M332" s="222">
        <v>5.62909745426935E-3</v>
      </c>
      <c r="N332" s="222" t="s">
        <v>2966</v>
      </c>
      <c r="O332" s="222" t="s">
        <v>1848</v>
      </c>
      <c r="P332" s="222" t="s">
        <v>1849</v>
      </c>
      <c r="Q332" s="222" t="s">
        <v>2967</v>
      </c>
      <c r="R332" s="222" t="s">
        <v>1882</v>
      </c>
    </row>
    <row r="333" spans="1:18">
      <c r="A333" s="222" t="s">
        <v>3036</v>
      </c>
      <c r="B333" s="222" t="s">
        <v>1735</v>
      </c>
      <c r="C333" s="222" t="s">
        <v>2836</v>
      </c>
      <c r="D333" s="222">
        <v>30</v>
      </c>
      <c r="E333" s="222">
        <v>30</v>
      </c>
      <c r="F333" s="222" t="s">
        <v>440</v>
      </c>
      <c r="G333" s="222">
        <v>3.1674197601546799</v>
      </c>
      <c r="H333" s="222">
        <v>1.5406877377064301</v>
      </c>
      <c r="I333" s="222">
        <v>1.3112993476811301</v>
      </c>
      <c r="J333" s="222" t="s">
        <v>848</v>
      </c>
      <c r="K333" s="222" t="s">
        <v>2837</v>
      </c>
      <c r="L333" s="222">
        <v>4.9504674425090101E-2</v>
      </c>
      <c r="M333" s="222">
        <v>5.8587740185372704E-3</v>
      </c>
      <c r="N333" s="222" t="s">
        <v>3036</v>
      </c>
      <c r="O333" s="222" t="s">
        <v>1710</v>
      </c>
      <c r="P333" s="222" t="s">
        <v>2565</v>
      </c>
      <c r="Q333" s="222" t="s">
        <v>3037</v>
      </c>
      <c r="R333" s="222" t="s">
        <v>3038</v>
      </c>
    </row>
    <row r="334" spans="1:18">
      <c r="A334" s="222" t="s">
        <v>2448</v>
      </c>
      <c r="B334" s="222" t="s">
        <v>1755</v>
      </c>
      <c r="C334" s="222" t="s">
        <v>2836</v>
      </c>
      <c r="D334" s="222">
        <v>30</v>
      </c>
      <c r="E334" s="222">
        <v>30</v>
      </c>
      <c r="F334" s="222" t="s">
        <v>1721</v>
      </c>
      <c r="G334" s="222">
        <v>-6.6165173693513104</v>
      </c>
      <c r="H334" s="222">
        <v>-1.85438824881171</v>
      </c>
      <c r="I334" s="222">
        <v>0</v>
      </c>
      <c r="J334" s="222">
        <v>1</v>
      </c>
      <c r="K334" s="222" t="s">
        <v>2849</v>
      </c>
      <c r="L334" s="222">
        <v>4.9557524709347003E-2</v>
      </c>
      <c r="M334" s="222">
        <v>5.6817544252754501E-3</v>
      </c>
      <c r="N334" s="222" t="s">
        <v>2448</v>
      </c>
      <c r="O334" s="222" t="s">
        <v>2394</v>
      </c>
      <c r="P334" s="222" t="s">
        <v>2433</v>
      </c>
      <c r="Q334" s="222" t="s">
        <v>3079</v>
      </c>
      <c r="R334" s="222" t="s">
        <v>2450</v>
      </c>
    </row>
  </sheetData>
  <mergeCells count="1">
    <mergeCell ref="A1:I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1007-47AC-4B80-9A0D-CD22EB09DD04}">
  <dimension ref="A1:S166"/>
  <sheetViews>
    <sheetView workbookViewId="0">
      <selection sqref="A1:I3"/>
    </sheetView>
  </sheetViews>
  <sheetFormatPr defaultColWidth="10.875" defaultRowHeight="15"/>
  <cols>
    <col min="1" max="1" width="10.875" style="222"/>
    <col min="2" max="2" width="25" style="222" customWidth="1"/>
    <col min="3" max="8" width="10.875" style="222"/>
    <col min="9" max="10" width="11.375" style="222" bestFit="1" customWidth="1"/>
    <col min="11" max="11" width="11" style="222" bestFit="1" customWidth="1"/>
    <col min="12" max="12" width="19.5" style="222" customWidth="1"/>
    <col min="13" max="13" width="24" style="222" customWidth="1"/>
    <col min="14" max="15" width="9.375" style="222" bestFit="1" customWidth="1"/>
    <col min="16" max="16" width="31.375" style="222" customWidth="1"/>
    <col min="17" max="17" width="32" style="222" customWidth="1"/>
    <col min="18" max="18" width="56" style="222" customWidth="1"/>
    <col min="19" max="19" width="45.625" style="222" customWidth="1"/>
    <col min="20" max="16384" width="10.875" style="222"/>
  </cols>
  <sheetData>
    <row r="1" spans="1:19">
      <c r="A1" s="287" t="s">
        <v>3080</v>
      </c>
      <c r="B1" s="288"/>
      <c r="C1" s="288"/>
      <c r="D1" s="288"/>
      <c r="E1" s="288"/>
      <c r="F1" s="288"/>
      <c r="G1" s="288"/>
      <c r="H1" s="288"/>
      <c r="I1" s="289"/>
    </row>
    <row r="2" spans="1:19">
      <c r="A2" s="290"/>
      <c r="B2" s="291"/>
      <c r="C2" s="291"/>
      <c r="D2" s="291"/>
      <c r="E2" s="291"/>
      <c r="F2" s="291"/>
      <c r="G2" s="291"/>
      <c r="H2" s="291"/>
      <c r="I2" s="292"/>
    </row>
    <row r="3" spans="1:19" ht="19.5" customHeight="1">
      <c r="A3" s="293"/>
      <c r="B3" s="294"/>
      <c r="C3" s="294"/>
      <c r="D3" s="294"/>
      <c r="E3" s="294"/>
      <c r="F3" s="294"/>
      <c r="G3" s="294"/>
      <c r="H3" s="294"/>
      <c r="I3" s="295"/>
    </row>
    <row r="5" spans="1:19">
      <c r="A5" s="222" t="s">
        <v>1453</v>
      </c>
      <c r="B5" s="222" t="s">
        <v>1689</v>
      </c>
      <c r="C5" s="222" t="s">
        <v>1690</v>
      </c>
      <c r="D5" s="222" t="s">
        <v>1691</v>
      </c>
      <c r="E5" s="222" t="s">
        <v>437</v>
      </c>
      <c r="F5" s="222" t="s">
        <v>1692</v>
      </c>
      <c r="G5" s="222" t="s">
        <v>814</v>
      </c>
      <c r="H5" s="222" t="s">
        <v>3081</v>
      </c>
      <c r="I5" s="222" t="s">
        <v>1693</v>
      </c>
      <c r="J5" s="222" t="s">
        <v>1694</v>
      </c>
      <c r="K5" s="222" t="s">
        <v>1695</v>
      </c>
      <c r="L5" s="222" t="s">
        <v>1696</v>
      </c>
      <c r="M5" s="222" t="s">
        <v>1697</v>
      </c>
      <c r="N5" s="222" t="s">
        <v>1698</v>
      </c>
      <c r="O5" s="222" t="s">
        <v>1699</v>
      </c>
      <c r="P5" s="222" t="s">
        <v>1700</v>
      </c>
      <c r="Q5" s="222" t="s">
        <v>1456</v>
      </c>
      <c r="R5" s="222" t="s">
        <v>1455</v>
      </c>
      <c r="S5" s="222" t="s">
        <v>1703</v>
      </c>
    </row>
    <row r="6" spans="1:19">
      <c r="A6" s="222" t="s">
        <v>2333</v>
      </c>
      <c r="B6" s="222" t="s">
        <v>3082</v>
      </c>
      <c r="C6" s="222" t="s">
        <v>3032</v>
      </c>
      <c r="D6" s="222">
        <v>55</v>
      </c>
      <c r="E6" s="222">
        <v>2013</v>
      </c>
      <c r="F6" s="222">
        <v>55</v>
      </c>
      <c r="G6" s="222" t="s">
        <v>1721</v>
      </c>
      <c r="H6" s="222">
        <v>2013</v>
      </c>
      <c r="I6" s="222">
        <v>10.4284975906687</v>
      </c>
      <c r="J6" s="222">
        <v>9.5160491862271197</v>
      </c>
      <c r="K6" s="222">
        <v>2.89164835098188</v>
      </c>
      <c r="L6" s="222" t="s">
        <v>848</v>
      </c>
      <c r="M6" s="222" t="s">
        <v>3083</v>
      </c>
      <c r="N6" s="231">
        <v>5.8393302818010299E-8</v>
      </c>
      <c r="O6" s="231">
        <v>6.32646834431314E-11</v>
      </c>
      <c r="P6" s="222" t="s">
        <v>1710</v>
      </c>
      <c r="Q6" s="222" t="s">
        <v>2334</v>
      </c>
      <c r="R6" s="222" t="s">
        <v>2335</v>
      </c>
    </row>
    <row r="7" spans="1:19">
      <c r="A7" s="222" t="s">
        <v>2842</v>
      </c>
      <c r="B7" s="222" t="s">
        <v>3084</v>
      </c>
      <c r="C7" s="222" t="s">
        <v>2843</v>
      </c>
      <c r="D7" s="222">
        <v>80</v>
      </c>
      <c r="E7" s="222">
        <v>2013</v>
      </c>
      <c r="F7" s="222">
        <v>80</v>
      </c>
      <c r="G7" s="222" t="s">
        <v>1708</v>
      </c>
      <c r="H7" s="222">
        <v>2013</v>
      </c>
      <c r="I7" s="222">
        <v>10.926810600840099</v>
      </c>
      <c r="J7" s="222">
        <v>8.3395592000497807</v>
      </c>
      <c r="K7" s="222">
        <v>2.8073549220576002</v>
      </c>
      <c r="L7" s="222" t="s">
        <v>848</v>
      </c>
      <c r="M7" s="222" t="s">
        <v>3085</v>
      </c>
      <c r="N7" s="231">
        <v>1.42877063287523E-5</v>
      </c>
      <c r="O7" s="231">
        <v>1.4805913294043801E-8</v>
      </c>
      <c r="P7" s="222" t="s">
        <v>1817</v>
      </c>
      <c r="Q7" s="222" t="s">
        <v>1597</v>
      </c>
      <c r="R7" s="222" t="s">
        <v>2845</v>
      </c>
      <c r="S7" s="222" t="s">
        <v>3086</v>
      </c>
    </row>
    <row r="8" spans="1:19">
      <c r="A8" s="222" t="s">
        <v>2322</v>
      </c>
      <c r="B8" s="222" t="s">
        <v>3087</v>
      </c>
      <c r="C8" s="222" t="s">
        <v>2843</v>
      </c>
      <c r="D8" s="222">
        <v>80</v>
      </c>
      <c r="E8" s="222">
        <v>2013</v>
      </c>
      <c r="F8" s="222">
        <v>80</v>
      </c>
      <c r="G8" s="222" t="s">
        <v>1721</v>
      </c>
      <c r="H8" s="222">
        <v>2013</v>
      </c>
      <c r="I8" s="222">
        <v>8.1081077116025408</v>
      </c>
      <c r="J8" s="222">
        <v>5.8571673528025396</v>
      </c>
      <c r="K8" s="222">
        <v>2.75993201217991</v>
      </c>
      <c r="L8" s="222" t="s">
        <v>848</v>
      </c>
      <c r="M8" s="222" t="s">
        <v>3088</v>
      </c>
      <c r="N8" s="231">
        <v>2.0641706848799501E-5</v>
      </c>
      <c r="O8" s="231">
        <v>2.2960741767296399E-8</v>
      </c>
      <c r="P8" s="222" t="s">
        <v>2313</v>
      </c>
      <c r="Q8" s="222" t="s">
        <v>1524</v>
      </c>
      <c r="R8" s="222" t="s">
        <v>2323</v>
      </c>
    </row>
    <row r="9" spans="1:19">
      <c r="A9" s="222" t="s">
        <v>1548</v>
      </c>
      <c r="B9" s="222" t="s">
        <v>3087</v>
      </c>
      <c r="C9" s="222" t="s">
        <v>2843</v>
      </c>
      <c r="D9" s="222">
        <v>80</v>
      </c>
      <c r="E9" s="222">
        <v>2013</v>
      </c>
      <c r="F9" s="222">
        <v>80</v>
      </c>
      <c r="G9" s="222" t="s">
        <v>1721</v>
      </c>
      <c r="H9" s="222">
        <v>2013</v>
      </c>
      <c r="I9" s="222">
        <v>8.1360382358166294</v>
      </c>
      <c r="J9" s="222">
        <v>5.5219515570316604</v>
      </c>
      <c r="K9" s="222">
        <v>2.7359482811784201</v>
      </c>
      <c r="L9" s="222" t="s">
        <v>848</v>
      </c>
      <c r="M9" s="222" t="s">
        <v>3088</v>
      </c>
      <c r="N9" s="231">
        <v>1.2450083797866301E-4</v>
      </c>
      <c r="O9" s="231">
        <v>2.7891834450811298E-7</v>
      </c>
      <c r="P9" s="222" t="s">
        <v>2298</v>
      </c>
      <c r="Q9" s="222" t="s">
        <v>1543</v>
      </c>
      <c r="R9" s="222" t="s">
        <v>3089</v>
      </c>
    </row>
    <row r="10" spans="1:19">
      <c r="A10" s="222" t="s">
        <v>2486</v>
      </c>
      <c r="B10" s="222" t="s">
        <v>3087</v>
      </c>
      <c r="C10" s="222" t="s">
        <v>2843</v>
      </c>
      <c r="D10" s="222">
        <v>80</v>
      </c>
      <c r="E10" s="222">
        <v>2013</v>
      </c>
      <c r="F10" s="222">
        <v>80</v>
      </c>
      <c r="G10" s="222" t="s">
        <v>1721</v>
      </c>
      <c r="H10" s="222">
        <v>2013</v>
      </c>
      <c r="I10" s="222">
        <v>10.381669258152099</v>
      </c>
      <c r="J10" s="222">
        <v>5.8581835175155703</v>
      </c>
      <c r="K10" s="222">
        <v>2.8073549220576002</v>
      </c>
      <c r="L10" s="222" t="s">
        <v>848</v>
      </c>
      <c r="M10" s="222" t="s">
        <v>3088</v>
      </c>
      <c r="N10" s="231">
        <v>1.2450083797866301E-4</v>
      </c>
      <c r="O10" s="231">
        <v>4.1546442039598503E-7</v>
      </c>
      <c r="P10" s="222" t="s">
        <v>2056</v>
      </c>
      <c r="Q10" s="222" t="s">
        <v>2611</v>
      </c>
      <c r="R10" s="222" t="s">
        <v>3090</v>
      </c>
    </row>
    <row r="11" spans="1:19">
      <c r="A11" s="222" t="s">
        <v>1568</v>
      </c>
      <c r="B11" s="222" t="s">
        <v>3091</v>
      </c>
      <c r="C11" s="222" t="s">
        <v>3032</v>
      </c>
      <c r="D11" s="222">
        <v>55</v>
      </c>
      <c r="E11" s="222">
        <v>2013</v>
      </c>
      <c r="F11" s="222">
        <v>55</v>
      </c>
      <c r="G11" s="222" t="s">
        <v>1708</v>
      </c>
      <c r="H11" s="222">
        <v>2013</v>
      </c>
      <c r="I11" s="222">
        <v>7.8944987369873596</v>
      </c>
      <c r="J11" s="222">
        <v>7.2227309496130401</v>
      </c>
      <c r="K11" s="222">
        <v>2.1835725928127201</v>
      </c>
      <c r="L11" s="222" t="s">
        <v>848</v>
      </c>
      <c r="M11" s="222" t="s">
        <v>3092</v>
      </c>
      <c r="N11" s="231">
        <v>1.2876661614513E-4</v>
      </c>
      <c r="O11" s="231">
        <v>1.79091260285299E-7</v>
      </c>
      <c r="P11" s="222" t="s">
        <v>2298</v>
      </c>
      <c r="Q11" s="222" t="s">
        <v>1543</v>
      </c>
      <c r="R11" s="222" t="s">
        <v>2300</v>
      </c>
    </row>
    <row r="12" spans="1:19">
      <c r="A12" s="222" t="s">
        <v>2306</v>
      </c>
      <c r="B12" s="222" t="s">
        <v>3087</v>
      </c>
      <c r="C12" s="222" t="s">
        <v>2843</v>
      </c>
      <c r="D12" s="222">
        <v>80</v>
      </c>
      <c r="E12" s="222">
        <v>2013</v>
      </c>
      <c r="F12" s="222">
        <v>80</v>
      </c>
      <c r="G12" s="222" t="s">
        <v>1721</v>
      </c>
      <c r="H12" s="222">
        <v>2013</v>
      </c>
      <c r="I12" s="222">
        <v>8.6182206690147893</v>
      </c>
      <c r="J12" s="222">
        <v>5.509372823454</v>
      </c>
      <c r="K12" s="222">
        <v>2.7933031231632701</v>
      </c>
      <c r="L12" s="222" t="s">
        <v>848</v>
      </c>
      <c r="M12" s="222" t="s">
        <v>3088</v>
      </c>
      <c r="N12" s="231">
        <v>1.35431802663529E-4</v>
      </c>
      <c r="O12" s="231">
        <v>6.0258866591114204E-7</v>
      </c>
      <c r="P12" s="222" t="s">
        <v>2298</v>
      </c>
      <c r="Q12" s="222" t="s">
        <v>1543</v>
      </c>
      <c r="R12" s="222" t="s">
        <v>2307</v>
      </c>
    </row>
    <row r="13" spans="1:19">
      <c r="A13" s="222" t="s">
        <v>1494</v>
      </c>
      <c r="B13" s="222" t="s">
        <v>3093</v>
      </c>
      <c r="C13" s="222" t="s">
        <v>2836</v>
      </c>
      <c r="D13" s="222">
        <v>30</v>
      </c>
      <c r="E13" s="222">
        <v>2014</v>
      </c>
      <c r="F13" s="222">
        <v>30</v>
      </c>
      <c r="G13" s="222" t="s">
        <v>1708</v>
      </c>
      <c r="H13" s="222">
        <v>2014</v>
      </c>
      <c r="I13" s="222">
        <v>-2.5668854460428099</v>
      </c>
      <c r="J13" s="222">
        <v>-1.6551163905956501</v>
      </c>
      <c r="K13" s="222">
        <v>-3.3740214715796801</v>
      </c>
      <c r="L13" s="222" t="s">
        <v>848</v>
      </c>
      <c r="M13" s="222" t="s">
        <v>3094</v>
      </c>
      <c r="N13" s="231">
        <v>1.6526987495763199E-4</v>
      </c>
      <c r="O13" s="231">
        <v>5.5459689583097999E-7</v>
      </c>
      <c r="P13" s="222" t="s">
        <v>2583</v>
      </c>
      <c r="Q13" s="222" t="s">
        <v>1464</v>
      </c>
      <c r="R13" s="222" t="s">
        <v>2584</v>
      </c>
    </row>
    <row r="14" spans="1:19">
      <c r="A14" s="222" t="s">
        <v>1568</v>
      </c>
      <c r="B14" s="222" t="s">
        <v>3082</v>
      </c>
      <c r="C14" s="222" t="s">
        <v>3032</v>
      </c>
      <c r="D14" s="222">
        <v>55</v>
      </c>
      <c r="E14" s="222">
        <v>2013</v>
      </c>
      <c r="F14" s="222">
        <v>55</v>
      </c>
      <c r="G14" s="222" t="s">
        <v>1721</v>
      </c>
      <c r="H14" s="222">
        <v>2013</v>
      </c>
      <c r="I14" s="222">
        <v>7.66885432500509</v>
      </c>
      <c r="J14" s="222">
        <v>7.0503592204628003</v>
      </c>
      <c r="K14" s="222">
        <v>1.7860533502584299</v>
      </c>
      <c r="L14" s="222" t="s">
        <v>848</v>
      </c>
      <c r="M14" s="222" t="s">
        <v>3083</v>
      </c>
      <c r="N14" s="231">
        <v>1.8374887059927501E-4</v>
      </c>
      <c r="O14" s="231">
        <v>3.9815573260948001E-7</v>
      </c>
      <c r="P14" s="222" t="s">
        <v>2298</v>
      </c>
      <c r="Q14" s="222" t="s">
        <v>1543</v>
      </c>
      <c r="R14" s="222" t="s">
        <v>2300</v>
      </c>
    </row>
    <row r="15" spans="1:19">
      <c r="A15" s="222" t="s">
        <v>1544</v>
      </c>
      <c r="B15" s="222" t="s">
        <v>3091</v>
      </c>
      <c r="C15" s="222" t="s">
        <v>3032</v>
      </c>
      <c r="D15" s="222">
        <v>55</v>
      </c>
      <c r="E15" s="222">
        <v>2013</v>
      </c>
      <c r="F15" s="222">
        <v>55</v>
      </c>
      <c r="G15" s="222" t="s">
        <v>1708</v>
      </c>
      <c r="H15" s="222">
        <v>2013</v>
      </c>
      <c r="I15" s="222">
        <v>8.2675926877073191</v>
      </c>
      <c r="J15" s="222">
        <v>7.3042195485742303</v>
      </c>
      <c r="K15" s="222">
        <v>2.82830996532048</v>
      </c>
      <c r="L15" s="222" t="s">
        <v>848</v>
      </c>
      <c r="M15" s="222" t="s">
        <v>3092</v>
      </c>
      <c r="N15" s="231">
        <v>3.2726590208762902E-4</v>
      </c>
      <c r="O15" s="231">
        <v>2.2758407655607001E-6</v>
      </c>
      <c r="P15" s="222" t="s">
        <v>2298</v>
      </c>
      <c r="Q15" s="222" t="s">
        <v>1543</v>
      </c>
      <c r="R15" s="222" t="s">
        <v>1542</v>
      </c>
    </row>
    <row r="16" spans="1:19">
      <c r="A16" s="222" t="s">
        <v>1552</v>
      </c>
      <c r="B16" s="222" t="s">
        <v>3091</v>
      </c>
      <c r="C16" s="222" t="s">
        <v>3032</v>
      </c>
      <c r="D16" s="222">
        <v>55</v>
      </c>
      <c r="E16" s="222">
        <v>2013</v>
      </c>
      <c r="F16" s="222">
        <v>55</v>
      </c>
      <c r="G16" s="222" t="s">
        <v>1708</v>
      </c>
      <c r="H16" s="222">
        <v>2013</v>
      </c>
      <c r="I16" s="222">
        <v>7.93781021315771</v>
      </c>
      <c r="J16" s="222">
        <v>7.09141849768426</v>
      </c>
      <c r="K16" s="222">
        <v>2.0511762530219499</v>
      </c>
      <c r="L16" s="222" t="s">
        <v>848</v>
      </c>
      <c r="M16" s="222" t="s">
        <v>3092</v>
      </c>
      <c r="N16" s="231">
        <v>3.2726590208762902E-4</v>
      </c>
      <c r="O16" s="231">
        <v>1.9230474010659698E-6</v>
      </c>
      <c r="P16" s="222" t="s">
        <v>2298</v>
      </c>
      <c r="Q16" s="222" t="s">
        <v>1543</v>
      </c>
      <c r="R16" s="222" t="s">
        <v>1551</v>
      </c>
    </row>
    <row r="17" spans="1:18">
      <c r="A17" s="222" t="s">
        <v>2291</v>
      </c>
      <c r="B17" s="222" t="s">
        <v>3091</v>
      </c>
      <c r="C17" s="222" t="s">
        <v>3032</v>
      </c>
      <c r="D17" s="222">
        <v>55</v>
      </c>
      <c r="E17" s="222">
        <v>2013</v>
      </c>
      <c r="F17" s="222">
        <v>55</v>
      </c>
      <c r="G17" s="222" t="s">
        <v>1708</v>
      </c>
      <c r="H17" s="222">
        <v>2013</v>
      </c>
      <c r="I17" s="222">
        <v>-19.876081159029699</v>
      </c>
      <c r="J17" s="222">
        <v>-12.595037416771101</v>
      </c>
      <c r="K17" s="222">
        <v>0</v>
      </c>
      <c r="L17" s="222">
        <v>1</v>
      </c>
      <c r="M17" s="222" t="s">
        <v>3092</v>
      </c>
      <c r="N17" s="231">
        <v>3.2726590208762902E-4</v>
      </c>
      <c r="O17" s="231">
        <v>1.9075096624007301E-6</v>
      </c>
      <c r="P17" s="222" t="s">
        <v>2298</v>
      </c>
      <c r="Q17" s="222" t="s">
        <v>1543</v>
      </c>
      <c r="R17" s="222" t="s">
        <v>3095</v>
      </c>
    </row>
    <row r="18" spans="1:18">
      <c r="A18" s="222" t="s">
        <v>2309</v>
      </c>
      <c r="B18" s="222" t="s">
        <v>3091</v>
      </c>
      <c r="C18" s="222" t="s">
        <v>3032</v>
      </c>
      <c r="D18" s="222">
        <v>55</v>
      </c>
      <c r="E18" s="222">
        <v>2013</v>
      </c>
      <c r="F18" s="222">
        <v>55</v>
      </c>
      <c r="G18" s="222" t="s">
        <v>1708</v>
      </c>
      <c r="H18" s="222">
        <v>2013</v>
      </c>
      <c r="I18" s="222">
        <v>-19.8686632392312</v>
      </c>
      <c r="J18" s="222">
        <v>-12.8355151635949</v>
      </c>
      <c r="K18" s="222">
        <v>0</v>
      </c>
      <c r="L18" s="222">
        <v>1</v>
      </c>
      <c r="M18" s="222" t="s">
        <v>3092</v>
      </c>
      <c r="N18" s="231">
        <v>3.2726590208762902E-4</v>
      </c>
      <c r="O18" s="231">
        <v>1.5487162307528199E-6</v>
      </c>
      <c r="P18" s="222" t="s">
        <v>1710</v>
      </c>
      <c r="Q18" s="222" t="s">
        <v>2310</v>
      </c>
      <c r="R18" s="222" t="s">
        <v>2311</v>
      </c>
    </row>
    <row r="19" spans="1:18">
      <c r="A19" s="222" t="s">
        <v>3096</v>
      </c>
      <c r="B19" s="222" t="s">
        <v>3087</v>
      </c>
      <c r="C19" s="222" t="s">
        <v>2843</v>
      </c>
      <c r="D19" s="222">
        <v>80</v>
      </c>
      <c r="E19" s="222">
        <v>2013</v>
      </c>
      <c r="F19" s="222">
        <v>80</v>
      </c>
      <c r="G19" s="222" t="s">
        <v>1721</v>
      </c>
      <c r="H19" s="222">
        <v>2013</v>
      </c>
      <c r="I19" s="222">
        <v>8.6368952220091604</v>
      </c>
      <c r="J19" s="222">
        <v>5.2555563537440202</v>
      </c>
      <c r="K19" s="222">
        <v>2.7230893573797101</v>
      </c>
      <c r="L19" s="222" t="s">
        <v>848</v>
      </c>
      <c r="M19" s="222" t="s">
        <v>3088</v>
      </c>
      <c r="N19" s="231">
        <v>3.6734052278239898E-4</v>
      </c>
      <c r="O19" s="231">
        <v>2.0430507385005501E-6</v>
      </c>
      <c r="P19" s="222" t="s">
        <v>2056</v>
      </c>
      <c r="Q19" s="222" t="s">
        <v>2433</v>
      </c>
      <c r="R19" s="222" t="s">
        <v>3097</v>
      </c>
    </row>
    <row r="20" spans="1:18">
      <c r="A20" s="222" t="s">
        <v>3098</v>
      </c>
      <c r="B20" s="222" t="s">
        <v>3082</v>
      </c>
      <c r="C20" s="222" t="s">
        <v>3032</v>
      </c>
      <c r="D20" s="222">
        <v>55</v>
      </c>
      <c r="E20" s="222">
        <v>2013</v>
      </c>
      <c r="F20" s="222">
        <v>55</v>
      </c>
      <c r="G20" s="222" t="s">
        <v>1721</v>
      </c>
      <c r="H20" s="222">
        <v>2013</v>
      </c>
      <c r="I20" s="222">
        <v>8.5445032879700697</v>
      </c>
      <c r="J20" s="222">
        <v>7.57736012565735</v>
      </c>
      <c r="K20" s="222">
        <v>2.9713571214671299</v>
      </c>
      <c r="L20" s="222" t="s">
        <v>848</v>
      </c>
      <c r="M20" s="222" t="s">
        <v>3083</v>
      </c>
      <c r="N20" s="231">
        <v>4.1246275477097499E-4</v>
      </c>
      <c r="O20" s="231">
        <v>1.78748756130433E-6</v>
      </c>
      <c r="P20" s="222" t="s">
        <v>1987</v>
      </c>
      <c r="Q20" s="222" t="s">
        <v>1987</v>
      </c>
      <c r="R20" s="222" t="s">
        <v>3099</v>
      </c>
    </row>
    <row r="21" spans="1:18">
      <c r="A21" s="222" t="s">
        <v>1552</v>
      </c>
      <c r="B21" s="222" t="s">
        <v>3082</v>
      </c>
      <c r="C21" s="222" t="s">
        <v>3032</v>
      </c>
      <c r="D21" s="222">
        <v>55</v>
      </c>
      <c r="E21" s="222">
        <v>2013</v>
      </c>
      <c r="F21" s="222">
        <v>55</v>
      </c>
      <c r="G21" s="222" t="s">
        <v>1721</v>
      </c>
      <c r="H21" s="222">
        <v>2013</v>
      </c>
      <c r="I21" s="222">
        <v>8.0054495061807796</v>
      </c>
      <c r="J21" s="222">
        <v>7.2089898535212598</v>
      </c>
      <c r="K21" s="222">
        <v>1.94694141228722</v>
      </c>
      <c r="L21" s="222" t="s">
        <v>848</v>
      </c>
      <c r="M21" s="222" t="s">
        <v>3083</v>
      </c>
      <c r="N21" s="231">
        <v>4.1246275477097499E-4</v>
      </c>
      <c r="O21" s="231">
        <v>1.5749108284294699E-6</v>
      </c>
      <c r="P21" s="222" t="s">
        <v>2298</v>
      </c>
      <c r="Q21" s="222" t="s">
        <v>1543</v>
      </c>
      <c r="R21" s="222" t="s">
        <v>1551</v>
      </c>
    </row>
    <row r="22" spans="1:18">
      <c r="A22" s="222" t="s">
        <v>3100</v>
      </c>
      <c r="B22" s="222" t="s">
        <v>3091</v>
      </c>
      <c r="C22" s="222" t="s">
        <v>3032</v>
      </c>
      <c r="D22" s="222">
        <v>55</v>
      </c>
      <c r="E22" s="222">
        <v>2013</v>
      </c>
      <c r="F22" s="222">
        <v>55</v>
      </c>
      <c r="G22" s="222" t="s">
        <v>1708</v>
      </c>
      <c r="H22" s="222">
        <v>2013</v>
      </c>
      <c r="I22" s="222">
        <v>8.1954713148012903</v>
      </c>
      <c r="J22" s="222">
        <v>7.1981733406197002</v>
      </c>
      <c r="K22" s="222">
        <v>2.78772006533735</v>
      </c>
      <c r="L22" s="222" t="s">
        <v>848</v>
      </c>
      <c r="M22" s="222" t="s">
        <v>3092</v>
      </c>
      <c r="N22" s="231">
        <v>4.1622160091480802E-4</v>
      </c>
      <c r="O22" s="231">
        <v>3.4733374207077198E-6</v>
      </c>
      <c r="P22" s="222" t="s">
        <v>1817</v>
      </c>
      <c r="Q22" s="222" t="s">
        <v>2062</v>
      </c>
      <c r="R22" s="222" t="s">
        <v>3101</v>
      </c>
    </row>
    <row r="23" spans="1:18">
      <c r="A23" s="222" t="s">
        <v>1553</v>
      </c>
      <c r="B23" s="222" t="s">
        <v>3091</v>
      </c>
      <c r="C23" s="222" t="s">
        <v>3032</v>
      </c>
      <c r="D23" s="222">
        <v>55</v>
      </c>
      <c r="E23" s="222">
        <v>2013</v>
      </c>
      <c r="F23" s="222">
        <v>55</v>
      </c>
      <c r="G23" s="222" t="s">
        <v>1708</v>
      </c>
      <c r="H23" s="222">
        <v>2013</v>
      </c>
      <c r="I23" s="222">
        <v>7.9203916296701502</v>
      </c>
      <c r="J23" s="222">
        <v>6.9806321794006303</v>
      </c>
      <c r="K23" s="222">
        <v>2.4644483101521502</v>
      </c>
      <c r="L23" s="222" t="s">
        <v>848</v>
      </c>
      <c r="M23" s="222" t="s">
        <v>3092</v>
      </c>
      <c r="N23" s="231">
        <v>4.3447026328197002E-4</v>
      </c>
      <c r="O23" s="231">
        <v>4.2298912975991496E-6</v>
      </c>
      <c r="P23" s="222" t="s">
        <v>2298</v>
      </c>
      <c r="Q23" s="222" t="s">
        <v>1543</v>
      </c>
      <c r="R23" s="222" t="s">
        <v>1551</v>
      </c>
    </row>
    <row r="24" spans="1:18">
      <c r="A24" s="222" t="s">
        <v>3102</v>
      </c>
      <c r="B24" s="222" t="s">
        <v>3087</v>
      </c>
      <c r="C24" s="222" t="s">
        <v>2843</v>
      </c>
      <c r="D24" s="222">
        <v>80</v>
      </c>
      <c r="E24" s="222">
        <v>2013</v>
      </c>
      <c r="F24" s="222">
        <v>80</v>
      </c>
      <c r="G24" s="222" t="s">
        <v>1721</v>
      </c>
      <c r="H24" s="222">
        <v>2013</v>
      </c>
      <c r="I24" s="222">
        <v>6.8747323834729599</v>
      </c>
      <c r="J24" s="222">
        <v>4.67288877692613</v>
      </c>
      <c r="K24" s="222">
        <v>2.3971697279737501</v>
      </c>
      <c r="L24" s="222" t="s">
        <v>848</v>
      </c>
      <c r="M24" s="222" t="s">
        <v>3088</v>
      </c>
      <c r="N24" s="231">
        <v>7.2303977108022503E-4</v>
      </c>
      <c r="O24" s="231">
        <v>4.8256269482551102E-6</v>
      </c>
      <c r="P24" s="222" t="s">
        <v>2394</v>
      </c>
      <c r="Q24" s="222" t="s">
        <v>3103</v>
      </c>
      <c r="R24" s="222" t="s">
        <v>3104</v>
      </c>
    </row>
    <row r="25" spans="1:18">
      <c r="A25" s="222" t="s">
        <v>2296</v>
      </c>
      <c r="B25" s="222" t="s">
        <v>3091</v>
      </c>
      <c r="C25" s="222" t="s">
        <v>3032</v>
      </c>
      <c r="D25" s="222">
        <v>55</v>
      </c>
      <c r="E25" s="222">
        <v>2013</v>
      </c>
      <c r="F25" s="222">
        <v>55</v>
      </c>
      <c r="G25" s="222" t="s">
        <v>1708</v>
      </c>
      <c r="H25" s="222">
        <v>2013</v>
      </c>
      <c r="I25" s="222">
        <v>7.67268188717782</v>
      </c>
      <c r="J25" s="222">
        <v>6.6900140376499397</v>
      </c>
      <c r="K25" s="222">
        <v>2.2505293948886802</v>
      </c>
      <c r="L25" s="222" t="s">
        <v>848</v>
      </c>
      <c r="M25" s="222" t="s">
        <v>3092</v>
      </c>
      <c r="N25" s="231">
        <v>7.5148081260623003E-4</v>
      </c>
      <c r="O25" s="231">
        <v>8.3613998620999099E-6</v>
      </c>
      <c r="P25" s="222" t="s">
        <v>2298</v>
      </c>
      <c r="Q25" s="222" t="s">
        <v>1543</v>
      </c>
      <c r="R25" s="222" t="s">
        <v>3105</v>
      </c>
    </row>
    <row r="26" spans="1:18">
      <c r="A26" s="222" t="s">
        <v>3106</v>
      </c>
      <c r="B26" s="222" t="s">
        <v>3087</v>
      </c>
      <c r="C26" s="222" t="s">
        <v>2843</v>
      </c>
      <c r="D26" s="222">
        <v>80</v>
      </c>
      <c r="E26" s="222">
        <v>2013</v>
      </c>
      <c r="F26" s="222">
        <v>80</v>
      </c>
      <c r="G26" s="222" t="s">
        <v>1721</v>
      </c>
      <c r="H26" s="222">
        <v>2013</v>
      </c>
      <c r="I26" s="222">
        <v>9.8575779034671704</v>
      </c>
      <c r="J26" s="222">
        <v>5.01040275299406</v>
      </c>
      <c r="K26" s="222">
        <v>2.8073549220576002</v>
      </c>
      <c r="L26" s="222" t="s">
        <v>848</v>
      </c>
      <c r="M26" s="222" t="s">
        <v>3088</v>
      </c>
      <c r="N26" s="231">
        <v>9.2590471085724402E-4</v>
      </c>
      <c r="O26" s="231">
        <v>7.2094916307015598E-6</v>
      </c>
      <c r="P26" s="222" t="s">
        <v>1710</v>
      </c>
      <c r="Q26" s="222" t="s">
        <v>2014</v>
      </c>
      <c r="R26" s="222" t="s">
        <v>3107</v>
      </c>
    </row>
    <row r="27" spans="1:18">
      <c r="A27" s="222" t="s">
        <v>1554</v>
      </c>
      <c r="B27" s="222" t="s">
        <v>3091</v>
      </c>
      <c r="C27" s="222" t="s">
        <v>3032</v>
      </c>
      <c r="D27" s="222">
        <v>55</v>
      </c>
      <c r="E27" s="222">
        <v>2013</v>
      </c>
      <c r="F27" s="222">
        <v>55</v>
      </c>
      <c r="G27" s="222" t="s">
        <v>1708</v>
      </c>
      <c r="H27" s="222">
        <v>2013</v>
      </c>
      <c r="I27" s="222">
        <v>7.51043770425155</v>
      </c>
      <c r="J27" s="222">
        <v>6.48180052258581</v>
      </c>
      <c r="K27" s="222">
        <v>2.0945614772498602</v>
      </c>
      <c r="L27" s="222" t="s">
        <v>848</v>
      </c>
      <c r="M27" s="222" t="s">
        <v>3092</v>
      </c>
      <c r="N27" s="222">
        <v>1.0206939410112501E-3</v>
      </c>
      <c r="O27" s="231">
        <v>1.2776419289431501E-5</v>
      </c>
      <c r="P27" s="222" t="s">
        <v>2298</v>
      </c>
      <c r="Q27" s="222" t="s">
        <v>1543</v>
      </c>
      <c r="R27" s="222" t="s">
        <v>3108</v>
      </c>
    </row>
    <row r="28" spans="1:18">
      <c r="A28" s="222" t="s">
        <v>1572</v>
      </c>
      <c r="B28" s="222" t="s">
        <v>3091</v>
      </c>
      <c r="C28" s="222" t="s">
        <v>3032</v>
      </c>
      <c r="D28" s="222">
        <v>55</v>
      </c>
      <c r="E28" s="222">
        <v>2013</v>
      </c>
      <c r="F28" s="222">
        <v>55</v>
      </c>
      <c r="G28" s="222" t="s">
        <v>1708</v>
      </c>
      <c r="H28" s="222">
        <v>2013</v>
      </c>
      <c r="I28" s="222">
        <v>7.6648933760902702</v>
      </c>
      <c r="J28" s="222">
        <v>6.5524689801268101</v>
      </c>
      <c r="K28" s="222">
        <v>2.4856062631445699</v>
      </c>
      <c r="L28" s="222" t="s">
        <v>848</v>
      </c>
      <c r="M28" s="222" t="s">
        <v>3092</v>
      </c>
      <c r="N28" s="222">
        <v>1.02199194473609E-3</v>
      </c>
      <c r="O28" s="231">
        <v>1.42140743356897E-5</v>
      </c>
      <c r="P28" s="222" t="s">
        <v>2298</v>
      </c>
      <c r="Q28" s="222" t="s">
        <v>1543</v>
      </c>
      <c r="R28" s="222" t="s">
        <v>3109</v>
      </c>
    </row>
    <row r="29" spans="1:18">
      <c r="A29" s="222" t="s">
        <v>1548</v>
      </c>
      <c r="B29" s="222" t="s">
        <v>3091</v>
      </c>
      <c r="C29" s="222" t="s">
        <v>3032</v>
      </c>
      <c r="D29" s="222">
        <v>55</v>
      </c>
      <c r="E29" s="222">
        <v>2013</v>
      </c>
      <c r="F29" s="222">
        <v>55</v>
      </c>
      <c r="G29" s="222" t="s">
        <v>1708</v>
      </c>
      <c r="H29" s="222">
        <v>2013</v>
      </c>
      <c r="I29" s="222">
        <v>7.4356972570762103</v>
      </c>
      <c r="J29" s="222">
        <v>6.2783594860225804</v>
      </c>
      <c r="K29" s="222">
        <v>2.1961167174698502</v>
      </c>
      <c r="L29" s="222" t="s">
        <v>848</v>
      </c>
      <c r="M29" s="222" t="s">
        <v>3092</v>
      </c>
      <c r="N29" s="222">
        <v>1.3810001414178801E-3</v>
      </c>
      <c r="O29" s="231">
        <v>2.1127957657297198E-5</v>
      </c>
      <c r="P29" s="222" t="s">
        <v>2298</v>
      </c>
      <c r="Q29" s="222" t="s">
        <v>1543</v>
      </c>
      <c r="R29" s="222" t="s">
        <v>3089</v>
      </c>
    </row>
    <row r="30" spans="1:18">
      <c r="A30" s="222" t="s">
        <v>1572</v>
      </c>
      <c r="B30" s="222" t="s">
        <v>3087</v>
      </c>
      <c r="C30" s="222" t="s">
        <v>2843</v>
      </c>
      <c r="D30" s="222">
        <v>80</v>
      </c>
      <c r="E30" s="222">
        <v>2013</v>
      </c>
      <c r="F30" s="222">
        <v>80</v>
      </c>
      <c r="G30" s="222" t="s">
        <v>1721</v>
      </c>
      <c r="H30" s="222">
        <v>2013</v>
      </c>
      <c r="I30" s="222">
        <v>7.7821291633678298</v>
      </c>
      <c r="J30" s="222">
        <v>4.6086780273224504</v>
      </c>
      <c r="K30" s="222">
        <v>2.5771941350476801</v>
      </c>
      <c r="L30" s="222" t="s">
        <v>848</v>
      </c>
      <c r="M30" s="222" t="s">
        <v>3088</v>
      </c>
      <c r="N30" s="222">
        <v>1.8798532526062299E-3</v>
      </c>
      <c r="O30" s="231">
        <v>1.67283937940487E-5</v>
      </c>
      <c r="P30" s="222" t="s">
        <v>2298</v>
      </c>
      <c r="Q30" s="222" t="s">
        <v>1543</v>
      </c>
      <c r="R30" s="222" t="s">
        <v>3109</v>
      </c>
    </row>
    <row r="31" spans="1:18">
      <c r="A31" s="222" t="s">
        <v>1573</v>
      </c>
      <c r="B31" s="222" t="s">
        <v>3091</v>
      </c>
      <c r="C31" s="222" t="s">
        <v>3032</v>
      </c>
      <c r="D31" s="222">
        <v>55</v>
      </c>
      <c r="E31" s="222">
        <v>2013</v>
      </c>
      <c r="F31" s="222">
        <v>55</v>
      </c>
      <c r="G31" s="222" t="s">
        <v>1708</v>
      </c>
      <c r="H31" s="222">
        <v>2013</v>
      </c>
      <c r="I31" s="222">
        <v>7.3779841457978801</v>
      </c>
      <c r="J31" s="222">
        <v>6.0212445101659799</v>
      </c>
      <c r="K31" s="222">
        <v>2.3306072529013</v>
      </c>
      <c r="L31" s="222" t="s">
        <v>848</v>
      </c>
      <c r="M31" s="222" t="s">
        <v>3092</v>
      </c>
      <c r="N31" s="222">
        <v>1.9571925698196901E-3</v>
      </c>
      <c r="O31" s="231">
        <v>3.5700380477989101E-5</v>
      </c>
      <c r="P31" s="222" t="s">
        <v>2298</v>
      </c>
      <c r="Q31" s="222" t="s">
        <v>1543</v>
      </c>
      <c r="R31" s="222" t="s">
        <v>1551</v>
      </c>
    </row>
    <row r="32" spans="1:18">
      <c r="A32" s="222" t="s">
        <v>2294</v>
      </c>
      <c r="B32" s="222" t="s">
        <v>3091</v>
      </c>
      <c r="C32" s="222" t="s">
        <v>3032</v>
      </c>
      <c r="D32" s="222">
        <v>55</v>
      </c>
      <c r="E32" s="222">
        <v>2013</v>
      </c>
      <c r="F32" s="222">
        <v>55</v>
      </c>
      <c r="G32" s="222" t="s">
        <v>1708</v>
      </c>
      <c r="H32" s="222">
        <v>2013</v>
      </c>
      <c r="I32" s="222">
        <v>7.3474877718755902</v>
      </c>
      <c r="J32" s="222">
        <v>5.9918868972554398</v>
      </c>
      <c r="K32" s="222">
        <v>2.2797350795596101</v>
      </c>
      <c r="L32" s="222" t="s">
        <v>848</v>
      </c>
      <c r="M32" s="222" t="s">
        <v>3092</v>
      </c>
      <c r="N32" s="222">
        <v>1.9571925698196901E-3</v>
      </c>
      <c r="O32" s="231">
        <v>3.65402697188428E-5</v>
      </c>
      <c r="P32" s="222" t="s">
        <v>2298</v>
      </c>
      <c r="Q32" s="222" t="s">
        <v>1543</v>
      </c>
      <c r="R32" s="222" t="s">
        <v>3110</v>
      </c>
    </row>
    <row r="33" spans="1:18">
      <c r="A33" s="222" t="s">
        <v>2333</v>
      </c>
      <c r="B33" s="222" t="s">
        <v>3091</v>
      </c>
      <c r="C33" s="222" t="s">
        <v>3032</v>
      </c>
      <c r="D33" s="222">
        <v>55</v>
      </c>
      <c r="E33" s="222">
        <v>2013</v>
      </c>
      <c r="F33" s="222">
        <v>55</v>
      </c>
      <c r="G33" s="222" t="s">
        <v>1708</v>
      </c>
      <c r="H33" s="222">
        <v>2013</v>
      </c>
      <c r="I33" s="222">
        <v>6.5761744741604096</v>
      </c>
      <c r="J33" s="222">
        <v>5.4964888132499699</v>
      </c>
      <c r="K33" s="222">
        <v>-0.788810131309997</v>
      </c>
      <c r="L33" s="222" t="s">
        <v>848</v>
      </c>
      <c r="M33" s="222" t="s">
        <v>3092</v>
      </c>
      <c r="N33" s="222">
        <v>1.9571925698196901E-3</v>
      </c>
      <c r="O33" s="231">
        <v>3.8109451985362702E-5</v>
      </c>
      <c r="P33" s="222" t="s">
        <v>1710</v>
      </c>
      <c r="Q33" s="222" t="s">
        <v>2334</v>
      </c>
      <c r="R33" s="222" t="s">
        <v>2335</v>
      </c>
    </row>
    <row r="34" spans="1:18">
      <c r="A34" s="222" t="s">
        <v>1556</v>
      </c>
      <c r="B34" s="222" t="s">
        <v>3091</v>
      </c>
      <c r="C34" s="222" t="s">
        <v>3032</v>
      </c>
      <c r="D34" s="222">
        <v>55</v>
      </c>
      <c r="E34" s="222">
        <v>2013</v>
      </c>
      <c r="F34" s="222">
        <v>55</v>
      </c>
      <c r="G34" s="222" t="s">
        <v>1708</v>
      </c>
      <c r="H34" s="222">
        <v>2013</v>
      </c>
      <c r="I34" s="222">
        <v>6.6513475084466904</v>
      </c>
      <c r="J34" s="222">
        <v>5.4077141149103198</v>
      </c>
      <c r="K34" s="222">
        <v>1.9915143847060199</v>
      </c>
      <c r="L34" s="222" t="s">
        <v>848</v>
      </c>
      <c r="M34" s="222" t="s">
        <v>3092</v>
      </c>
      <c r="N34" s="222">
        <v>2.4264654728653602E-3</v>
      </c>
      <c r="O34" s="231">
        <v>5.0621671895661303E-5</v>
      </c>
      <c r="P34" s="222" t="s">
        <v>2298</v>
      </c>
      <c r="Q34" s="222" t="s">
        <v>1543</v>
      </c>
      <c r="R34" s="222" t="s">
        <v>1555</v>
      </c>
    </row>
    <row r="35" spans="1:18">
      <c r="A35" s="222" t="s">
        <v>1554</v>
      </c>
      <c r="B35" s="222" t="s">
        <v>3082</v>
      </c>
      <c r="C35" s="222" t="s">
        <v>3032</v>
      </c>
      <c r="D35" s="222">
        <v>55</v>
      </c>
      <c r="E35" s="222">
        <v>2013</v>
      </c>
      <c r="F35" s="222">
        <v>55</v>
      </c>
      <c r="G35" s="222" t="s">
        <v>1721</v>
      </c>
      <c r="H35" s="222">
        <v>2013</v>
      </c>
      <c r="I35" s="222">
        <v>7.4865536399819703</v>
      </c>
      <c r="J35" s="222">
        <v>6.5090460062376803</v>
      </c>
      <c r="K35" s="222">
        <v>1.89880302302968</v>
      </c>
      <c r="L35" s="222" t="s">
        <v>848</v>
      </c>
      <c r="M35" s="222" t="s">
        <v>3083</v>
      </c>
      <c r="N35" s="222">
        <v>2.5209046090174199E-3</v>
      </c>
      <c r="O35" s="231">
        <v>1.36560379686751E-5</v>
      </c>
      <c r="P35" s="222" t="s">
        <v>2298</v>
      </c>
      <c r="Q35" s="222" t="s">
        <v>1543</v>
      </c>
      <c r="R35" s="222" t="s">
        <v>3108</v>
      </c>
    </row>
    <row r="36" spans="1:18">
      <c r="A36" s="222" t="s">
        <v>1558</v>
      </c>
      <c r="B36" s="222" t="s">
        <v>3091</v>
      </c>
      <c r="C36" s="222" t="s">
        <v>3032</v>
      </c>
      <c r="D36" s="222">
        <v>55</v>
      </c>
      <c r="E36" s="222">
        <v>2013</v>
      </c>
      <c r="F36" s="222">
        <v>55</v>
      </c>
      <c r="G36" s="222" t="s">
        <v>1708</v>
      </c>
      <c r="H36" s="222">
        <v>2013</v>
      </c>
      <c r="I36" s="222">
        <v>7.1942769895791301</v>
      </c>
      <c r="J36" s="222">
        <v>5.5435039774556998</v>
      </c>
      <c r="K36" s="222">
        <v>2.2581938300364501</v>
      </c>
      <c r="L36" s="222" t="s">
        <v>848</v>
      </c>
      <c r="M36" s="222" t="s">
        <v>3092</v>
      </c>
      <c r="N36" s="222">
        <v>3.02544290088311E-3</v>
      </c>
      <c r="O36" s="231">
        <v>6.7325572203240204E-5</v>
      </c>
      <c r="P36" s="222" t="s">
        <v>2298</v>
      </c>
      <c r="Q36" s="222" t="s">
        <v>1543</v>
      </c>
      <c r="R36" s="222" t="s">
        <v>1555</v>
      </c>
    </row>
    <row r="37" spans="1:18">
      <c r="A37" s="222" t="s">
        <v>3100</v>
      </c>
      <c r="B37" s="222" t="s">
        <v>3087</v>
      </c>
      <c r="C37" s="222" t="s">
        <v>2843</v>
      </c>
      <c r="D37" s="222">
        <v>80</v>
      </c>
      <c r="E37" s="222">
        <v>2013</v>
      </c>
      <c r="F37" s="222">
        <v>80</v>
      </c>
      <c r="G37" s="222" t="s">
        <v>1721</v>
      </c>
      <c r="H37" s="222">
        <v>2013</v>
      </c>
      <c r="I37" s="222">
        <v>5.6952655219790298</v>
      </c>
      <c r="J37" s="222">
        <v>3.9619493571821001</v>
      </c>
      <c r="K37" s="222">
        <v>2.68472359294028</v>
      </c>
      <c r="L37" s="222" t="s">
        <v>848</v>
      </c>
      <c r="M37" s="222" t="s">
        <v>3088</v>
      </c>
      <c r="N37" s="222">
        <v>3.32003154106324E-3</v>
      </c>
      <c r="O37" s="231">
        <v>3.32372456836142E-5</v>
      </c>
      <c r="P37" s="222" t="s">
        <v>1817</v>
      </c>
      <c r="Q37" s="222" t="s">
        <v>2062</v>
      </c>
      <c r="R37" s="222" t="s">
        <v>3101</v>
      </c>
    </row>
    <row r="38" spans="1:18">
      <c r="A38" s="222" t="s">
        <v>2296</v>
      </c>
      <c r="B38" s="222" t="s">
        <v>3082</v>
      </c>
      <c r="C38" s="222" t="s">
        <v>3032</v>
      </c>
      <c r="D38" s="222">
        <v>55</v>
      </c>
      <c r="E38" s="222">
        <v>2013</v>
      </c>
      <c r="F38" s="222">
        <v>55</v>
      </c>
      <c r="G38" s="222" t="s">
        <v>1721</v>
      </c>
      <c r="H38" s="222">
        <v>2013</v>
      </c>
      <c r="I38" s="222">
        <v>7.29065645854417</v>
      </c>
      <c r="J38" s="222">
        <v>6.2193547349733604</v>
      </c>
      <c r="K38" s="222">
        <v>1.6966285075052401</v>
      </c>
      <c r="L38" s="222" t="s">
        <v>848</v>
      </c>
      <c r="M38" s="222" t="s">
        <v>3083</v>
      </c>
      <c r="N38" s="222">
        <v>3.5531564309631502E-3</v>
      </c>
      <c r="O38" s="231">
        <v>2.30974415880595E-5</v>
      </c>
      <c r="P38" s="222" t="s">
        <v>2298</v>
      </c>
      <c r="Q38" s="222" t="s">
        <v>1543</v>
      </c>
      <c r="R38" s="222" t="s">
        <v>3105</v>
      </c>
    </row>
    <row r="39" spans="1:18">
      <c r="A39" s="222" t="s">
        <v>1556</v>
      </c>
      <c r="B39" s="222" t="s">
        <v>3082</v>
      </c>
      <c r="C39" s="222" t="s">
        <v>3032</v>
      </c>
      <c r="D39" s="222">
        <v>55</v>
      </c>
      <c r="E39" s="222">
        <v>2013</v>
      </c>
      <c r="F39" s="222">
        <v>55</v>
      </c>
      <c r="G39" s="222" t="s">
        <v>1721</v>
      </c>
      <c r="H39" s="222">
        <v>2013</v>
      </c>
      <c r="I39" s="222">
        <v>6.8376074416285197</v>
      </c>
      <c r="J39" s="222">
        <v>5.81147853259007</v>
      </c>
      <c r="K39" s="222">
        <v>2.0059005032695798</v>
      </c>
      <c r="L39" s="222" t="s">
        <v>848</v>
      </c>
      <c r="M39" s="222" t="s">
        <v>3083</v>
      </c>
      <c r="N39" s="222">
        <v>4.0958296479515202E-3</v>
      </c>
      <c r="O39" s="231">
        <v>3.1062630049469799E-5</v>
      </c>
      <c r="P39" s="222" t="s">
        <v>2298</v>
      </c>
      <c r="Q39" s="222" t="s">
        <v>1543</v>
      </c>
      <c r="R39" s="222" t="s">
        <v>1555</v>
      </c>
    </row>
    <row r="40" spans="1:18">
      <c r="A40" s="222" t="s">
        <v>3111</v>
      </c>
      <c r="B40" s="222" t="s">
        <v>3082</v>
      </c>
      <c r="C40" s="222" t="s">
        <v>3032</v>
      </c>
      <c r="D40" s="222">
        <v>55</v>
      </c>
      <c r="E40" s="222">
        <v>2013</v>
      </c>
      <c r="F40" s="222">
        <v>55</v>
      </c>
      <c r="G40" s="222" t="s">
        <v>1721</v>
      </c>
      <c r="H40" s="222">
        <v>2013</v>
      </c>
      <c r="I40" s="222">
        <v>6.9071413104840502</v>
      </c>
      <c r="J40" s="222">
        <v>5.7322116258585201</v>
      </c>
      <c r="K40" s="222">
        <v>2.3057977247869101</v>
      </c>
      <c r="L40" s="222" t="s">
        <v>848</v>
      </c>
      <c r="M40" s="222" t="s">
        <v>3083</v>
      </c>
      <c r="N40" s="222">
        <v>4.2539737620570801E-3</v>
      </c>
      <c r="O40" s="231">
        <v>4.1479700821791699E-5</v>
      </c>
      <c r="P40" s="222" t="s">
        <v>2298</v>
      </c>
      <c r="Q40" s="222" t="s">
        <v>1543</v>
      </c>
      <c r="R40" s="222" t="s">
        <v>3112</v>
      </c>
    </row>
    <row r="41" spans="1:18">
      <c r="A41" s="222" t="s">
        <v>1548</v>
      </c>
      <c r="B41" s="222" t="s">
        <v>3082</v>
      </c>
      <c r="C41" s="222" t="s">
        <v>3032</v>
      </c>
      <c r="D41" s="222">
        <v>55</v>
      </c>
      <c r="E41" s="222">
        <v>2013</v>
      </c>
      <c r="F41" s="222">
        <v>55</v>
      </c>
      <c r="G41" s="222" t="s">
        <v>1721</v>
      </c>
      <c r="H41" s="222">
        <v>2013</v>
      </c>
      <c r="I41" s="222">
        <v>7.1844213250644096</v>
      </c>
      <c r="J41" s="222">
        <v>5.9230484518072899</v>
      </c>
      <c r="K41" s="222">
        <v>1.77296569249827</v>
      </c>
      <c r="L41" s="222" t="s">
        <v>848</v>
      </c>
      <c r="M41" s="222" t="s">
        <v>3083</v>
      </c>
      <c r="N41" s="222">
        <v>4.2539737620570801E-3</v>
      </c>
      <c r="O41" s="231">
        <v>3.9948454711223601E-5</v>
      </c>
      <c r="P41" s="222" t="s">
        <v>2298</v>
      </c>
      <c r="Q41" s="222" t="s">
        <v>1543</v>
      </c>
      <c r="R41" s="222" t="s">
        <v>3089</v>
      </c>
    </row>
    <row r="42" spans="1:18">
      <c r="A42" s="222" t="s">
        <v>3098</v>
      </c>
      <c r="B42" s="222" t="s">
        <v>3087</v>
      </c>
      <c r="C42" s="222" t="s">
        <v>2843</v>
      </c>
      <c r="D42" s="222">
        <v>80</v>
      </c>
      <c r="E42" s="222">
        <v>2013</v>
      </c>
      <c r="F42" s="222">
        <v>80</v>
      </c>
      <c r="G42" s="222" t="s">
        <v>1721</v>
      </c>
      <c r="H42" s="222">
        <v>2013</v>
      </c>
      <c r="I42" s="222">
        <v>6.6973415685986701</v>
      </c>
      <c r="J42" s="222">
        <v>4.1592130484250402</v>
      </c>
      <c r="K42" s="222">
        <v>2.1581087982962299</v>
      </c>
      <c r="L42" s="222" t="s">
        <v>848</v>
      </c>
      <c r="M42" s="222" t="s">
        <v>3088</v>
      </c>
      <c r="N42" s="222">
        <v>4.2687004555683698E-3</v>
      </c>
      <c r="O42" s="231">
        <v>4.7482763688190998E-5</v>
      </c>
      <c r="P42" s="222" t="s">
        <v>1987</v>
      </c>
      <c r="Q42" s="222" t="s">
        <v>1987</v>
      </c>
      <c r="R42" s="222" t="s">
        <v>3099</v>
      </c>
    </row>
    <row r="43" spans="1:18">
      <c r="A43" s="222" t="s">
        <v>1847</v>
      </c>
      <c r="B43" s="222" t="s">
        <v>3087</v>
      </c>
      <c r="C43" s="222" t="s">
        <v>2843</v>
      </c>
      <c r="D43" s="222">
        <v>80</v>
      </c>
      <c r="E43" s="222">
        <v>2013</v>
      </c>
      <c r="F43" s="222">
        <v>80</v>
      </c>
      <c r="G43" s="222" t="s">
        <v>1721</v>
      </c>
      <c r="H43" s="222">
        <v>2013</v>
      </c>
      <c r="I43" s="222">
        <v>6.7402765200446897</v>
      </c>
      <c r="J43" s="222">
        <v>4.1326104268011798</v>
      </c>
      <c r="K43" s="222">
        <v>2.5848137359184999</v>
      </c>
      <c r="L43" s="222" t="s">
        <v>848</v>
      </c>
      <c r="M43" s="222" t="s">
        <v>3088</v>
      </c>
      <c r="N43" s="222">
        <v>4.47030179428039E-3</v>
      </c>
      <c r="O43" s="231">
        <v>5.4697797260382998E-5</v>
      </c>
      <c r="P43" s="222" t="s">
        <v>1889</v>
      </c>
      <c r="Q43" s="222" t="s">
        <v>1597</v>
      </c>
      <c r="R43" s="222" t="s">
        <v>3113</v>
      </c>
    </row>
    <row r="44" spans="1:18">
      <c r="A44" s="222" t="s">
        <v>1553</v>
      </c>
      <c r="B44" s="222" t="s">
        <v>3082</v>
      </c>
      <c r="C44" s="222" t="s">
        <v>3032</v>
      </c>
      <c r="D44" s="222">
        <v>55</v>
      </c>
      <c r="E44" s="222">
        <v>2013</v>
      </c>
      <c r="F44" s="222">
        <v>55</v>
      </c>
      <c r="G44" s="222" t="s">
        <v>1721</v>
      </c>
      <c r="H44" s="222">
        <v>2013</v>
      </c>
      <c r="I44" s="222">
        <v>6.9386501482894003</v>
      </c>
      <c r="J44" s="222">
        <v>5.5901038579284901</v>
      </c>
      <c r="K44" s="222">
        <v>1.3108295816325799</v>
      </c>
      <c r="L44" s="222" t="s">
        <v>848</v>
      </c>
      <c r="M44" s="222" t="s">
        <v>3083</v>
      </c>
      <c r="N44" s="222">
        <v>4.5319208060559599E-3</v>
      </c>
      <c r="O44" s="231">
        <v>5.6390517307896403E-5</v>
      </c>
      <c r="P44" s="222" t="s">
        <v>2298</v>
      </c>
      <c r="Q44" s="222" t="s">
        <v>1543</v>
      </c>
      <c r="R44" s="222" t="s">
        <v>1551</v>
      </c>
    </row>
    <row r="45" spans="1:18">
      <c r="A45" s="222" t="s">
        <v>2616</v>
      </c>
      <c r="B45" s="222" t="s">
        <v>3082</v>
      </c>
      <c r="C45" s="222" t="s">
        <v>3032</v>
      </c>
      <c r="D45" s="222">
        <v>55</v>
      </c>
      <c r="E45" s="222">
        <v>2013</v>
      </c>
      <c r="F45" s="222">
        <v>55</v>
      </c>
      <c r="G45" s="222" t="s">
        <v>1721</v>
      </c>
      <c r="H45" s="222">
        <v>2013</v>
      </c>
      <c r="I45" s="222">
        <v>6.7390526550483703</v>
      </c>
      <c r="J45" s="222">
        <v>5.4439461817320103</v>
      </c>
      <c r="K45" s="222">
        <v>2.2586902217103999</v>
      </c>
      <c r="L45" s="222" t="s">
        <v>848</v>
      </c>
      <c r="M45" s="222" t="s">
        <v>3083</v>
      </c>
      <c r="N45" s="222">
        <v>4.5319208060559599E-3</v>
      </c>
      <c r="O45" s="231">
        <v>5.8919880468766502E-5</v>
      </c>
      <c r="P45" s="222" t="s">
        <v>2056</v>
      </c>
      <c r="Q45" s="222" t="s">
        <v>2433</v>
      </c>
      <c r="R45" s="222" t="s">
        <v>3114</v>
      </c>
    </row>
    <row r="46" spans="1:18">
      <c r="A46" s="222" t="s">
        <v>3115</v>
      </c>
      <c r="B46" s="222" t="s">
        <v>3082</v>
      </c>
      <c r="C46" s="222" t="s">
        <v>3032</v>
      </c>
      <c r="D46" s="222">
        <v>55</v>
      </c>
      <c r="E46" s="222">
        <v>2013</v>
      </c>
      <c r="F46" s="222">
        <v>55</v>
      </c>
      <c r="G46" s="222" t="s">
        <v>1721</v>
      </c>
      <c r="H46" s="222">
        <v>2013</v>
      </c>
      <c r="I46" s="222">
        <v>7.29333536162736</v>
      </c>
      <c r="J46" s="222">
        <v>5.7854213529977301</v>
      </c>
      <c r="K46" s="222">
        <v>2.2460224795489498</v>
      </c>
      <c r="L46" s="222" t="s">
        <v>848</v>
      </c>
      <c r="M46" s="222" t="s">
        <v>3083</v>
      </c>
      <c r="N46" s="222">
        <v>4.5319208060559599E-3</v>
      </c>
      <c r="O46" s="231">
        <v>5.7359739853900703E-5</v>
      </c>
      <c r="P46" s="222" t="s">
        <v>2758</v>
      </c>
      <c r="Q46" s="222" t="s">
        <v>2758</v>
      </c>
      <c r="R46" s="222" t="s">
        <v>3116</v>
      </c>
    </row>
    <row r="47" spans="1:18">
      <c r="A47" s="222" t="s">
        <v>3117</v>
      </c>
      <c r="B47" s="222" t="s">
        <v>3087</v>
      </c>
      <c r="C47" s="222" t="s">
        <v>2843</v>
      </c>
      <c r="D47" s="222">
        <v>80</v>
      </c>
      <c r="E47" s="222">
        <v>2013</v>
      </c>
      <c r="F47" s="222">
        <v>80</v>
      </c>
      <c r="G47" s="222" t="s">
        <v>1721</v>
      </c>
      <c r="H47" s="222">
        <v>2013</v>
      </c>
      <c r="I47" s="222">
        <v>7.5159756162333</v>
      </c>
      <c r="J47" s="222">
        <v>4.1801501274878801</v>
      </c>
      <c r="K47" s="222">
        <v>2.6676726238484498</v>
      </c>
      <c r="L47" s="222" t="s">
        <v>848</v>
      </c>
      <c r="M47" s="222" t="s">
        <v>3088</v>
      </c>
      <c r="N47" s="222">
        <v>5.0658048694539404E-3</v>
      </c>
      <c r="O47" s="231">
        <v>6.7619197367572105E-5</v>
      </c>
      <c r="P47" s="222" t="s">
        <v>2394</v>
      </c>
      <c r="Q47" s="222" t="s">
        <v>3103</v>
      </c>
      <c r="R47" s="222" t="s">
        <v>3118</v>
      </c>
    </row>
    <row r="48" spans="1:18">
      <c r="A48" s="222" t="s">
        <v>2479</v>
      </c>
      <c r="B48" s="222" t="s">
        <v>3091</v>
      </c>
      <c r="C48" s="222" t="s">
        <v>3032</v>
      </c>
      <c r="D48" s="222">
        <v>55</v>
      </c>
      <c r="E48" s="222">
        <v>2013</v>
      </c>
      <c r="F48" s="222">
        <v>55</v>
      </c>
      <c r="G48" s="222" t="s">
        <v>1708</v>
      </c>
      <c r="H48" s="222">
        <v>2013</v>
      </c>
      <c r="I48" s="222">
        <v>6.9166004440991102</v>
      </c>
      <c r="J48" s="222">
        <v>4.8810698065191502</v>
      </c>
      <c r="K48" s="222">
        <v>2.0057901718964199</v>
      </c>
      <c r="L48" s="222" t="s">
        <v>848</v>
      </c>
      <c r="M48" s="222" t="s">
        <v>3092</v>
      </c>
      <c r="N48" s="222">
        <v>5.4468874361509002E-3</v>
      </c>
      <c r="O48" s="231">
        <v>1.2878593381719799E-4</v>
      </c>
      <c r="P48" s="222" t="s">
        <v>2056</v>
      </c>
      <c r="Q48" s="222" t="s">
        <v>2433</v>
      </c>
      <c r="R48" s="222" t="s">
        <v>2481</v>
      </c>
    </row>
    <row r="49" spans="1:19">
      <c r="A49" s="222" t="s">
        <v>2479</v>
      </c>
      <c r="B49" s="222" t="s">
        <v>3082</v>
      </c>
      <c r="C49" s="222" t="s">
        <v>3032</v>
      </c>
      <c r="D49" s="222">
        <v>55</v>
      </c>
      <c r="E49" s="222">
        <v>2013</v>
      </c>
      <c r="F49" s="222">
        <v>55</v>
      </c>
      <c r="G49" s="222" t="s">
        <v>1721</v>
      </c>
      <c r="H49" s="222">
        <v>2013</v>
      </c>
      <c r="I49" s="222">
        <v>7.0768705510753698</v>
      </c>
      <c r="J49" s="222">
        <v>5.3546992389210297</v>
      </c>
      <c r="K49" s="222">
        <v>1.9941864959145901</v>
      </c>
      <c r="L49" s="222" t="s">
        <v>848</v>
      </c>
      <c r="M49" s="222" t="s">
        <v>3083</v>
      </c>
      <c r="N49" s="222">
        <v>6.3672414200729504E-3</v>
      </c>
      <c r="O49" s="231">
        <v>8.9679456620745697E-5</v>
      </c>
      <c r="P49" s="222" t="s">
        <v>2056</v>
      </c>
      <c r="Q49" s="222" t="s">
        <v>2433</v>
      </c>
      <c r="R49" s="222" t="s">
        <v>2481</v>
      </c>
    </row>
    <row r="50" spans="1:19">
      <c r="A50" s="222" t="s">
        <v>3119</v>
      </c>
      <c r="B50" s="222" t="s">
        <v>3087</v>
      </c>
      <c r="C50" s="222" t="s">
        <v>2843</v>
      </c>
      <c r="D50" s="222">
        <v>80</v>
      </c>
      <c r="E50" s="222">
        <v>2013</v>
      </c>
      <c r="F50" s="222">
        <v>80</v>
      </c>
      <c r="G50" s="222" t="s">
        <v>1721</v>
      </c>
      <c r="H50" s="222">
        <v>2013</v>
      </c>
      <c r="I50" s="222">
        <v>6.4281183234724102</v>
      </c>
      <c r="J50" s="222">
        <v>3.9385295605322601</v>
      </c>
      <c r="K50" s="222">
        <v>2.3523189758593701</v>
      </c>
      <c r="L50" s="222" t="s">
        <v>848</v>
      </c>
      <c r="M50" s="222" t="s">
        <v>3088</v>
      </c>
      <c r="N50" s="222">
        <v>6.4544372218614003E-3</v>
      </c>
      <c r="O50" s="231">
        <v>9.3334464832256099E-5</v>
      </c>
      <c r="P50" s="222" t="s">
        <v>2394</v>
      </c>
      <c r="Q50" s="222" t="s">
        <v>2433</v>
      </c>
      <c r="R50" s="222" t="s">
        <v>3120</v>
      </c>
    </row>
    <row r="51" spans="1:19">
      <c r="A51" s="222" t="s">
        <v>3121</v>
      </c>
      <c r="B51" s="222" t="s">
        <v>3082</v>
      </c>
      <c r="C51" s="222" t="s">
        <v>3032</v>
      </c>
      <c r="D51" s="222">
        <v>55</v>
      </c>
      <c r="E51" s="222">
        <v>2013</v>
      </c>
      <c r="F51" s="222">
        <v>55</v>
      </c>
      <c r="G51" s="222" t="s">
        <v>1721</v>
      </c>
      <c r="H51" s="222">
        <v>2013</v>
      </c>
      <c r="I51" s="222">
        <v>7.0526792177022202</v>
      </c>
      <c r="J51" s="222">
        <v>5.1291510053484304</v>
      </c>
      <c r="K51" s="222">
        <v>2.08008779004401</v>
      </c>
      <c r="L51" s="222" t="s">
        <v>848</v>
      </c>
      <c r="M51" s="222" t="s">
        <v>3083</v>
      </c>
      <c r="N51" s="222">
        <v>6.72657693439924E-3</v>
      </c>
      <c r="O51" s="231">
        <v>1.1599351548449E-4</v>
      </c>
      <c r="P51" s="222" t="s">
        <v>2298</v>
      </c>
      <c r="Q51" s="222" t="s">
        <v>1543</v>
      </c>
      <c r="R51" s="222" t="s">
        <v>3122</v>
      </c>
    </row>
    <row r="52" spans="1:19">
      <c r="A52" s="222" t="s">
        <v>1557</v>
      </c>
      <c r="B52" s="222" t="s">
        <v>3082</v>
      </c>
      <c r="C52" s="222" t="s">
        <v>3032</v>
      </c>
      <c r="D52" s="222">
        <v>55</v>
      </c>
      <c r="E52" s="222">
        <v>2013</v>
      </c>
      <c r="F52" s="222">
        <v>55</v>
      </c>
      <c r="G52" s="222" t="s">
        <v>1721</v>
      </c>
      <c r="H52" s="222">
        <v>2013</v>
      </c>
      <c r="I52" s="222">
        <v>7.0295075792087598</v>
      </c>
      <c r="J52" s="222">
        <v>5.1131570277606402</v>
      </c>
      <c r="K52" s="222">
        <v>2.0307359819528998</v>
      </c>
      <c r="L52" s="222" t="s">
        <v>848</v>
      </c>
      <c r="M52" s="222" t="s">
        <v>3083</v>
      </c>
      <c r="N52" s="222">
        <v>6.72657693439924E-3</v>
      </c>
      <c r="O52" s="231">
        <v>1.16603717172684E-4</v>
      </c>
      <c r="P52" s="222" t="s">
        <v>2298</v>
      </c>
      <c r="Q52" s="222" t="s">
        <v>1543</v>
      </c>
      <c r="R52" s="222" t="s">
        <v>1555</v>
      </c>
    </row>
    <row r="53" spans="1:19">
      <c r="A53" s="222" t="s">
        <v>2294</v>
      </c>
      <c r="B53" s="222" t="s">
        <v>3082</v>
      </c>
      <c r="C53" s="222" t="s">
        <v>3032</v>
      </c>
      <c r="D53" s="222">
        <v>55</v>
      </c>
      <c r="E53" s="222">
        <v>2013</v>
      </c>
      <c r="F53" s="222">
        <v>55</v>
      </c>
      <c r="G53" s="222" t="s">
        <v>1721</v>
      </c>
      <c r="H53" s="222">
        <v>2013</v>
      </c>
      <c r="I53" s="222">
        <v>6.8922811828839796</v>
      </c>
      <c r="J53" s="222">
        <v>5.1061848225767097</v>
      </c>
      <c r="K53" s="222">
        <v>1.6526527138295</v>
      </c>
      <c r="L53" s="222" t="s">
        <v>848</v>
      </c>
      <c r="M53" s="222" t="s">
        <v>3083</v>
      </c>
      <c r="N53" s="222">
        <v>6.72657693439924E-3</v>
      </c>
      <c r="O53" s="231">
        <v>1.08404073590022E-4</v>
      </c>
      <c r="P53" s="222" t="s">
        <v>2298</v>
      </c>
      <c r="Q53" s="222" t="s">
        <v>1543</v>
      </c>
      <c r="R53" s="222" t="s">
        <v>3110</v>
      </c>
    </row>
    <row r="54" spans="1:19">
      <c r="A54" s="222" t="s">
        <v>1893</v>
      </c>
      <c r="B54" s="222" t="s">
        <v>3084</v>
      </c>
      <c r="C54" s="222" t="s">
        <v>2843</v>
      </c>
      <c r="D54" s="222">
        <v>80</v>
      </c>
      <c r="E54" s="222">
        <v>2013</v>
      </c>
      <c r="F54" s="222">
        <v>80</v>
      </c>
      <c r="G54" s="222" t="s">
        <v>1708</v>
      </c>
      <c r="H54" s="222">
        <v>2013</v>
      </c>
      <c r="I54" s="222">
        <v>8.7624766087014603</v>
      </c>
      <c r="J54" s="222">
        <v>5.8977719748621498</v>
      </c>
      <c r="K54" s="222">
        <v>2.7776008408613402</v>
      </c>
      <c r="L54" s="222" t="s">
        <v>848</v>
      </c>
      <c r="M54" s="222" t="s">
        <v>3085</v>
      </c>
      <c r="N54" s="222">
        <v>6.9888605844395301E-3</v>
      </c>
      <c r="O54" s="231">
        <v>2.3015394230072201E-5</v>
      </c>
      <c r="P54" s="222" t="s">
        <v>1889</v>
      </c>
      <c r="Q54" s="222" t="s">
        <v>1597</v>
      </c>
      <c r="R54" s="222" t="s">
        <v>3123</v>
      </c>
    </row>
    <row r="55" spans="1:19">
      <c r="A55" s="222" t="s">
        <v>2079</v>
      </c>
      <c r="B55" s="222" t="s">
        <v>3084</v>
      </c>
      <c r="C55" s="222" t="s">
        <v>2843</v>
      </c>
      <c r="D55" s="222">
        <v>80</v>
      </c>
      <c r="E55" s="222">
        <v>2013</v>
      </c>
      <c r="F55" s="222">
        <v>80</v>
      </c>
      <c r="G55" s="222" t="s">
        <v>1708</v>
      </c>
      <c r="H55" s="222">
        <v>2013</v>
      </c>
      <c r="I55" s="222">
        <v>7.7552987729838199</v>
      </c>
      <c r="J55" s="222">
        <v>5.59782240313538</v>
      </c>
      <c r="K55" s="222">
        <v>2.3562596228755099</v>
      </c>
      <c r="L55" s="222" t="s">
        <v>848</v>
      </c>
      <c r="M55" s="222" t="s">
        <v>3085</v>
      </c>
      <c r="N55" s="222">
        <v>6.9888605844395301E-3</v>
      </c>
      <c r="O55" s="231">
        <v>2.3721396806363899E-5</v>
      </c>
      <c r="P55" s="222" t="s">
        <v>1817</v>
      </c>
      <c r="Q55" s="222" t="s">
        <v>2062</v>
      </c>
      <c r="R55" s="222" t="s">
        <v>3124</v>
      </c>
    </row>
    <row r="56" spans="1:19">
      <c r="A56" s="222" t="s">
        <v>2897</v>
      </c>
      <c r="B56" s="222" t="s">
        <v>3084</v>
      </c>
      <c r="C56" s="222" t="s">
        <v>2843</v>
      </c>
      <c r="D56" s="222">
        <v>80</v>
      </c>
      <c r="E56" s="222">
        <v>2013</v>
      </c>
      <c r="F56" s="222">
        <v>80</v>
      </c>
      <c r="G56" s="222" t="s">
        <v>1708</v>
      </c>
      <c r="H56" s="222">
        <v>2013</v>
      </c>
      <c r="I56" s="222">
        <v>8.0595441492347106</v>
      </c>
      <c r="J56" s="222">
        <v>5.6172775375873201</v>
      </c>
      <c r="K56" s="222">
        <v>2.6603664697760099</v>
      </c>
      <c r="L56" s="222" t="s">
        <v>848</v>
      </c>
      <c r="M56" s="222" t="s">
        <v>3085</v>
      </c>
      <c r="N56" s="222">
        <v>6.9888605844395301E-3</v>
      </c>
      <c r="O56" s="231">
        <v>2.8969370298194898E-5</v>
      </c>
      <c r="P56" s="222" t="s">
        <v>1710</v>
      </c>
      <c r="Q56" s="222" t="s">
        <v>2536</v>
      </c>
      <c r="R56" s="222" t="s">
        <v>2898</v>
      </c>
      <c r="S56" s="222" t="s">
        <v>2899</v>
      </c>
    </row>
    <row r="57" spans="1:19">
      <c r="A57" s="222" t="s">
        <v>3125</v>
      </c>
      <c r="B57" s="222" t="s">
        <v>3087</v>
      </c>
      <c r="C57" s="222" t="s">
        <v>2843</v>
      </c>
      <c r="D57" s="222">
        <v>80</v>
      </c>
      <c r="E57" s="222">
        <v>2013</v>
      </c>
      <c r="F57" s="222">
        <v>80</v>
      </c>
      <c r="G57" s="222" t="s">
        <v>1721</v>
      </c>
      <c r="H57" s="222">
        <v>2013</v>
      </c>
      <c r="I57" s="222">
        <v>7.4570969358075399</v>
      </c>
      <c r="J57" s="222">
        <v>4.0106387204901504</v>
      </c>
      <c r="K57" s="222">
        <v>2.7600674176697102</v>
      </c>
      <c r="L57" s="222" t="s">
        <v>848</v>
      </c>
      <c r="M57" s="222" t="s">
        <v>3088</v>
      </c>
      <c r="N57" s="222">
        <v>7.2661432822185004E-3</v>
      </c>
      <c r="O57" s="231">
        <v>1.1315462285991001E-4</v>
      </c>
      <c r="P57" s="222" t="s">
        <v>2298</v>
      </c>
      <c r="Q57" s="222" t="s">
        <v>1543</v>
      </c>
      <c r="R57" s="222" t="s">
        <v>3126</v>
      </c>
    </row>
    <row r="58" spans="1:19">
      <c r="A58" s="222" t="s">
        <v>1529</v>
      </c>
      <c r="B58" s="222" t="s">
        <v>3127</v>
      </c>
      <c r="C58" s="222" t="s">
        <v>2836</v>
      </c>
      <c r="D58" s="222">
        <v>30</v>
      </c>
      <c r="E58" s="222">
        <v>2013</v>
      </c>
      <c r="F58" s="222">
        <v>30</v>
      </c>
      <c r="G58" s="222" t="s">
        <v>1708</v>
      </c>
      <c r="H58" s="222">
        <v>2013</v>
      </c>
      <c r="I58" s="222">
        <v>4.3934319189933699</v>
      </c>
      <c r="J58" s="222">
        <v>1.4019320197994199E-2</v>
      </c>
      <c r="K58" s="222">
        <v>2.0668120876831102</v>
      </c>
      <c r="L58" s="222" t="s">
        <v>848</v>
      </c>
      <c r="M58" s="222" t="s">
        <v>3128</v>
      </c>
      <c r="N58" s="222">
        <v>7.6638090955913601E-3</v>
      </c>
      <c r="O58" s="231">
        <v>2.7827919737078301E-6</v>
      </c>
      <c r="P58" s="222" t="s">
        <v>2313</v>
      </c>
      <c r="Q58" s="222" t="s">
        <v>1524</v>
      </c>
      <c r="R58" s="222" t="s">
        <v>1530</v>
      </c>
    </row>
    <row r="59" spans="1:19">
      <c r="A59" s="222" t="s">
        <v>2175</v>
      </c>
      <c r="B59" s="222" t="s">
        <v>3084</v>
      </c>
      <c r="C59" s="222" t="s">
        <v>2843</v>
      </c>
      <c r="D59" s="222">
        <v>80</v>
      </c>
      <c r="E59" s="222">
        <v>2013</v>
      </c>
      <c r="F59" s="222">
        <v>80</v>
      </c>
      <c r="G59" s="222" t="s">
        <v>1708</v>
      </c>
      <c r="H59" s="222">
        <v>2013</v>
      </c>
      <c r="I59" s="222">
        <v>5.9147322682969703</v>
      </c>
      <c r="J59" s="222">
        <v>4.6777890973949203</v>
      </c>
      <c r="K59" s="222">
        <v>2.3645509156675901</v>
      </c>
      <c r="L59" s="222" t="s">
        <v>848</v>
      </c>
      <c r="M59" s="222" t="s">
        <v>3085</v>
      </c>
      <c r="N59" s="222">
        <v>7.76860442496619E-3</v>
      </c>
      <c r="O59" s="231">
        <v>4.0251836398788497E-5</v>
      </c>
      <c r="P59" s="222" t="s">
        <v>2061</v>
      </c>
      <c r="Q59" s="222" t="s">
        <v>2161</v>
      </c>
      <c r="R59" s="222" t="s">
        <v>2176</v>
      </c>
    </row>
    <row r="60" spans="1:19">
      <c r="A60" s="222" t="s">
        <v>1573</v>
      </c>
      <c r="B60" s="222" t="s">
        <v>3082</v>
      </c>
      <c r="C60" s="222" t="s">
        <v>3032</v>
      </c>
      <c r="D60" s="222">
        <v>55</v>
      </c>
      <c r="E60" s="222">
        <v>2013</v>
      </c>
      <c r="F60" s="222">
        <v>55</v>
      </c>
      <c r="G60" s="222" t="s">
        <v>1721</v>
      </c>
      <c r="H60" s="222">
        <v>2013</v>
      </c>
      <c r="I60" s="222">
        <v>6.7896332983456604</v>
      </c>
      <c r="J60" s="222">
        <v>4.8080734324710503</v>
      </c>
      <c r="K60" s="222">
        <v>1.57038018989948</v>
      </c>
      <c r="L60" s="222" t="s">
        <v>848</v>
      </c>
      <c r="M60" s="222" t="s">
        <v>3083</v>
      </c>
      <c r="N60" s="222">
        <v>7.7873002947284496E-3</v>
      </c>
      <c r="O60" s="231">
        <v>1.4342806610009E-4</v>
      </c>
      <c r="P60" s="222" t="s">
        <v>2298</v>
      </c>
      <c r="Q60" s="222" t="s">
        <v>1543</v>
      </c>
      <c r="R60" s="222" t="s">
        <v>1551</v>
      </c>
    </row>
    <row r="61" spans="1:19">
      <c r="A61" s="222" t="s">
        <v>1557</v>
      </c>
      <c r="B61" s="222" t="s">
        <v>3091</v>
      </c>
      <c r="C61" s="222" t="s">
        <v>3032</v>
      </c>
      <c r="D61" s="222">
        <v>55</v>
      </c>
      <c r="E61" s="222">
        <v>2013</v>
      </c>
      <c r="F61" s="222">
        <v>55</v>
      </c>
      <c r="G61" s="222" t="s">
        <v>1708</v>
      </c>
      <c r="H61" s="222">
        <v>2013</v>
      </c>
      <c r="I61" s="222">
        <v>6.79549299726329</v>
      </c>
      <c r="J61" s="222">
        <v>4.41365490550257</v>
      </c>
      <c r="K61" s="222">
        <v>1.96859492081944</v>
      </c>
      <c r="L61" s="222" t="s">
        <v>848</v>
      </c>
      <c r="M61" s="222" t="s">
        <v>3092</v>
      </c>
      <c r="N61" s="222">
        <v>7.7926985596685101E-3</v>
      </c>
      <c r="O61" s="231">
        <v>1.95088420130783E-4</v>
      </c>
      <c r="P61" s="222" t="s">
        <v>2298</v>
      </c>
      <c r="Q61" s="222" t="s">
        <v>1543</v>
      </c>
      <c r="R61" s="222" t="s">
        <v>1555</v>
      </c>
    </row>
    <row r="62" spans="1:19">
      <c r="A62" s="222" t="s">
        <v>3129</v>
      </c>
      <c r="B62" s="222" t="s">
        <v>3084</v>
      </c>
      <c r="C62" s="222" t="s">
        <v>2843</v>
      </c>
      <c r="D62" s="222">
        <v>80</v>
      </c>
      <c r="E62" s="222">
        <v>2013</v>
      </c>
      <c r="F62" s="222">
        <v>80</v>
      </c>
      <c r="G62" s="222" t="s">
        <v>1708</v>
      </c>
      <c r="H62" s="222">
        <v>2013</v>
      </c>
      <c r="I62" s="222">
        <v>7.2516539092554302</v>
      </c>
      <c r="J62" s="222">
        <v>5.1457979365726301</v>
      </c>
      <c r="K62" s="222">
        <v>1.4213701070160201</v>
      </c>
      <c r="L62" s="222" t="s">
        <v>848</v>
      </c>
      <c r="M62" s="222" t="s">
        <v>3085</v>
      </c>
      <c r="N62" s="222">
        <v>8.1166526392406103E-3</v>
      </c>
      <c r="O62" s="231">
        <v>5.0466234026366497E-5</v>
      </c>
      <c r="P62" s="222" t="s">
        <v>1715</v>
      </c>
      <c r="Q62" s="222" t="s">
        <v>1715</v>
      </c>
      <c r="R62" s="222" t="s">
        <v>3130</v>
      </c>
    </row>
    <row r="63" spans="1:19">
      <c r="A63" s="222" t="s">
        <v>1558</v>
      </c>
      <c r="B63" s="222" t="s">
        <v>3082</v>
      </c>
      <c r="C63" s="222" t="s">
        <v>3032</v>
      </c>
      <c r="D63" s="222">
        <v>55</v>
      </c>
      <c r="E63" s="222">
        <v>2013</v>
      </c>
      <c r="F63" s="222">
        <v>55</v>
      </c>
      <c r="G63" s="222" t="s">
        <v>1721</v>
      </c>
      <c r="H63" s="222">
        <v>2013</v>
      </c>
      <c r="I63" s="222">
        <v>6.7932612537647197</v>
      </c>
      <c r="J63" s="222">
        <v>4.6532225851647802</v>
      </c>
      <c r="K63" s="222">
        <v>1.68530245202576</v>
      </c>
      <c r="L63" s="222" t="s">
        <v>848</v>
      </c>
      <c r="M63" s="222" t="s">
        <v>3083</v>
      </c>
      <c r="N63" s="222">
        <v>8.2169050777319598E-3</v>
      </c>
      <c r="O63" s="231">
        <v>1.68694803129107E-4</v>
      </c>
      <c r="P63" s="222" t="s">
        <v>2298</v>
      </c>
      <c r="Q63" s="222" t="s">
        <v>1543</v>
      </c>
      <c r="R63" s="222" t="s">
        <v>1555</v>
      </c>
    </row>
    <row r="64" spans="1:19">
      <c r="A64" s="222" t="s">
        <v>2535</v>
      </c>
      <c r="B64" s="222" t="s">
        <v>3082</v>
      </c>
      <c r="C64" s="222" t="s">
        <v>3032</v>
      </c>
      <c r="D64" s="222">
        <v>55</v>
      </c>
      <c r="E64" s="222">
        <v>2013</v>
      </c>
      <c r="F64" s="222">
        <v>55</v>
      </c>
      <c r="G64" s="222" t="s">
        <v>1721</v>
      </c>
      <c r="H64" s="222">
        <v>2013</v>
      </c>
      <c r="I64" s="222">
        <v>6.50491201131923</v>
      </c>
      <c r="J64" s="222">
        <v>4.5126699066390401</v>
      </c>
      <c r="K64" s="222">
        <v>2.3740748103484699</v>
      </c>
      <c r="L64" s="222" t="s">
        <v>848</v>
      </c>
      <c r="M64" s="222" t="s">
        <v>3083</v>
      </c>
      <c r="N64" s="222">
        <v>8.2169050777319598E-3</v>
      </c>
      <c r="O64" s="231">
        <v>1.6914539163261801E-4</v>
      </c>
      <c r="P64" s="222" t="s">
        <v>1710</v>
      </c>
      <c r="Q64" s="222" t="s">
        <v>2536</v>
      </c>
      <c r="R64" s="222" t="s">
        <v>3131</v>
      </c>
      <c r="S64" s="222" t="s">
        <v>3132</v>
      </c>
    </row>
    <row r="65" spans="1:19">
      <c r="A65" s="222" t="s">
        <v>1572</v>
      </c>
      <c r="B65" s="222" t="s">
        <v>3082</v>
      </c>
      <c r="C65" s="222" t="s">
        <v>3032</v>
      </c>
      <c r="D65" s="222">
        <v>55</v>
      </c>
      <c r="E65" s="222">
        <v>2013</v>
      </c>
      <c r="F65" s="222">
        <v>55</v>
      </c>
      <c r="G65" s="222" t="s">
        <v>1721</v>
      </c>
      <c r="H65" s="222">
        <v>2013</v>
      </c>
      <c r="I65" s="222">
        <v>6.6137803789153704</v>
      </c>
      <c r="J65" s="222">
        <v>4.4932733961563898</v>
      </c>
      <c r="K65" s="222">
        <v>1.2626156350832201</v>
      </c>
      <c r="L65" s="222" t="s">
        <v>848</v>
      </c>
      <c r="M65" s="222" t="s">
        <v>3083</v>
      </c>
      <c r="N65" s="222">
        <v>8.4032112267355893E-3</v>
      </c>
      <c r="O65" s="231">
        <v>1.8208475030846301E-4</v>
      </c>
      <c r="P65" s="222" t="s">
        <v>2298</v>
      </c>
      <c r="Q65" s="222" t="s">
        <v>1543</v>
      </c>
      <c r="R65" s="222" t="s">
        <v>3109</v>
      </c>
    </row>
    <row r="66" spans="1:19">
      <c r="A66" s="222" t="s">
        <v>3121</v>
      </c>
      <c r="B66" s="222" t="s">
        <v>3091</v>
      </c>
      <c r="C66" s="222" t="s">
        <v>3032</v>
      </c>
      <c r="D66" s="222">
        <v>55</v>
      </c>
      <c r="E66" s="222">
        <v>2013</v>
      </c>
      <c r="F66" s="222">
        <v>55</v>
      </c>
      <c r="G66" s="222" t="s">
        <v>1708</v>
      </c>
      <c r="H66" s="222">
        <v>2013</v>
      </c>
      <c r="I66" s="222">
        <v>6.7159219252259197</v>
      </c>
      <c r="J66" s="222">
        <v>4.1449772305184096</v>
      </c>
      <c r="K66" s="222">
        <v>1.91520366254353</v>
      </c>
      <c r="L66" s="222" t="s">
        <v>848</v>
      </c>
      <c r="M66" s="222" t="s">
        <v>3092</v>
      </c>
      <c r="N66" s="222">
        <v>9.1568353435661394E-3</v>
      </c>
      <c r="O66" s="231">
        <v>2.4197478654764499E-4</v>
      </c>
      <c r="P66" s="222" t="s">
        <v>2298</v>
      </c>
      <c r="Q66" s="222" t="s">
        <v>1543</v>
      </c>
      <c r="R66" s="222" t="s">
        <v>3122</v>
      </c>
    </row>
    <row r="67" spans="1:19">
      <c r="A67" s="222" t="s">
        <v>2324</v>
      </c>
      <c r="B67" s="222" t="s">
        <v>3093</v>
      </c>
      <c r="C67" s="222" t="s">
        <v>2836</v>
      </c>
      <c r="D67" s="222">
        <v>30</v>
      </c>
      <c r="E67" s="222">
        <v>2014</v>
      </c>
      <c r="F67" s="222">
        <v>30</v>
      </c>
      <c r="G67" s="222" t="s">
        <v>1708</v>
      </c>
      <c r="H67" s="222">
        <v>2014</v>
      </c>
      <c r="I67" s="222">
        <v>3.5114317842001399</v>
      </c>
      <c r="J67" s="222">
        <v>1.0638091044957201</v>
      </c>
      <c r="K67" s="222">
        <v>0.39782753196634602</v>
      </c>
      <c r="L67" s="222" t="s">
        <v>848</v>
      </c>
      <c r="M67" s="222" t="s">
        <v>3094</v>
      </c>
      <c r="N67" s="222">
        <v>1.0000090214965699E-2</v>
      </c>
      <c r="O67" s="231">
        <v>6.7114699429300401E-5</v>
      </c>
      <c r="P67" s="222" t="s">
        <v>2313</v>
      </c>
      <c r="Q67" s="222" t="s">
        <v>1524</v>
      </c>
      <c r="R67" s="222" t="s">
        <v>2325</v>
      </c>
    </row>
    <row r="68" spans="1:19">
      <c r="A68" s="222" t="s">
        <v>3115</v>
      </c>
      <c r="B68" s="222" t="s">
        <v>3091</v>
      </c>
      <c r="C68" s="222" t="s">
        <v>3032</v>
      </c>
      <c r="D68" s="222">
        <v>55</v>
      </c>
      <c r="E68" s="222">
        <v>2013</v>
      </c>
      <c r="F68" s="222">
        <v>55</v>
      </c>
      <c r="G68" s="222" t="s">
        <v>1708</v>
      </c>
      <c r="H68" s="222">
        <v>2013</v>
      </c>
      <c r="I68" s="222">
        <v>6.57866043717656</v>
      </c>
      <c r="J68" s="222">
        <v>3.9066928798399201</v>
      </c>
      <c r="K68" s="222">
        <v>1.7032194812560499</v>
      </c>
      <c r="L68" s="222" t="s">
        <v>848</v>
      </c>
      <c r="M68" s="222" t="s">
        <v>3092</v>
      </c>
      <c r="N68" s="222">
        <v>1.0242058272819699E-2</v>
      </c>
      <c r="O68" s="231">
        <v>2.8489730939693401E-4</v>
      </c>
      <c r="P68" s="222" t="s">
        <v>2758</v>
      </c>
      <c r="Q68" s="222" t="s">
        <v>2758</v>
      </c>
      <c r="R68" s="222" t="s">
        <v>3116</v>
      </c>
    </row>
    <row r="69" spans="1:19">
      <c r="A69" s="222" t="s">
        <v>3133</v>
      </c>
      <c r="B69" s="222" t="s">
        <v>3084</v>
      </c>
      <c r="C69" s="222" t="s">
        <v>2843</v>
      </c>
      <c r="D69" s="222">
        <v>80</v>
      </c>
      <c r="E69" s="222">
        <v>2013</v>
      </c>
      <c r="F69" s="222">
        <v>80</v>
      </c>
      <c r="G69" s="222" t="s">
        <v>1708</v>
      </c>
      <c r="H69" s="222">
        <v>2013</v>
      </c>
      <c r="I69" s="222">
        <v>7.9265423302993296</v>
      </c>
      <c r="J69" s="222">
        <v>5.0730197431555997</v>
      </c>
      <c r="K69" s="222">
        <v>2.2213523615487398</v>
      </c>
      <c r="L69" s="222" t="s">
        <v>848</v>
      </c>
      <c r="M69" s="222" t="s">
        <v>3085</v>
      </c>
      <c r="N69" s="222">
        <v>1.0912391181475601E-2</v>
      </c>
      <c r="O69" s="231">
        <v>7.9157241730911697E-5</v>
      </c>
      <c r="P69" s="222" t="s">
        <v>2061</v>
      </c>
      <c r="Q69" s="222" t="s">
        <v>2594</v>
      </c>
      <c r="R69" s="222" t="s">
        <v>3134</v>
      </c>
    </row>
    <row r="70" spans="1:19">
      <c r="A70" s="222" t="s">
        <v>2047</v>
      </c>
      <c r="B70" s="222" t="s">
        <v>3087</v>
      </c>
      <c r="C70" s="222" t="s">
        <v>2843</v>
      </c>
      <c r="D70" s="222">
        <v>80</v>
      </c>
      <c r="E70" s="222">
        <v>2013</v>
      </c>
      <c r="F70" s="222">
        <v>80</v>
      </c>
      <c r="G70" s="222" t="s">
        <v>1721</v>
      </c>
      <c r="H70" s="222">
        <v>2013</v>
      </c>
      <c r="I70" s="222">
        <v>6.9632366417996296</v>
      </c>
      <c r="J70" s="222">
        <v>3.769515645801</v>
      </c>
      <c r="K70" s="222">
        <v>2.6156721355936599</v>
      </c>
      <c r="L70" s="222" t="s">
        <v>848</v>
      </c>
      <c r="M70" s="222" t="s">
        <v>3088</v>
      </c>
      <c r="N70" s="222">
        <v>1.1124908473824699E-2</v>
      </c>
      <c r="O70" s="231">
        <v>2.1055609954700999E-4</v>
      </c>
      <c r="P70" s="222" t="s">
        <v>1710</v>
      </c>
      <c r="Q70" s="222" t="s">
        <v>2048</v>
      </c>
      <c r="R70" s="222" t="s">
        <v>2049</v>
      </c>
      <c r="S70" s="222" t="s">
        <v>2050</v>
      </c>
    </row>
    <row r="71" spans="1:19">
      <c r="A71" s="222" t="s">
        <v>3135</v>
      </c>
      <c r="B71" s="222" t="s">
        <v>3087</v>
      </c>
      <c r="C71" s="222" t="s">
        <v>2843</v>
      </c>
      <c r="D71" s="222">
        <v>80</v>
      </c>
      <c r="E71" s="222">
        <v>2013</v>
      </c>
      <c r="F71" s="222">
        <v>80</v>
      </c>
      <c r="G71" s="222" t="s">
        <v>1721</v>
      </c>
      <c r="H71" s="222">
        <v>2013</v>
      </c>
      <c r="I71" s="222">
        <v>7.8313569788219901</v>
      </c>
      <c r="J71" s="222">
        <v>3.80142003382407</v>
      </c>
      <c r="K71" s="222">
        <v>2.75790448826019</v>
      </c>
      <c r="L71" s="222" t="s">
        <v>848</v>
      </c>
      <c r="M71" s="222" t="s">
        <v>3088</v>
      </c>
      <c r="N71" s="222">
        <v>1.1124908473824699E-2</v>
      </c>
      <c r="O71" s="222">
        <v>2.0855285566837199E-4</v>
      </c>
      <c r="P71" s="222" t="s">
        <v>1710</v>
      </c>
      <c r="Q71" s="222" t="s">
        <v>2062</v>
      </c>
      <c r="R71" s="222" t="s">
        <v>3136</v>
      </c>
    </row>
    <row r="72" spans="1:19">
      <c r="A72" s="222" t="s">
        <v>3008</v>
      </c>
      <c r="B72" s="222" t="s">
        <v>3087</v>
      </c>
      <c r="C72" s="222" t="s">
        <v>2843</v>
      </c>
      <c r="D72" s="222">
        <v>80</v>
      </c>
      <c r="E72" s="222">
        <v>2013</v>
      </c>
      <c r="F72" s="222">
        <v>80</v>
      </c>
      <c r="G72" s="222" t="s">
        <v>1721</v>
      </c>
      <c r="H72" s="222">
        <v>2013</v>
      </c>
      <c r="I72" s="222">
        <v>7.2827124181779803</v>
      </c>
      <c r="J72" s="222">
        <v>3.8011930983026998</v>
      </c>
      <c r="K72" s="222">
        <v>2.6476737886735902</v>
      </c>
      <c r="L72" s="222" t="s">
        <v>848</v>
      </c>
      <c r="M72" s="222" t="s">
        <v>3088</v>
      </c>
      <c r="N72" s="222">
        <v>1.1124908473824699E-2</v>
      </c>
      <c r="O72" s="231">
        <v>2.0295143376610199E-4</v>
      </c>
      <c r="P72" s="222" t="s">
        <v>1710</v>
      </c>
      <c r="Q72" s="222" t="s">
        <v>2594</v>
      </c>
      <c r="R72" s="222" t="s">
        <v>3009</v>
      </c>
    </row>
    <row r="73" spans="1:19">
      <c r="A73" s="222" t="s">
        <v>2693</v>
      </c>
      <c r="B73" s="222" t="s">
        <v>3087</v>
      </c>
      <c r="C73" s="222" t="s">
        <v>2843</v>
      </c>
      <c r="D73" s="222">
        <v>80</v>
      </c>
      <c r="E73" s="222">
        <v>2013</v>
      </c>
      <c r="F73" s="222">
        <v>80</v>
      </c>
      <c r="G73" s="222" t="s">
        <v>1721</v>
      </c>
      <c r="H73" s="222">
        <v>2013</v>
      </c>
      <c r="I73" s="222">
        <v>5.5907928128248301</v>
      </c>
      <c r="J73" s="222">
        <v>3.5458764323065899</v>
      </c>
      <c r="K73" s="222">
        <v>2.7054646645446798</v>
      </c>
      <c r="L73" s="222" t="s">
        <v>848</v>
      </c>
      <c r="M73" s="222" t="s">
        <v>3088</v>
      </c>
      <c r="N73" s="222">
        <v>1.1124908473824699E-2</v>
      </c>
      <c r="O73" s="231">
        <v>2.22745664659449E-4</v>
      </c>
      <c r="P73" s="222" t="s">
        <v>2061</v>
      </c>
      <c r="Q73" s="222" t="s">
        <v>2310</v>
      </c>
      <c r="R73" s="222" t="s">
        <v>3137</v>
      </c>
    </row>
    <row r="74" spans="1:19">
      <c r="A74" s="222" t="s">
        <v>3111</v>
      </c>
      <c r="B74" s="222" t="s">
        <v>3091</v>
      </c>
      <c r="C74" s="222" t="s">
        <v>3032</v>
      </c>
      <c r="D74" s="222">
        <v>55</v>
      </c>
      <c r="E74" s="222">
        <v>2013</v>
      </c>
      <c r="F74" s="222">
        <v>55</v>
      </c>
      <c r="G74" s="222" t="s">
        <v>1708</v>
      </c>
      <c r="H74" s="222">
        <v>2013</v>
      </c>
      <c r="I74" s="222">
        <v>6.0367676974571802</v>
      </c>
      <c r="J74" s="222">
        <v>3.4913200771948301</v>
      </c>
      <c r="K74" s="222">
        <v>1.60729595151861</v>
      </c>
      <c r="L74" s="222" t="s">
        <v>848</v>
      </c>
      <c r="M74" s="222" t="s">
        <v>3092</v>
      </c>
      <c r="N74" s="222">
        <v>1.17016096889075E-2</v>
      </c>
      <c r="O74" s="231">
        <v>3.4181717378115799E-4</v>
      </c>
      <c r="P74" s="222" t="s">
        <v>2298</v>
      </c>
      <c r="Q74" s="222" t="s">
        <v>1543</v>
      </c>
      <c r="R74" s="222" t="s">
        <v>3112</v>
      </c>
    </row>
    <row r="75" spans="1:19">
      <c r="A75" s="222" t="s">
        <v>2616</v>
      </c>
      <c r="B75" s="222" t="s">
        <v>3091</v>
      </c>
      <c r="C75" s="222" t="s">
        <v>3032</v>
      </c>
      <c r="D75" s="222">
        <v>55</v>
      </c>
      <c r="E75" s="222">
        <v>2013</v>
      </c>
      <c r="F75" s="222">
        <v>55</v>
      </c>
      <c r="G75" s="222" t="s">
        <v>1708</v>
      </c>
      <c r="H75" s="222">
        <v>2013</v>
      </c>
      <c r="I75" s="222">
        <v>5.9891299548151498</v>
      </c>
      <c r="J75" s="222">
        <v>3.42055812232045</v>
      </c>
      <c r="K75" s="222">
        <v>1.6806397016463499</v>
      </c>
      <c r="L75" s="222" t="s">
        <v>848</v>
      </c>
      <c r="M75" s="222" t="s">
        <v>3092</v>
      </c>
      <c r="N75" s="222">
        <v>1.17016096889075E-2</v>
      </c>
      <c r="O75" s="231">
        <v>3.580464717051E-4</v>
      </c>
      <c r="P75" s="222" t="s">
        <v>2056</v>
      </c>
      <c r="Q75" s="222" t="s">
        <v>2433</v>
      </c>
      <c r="R75" s="222" t="s">
        <v>3114</v>
      </c>
    </row>
    <row r="76" spans="1:19">
      <c r="A76" s="222" t="s">
        <v>1986</v>
      </c>
      <c r="B76" s="222" t="s">
        <v>3093</v>
      </c>
      <c r="C76" s="222" t="s">
        <v>2836</v>
      </c>
      <c r="D76" s="222">
        <v>30</v>
      </c>
      <c r="E76" s="222">
        <v>2014</v>
      </c>
      <c r="F76" s="222">
        <v>30</v>
      </c>
      <c r="G76" s="222" t="s">
        <v>1708</v>
      </c>
      <c r="H76" s="222">
        <v>2014</v>
      </c>
      <c r="I76" s="222">
        <v>1.8636460170901801</v>
      </c>
      <c r="J76" s="222">
        <v>1.1333507229891</v>
      </c>
      <c r="K76" s="222">
        <v>0.66599678224779602</v>
      </c>
      <c r="L76" s="222" t="s">
        <v>848</v>
      </c>
      <c r="M76" s="222" t="s">
        <v>3094</v>
      </c>
      <c r="N76" s="222">
        <v>1.29919302411757E-2</v>
      </c>
      <c r="O76" s="231">
        <v>1.30791244038681E-4</v>
      </c>
      <c r="P76" s="222" t="s">
        <v>1987</v>
      </c>
      <c r="Q76" s="222" t="s">
        <v>1987</v>
      </c>
      <c r="R76" s="222" t="s">
        <v>1988</v>
      </c>
    </row>
    <row r="77" spans="1:19">
      <c r="A77" s="222" t="s">
        <v>1559</v>
      </c>
      <c r="B77" s="222" t="s">
        <v>3091</v>
      </c>
      <c r="C77" s="222" t="s">
        <v>3032</v>
      </c>
      <c r="D77" s="222">
        <v>55</v>
      </c>
      <c r="E77" s="222">
        <v>2013</v>
      </c>
      <c r="F77" s="222">
        <v>55</v>
      </c>
      <c r="G77" s="222" t="s">
        <v>1708</v>
      </c>
      <c r="H77" s="222">
        <v>2013</v>
      </c>
      <c r="I77" s="222">
        <v>6.6281410802643697</v>
      </c>
      <c r="J77" s="222">
        <v>3.3836992310855099</v>
      </c>
      <c r="K77" s="222">
        <v>2.0548597523302701</v>
      </c>
      <c r="L77" s="222" t="s">
        <v>848</v>
      </c>
      <c r="M77" s="222" t="s">
        <v>3092</v>
      </c>
      <c r="N77" s="222">
        <v>1.3881374072618399E-2</v>
      </c>
      <c r="O77" s="231">
        <v>4.4404951831741797E-4</v>
      </c>
      <c r="P77" s="222" t="s">
        <v>2298</v>
      </c>
      <c r="Q77" s="222" t="s">
        <v>1543</v>
      </c>
      <c r="R77" s="222" t="s">
        <v>1560</v>
      </c>
    </row>
    <row r="78" spans="1:19">
      <c r="A78" s="222" t="s">
        <v>2084</v>
      </c>
      <c r="B78" s="222" t="s">
        <v>3087</v>
      </c>
      <c r="C78" s="222" t="s">
        <v>2843</v>
      </c>
      <c r="D78" s="222">
        <v>80</v>
      </c>
      <c r="E78" s="222">
        <v>2013</v>
      </c>
      <c r="F78" s="222">
        <v>80</v>
      </c>
      <c r="G78" s="222" t="s">
        <v>1721</v>
      </c>
      <c r="H78" s="222">
        <v>2013</v>
      </c>
      <c r="I78" s="222">
        <v>6.8591383065685196</v>
      </c>
      <c r="J78" s="222">
        <v>3.6448270745675799</v>
      </c>
      <c r="K78" s="222">
        <v>2.6562249796649802</v>
      </c>
      <c r="L78" s="222" t="s">
        <v>848</v>
      </c>
      <c r="M78" s="222" t="s">
        <v>3088</v>
      </c>
      <c r="N78" s="222">
        <v>1.4079796787242801E-2</v>
      </c>
      <c r="O78" s="231">
        <v>2.9757078860691202E-4</v>
      </c>
      <c r="P78" s="222" t="s">
        <v>1710</v>
      </c>
      <c r="Q78" s="222" t="s">
        <v>2048</v>
      </c>
      <c r="R78" s="222" t="s">
        <v>2085</v>
      </c>
      <c r="S78" s="222" t="s">
        <v>3138</v>
      </c>
    </row>
    <row r="79" spans="1:19">
      <c r="A79" s="222" t="s">
        <v>2333</v>
      </c>
      <c r="B79" s="222" t="s">
        <v>3139</v>
      </c>
      <c r="C79" s="222" t="s">
        <v>2843</v>
      </c>
      <c r="D79" s="222">
        <v>80</v>
      </c>
      <c r="E79" s="222">
        <v>2014</v>
      </c>
      <c r="F79" s="222">
        <v>80</v>
      </c>
      <c r="G79" s="222" t="s">
        <v>440</v>
      </c>
      <c r="H79" s="222">
        <v>2014</v>
      </c>
      <c r="I79" s="222">
        <v>-9.3854387430305408</v>
      </c>
      <c r="J79" s="222">
        <v>-1.8194382707670799E-2</v>
      </c>
      <c r="K79" s="222">
        <v>0</v>
      </c>
      <c r="L79" s="222">
        <v>1</v>
      </c>
      <c r="M79" s="222" t="s">
        <v>3140</v>
      </c>
      <c r="N79" s="222">
        <v>1.45870834255685E-2</v>
      </c>
      <c r="O79" s="231">
        <v>5.1362969808339701E-5</v>
      </c>
      <c r="P79" s="222" t="s">
        <v>1710</v>
      </c>
      <c r="Q79" s="222" t="s">
        <v>2334</v>
      </c>
      <c r="R79" s="222" t="s">
        <v>2335</v>
      </c>
    </row>
    <row r="80" spans="1:19">
      <c r="A80" s="222" t="s">
        <v>2479</v>
      </c>
      <c r="B80" s="222" t="s">
        <v>3139</v>
      </c>
      <c r="C80" s="222" t="s">
        <v>2843</v>
      </c>
      <c r="D80" s="222">
        <v>80</v>
      </c>
      <c r="E80" s="222">
        <v>2014</v>
      </c>
      <c r="F80" s="222">
        <v>80</v>
      </c>
      <c r="G80" s="222" t="s">
        <v>440</v>
      </c>
      <c r="H80" s="222">
        <v>2014</v>
      </c>
      <c r="I80" s="222">
        <v>-9.51861383332073</v>
      </c>
      <c r="J80" s="222">
        <v>-1.9338295050477999E-2</v>
      </c>
      <c r="K80" s="222">
        <v>0</v>
      </c>
      <c r="L80" s="222">
        <v>1</v>
      </c>
      <c r="M80" s="222" t="s">
        <v>3140</v>
      </c>
      <c r="N80" s="222">
        <v>1.45870834255685E-2</v>
      </c>
      <c r="O80" s="231">
        <v>2.61774322849405E-5</v>
      </c>
      <c r="P80" s="222" t="s">
        <v>2056</v>
      </c>
      <c r="Q80" s="222" t="s">
        <v>2433</v>
      </c>
      <c r="R80" s="222" t="s">
        <v>2481</v>
      </c>
    </row>
    <row r="81" spans="1:19">
      <c r="A81" s="222" t="s">
        <v>1602</v>
      </c>
      <c r="B81" s="222" t="s">
        <v>3087</v>
      </c>
      <c r="C81" s="222" t="s">
        <v>2843</v>
      </c>
      <c r="D81" s="222">
        <v>80</v>
      </c>
      <c r="E81" s="222">
        <v>2013</v>
      </c>
      <c r="F81" s="222">
        <v>80</v>
      </c>
      <c r="G81" s="222" t="s">
        <v>1721</v>
      </c>
      <c r="H81" s="222">
        <v>2013</v>
      </c>
      <c r="I81" s="222">
        <v>5.7626026251330602</v>
      </c>
      <c r="J81" s="222">
        <v>3.4558289014851602</v>
      </c>
      <c r="K81" s="222">
        <v>2.21565270167424</v>
      </c>
      <c r="L81" s="222" t="s">
        <v>848</v>
      </c>
      <c r="M81" s="222" t="s">
        <v>3088</v>
      </c>
      <c r="N81" s="222">
        <v>1.6250130035798001E-2</v>
      </c>
      <c r="O81" s="231">
        <v>3.6151568488983302E-4</v>
      </c>
      <c r="P81" s="222" t="s">
        <v>1889</v>
      </c>
      <c r="Q81" s="222" t="s">
        <v>1597</v>
      </c>
      <c r="R81" s="222" t="s">
        <v>1603</v>
      </c>
    </row>
    <row r="82" spans="1:19">
      <c r="A82" s="222" t="s">
        <v>1559</v>
      </c>
      <c r="B82" s="222" t="s">
        <v>3082</v>
      </c>
      <c r="C82" s="222" t="s">
        <v>3032</v>
      </c>
      <c r="D82" s="222">
        <v>55</v>
      </c>
      <c r="E82" s="222">
        <v>2013</v>
      </c>
      <c r="F82" s="222">
        <v>55</v>
      </c>
      <c r="G82" s="222" t="s">
        <v>1721</v>
      </c>
      <c r="H82" s="222">
        <v>2013</v>
      </c>
      <c r="I82" s="222">
        <v>6.6881268333925199</v>
      </c>
      <c r="J82" s="222">
        <v>3.6412796270729801</v>
      </c>
      <c r="K82" s="222">
        <v>1.94297141368868</v>
      </c>
      <c r="L82" s="222" t="s">
        <v>848</v>
      </c>
      <c r="M82" s="222" t="s">
        <v>3083</v>
      </c>
      <c r="N82" s="222">
        <v>1.7362975369045502E-2</v>
      </c>
      <c r="O82" s="231">
        <v>3.9504060969659501E-4</v>
      </c>
      <c r="P82" s="222" t="s">
        <v>2298</v>
      </c>
      <c r="Q82" s="222" t="s">
        <v>1543</v>
      </c>
      <c r="R82" s="222" t="s">
        <v>1560</v>
      </c>
    </row>
    <row r="83" spans="1:19">
      <c r="A83" s="222" t="s">
        <v>2812</v>
      </c>
      <c r="B83" s="222" t="s">
        <v>3093</v>
      </c>
      <c r="C83" s="222" t="s">
        <v>2836</v>
      </c>
      <c r="D83" s="222">
        <v>30</v>
      </c>
      <c r="E83" s="222">
        <v>2014</v>
      </c>
      <c r="F83" s="222">
        <v>30</v>
      </c>
      <c r="G83" s="222" t="s">
        <v>1708</v>
      </c>
      <c r="H83" s="222">
        <v>2014</v>
      </c>
      <c r="I83" s="222">
        <v>2.79315250842212</v>
      </c>
      <c r="J83" s="222">
        <v>0.98289878042754597</v>
      </c>
      <c r="K83" s="222">
        <v>1.2966064149076599</v>
      </c>
      <c r="L83" s="222" t="s">
        <v>848</v>
      </c>
      <c r="M83" s="222" t="s">
        <v>3094</v>
      </c>
      <c r="N83" s="222">
        <v>1.8142651596007399E-2</v>
      </c>
      <c r="O83" s="231">
        <v>2.43525524778622E-4</v>
      </c>
      <c r="P83" s="222" t="s">
        <v>1710</v>
      </c>
      <c r="Q83" s="222" t="s">
        <v>2200</v>
      </c>
      <c r="R83" s="222" t="s">
        <v>2813</v>
      </c>
    </row>
    <row r="84" spans="1:19">
      <c r="A84" s="222" t="s">
        <v>2441</v>
      </c>
      <c r="B84" s="222" t="s">
        <v>3087</v>
      </c>
      <c r="C84" s="222" t="s">
        <v>2843</v>
      </c>
      <c r="D84" s="222">
        <v>80</v>
      </c>
      <c r="E84" s="222">
        <v>2013</v>
      </c>
      <c r="F84" s="222">
        <v>80</v>
      </c>
      <c r="G84" s="222" t="s">
        <v>1721</v>
      </c>
      <c r="H84" s="222">
        <v>2013</v>
      </c>
      <c r="I84" s="222">
        <v>6.91840071000974</v>
      </c>
      <c r="J84" s="222">
        <v>3.4963580724861898</v>
      </c>
      <c r="K84" s="222">
        <v>2.7048130031911199</v>
      </c>
      <c r="L84" s="222" t="s">
        <v>848</v>
      </c>
      <c r="M84" s="222" t="s">
        <v>3088</v>
      </c>
      <c r="N84" s="222">
        <v>1.9378760499893202E-2</v>
      </c>
      <c r="O84" s="231">
        <v>4.5267404949694899E-4</v>
      </c>
      <c r="P84" s="222" t="s">
        <v>2394</v>
      </c>
      <c r="Q84" s="222" t="s">
        <v>2433</v>
      </c>
      <c r="R84" s="222" t="s">
        <v>2442</v>
      </c>
    </row>
    <row r="85" spans="1:19">
      <c r="A85" s="222" t="s">
        <v>2654</v>
      </c>
      <c r="B85" s="222" t="s">
        <v>3087</v>
      </c>
      <c r="C85" s="222" t="s">
        <v>2843</v>
      </c>
      <c r="D85" s="222">
        <v>80</v>
      </c>
      <c r="E85" s="222">
        <v>2013</v>
      </c>
      <c r="F85" s="222">
        <v>80</v>
      </c>
      <c r="G85" s="222" t="s">
        <v>1721</v>
      </c>
      <c r="H85" s="222">
        <v>2013</v>
      </c>
      <c r="I85" s="222">
        <v>-7.4605440989969001</v>
      </c>
      <c r="J85" s="222">
        <v>-3.4368555901857198</v>
      </c>
      <c r="K85" s="222">
        <v>0</v>
      </c>
      <c r="L85" s="222">
        <v>1</v>
      </c>
      <c r="M85" s="222" t="s">
        <v>3088</v>
      </c>
      <c r="N85" s="222">
        <v>1.96637383370479E-2</v>
      </c>
      <c r="O85" s="231">
        <v>5.2494963302463795E-4</v>
      </c>
      <c r="P85" s="222" t="s">
        <v>1710</v>
      </c>
      <c r="Q85" s="222" t="s">
        <v>2062</v>
      </c>
      <c r="R85" s="222" t="s">
        <v>2655</v>
      </c>
    </row>
    <row r="86" spans="1:19">
      <c r="A86" s="222" t="s">
        <v>3141</v>
      </c>
      <c r="B86" s="222" t="s">
        <v>3087</v>
      </c>
      <c r="C86" s="222" t="s">
        <v>2843</v>
      </c>
      <c r="D86" s="222">
        <v>80</v>
      </c>
      <c r="E86" s="222">
        <v>2013</v>
      </c>
      <c r="F86" s="222">
        <v>80</v>
      </c>
      <c r="G86" s="222" t="s">
        <v>1721</v>
      </c>
      <c r="H86" s="222">
        <v>2013</v>
      </c>
      <c r="I86" s="222">
        <v>6.34652051482687</v>
      </c>
      <c r="J86" s="222">
        <v>3.4324761676535802</v>
      </c>
      <c r="K86" s="222">
        <v>2.6524559294404502</v>
      </c>
      <c r="L86" s="222" t="s">
        <v>848</v>
      </c>
      <c r="M86" s="222" t="s">
        <v>3088</v>
      </c>
      <c r="N86" s="222">
        <v>1.96637383370479E-2</v>
      </c>
      <c r="O86" s="231">
        <v>4.9642630704264099E-4</v>
      </c>
      <c r="P86" s="222" t="s">
        <v>2056</v>
      </c>
      <c r="Q86" s="222" t="s">
        <v>2433</v>
      </c>
      <c r="R86" s="222" t="s">
        <v>3142</v>
      </c>
    </row>
    <row r="87" spans="1:19">
      <c r="A87" s="222" t="s">
        <v>3143</v>
      </c>
      <c r="B87" s="222" t="s">
        <v>3087</v>
      </c>
      <c r="C87" s="222" t="s">
        <v>2843</v>
      </c>
      <c r="D87" s="222">
        <v>80</v>
      </c>
      <c r="E87" s="222">
        <v>2013</v>
      </c>
      <c r="F87" s="222">
        <v>80</v>
      </c>
      <c r="G87" s="222" t="s">
        <v>1721</v>
      </c>
      <c r="H87" s="222">
        <v>2013</v>
      </c>
      <c r="I87" s="222">
        <v>6.6377514577106096</v>
      </c>
      <c r="J87" s="222">
        <v>3.4450319997407899</v>
      </c>
      <c r="K87" s="222">
        <v>2.69716721950928</v>
      </c>
      <c r="L87" s="222" t="s">
        <v>848</v>
      </c>
      <c r="M87" s="222" t="s">
        <v>3088</v>
      </c>
      <c r="N87" s="222">
        <v>1.96637383370479E-2</v>
      </c>
      <c r="O87" s="231">
        <v>5.0546005153034195E-4</v>
      </c>
      <c r="P87" s="222" t="s">
        <v>2056</v>
      </c>
      <c r="Q87" s="222" t="s">
        <v>2611</v>
      </c>
      <c r="R87" s="222" t="s">
        <v>3144</v>
      </c>
    </row>
    <row r="88" spans="1:19">
      <c r="A88" s="222" t="s">
        <v>3145</v>
      </c>
      <c r="B88" s="222" t="s">
        <v>3084</v>
      </c>
      <c r="C88" s="222" t="s">
        <v>2843</v>
      </c>
      <c r="D88" s="222">
        <v>80</v>
      </c>
      <c r="E88" s="222">
        <v>2013</v>
      </c>
      <c r="F88" s="222">
        <v>80</v>
      </c>
      <c r="G88" s="222" t="s">
        <v>1708</v>
      </c>
      <c r="H88" s="222">
        <v>2013</v>
      </c>
      <c r="I88" s="222">
        <v>6.7654420963091502</v>
      </c>
      <c r="J88" s="222">
        <v>4.30446243707053</v>
      </c>
      <c r="K88" s="222">
        <v>2.4837462744156502</v>
      </c>
      <c r="L88" s="222" t="s">
        <v>848</v>
      </c>
      <c r="M88" s="222" t="s">
        <v>3085</v>
      </c>
      <c r="N88" s="222">
        <v>2.0746185150288199E-2</v>
      </c>
      <c r="O88" s="231">
        <v>1.90661380715261E-4</v>
      </c>
      <c r="P88" s="222" t="s">
        <v>1817</v>
      </c>
      <c r="Q88" s="222" t="s">
        <v>2062</v>
      </c>
      <c r="R88" s="222" t="s">
        <v>3146</v>
      </c>
    </row>
    <row r="89" spans="1:19">
      <c r="A89" s="222" t="s">
        <v>2142</v>
      </c>
      <c r="B89" s="222" t="s">
        <v>3084</v>
      </c>
      <c r="C89" s="222" t="s">
        <v>2843</v>
      </c>
      <c r="D89" s="222">
        <v>80</v>
      </c>
      <c r="E89" s="222">
        <v>2013</v>
      </c>
      <c r="F89" s="222">
        <v>80</v>
      </c>
      <c r="G89" s="222" t="s">
        <v>1708</v>
      </c>
      <c r="H89" s="222">
        <v>2013</v>
      </c>
      <c r="I89" s="222">
        <v>5.6380565738425696</v>
      </c>
      <c r="J89" s="222">
        <v>3.9969296011807698</v>
      </c>
      <c r="K89" s="222">
        <v>2.0673514439871501</v>
      </c>
      <c r="L89" s="222" t="s">
        <v>848</v>
      </c>
      <c r="M89" s="222" t="s">
        <v>3085</v>
      </c>
      <c r="N89" s="222">
        <v>2.0746185150288199E-2</v>
      </c>
      <c r="O89" s="231">
        <v>1.93487737152947E-4</v>
      </c>
      <c r="P89" s="222" t="s">
        <v>2056</v>
      </c>
      <c r="Q89" s="222" t="s">
        <v>2611</v>
      </c>
      <c r="R89" s="222" t="s">
        <v>3147</v>
      </c>
    </row>
    <row r="90" spans="1:19">
      <c r="A90" s="222" t="s">
        <v>1499</v>
      </c>
      <c r="B90" s="222" t="s">
        <v>3084</v>
      </c>
      <c r="C90" s="222" t="s">
        <v>2843</v>
      </c>
      <c r="D90" s="222">
        <v>80</v>
      </c>
      <c r="E90" s="222">
        <v>2013</v>
      </c>
      <c r="F90" s="222">
        <v>80</v>
      </c>
      <c r="G90" s="222" t="s">
        <v>1708</v>
      </c>
      <c r="H90" s="222">
        <v>2013</v>
      </c>
      <c r="I90" s="222">
        <v>9.0931301063196006</v>
      </c>
      <c r="J90" s="222">
        <v>4.1952885835599103</v>
      </c>
      <c r="K90" s="222">
        <v>2.8073549220576002</v>
      </c>
      <c r="L90" s="222" t="s">
        <v>848</v>
      </c>
      <c r="M90" s="222" t="s">
        <v>3085</v>
      </c>
      <c r="N90" s="222">
        <v>2.11449437710244E-2</v>
      </c>
      <c r="O90" s="231">
        <v>2.19118588300771E-4</v>
      </c>
      <c r="P90" s="222" t="s">
        <v>2583</v>
      </c>
      <c r="Q90" s="222" t="s">
        <v>1464</v>
      </c>
      <c r="R90" s="222" t="s">
        <v>1498</v>
      </c>
    </row>
    <row r="91" spans="1:19">
      <c r="A91" s="222" t="s">
        <v>2303</v>
      </c>
      <c r="B91" s="222" t="s">
        <v>3087</v>
      </c>
      <c r="C91" s="222" t="s">
        <v>2843</v>
      </c>
      <c r="D91" s="222">
        <v>80</v>
      </c>
      <c r="E91" s="222">
        <v>2013</v>
      </c>
      <c r="F91" s="222">
        <v>80</v>
      </c>
      <c r="G91" s="222" t="s">
        <v>1721</v>
      </c>
      <c r="H91" s="222">
        <v>2013</v>
      </c>
      <c r="I91" s="222">
        <v>8.0096784925078595</v>
      </c>
      <c r="J91" s="222">
        <v>3.35672959314905</v>
      </c>
      <c r="K91" s="222">
        <v>2.7474625502632799</v>
      </c>
      <c r="L91" s="222" t="s">
        <v>848</v>
      </c>
      <c r="M91" s="222" t="s">
        <v>3088</v>
      </c>
      <c r="N91" s="222">
        <v>2.12350838612064E-2</v>
      </c>
      <c r="O91" s="231">
        <v>5.90519573448456E-4</v>
      </c>
      <c r="P91" s="222" t="s">
        <v>2298</v>
      </c>
      <c r="Q91" s="222" t="s">
        <v>1543</v>
      </c>
      <c r="R91" s="222" t="s">
        <v>2304</v>
      </c>
      <c r="S91" s="222" t="s">
        <v>2305</v>
      </c>
    </row>
    <row r="92" spans="1:19">
      <c r="A92" s="222" t="s">
        <v>3148</v>
      </c>
      <c r="B92" s="222" t="s">
        <v>3087</v>
      </c>
      <c r="C92" s="222" t="s">
        <v>2843</v>
      </c>
      <c r="D92" s="222">
        <v>80</v>
      </c>
      <c r="E92" s="222">
        <v>2013</v>
      </c>
      <c r="F92" s="222">
        <v>80</v>
      </c>
      <c r="G92" s="222" t="s">
        <v>1721</v>
      </c>
      <c r="H92" s="222">
        <v>2013</v>
      </c>
      <c r="I92" s="222">
        <v>6.4259758220463503</v>
      </c>
      <c r="J92" s="222">
        <v>3.3548038978827699</v>
      </c>
      <c r="K92" s="222">
        <v>2.6438354167807199</v>
      </c>
      <c r="L92" s="222" t="s">
        <v>848</v>
      </c>
      <c r="M92" s="222" t="s">
        <v>3088</v>
      </c>
      <c r="N92" s="222">
        <v>2.1767213767163601E-2</v>
      </c>
      <c r="O92" s="231">
        <v>6.2953009782675603E-4</v>
      </c>
      <c r="P92" s="222" t="s">
        <v>1710</v>
      </c>
      <c r="Q92" s="222" t="s">
        <v>2048</v>
      </c>
      <c r="R92" s="222" t="s">
        <v>3149</v>
      </c>
      <c r="S92" s="222" t="s">
        <v>3150</v>
      </c>
    </row>
    <row r="93" spans="1:19">
      <c r="A93" s="222" t="s">
        <v>2685</v>
      </c>
      <c r="B93" s="222" t="s">
        <v>3151</v>
      </c>
      <c r="C93" s="222" t="s">
        <v>3032</v>
      </c>
      <c r="D93" s="222">
        <v>55</v>
      </c>
      <c r="E93" s="222">
        <v>2014</v>
      </c>
      <c r="F93" s="222">
        <v>55</v>
      </c>
      <c r="G93" s="222" t="s">
        <v>1721</v>
      </c>
      <c r="H93" s="222">
        <v>2014</v>
      </c>
      <c r="I93" s="222">
        <v>4.2091788357406301</v>
      </c>
      <c r="J93" s="222">
        <v>1.03985301545665E-2</v>
      </c>
      <c r="K93" s="222">
        <v>1.8226736096976699</v>
      </c>
      <c r="L93" s="222" t="s">
        <v>848</v>
      </c>
      <c r="M93" s="222" t="s">
        <v>3152</v>
      </c>
      <c r="N93" s="222">
        <v>2.1988895490107001E-2</v>
      </c>
      <c r="O93" s="231">
        <v>6.2753697174962997E-6</v>
      </c>
      <c r="P93" s="222" t="s">
        <v>1710</v>
      </c>
      <c r="Q93" s="222" t="s">
        <v>1524</v>
      </c>
      <c r="R93" s="222" t="s">
        <v>2686</v>
      </c>
    </row>
    <row r="94" spans="1:19">
      <c r="A94" s="222" t="s">
        <v>2312</v>
      </c>
      <c r="B94" s="222" t="s">
        <v>3093</v>
      </c>
      <c r="C94" s="222" t="s">
        <v>2836</v>
      </c>
      <c r="D94" s="222">
        <v>30</v>
      </c>
      <c r="E94" s="222">
        <v>2014</v>
      </c>
      <c r="F94" s="222">
        <v>30</v>
      </c>
      <c r="G94" s="222" t="s">
        <v>1708</v>
      </c>
      <c r="H94" s="222">
        <v>2014</v>
      </c>
      <c r="I94" s="222">
        <v>1.5996704288255801</v>
      </c>
      <c r="J94" s="222">
        <v>0.99272304354661001</v>
      </c>
      <c r="K94" s="222">
        <v>1.02625365014993</v>
      </c>
      <c r="L94" s="222" t="s">
        <v>848</v>
      </c>
      <c r="M94" s="222" t="s">
        <v>3094</v>
      </c>
      <c r="N94" s="222">
        <v>2.2025983879331301E-2</v>
      </c>
      <c r="O94" s="231">
        <v>3.6956348790824402E-4</v>
      </c>
      <c r="P94" s="222" t="s">
        <v>2313</v>
      </c>
      <c r="Q94" s="222" t="s">
        <v>1524</v>
      </c>
      <c r="R94" s="222" t="s">
        <v>2314</v>
      </c>
    </row>
    <row r="95" spans="1:19">
      <c r="A95" s="222" t="s">
        <v>1567</v>
      </c>
      <c r="B95" s="222" t="s">
        <v>3091</v>
      </c>
      <c r="C95" s="222" t="s">
        <v>3032</v>
      </c>
      <c r="D95" s="222">
        <v>55</v>
      </c>
      <c r="E95" s="222">
        <v>2013</v>
      </c>
      <c r="F95" s="222">
        <v>55</v>
      </c>
      <c r="G95" s="222" t="s">
        <v>1708</v>
      </c>
      <c r="H95" s="222">
        <v>2013</v>
      </c>
      <c r="I95" s="222">
        <v>6.5659465643555803</v>
      </c>
      <c r="J95" s="222">
        <v>2.6342231849747599</v>
      </c>
      <c r="K95" s="222">
        <v>2.21953798854861</v>
      </c>
      <c r="L95" s="222" t="s">
        <v>848</v>
      </c>
      <c r="M95" s="222" t="s">
        <v>3092</v>
      </c>
      <c r="N95" s="222">
        <v>2.3823743845879101E-2</v>
      </c>
      <c r="O95" s="231">
        <v>7.9522927997371397E-4</v>
      </c>
      <c r="P95" s="222" t="s">
        <v>2298</v>
      </c>
      <c r="Q95" s="222" t="s">
        <v>1543</v>
      </c>
      <c r="R95" s="222" t="s">
        <v>1560</v>
      </c>
    </row>
    <row r="96" spans="1:19">
      <c r="A96" s="222" t="s">
        <v>1497</v>
      </c>
      <c r="B96" s="222" t="s">
        <v>3084</v>
      </c>
      <c r="C96" s="222" t="s">
        <v>2843</v>
      </c>
      <c r="D96" s="222">
        <v>80</v>
      </c>
      <c r="E96" s="222">
        <v>2013</v>
      </c>
      <c r="F96" s="222">
        <v>80</v>
      </c>
      <c r="G96" s="222" t="s">
        <v>1708</v>
      </c>
      <c r="H96" s="222">
        <v>2013</v>
      </c>
      <c r="I96" s="222">
        <v>9.0244113760421207</v>
      </c>
      <c r="J96" s="222">
        <v>3.8613989607991601</v>
      </c>
      <c r="K96" s="222">
        <v>2.8073549220576002</v>
      </c>
      <c r="L96" s="222" t="s">
        <v>848</v>
      </c>
      <c r="M96" s="222" t="s">
        <v>3085</v>
      </c>
      <c r="N96" s="222">
        <v>2.4057351536672301E-2</v>
      </c>
      <c r="O96" s="231">
        <v>2.9915877558556203E-4</v>
      </c>
      <c r="P96" s="222" t="s">
        <v>2583</v>
      </c>
      <c r="Q96" s="222" t="s">
        <v>1464</v>
      </c>
      <c r="R96" s="222" t="s">
        <v>1498</v>
      </c>
    </row>
    <row r="97" spans="1:19">
      <c r="A97" s="222" t="s">
        <v>3102</v>
      </c>
      <c r="B97" s="222" t="s">
        <v>3084</v>
      </c>
      <c r="C97" s="222" t="s">
        <v>2843</v>
      </c>
      <c r="D97" s="222">
        <v>80</v>
      </c>
      <c r="E97" s="222">
        <v>2013</v>
      </c>
      <c r="F97" s="222">
        <v>80</v>
      </c>
      <c r="G97" s="222" t="s">
        <v>1708</v>
      </c>
      <c r="H97" s="222">
        <v>2013</v>
      </c>
      <c r="I97" s="222">
        <v>5.46089460660074</v>
      </c>
      <c r="J97" s="222">
        <v>3.7285951721813499</v>
      </c>
      <c r="K97" s="222">
        <v>0.62531687186978702</v>
      </c>
      <c r="L97" s="222" t="s">
        <v>848</v>
      </c>
      <c r="M97" s="222" t="s">
        <v>3085</v>
      </c>
      <c r="N97" s="222">
        <v>2.4057351536672301E-2</v>
      </c>
      <c r="O97" s="231">
        <v>2.8549414482931501E-4</v>
      </c>
      <c r="P97" s="222" t="s">
        <v>2394</v>
      </c>
      <c r="Q97" s="222" t="s">
        <v>3103</v>
      </c>
      <c r="R97" s="222" t="s">
        <v>3104</v>
      </c>
    </row>
    <row r="98" spans="1:19">
      <c r="A98" s="222" t="s">
        <v>3153</v>
      </c>
      <c r="B98" s="222" t="s">
        <v>3087</v>
      </c>
      <c r="C98" s="222" t="s">
        <v>2843</v>
      </c>
      <c r="D98" s="222">
        <v>80</v>
      </c>
      <c r="E98" s="222">
        <v>2013</v>
      </c>
      <c r="F98" s="222">
        <v>80</v>
      </c>
      <c r="G98" s="222" t="s">
        <v>1721</v>
      </c>
      <c r="H98" s="222">
        <v>2013</v>
      </c>
      <c r="I98" s="222">
        <v>8.0865947615576204</v>
      </c>
      <c r="J98" s="222">
        <v>3.2475901852624398</v>
      </c>
      <c r="K98" s="222">
        <v>2.7806334102879799</v>
      </c>
      <c r="L98" s="222" t="s">
        <v>848</v>
      </c>
      <c r="M98" s="222" t="s">
        <v>3088</v>
      </c>
      <c r="N98" s="222">
        <v>2.4142500052160301E-2</v>
      </c>
      <c r="O98" s="231">
        <v>7.3912842468072996E-4</v>
      </c>
      <c r="P98" s="222" t="s">
        <v>1710</v>
      </c>
      <c r="Q98" s="222" t="s">
        <v>1817</v>
      </c>
      <c r="R98" s="222" t="s">
        <v>3154</v>
      </c>
    </row>
    <row r="99" spans="1:19">
      <c r="A99" s="222" t="s">
        <v>2581</v>
      </c>
      <c r="B99" s="222" t="s">
        <v>3087</v>
      </c>
      <c r="C99" s="222" t="s">
        <v>2843</v>
      </c>
      <c r="D99" s="222">
        <v>80</v>
      </c>
      <c r="E99" s="222">
        <v>2013</v>
      </c>
      <c r="F99" s="222">
        <v>80</v>
      </c>
      <c r="G99" s="222" t="s">
        <v>1721</v>
      </c>
      <c r="H99" s="222">
        <v>2013</v>
      </c>
      <c r="I99" s="222">
        <v>7.6091805713341296</v>
      </c>
      <c r="J99" s="222">
        <v>3.25995530650524</v>
      </c>
      <c r="K99" s="222">
        <v>2.7903450825065499</v>
      </c>
      <c r="L99" s="222" t="s">
        <v>848</v>
      </c>
      <c r="M99" s="222" t="s">
        <v>3088</v>
      </c>
      <c r="N99" s="222">
        <v>2.4142500052160301E-2</v>
      </c>
      <c r="O99" s="231">
        <v>7.7879032426323499E-4</v>
      </c>
      <c r="P99" s="222" t="s">
        <v>2583</v>
      </c>
      <c r="Q99" s="222" t="s">
        <v>1464</v>
      </c>
      <c r="R99" s="222" t="s">
        <v>3155</v>
      </c>
      <c r="S99" s="222" t="s">
        <v>3156</v>
      </c>
    </row>
    <row r="100" spans="1:19">
      <c r="A100" s="222" t="s">
        <v>3157</v>
      </c>
      <c r="B100" s="222" t="s">
        <v>3087</v>
      </c>
      <c r="C100" s="222" t="s">
        <v>2843</v>
      </c>
      <c r="D100" s="222">
        <v>80</v>
      </c>
      <c r="E100" s="222">
        <v>2013</v>
      </c>
      <c r="F100" s="222">
        <v>80</v>
      </c>
      <c r="G100" s="222" t="s">
        <v>1721</v>
      </c>
      <c r="H100" s="222">
        <v>2013</v>
      </c>
      <c r="I100" s="222">
        <v>5.8693233614854101</v>
      </c>
      <c r="J100" s="222">
        <v>3.24139201838392</v>
      </c>
      <c r="K100" s="222">
        <v>2.2949588284660201</v>
      </c>
      <c r="L100" s="222" t="s">
        <v>848</v>
      </c>
      <c r="M100" s="222" t="s">
        <v>3088</v>
      </c>
      <c r="N100" s="222">
        <v>2.4142500052160301E-2</v>
      </c>
      <c r="O100" s="231">
        <v>7.6946442279989197E-4</v>
      </c>
      <c r="P100" s="222" t="s">
        <v>2056</v>
      </c>
      <c r="Q100" s="222" t="s">
        <v>2611</v>
      </c>
      <c r="R100" s="222" t="s">
        <v>3158</v>
      </c>
    </row>
    <row r="101" spans="1:19">
      <c r="A101" s="222" t="s">
        <v>2336</v>
      </c>
      <c r="B101" s="222" t="s">
        <v>3093</v>
      </c>
      <c r="C101" s="222" t="s">
        <v>2836</v>
      </c>
      <c r="D101" s="222">
        <v>30</v>
      </c>
      <c r="E101" s="222">
        <v>2014</v>
      </c>
      <c r="F101" s="222">
        <v>30</v>
      </c>
      <c r="G101" s="222" t="s">
        <v>1708</v>
      </c>
      <c r="H101" s="222">
        <v>2014</v>
      </c>
      <c r="I101" s="222">
        <v>1.8730350001840099</v>
      </c>
      <c r="J101" s="222">
        <v>0.97516116458847302</v>
      </c>
      <c r="K101" s="222">
        <v>1.0957635398789201</v>
      </c>
      <c r="L101" s="222" t="s">
        <v>848</v>
      </c>
      <c r="M101" s="222" t="s">
        <v>3094</v>
      </c>
      <c r="N101" s="222">
        <v>2.5023170140243599E-2</v>
      </c>
      <c r="O101" s="231">
        <v>5.0382221758879801E-4</v>
      </c>
      <c r="P101" s="222" t="s">
        <v>1710</v>
      </c>
      <c r="Q101" s="222" t="s">
        <v>2200</v>
      </c>
      <c r="R101" s="222" t="s">
        <v>3159</v>
      </c>
    </row>
    <row r="102" spans="1:19">
      <c r="A102" s="222" t="s">
        <v>2652</v>
      </c>
      <c r="B102" s="222" t="s">
        <v>3087</v>
      </c>
      <c r="C102" s="222" t="s">
        <v>2843</v>
      </c>
      <c r="D102" s="222">
        <v>80</v>
      </c>
      <c r="E102" s="222">
        <v>2013</v>
      </c>
      <c r="F102" s="222">
        <v>80</v>
      </c>
      <c r="G102" s="222" t="s">
        <v>1721</v>
      </c>
      <c r="H102" s="222">
        <v>2013</v>
      </c>
      <c r="I102" s="222">
        <v>-7.1283990282255498</v>
      </c>
      <c r="J102" s="222">
        <v>-3.2075485123641698</v>
      </c>
      <c r="K102" s="222">
        <v>0</v>
      </c>
      <c r="L102" s="222">
        <v>1</v>
      </c>
      <c r="M102" s="222" t="s">
        <v>3088</v>
      </c>
      <c r="N102" s="222">
        <v>2.7067884709303301E-2</v>
      </c>
      <c r="O102" s="231">
        <v>9.2659228135674103E-4</v>
      </c>
      <c r="P102" s="222" t="s">
        <v>1710</v>
      </c>
      <c r="Q102" s="222" t="s">
        <v>2062</v>
      </c>
      <c r="R102" s="222" t="s">
        <v>2653</v>
      </c>
    </row>
    <row r="103" spans="1:19">
      <c r="A103" s="222" t="s">
        <v>3160</v>
      </c>
      <c r="B103" s="222" t="s">
        <v>3087</v>
      </c>
      <c r="C103" s="222" t="s">
        <v>2843</v>
      </c>
      <c r="D103" s="222">
        <v>80</v>
      </c>
      <c r="E103" s="222">
        <v>2013</v>
      </c>
      <c r="F103" s="222">
        <v>80</v>
      </c>
      <c r="G103" s="222" t="s">
        <v>1721</v>
      </c>
      <c r="H103" s="222">
        <v>2013</v>
      </c>
      <c r="I103" s="222">
        <v>7.18294637002196</v>
      </c>
      <c r="J103" s="222">
        <v>3.1885973450105598</v>
      </c>
      <c r="K103" s="222">
        <v>2.7366439691037399</v>
      </c>
      <c r="L103" s="222" t="s">
        <v>848</v>
      </c>
      <c r="M103" s="222" t="s">
        <v>3088</v>
      </c>
      <c r="N103" s="222">
        <v>2.7067884709303301E-2</v>
      </c>
      <c r="O103" s="231">
        <v>9.6348421657142097E-4</v>
      </c>
      <c r="P103" s="222" t="s">
        <v>2298</v>
      </c>
      <c r="Q103" s="222" t="s">
        <v>1543</v>
      </c>
      <c r="R103" s="222" t="s">
        <v>3161</v>
      </c>
    </row>
    <row r="104" spans="1:19">
      <c r="A104" s="222" t="s">
        <v>3162</v>
      </c>
      <c r="B104" s="222" t="s">
        <v>3087</v>
      </c>
      <c r="C104" s="222" t="s">
        <v>2843</v>
      </c>
      <c r="D104" s="222">
        <v>80</v>
      </c>
      <c r="E104" s="222">
        <v>2013</v>
      </c>
      <c r="F104" s="222">
        <v>80</v>
      </c>
      <c r="G104" s="222" t="s">
        <v>1721</v>
      </c>
      <c r="H104" s="222">
        <v>2013</v>
      </c>
      <c r="I104" s="222">
        <v>7.3044161198362998</v>
      </c>
      <c r="J104" s="222">
        <v>3.1937398954585401</v>
      </c>
      <c r="K104" s="222">
        <v>2.4090842332014999</v>
      </c>
      <c r="L104" s="222" t="s">
        <v>848</v>
      </c>
      <c r="M104" s="222" t="s">
        <v>3088</v>
      </c>
      <c r="N104" s="222">
        <v>2.7067884709303301E-2</v>
      </c>
      <c r="O104" s="231">
        <v>9.4007179687696503E-4</v>
      </c>
      <c r="P104" s="222" t="s">
        <v>1710</v>
      </c>
      <c r="Q104" s="222" t="s">
        <v>2310</v>
      </c>
      <c r="R104" s="222" t="s">
        <v>3163</v>
      </c>
    </row>
    <row r="105" spans="1:19">
      <c r="A105" s="222" t="s">
        <v>1568</v>
      </c>
      <c r="B105" s="222" t="s">
        <v>3087</v>
      </c>
      <c r="C105" s="222" t="s">
        <v>2843</v>
      </c>
      <c r="D105" s="222">
        <v>80</v>
      </c>
      <c r="E105" s="222">
        <v>2013</v>
      </c>
      <c r="F105" s="222">
        <v>80</v>
      </c>
      <c r="G105" s="222" t="s">
        <v>1721</v>
      </c>
      <c r="H105" s="222">
        <v>2013</v>
      </c>
      <c r="I105" s="222">
        <v>5.5768127901184101</v>
      </c>
      <c r="J105" s="222">
        <v>3.1026390208728598</v>
      </c>
      <c r="K105" s="222">
        <v>1.9768317444925601</v>
      </c>
      <c r="L105" s="222" t="s">
        <v>848</v>
      </c>
      <c r="M105" s="222" t="s">
        <v>3088</v>
      </c>
      <c r="N105" s="222">
        <v>2.90106006697484E-2</v>
      </c>
      <c r="O105" s="222">
        <v>1.0649052526159001E-3</v>
      </c>
      <c r="P105" s="222" t="s">
        <v>2298</v>
      </c>
      <c r="Q105" s="222" t="s">
        <v>1543</v>
      </c>
      <c r="R105" s="222" t="s">
        <v>2300</v>
      </c>
    </row>
    <row r="106" spans="1:19">
      <c r="A106" s="222" t="s">
        <v>3164</v>
      </c>
      <c r="B106" s="222" t="s">
        <v>3087</v>
      </c>
      <c r="C106" s="222" t="s">
        <v>2843</v>
      </c>
      <c r="D106" s="222">
        <v>80</v>
      </c>
      <c r="E106" s="222">
        <v>2013</v>
      </c>
      <c r="F106" s="222">
        <v>80</v>
      </c>
      <c r="G106" s="222" t="s">
        <v>1721</v>
      </c>
      <c r="H106" s="222">
        <v>2013</v>
      </c>
      <c r="I106" s="222">
        <v>7.4255553247706398</v>
      </c>
      <c r="J106" s="222">
        <v>3.09800161268348</v>
      </c>
      <c r="K106" s="222">
        <v>2.5687140573170901</v>
      </c>
      <c r="L106" s="222" t="s">
        <v>848</v>
      </c>
      <c r="M106" s="222" t="s">
        <v>3088</v>
      </c>
      <c r="N106" s="222">
        <v>2.94324125761539E-2</v>
      </c>
      <c r="O106" s="222">
        <v>1.1458670079704E-3</v>
      </c>
      <c r="P106" s="222" t="s">
        <v>1715</v>
      </c>
      <c r="Q106" s="222" t="s">
        <v>1715</v>
      </c>
      <c r="R106" s="222" t="s">
        <v>3165</v>
      </c>
    </row>
    <row r="107" spans="1:19">
      <c r="A107" s="222" t="s">
        <v>1554</v>
      </c>
      <c r="B107" s="222" t="s">
        <v>3087</v>
      </c>
      <c r="C107" s="222" t="s">
        <v>2843</v>
      </c>
      <c r="D107" s="222">
        <v>80</v>
      </c>
      <c r="E107" s="222">
        <v>2013</v>
      </c>
      <c r="F107" s="222">
        <v>80</v>
      </c>
      <c r="G107" s="222" t="s">
        <v>1721</v>
      </c>
      <c r="H107" s="222">
        <v>2013</v>
      </c>
      <c r="I107" s="222">
        <v>4.3869446053949703</v>
      </c>
      <c r="J107" s="222">
        <v>2.8548596360675802</v>
      </c>
      <c r="K107" s="222">
        <v>2.5238041877624702</v>
      </c>
      <c r="L107" s="222" t="s">
        <v>848</v>
      </c>
      <c r="M107" s="222" t="s">
        <v>3088</v>
      </c>
      <c r="N107" s="222">
        <v>2.94324125761539E-2</v>
      </c>
      <c r="O107" s="222">
        <v>1.1233226195583601E-3</v>
      </c>
      <c r="P107" s="222" t="s">
        <v>2298</v>
      </c>
      <c r="Q107" s="222" t="s">
        <v>1543</v>
      </c>
      <c r="R107" s="222" t="s">
        <v>3108</v>
      </c>
    </row>
    <row r="108" spans="1:19">
      <c r="A108" s="222" t="s">
        <v>3166</v>
      </c>
      <c r="B108" s="222" t="s">
        <v>3084</v>
      </c>
      <c r="C108" s="222" t="s">
        <v>2843</v>
      </c>
      <c r="D108" s="222">
        <v>80</v>
      </c>
      <c r="E108" s="222">
        <v>2013</v>
      </c>
      <c r="F108" s="222">
        <v>80</v>
      </c>
      <c r="G108" s="222" t="s">
        <v>1708</v>
      </c>
      <c r="H108" s="222">
        <v>2013</v>
      </c>
      <c r="I108" s="222">
        <v>8.9516480212211</v>
      </c>
      <c r="J108" s="222">
        <v>3.5058015841896699</v>
      </c>
      <c r="K108" s="222">
        <v>2.8073549220576002</v>
      </c>
      <c r="L108" s="222" t="s">
        <v>848</v>
      </c>
      <c r="M108" s="222" t="s">
        <v>3085</v>
      </c>
      <c r="N108" s="222">
        <v>2.97023112819613E-2</v>
      </c>
      <c r="O108" s="231">
        <v>4.13068935545684E-4</v>
      </c>
      <c r="P108" s="222" t="s">
        <v>1817</v>
      </c>
      <c r="Q108" s="222" t="s">
        <v>1817</v>
      </c>
      <c r="R108" s="222" t="s">
        <v>3167</v>
      </c>
    </row>
    <row r="109" spans="1:19">
      <c r="A109" s="222" t="s">
        <v>3168</v>
      </c>
      <c r="B109" s="222" t="s">
        <v>3084</v>
      </c>
      <c r="C109" s="222" t="s">
        <v>2843</v>
      </c>
      <c r="D109" s="222">
        <v>80</v>
      </c>
      <c r="E109" s="222">
        <v>2013</v>
      </c>
      <c r="F109" s="222">
        <v>80</v>
      </c>
      <c r="G109" s="222" t="s">
        <v>1708</v>
      </c>
      <c r="H109" s="222">
        <v>2013</v>
      </c>
      <c r="I109" s="222">
        <v>8.1741360869727107</v>
      </c>
      <c r="J109" s="222">
        <v>3.5910549006254899</v>
      </c>
      <c r="K109" s="222">
        <v>2.7707214143201102</v>
      </c>
      <c r="L109" s="222" t="s">
        <v>848</v>
      </c>
      <c r="M109" s="222" t="s">
        <v>3085</v>
      </c>
      <c r="N109" s="222">
        <v>2.97023112819613E-2</v>
      </c>
      <c r="O109" s="231">
        <v>4.3091436056731398E-4</v>
      </c>
      <c r="P109" s="222" t="s">
        <v>1817</v>
      </c>
      <c r="Q109" s="222" t="s">
        <v>1576</v>
      </c>
      <c r="R109" s="222" t="s">
        <v>3169</v>
      </c>
      <c r="S109" s="222" t="s">
        <v>3170</v>
      </c>
    </row>
    <row r="110" spans="1:19">
      <c r="A110" s="222" t="s">
        <v>3171</v>
      </c>
      <c r="B110" s="222" t="s">
        <v>3087</v>
      </c>
      <c r="C110" s="222" t="s">
        <v>2843</v>
      </c>
      <c r="D110" s="222">
        <v>80</v>
      </c>
      <c r="E110" s="222">
        <v>2013</v>
      </c>
      <c r="F110" s="222">
        <v>80</v>
      </c>
      <c r="G110" s="222" t="s">
        <v>1721</v>
      </c>
      <c r="H110" s="222">
        <v>2013</v>
      </c>
      <c r="I110" s="222">
        <v>8.7749579276914709</v>
      </c>
      <c r="J110" s="222">
        <v>2.9180195273209999</v>
      </c>
      <c r="K110" s="222">
        <v>2.8073549220576002</v>
      </c>
      <c r="L110" s="222" t="s">
        <v>848</v>
      </c>
      <c r="M110" s="222" t="s">
        <v>3088</v>
      </c>
      <c r="N110" s="222">
        <v>3.0931077878825701E-2</v>
      </c>
      <c r="O110" s="222">
        <v>1.23861935888512E-3</v>
      </c>
      <c r="P110" s="222" t="s">
        <v>1710</v>
      </c>
      <c r="Q110" s="222" t="s">
        <v>3172</v>
      </c>
      <c r="R110" s="222" t="s">
        <v>3173</v>
      </c>
      <c r="S110" s="222" t="s">
        <v>3174</v>
      </c>
    </row>
    <row r="111" spans="1:19">
      <c r="A111" s="222" t="s">
        <v>3175</v>
      </c>
      <c r="B111" s="222" t="s">
        <v>3091</v>
      </c>
      <c r="C111" s="222" t="s">
        <v>3032</v>
      </c>
      <c r="D111" s="222">
        <v>55</v>
      </c>
      <c r="E111" s="222">
        <v>2013</v>
      </c>
      <c r="F111" s="222">
        <v>55</v>
      </c>
      <c r="G111" s="222" t="s">
        <v>1708</v>
      </c>
      <c r="H111" s="222">
        <v>2013</v>
      </c>
      <c r="I111" s="222">
        <v>6.4544977648659501</v>
      </c>
      <c r="J111" s="222">
        <v>2.1815886170841101</v>
      </c>
      <c r="K111" s="222">
        <v>2.1914147906061499</v>
      </c>
      <c r="L111" s="222" t="s">
        <v>848</v>
      </c>
      <c r="M111" s="222" t="s">
        <v>3092</v>
      </c>
      <c r="N111" s="222">
        <v>3.1547106287563201E-2</v>
      </c>
      <c r="O111" s="222">
        <v>1.1407854846684901E-3</v>
      </c>
      <c r="P111" s="222" t="s">
        <v>2298</v>
      </c>
      <c r="Q111" s="222" t="s">
        <v>1543</v>
      </c>
      <c r="R111" s="222" t="s">
        <v>3176</v>
      </c>
    </row>
    <row r="112" spans="1:19">
      <c r="A112" s="222" t="s">
        <v>3177</v>
      </c>
      <c r="B112" s="222" t="s">
        <v>3091</v>
      </c>
      <c r="C112" s="222" t="s">
        <v>3032</v>
      </c>
      <c r="D112" s="222">
        <v>55</v>
      </c>
      <c r="E112" s="222">
        <v>2013</v>
      </c>
      <c r="F112" s="222">
        <v>55</v>
      </c>
      <c r="G112" s="222" t="s">
        <v>1708</v>
      </c>
      <c r="H112" s="222">
        <v>2013</v>
      </c>
      <c r="I112" s="222">
        <v>6.9288719623623303</v>
      </c>
      <c r="J112" s="222">
        <v>2.2517964015886101</v>
      </c>
      <c r="K112" s="222">
        <v>2.8337254362752602</v>
      </c>
      <c r="L112" s="222" t="s">
        <v>848</v>
      </c>
      <c r="M112" s="222" t="s">
        <v>3092</v>
      </c>
      <c r="N112" s="222">
        <v>3.1547106287563201E-2</v>
      </c>
      <c r="O112" s="222">
        <v>1.13865694871895E-3</v>
      </c>
      <c r="P112" s="222" t="s">
        <v>2056</v>
      </c>
      <c r="Q112" s="222" t="s">
        <v>2433</v>
      </c>
      <c r="R112" s="222" t="s">
        <v>3178</v>
      </c>
    </row>
    <row r="113" spans="1:18">
      <c r="A113" s="222" t="s">
        <v>3102</v>
      </c>
      <c r="B113" s="222" t="s">
        <v>3082</v>
      </c>
      <c r="C113" s="222" t="s">
        <v>3032</v>
      </c>
      <c r="D113" s="222">
        <v>55</v>
      </c>
      <c r="E113" s="222">
        <v>2013</v>
      </c>
      <c r="F113" s="222">
        <v>55</v>
      </c>
      <c r="G113" s="222" t="s">
        <v>1721</v>
      </c>
      <c r="H113" s="222">
        <v>2013</v>
      </c>
      <c r="I113" s="222">
        <v>5.1794740266920103</v>
      </c>
      <c r="J113" s="222">
        <v>2.3379937685743402</v>
      </c>
      <c r="K113" s="222">
        <v>2.38499635618341</v>
      </c>
      <c r="L113" s="222" t="s">
        <v>848</v>
      </c>
      <c r="M113" s="222" t="s">
        <v>3083</v>
      </c>
      <c r="N113" s="222">
        <v>3.1758702684459697E-2</v>
      </c>
      <c r="O113" s="231">
        <v>7.5697882888203099E-4</v>
      </c>
      <c r="P113" s="222" t="s">
        <v>2394</v>
      </c>
      <c r="Q113" s="222" t="s">
        <v>3103</v>
      </c>
      <c r="R113" s="222" t="s">
        <v>3104</v>
      </c>
    </row>
    <row r="114" spans="1:18">
      <c r="A114" s="222" t="s">
        <v>3179</v>
      </c>
      <c r="B114" s="222" t="s">
        <v>3087</v>
      </c>
      <c r="C114" s="222" t="s">
        <v>2843</v>
      </c>
      <c r="D114" s="222">
        <v>80</v>
      </c>
      <c r="E114" s="222">
        <v>2013</v>
      </c>
      <c r="F114" s="222">
        <v>80</v>
      </c>
      <c r="G114" s="222" t="s">
        <v>1721</v>
      </c>
      <c r="H114" s="222">
        <v>2013</v>
      </c>
      <c r="I114" s="222">
        <v>6.0686526720143199</v>
      </c>
      <c r="J114" s="222">
        <v>3.04232427684286</v>
      </c>
      <c r="K114" s="222">
        <v>2.5042695829350601</v>
      </c>
      <c r="L114" s="222" t="s">
        <v>848</v>
      </c>
      <c r="M114" s="222" t="s">
        <v>3088</v>
      </c>
      <c r="N114" s="222">
        <v>3.3973256614686698E-2</v>
      </c>
      <c r="O114" s="222">
        <v>1.3982319185132401E-3</v>
      </c>
      <c r="P114" s="222" t="s">
        <v>1710</v>
      </c>
      <c r="Q114" s="222" t="s">
        <v>2594</v>
      </c>
      <c r="R114" s="222" t="s">
        <v>3180</v>
      </c>
    </row>
    <row r="115" spans="1:18">
      <c r="A115" s="222" t="s">
        <v>3181</v>
      </c>
      <c r="B115" s="222" t="s">
        <v>3084</v>
      </c>
      <c r="C115" s="222" t="s">
        <v>2843</v>
      </c>
      <c r="D115" s="222">
        <v>80</v>
      </c>
      <c r="E115" s="222">
        <v>2013</v>
      </c>
      <c r="F115" s="222">
        <v>80</v>
      </c>
      <c r="G115" s="222" t="s">
        <v>1708</v>
      </c>
      <c r="H115" s="222">
        <v>2013</v>
      </c>
      <c r="I115" s="222">
        <v>6.7517727555600304</v>
      </c>
      <c r="J115" s="222">
        <v>3.4345019514973201</v>
      </c>
      <c r="K115" s="222">
        <v>2.5034330575096302</v>
      </c>
      <c r="L115" s="222" t="s">
        <v>848</v>
      </c>
      <c r="M115" s="222" t="s">
        <v>3085</v>
      </c>
      <c r="N115" s="222">
        <v>3.5460609390744198E-2</v>
      </c>
      <c r="O115" s="231">
        <v>5.5120118223954797E-4</v>
      </c>
      <c r="P115" s="222" t="s">
        <v>1710</v>
      </c>
      <c r="Q115" s="222" t="s">
        <v>2594</v>
      </c>
      <c r="R115" s="222" t="s">
        <v>3182</v>
      </c>
    </row>
    <row r="116" spans="1:18">
      <c r="A116" s="222" t="s">
        <v>3183</v>
      </c>
      <c r="B116" s="222" t="s">
        <v>3087</v>
      </c>
      <c r="C116" s="222" t="s">
        <v>2843</v>
      </c>
      <c r="D116" s="222">
        <v>80</v>
      </c>
      <c r="E116" s="222">
        <v>2013</v>
      </c>
      <c r="F116" s="222">
        <v>80</v>
      </c>
      <c r="G116" s="222" t="s">
        <v>1721</v>
      </c>
      <c r="H116" s="222">
        <v>2013</v>
      </c>
      <c r="I116" s="222">
        <v>7.2826985248154701</v>
      </c>
      <c r="J116" s="222">
        <v>2.9818073789792501</v>
      </c>
      <c r="K116" s="222">
        <v>2.5977737500004401</v>
      </c>
      <c r="L116" s="222" t="s">
        <v>848</v>
      </c>
      <c r="M116" s="222" t="s">
        <v>3088</v>
      </c>
      <c r="N116" s="222">
        <v>3.5706097911729198E-2</v>
      </c>
      <c r="O116" s="222">
        <v>1.50926776490067E-3</v>
      </c>
      <c r="P116" s="222" t="s">
        <v>1710</v>
      </c>
      <c r="Q116" s="222" t="s">
        <v>2310</v>
      </c>
      <c r="R116" s="222" t="s">
        <v>3184</v>
      </c>
    </row>
    <row r="117" spans="1:18">
      <c r="A117" s="222" t="s">
        <v>1581</v>
      </c>
      <c r="B117" s="222" t="s">
        <v>3087</v>
      </c>
      <c r="C117" s="222" t="s">
        <v>2843</v>
      </c>
      <c r="D117" s="222">
        <v>80</v>
      </c>
      <c r="E117" s="222">
        <v>2013</v>
      </c>
      <c r="F117" s="222">
        <v>80</v>
      </c>
      <c r="G117" s="222" t="s">
        <v>1721</v>
      </c>
      <c r="H117" s="222">
        <v>2013</v>
      </c>
      <c r="I117" s="222">
        <v>-6.8336445379639796</v>
      </c>
      <c r="J117" s="222">
        <v>-2.9712038031597898</v>
      </c>
      <c r="K117" s="222">
        <v>0</v>
      </c>
      <c r="L117" s="222">
        <v>1</v>
      </c>
      <c r="M117" s="222" t="s">
        <v>3088</v>
      </c>
      <c r="N117" s="222">
        <v>3.5730588592615901E-2</v>
      </c>
      <c r="O117" s="222">
        <v>1.63883694390285E-3</v>
      </c>
      <c r="P117" s="222" t="s">
        <v>1817</v>
      </c>
      <c r="Q117" s="222" t="s">
        <v>1576</v>
      </c>
      <c r="R117" s="222" t="s">
        <v>2198</v>
      </c>
    </row>
    <row r="118" spans="1:18">
      <c r="A118" s="222" t="s">
        <v>1573</v>
      </c>
      <c r="B118" s="222" t="s">
        <v>3087</v>
      </c>
      <c r="C118" s="222" t="s">
        <v>2843</v>
      </c>
      <c r="D118" s="222">
        <v>80</v>
      </c>
      <c r="E118" s="222">
        <v>2013</v>
      </c>
      <c r="F118" s="222">
        <v>80</v>
      </c>
      <c r="G118" s="222" t="s">
        <v>1721</v>
      </c>
      <c r="H118" s="222">
        <v>2013</v>
      </c>
      <c r="I118" s="222">
        <v>6.5822734559259404</v>
      </c>
      <c r="J118" s="222">
        <v>2.96700137812218</v>
      </c>
      <c r="K118" s="222">
        <v>2.2069844521367998</v>
      </c>
      <c r="L118" s="222" t="s">
        <v>848</v>
      </c>
      <c r="M118" s="222" t="s">
        <v>3088</v>
      </c>
      <c r="N118" s="222">
        <v>3.5730588592615901E-2</v>
      </c>
      <c r="O118" s="222">
        <v>1.68963082774331E-3</v>
      </c>
      <c r="P118" s="222" t="s">
        <v>2298</v>
      </c>
      <c r="Q118" s="222" t="s">
        <v>1543</v>
      </c>
      <c r="R118" s="222" t="s">
        <v>1551</v>
      </c>
    </row>
    <row r="119" spans="1:18">
      <c r="A119" s="222" t="s">
        <v>2333</v>
      </c>
      <c r="B119" s="222" t="s">
        <v>3087</v>
      </c>
      <c r="C119" s="222" t="s">
        <v>2843</v>
      </c>
      <c r="D119" s="222">
        <v>80</v>
      </c>
      <c r="E119" s="222">
        <v>2013</v>
      </c>
      <c r="F119" s="222">
        <v>80</v>
      </c>
      <c r="G119" s="222" t="s">
        <v>1721</v>
      </c>
      <c r="H119" s="222">
        <v>2013</v>
      </c>
      <c r="I119" s="222">
        <v>4.8739532758809698</v>
      </c>
      <c r="J119" s="222">
        <v>2.8594399744332999</v>
      </c>
      <c r="K119" s="222">
        <v>2.0823308069603899</v>
      </c>
      <c r="L119" s="222" t="s">
        <v>848</v>
      </c>
      <c r="M119" s="222" t="s">
        <v>3088</v>
      </c>
      <c r="N119" s="222">
        <v>3.5730588592615901E-2</v>
      </c>
      <c r="O119" s="222">
        <v>1.6862856803292899E-3</v>
      </c>
      <c r="P119" s="222" t="s">
        <v>1710</v>
      </c>
      <c r="Q119" s="222" t="s">
        <v>2334</v>
      </c>
      <c r="R119" s="222" t="s">
        <v>2335</v>
      </c>
    </row>
    <row r="120" spans="1:18">
      <c r="A120" s="222" t="s">
        <v>3185</v>
      </c>
      <c r="B120" s="222" t="s">
        <v>3087</v>
      </c>
      <c r="C120" s="222" t="s">
        <v>2843</v>
      </c>
      <c r="D120" s="222">
        <v>80</v>
      </c>
      <c r="E120" s="222">
        <v>2013</v>
      </c>
      <c r="F120" s="222">
        <v>80</v>
      </c>
      <c r="G120" s="222" t="s">
        <v>1721</v>
      </c>
      <c r="H120" s="222">
        <v>2013</v>
      </c>
      <c r="I120" s="222">
        <v>6.5339908609292996</v>
      </c>
      <c r="J120" s="222">
        <v>2.9633298273686499</v>
      </c>
      <c r="K120" s="222">
        <v>2.4448044302316601</v>
      </c>
      <c r="L120" s="222" t="s">
        <v>848</v>
      </c>
      <c r="M120" s="222" t="s">
        <v>3088</v>
      </c>
      <c r="N120" s="222">
        <v>3.5730588592615901E-2</v>
      </c>
      <c r="O120" s="222">
        <v>1.70902704058118E-3</v>
      </c>
      <c r="P120" s="222" t="s">
        <v>2056</v>
      </c>
      <c r="Q120" s="222" t="s">
        <v>2433</v>
      </c>
      <c r="R120" s="222" t="s">
        <v>3186</v>
      </c>
    </row>
    <row r="121" spans="1:18">
      <c r="A121" s="222" t="s">
        <v>3187</v>
      </c>
      <c r="B121" s="222" t="s">
        <v>3087</v>
      </c>
      <c r="C121" s="222" t="s">
        <v>2843</v>
      </c>
      <c r="D121" s="222">
        <v>80</v>
      </c>
      <c r="E121" s="222">
        <v>2013</v>
      </c>
      <c r="F121" s="222">
        <v>80</v>
      </c>
      <c r="G121" s="222" t="s">
        <v>1721</v>
      </c>
      <c r="H121" s="222">
        <v>2013</v>
      </c>
      <c r="I121" s="222">
        <v>7.4711811542613704</v>
      </c>
      <c r="J121" s="222">
        <v>2.9471905347325502</v>
      </c>
      <c r="K121" s="222">
        <v>2.77986036730496</v>
      </c>
      <c r="L121" s="222" t="s">
        <v>848</v>
      </c>
      <c r="M121" s="222" t="s">
        <v>3088</v>
      </c>
      <c r="N121" s="222">
        <v>3.5730588592615901E-2</v>
      </c>
      <c r="O121" s="222">
        <v>1.5742124870267099E-3</v>
      </c>
      <c r="P121" s="222" t="s">
        <v>2056</v>
      </c>
      <c r="Q121" s="222" t="s">
        <v>2611</v>
      </c>
      <c r="R121" s="222" t="s">
        <v>3188</v>
      </c>
    </row>
    <row r="122" spans="1:18">
      <c r="A122" s="222" t="s">
        <v>2137</v>
      </c>
      <c r="B122" s="222" t="s">
        <v>3087</v>
      </c>
      <c r="C122" s="222" t="s">
        <v>2843</v>
      </c>
      <c r="D122" s="222">
        <v>80</v>
      </c>
      <c r="E122" s="222">
        <v>2013</v>
      </c>
      <c r="F122" s="222">
        <v>80</v>
      </c>
      <c r="G122" s="222" t="s">
        <v>1721</v>
      </c>
      <c r="H122" s="222">
        <v>2013</v>
      </c>
      <c r="I122" s="222">
        <v>-6.7331449385338802</v>
      </c>
      <c r="J122" s="222">
        <v>-2.9448050096843801</v>
      </c>
      <c r="K122" s="222">
        <v>0</v>
      </c>
      <c r="L122" s="222">
        <v>1</v>
      </c>
      <c r="M122" s="222" t="s">
        <v>3088</v>
      </c>
      <c r="N122" s="222">
        <v>3.59018794718729E-2</v>
      </c>
      <c r="O122" s="222">
        <v>1.75715539128187E-3</v>
      </c>
      <c r="P122" s="222" t="s">
        <v>2056</v>
      </c>
      <c r="Q122" s="222" t="s">
        <v>2594</v>
      </c>
      <c r="R122" s="222" t="s">
        <v>2138</v>
      </c>
    </row>
    <row r="123" spans="1:18">
      <c r="A123" s="222" t="s">
        <v>3189</v>
      </c>
      <c r="B123" s="222" t="s">
        <v>3084</v>
      </c>
      <c r="C123" s="222" t="s">
        <v>2843</v>
      </c>
      <c r="D123" s="222">
        <v>80</v>
      </c>
      <c r="E123" s="222">
        <v>2013</v>
      </c>
      <c r="F123" s="222">
        <v>80</v>
      </c>
      <c r="G123" s="222" t="s">
        <v>1708</v>
      </c>
      <c r="H123" s="222">
        <v>2013</v>
      </c>
      <c r="I123" s="222">
        <v>7.7208187742728498</v>
      </c>
      <c r="J123" s="222">
        <v>3.2253434410384898</v>
      </c>
      <c r="K123" s="222">
        <v>2.5456325882983601</v>
      </c>
      <c r="L123" s="222" t="s">
        <v>848</v>
      </c>
      <c r="M123" s="222" t="s">
        <v>3085</v>
      </c>
      <c r="N123" s="222">
        <v>3.6177916092226703E-2</v>
      </c>
      <c r="O123" s="231">
        <v>6.3733116431902105E-4</v>
      </c>
      <c r="P123" s="222" t="s">
        <v>1817</v>
      </c>
      <c r="Q123" s="222" t="s">
        <v>1817</v>
      </c>
      <c r="R123" s="222" t="s">
        <v>3190</v>
      </c>
    </row>
    <row r="124" spans="1:18">
      <c r="A124" s="222" t="s">
        <v>2589</v>
      </c>
      <c r="B124" s="222" t="s">
        <v>3084</v>
      </c>
      <c r="C124" s="222" t="s">
        <v>2843</v>
      </c>
      <c r="D124" s="222">
        <v>80</v>
      </c>
      <c r="E124" s="222">
        <v>2013</v>
      </c>
      <c r="F124" s="222">
        <v>80</v>
      </c>
      <c r="G124" s="222" t="s">
        <v>1708</v>
      </c>
      <c r="H124" s="222">
        <v>2013</v>
      </c>
      <c r="I124" s="222">
        <v>6.7488733684781996</v>
      </c>
      <c r="J124" s="222">
        <v>3.3526849487538501</v>
      </c>
      <c r="K124" s="222">
        <v>2.6859339041920798</v>
      </c>
      <c r="L124" s="222" t="s">
        <v>848</v>
      </c>
      <c r="M124" s="222" t="s">
        <v>3085</v>
      </c>
      <c r="N124" s="222">
        <v>3.6177916092226703E-2</v>
      </c>
      <c r="O124" s="231">
        <v>6.0063810230101501E-4</v>
      </c>
      <c r="P124" s="222" t="s">
        <v>2061</v>
      </c>
      <c r="Q124" s="222" t="s">
        <v>2310</v>
      </c>
      <c r="R124" s="222" t="s">
        <v>3191</v>
      </c>
    </row>
    <row r="125" spans="1:18">
      <c r="A125" s="222" t="s">
        <v>1535</v>
      </c>
      <c r="B125" s="222" t="s">
        <v>3087</v>
      </c>
      <c r="C125" s="222" t="s">
        <v>2843</v>
      </c>
      <c r="D125" s="222">
        <v>80</v>
      </c>
      <c r="E125" s="222">
        <v>2013</v>
      </c>
      <c r="F125" s="222">
        <v>80</v>
      </c>
      <c r="G125" s="222" t="s">
        <v>1721</v>
      </c>
      <c r="H125" s="222">
        <v>2013</v>
      </c>
      <c r="I125" s="222">
        <v>-6.6898023955250503</v>
      </c>
      <c r="J125" s="222">
        <v>-2.9048038025508598</v>
      </c>
      <c r="K125" s="222">
        <v>0</v>
      </c>
      <c r="L125" s="222">
        <v>1</v>
      </c>
      <c r="M125" s="222" t="s">
        <v>3088</v>
      </c>
      <c r="N125" s="222">
        <v>3.8593842216806201E-2</v>
      </c>
      <c r="O125" s="222">
        <v>1.9318385981716101E-3</v>
      </c>
      <c r="P125" s="222" t="s">
        <v>2313</v>
      </c>
      <c r="Q125" s="222" t="s">
        <v>1524</v>
      </c>
      <c r="R125" s="222" t="s">
        <v>3192</v>
      </c>
    </row>
    <row r="126" spans="1:18">
      <c r="A126" s="222" t="s">
        <v>1553</v>
      </c>
      <c r="B126" s="222" t="s">
        <v>3087</v>
      </c>
      <c r="C126" s="222" t="s">
        <v>2843</v>
      </c>
      <c r="D126" s="222">
        <v>80</v>
      </c>
      <c r="E126" s="222">
        <v>2013</v>
      </c>
      <c r="F126" s="222">
        <v>80</v>
      </c>
      <c r="G126" s="222" t="s">
        <v>1721</v>
      </c>
      <c r="H126" s="222">
        <v>2013</v>
      </c>
      <c r="I126" s="222">
        <v>6.2341973029245903</v>
      </c>
      <c r="J126" s="222">
        <v>2.89887691823199</v>
      </c>
      <c r="K126" s="222">
        <v>2.3476836635539202</v>
      </c>
      <c r="L126" s="222" t="s">
        <v>848</v>
      </c>
      <c r="M126" s="222" t="s">
        <v>3088</v>
      </c>
      <c r="N126" s="222">
        <v>3.9344024476481498E-2</v>
      </c>
      <c r="O126" s="222">
        <v>2.0131536439579002E-3</v>
      </c>
      <c r="P126" s="222" t="s">
        <v>2298</v>
      </c>
      <c r="Q126" s="222" t="s">
        <v>1543</v>
      </c>
      <c r="R126" s="222" t="s">
        <v>1551</v>
      </c>
    </row>
    <row r="127" spans="1:18">
      <c r="A127" s="222" t="s">
        <v>3193</v>
      </c>
      <c r="B127" s="222" t="s">
        <v>3082</v>
      </c>
      <c r="C127" s="222" t="s">
        <v>3032</v>
      </c>
      <c r="D127" s="222">
        <v>55</v>
      </c>
      <c r="E127" s="222">
        <v>2013</v>
      </c>
      <c r="F127" s="222">
        <v>55</v>
      </c>
      <c r="G127" s="222" t="s">
        <v>1721</v>
      </c>
      <c r="H127" s="222">
        <v>2013</v>
      </c>
      <c r="I127" s="222">
        <v>7.3623672280139596</v>
      </c>
      <c r="J127" s="222">
        <v>2.5578006730509899</v>
      </c>
      <c r="K127" s="222">
        <v>2.9874880166075299</v>
      </c>
      <c r="L127" s="222" t="s">
        <v>848</v>
      </c>
      <c r="M127" s="222" t="s">
        <v>3083</v>
      </c>
      <c r="N127" s="222">
        <v>4.0219001510387403E-2</v>
      </c>
      <c r="O127" s="222">
        <v>1.00220697154811E-3</v>
      </c>
      <c r="P127" s="222" t="s">
        <v>1987</v>
      </c>
      <c r="Q127" s="222" t="s">
        <v>1987</v>
      </c>
      <c r="R127" s="222" t="s">
        <v>3194</v>
      </c>
    </row>
    <row r="128" spans="1:18">
      <c r="A128" s="222" t="s">
        <v>3195</v>
      </c>
      <c r="B128" s="222" t="s">
        <v>3087</v>
      </c>
      <c r="C128" s="222" t="s">
        <v>2843</v>
      </c>
      <c r="D128" s="222">
        <v>80</v>
      </c>
      <c r="E128" s="222">
        <v>2013</v>
      </c>
      <c r="F128" s="222">
        <v>80</v>
      </c>
      <c r="G128" s="222" t="s">
        <v>1721</v>
      </c>
      <c r="H128" s="222">
        <v>2013</v>
      </c>
      <c r="I128" s="222">
        <v>6.9550214714838203</v>
      </c>
      <c r="J128" s="222">
        <v>2.8332447580750202</v>
      </c>
      <c r="K128" s="222">
        <v>2.7670934944049699</v>
      </c>
      <c r="L128" s="222" t="s">
        <v>848</v>
      </c>
      <c r="M128" s="222" t="s">
        <v>3088</v>
      </c>
      <c r="N128" s="222">
        <v>4.0986600829645399E-2</v>
      </c>
      <c r="O128" s="222">
        <v>2.1883835815605999E-3</v>
      </c>
      <c r="P128" s="222" t="s">
        <v>2298</v>
      </c>
      <c r="Q128" s="222" t="s">
        <v>1543</v>
      </c>
      <c r="R128" s="222" t="s">
        <v>3196</v>
      </c>
    </row>
    <row r="129" spans="1:19">
      <c r="A129" s="222" t="s">
        <v>1552</v>
      </c>
      <c r="B129" s="222" t="s">
        <v>3087</v>
      </c>
      <c r="C129" s="222" t="s">
        <v>2843</v>
      </c>
      <c r="D129" s="222">
        <v>80</v>
      </c>
      <c r="E129" s="222">
        <v>2013</v>
      </c>
      <c r="F129" s="222">
        <v>80</v>
      </c>
      <c r="G129" s="222" t="s">
        <v>1721</v>
      </c>
      <c r="H129" s="222">
        <v>2013</v>
      </c>
      <c r="I129" s="222">
        <v>6.363201597842</v>
      </c>
      <c r="J129" s="222">
        <v>2.8680507305073699</v>
      </c>
      <c r="K129" s="222">
        <v>1.89776984684072</v>
      </c>
      <c r="L129" s="222" t="s">
        <v>848</v>
      </c>
      <c r="M129" s="222" t="s">
        <v>3088</v>
      </c>
      <c r="N129" s="222">
        <v>4.0986600829645399E-2</v>
      </c>
      <c r="O129" s="222">
        <v>2.1552964297764901E-3</v>
      </c>
      <c r="P129" s="222" t="s">
        <v>2298</v>
      </c>
      <c r="Q129" s="222" t="s">
        <v>1543</v>
      </c>
      <c r="R129" s="222" t="s">
        <v>1551</v>
      </c>
    </row>
    <row r="130" spans="1:19">
      <c r="A130" s="222" t="s">
        <v>2229</v>
      </c>
      <c r="B130" s="222" t="s">
        <v>3093</v>
      </c>
      <c r="C130" s="222" t="s">
        <v>2836</v>
      </c>
      <c r="D130" s="222">
        <v>30</v>
      </c>
      <c r="E130" s="222">
        <v>2014</v>
      </c>
      <c r="F130" s="222">
        <v>30</v>
      </c>
      <c r="G130" s="222" t="s">
        <v>1708</v>
      </c>
      <c r="H130" s="222">
        <v>2014</v>
      </c>
      <c r="I130" s="222">
        <v>1.3862854585372499</v>
      </c>
      <c r="J130" s="222">
        <v>0.84044091870971505</v>
      </c>
      <c r="K130" s="222">
        <v>0.77960750078983199</v>
      </c>
      <c r="L130" s="222" t="s">
        <v>848</v>
      </c>
      <c r="M130" s="222" t="s">
        <v>3094</v>
      </c>
      <c r="N130" s="222">
        <v>4.1649890972302997E-2</v>
      </c>
      <c r="O130" s="222">
        <v>1.1102162231751199E-3</v>
      </c>
      <c r="P130" s="222" t="s">
        <v>1710</v>
      </c>
      <c r="Q130" s="222" t="s">
        <v>1715</v>
      </c>
      <c r="R130" s="222" t="s">
        <v>2230</v>
      </c>
    </row>
    <row r="131" spans="1:19">
      <c r="A131" s="222" t="s">
        <v>2935</v>
      </c>
      <c r="B131" s="222" t="s">
        <v>3093</v>
      </c>
      <c r="C131" s="222" t="s">
        <v>2836</v>
      </c>
      <c r="D131" s="222">
        <v>30</v>
      </c>
      <c r="E131" s="222">
        <v>2014</v>
      </c>
      <c r="F131" s="222">
        <v>30</v>
      </c>
      <c r="G131" s="222" t="s">
        <v>1708</v>
      </c>
      <c r="H131" s="222">
        <v>2014</v>
      </c>
      <c r="I131" s="222">
        <v>1.9043447624390699</v>
      </c>
      <c r="J131" s="222">
        <v>0.84659660098382805</v>
      </c>
      <c r="K131" s="222">
        <v>1.0804857202559801</v>
      </c>
      <c r="L131" s="222" t="s">
        <v>848</v>
      </c>
      <c r="M131" s="222" t="s">
        <v>3094</v>
      </c>
      <c r="N131" s="222">
        <v>4.1649890972302997E-2</v>
      </c>
      <c r="O131" s="222">
        <v>1.11811787845108E-3</v>
      </c>
      <c r="P131" s="222" t="s">
        <v>2061</v>
      </c>
      <c r="Q131" s="222" t="s">
        <v>2310</v>
      </c>
      <c r="R131" s="222" t="s">
        <v>3197</v>
      </c>
    </row>
    <row r="132" spans="1:19">
      <c r="A132" s="222" t="s">
        <v>3198</v>
      </c>
      <c r="B132" s="222" t="s">
        <v>3139</v>
      </c>
      <c r="C132" s="222" t="s">
        <v>2843</v>
      </c>
      <c r="D132" s="222">
        <v>80</v>
      </c>
      <c r="E132" s="222">
        <v>2014</v>
      </c>
      <c r="F132" s="222">
        <v>80</v>
      </c>
      <c r="G132" s="222" t="s">
        <v>440</v>
      </c>
      <c r="H132" s="222">
        <v>2014</v>
      </c>
      <c r="I132" s="222">
        <v>-4.9033094679153102</v>
      </c>
      <c r="J132" s="222">
        <v>-2.4943679713480799E-2</v>
      </c>
      <c r="K132" s="222">
        <v>-5.8190019965658504</v>
      </c>
      <c r="L132" s="222" t="s">
        <v>848</v>
      </c>
      <c r="M132" s="222" t="s">
        <v>3140</v>
      </c>
      <c r="N132" s="222">
        <v>4.43166826840082E-2</v>
      </c>
      <c r="O132" s="231">
        <v>5.9824564369250302E-4</v>
      </c>
      <c r="P132" s="222" t="s">
        <v>1710</v>
      </c>
      <c r="Q132" s="222" t="s">
        <v>2014</v>
      </c>
      <c r="R132" s="222" t="s">
        <v>3199</v>
      </c>
      <c r="S132" s="222" t="s">
        <v>3200</v>
      </c>
    </row>
    <row r="133" spans="1:19">
      <c r="A133" s="222" t="s">
        <v>3201</v>
      </c>
      <c r="B133" s="222" t="s">
        <v>3139</v>
      </c>
      <c r="C133" s="222" t="s">
        <v>2843</v>
      </c>
      <c r="D133" s="222">
        <v>80</v>
      </c>
      <c r="E133" s="222">
        <v>2014</v>
      </c>
      <c r="F133" s="222">
        <v>80</v>
      </c>
      <c r="G133" s="222" t="s">
        <v>440</v>
      </c>
      <c r="H133" s="222">
        <v>2014</v>
      </c>
      <c r="I133" s="222">
        <v>7.7392124379870504</v>
      </c>
      <c r="J133" s="222">
        <v>1.7576895700353201E-2</v>
      </c>
      <c r="K133" s="222">
        <v>2.71130180936867</v>
      </c>
      <c r="L133" s="222" t="s">
        <v>848</v>
      </c>
      <c r="M133" s="222" t="s">
        <v>3140</v>
      </c>
      <c r="N133" s="222">
        <v>4.43166826840082E-2</v>
      </c>
      <c r="O133" s="231">
        <v>3.0062282689781997E-4</v>
      </c>
      <c r="P133" s="222" t="s">
        <v>1817</v>
      </c>
      <c r="Q133" s="222" t="s">
        <v>2062</v>
      </c>
      <c r="R133" s="222" t="s">
        <v>3202</v>
      </c>
    </row>
    <row r="134" spans="1:19">
      <c r="A134" s="222" t="s">
        <v>2175</v>
      </c>
      <c r="B134" s="222" t="s">
        <v>3139</v>
      </c>
      <c r="C134" s="222" t="s">
        <v>2843</v>
      </c>
      <c r="D134" s="222">
        <v>80</v>
      </c>
      <c r="E134" s="222">
        <v>2014</v>
      </c>
      <c r="F134" s="222">
        <v>80</v>
      </c>
      <c r="G134" s="222" t="s">
        <v>440</v>
      </c>
      <c r="H134" s="222">
        <v>2014</v>
      </c>
      <c r="I134" s="222">
        <v>-7.7578497818459899</v>
      </c>
      <c r="J134" s="222">
        <v>-1.60282476058967E-2</v>
      </c>
      <c r="K134" s="222">
        <v>0</v>
      </c>
      <c r="L134" s="222">
        <v>1</v>
      </c>
      <c r="M134" s="222" t="s">
        <v>3140</v>
      </c>
      <c r="N134" s="222">
        <v>4.43166826840082E-2</v>
      </c>
      <c r="O134" s="231">
        <v>5.4897333580113095E-4</v>
      </c>
      <c r="P134" s="222" t="s">
        <v>2061</v>
      </c>
      <c r="Q134" s="222" t="s">
        <v>2161</v>
      </c>
      <c r="R134" s="222" t="s">
        <v>2176</v>
      </c>
    </row>
    <row r="135" spans="1:19">
      <c r="A135" s="222" t="s">
        <v>3203</v>
      </c>
      <c r="B135" s="222" t="s">
        <v>3139</v>
      </c>
      <c r="C135" s="222" t="s">
        <v>2843</v>
      </c>
      <c r="D135" s="222">
        <v>80</v>
      </c>
      <c r="E135" s="222">
        <v>2014</v>
      </c>
      <c r="F135" s="222">
        <v>80</v>
      </c>
      <c r="G135" s="222" t="s">
        <v>440</v>
      </c>
      <c r="H135" s="222">
        <v>2014</v>
      </c>
      <c r="I135" s="222">
        <v>6.0620877991915298</v>
      </c>
      <c r="J135" s="222">
        <v>2.1561656703629299E-2</v>
      </c>
      <c r="K135" s="222">
        <v>2.2156437472683002</v>
      </c>
      <c r="L135" s="222" t="s">
        <v>848</v>
      </c>
      <c r="M135" s="222" t="s">
        <v>3140</v>
      </c>
      <c r="N135" s="222">
        <v>4.43166826840082E-2</v>
      </c>
      <c r="O135" s="231">
        <v>3.91686940647443E-4</v>
      </c>
      <c r="P135" s="222" t="s">
        <v>1710</v>
      </c>
      <c r="Q135" s="222" t="s">
        <v>3204</v>
      </c>
      <c r="R135" s="222" t="s">
        <v>3205</v>
      </c>
    </row>
    <row r="136" spans="1:19">
      <c r="A136" s="222" t="s">
        <v>2616</v>
      </c>
      <c r="B136" s="222" t="s">
        <v>3139</v>
      </c>
      <c r="C136" s="222" t="s">
        <v>2843</v>
      </c>
      <c r="D136" s="222">
        <v>80</v>
      </c>
      <c r="E136" s="222">
        <v>2014</v>
      </c>
      <c r="F136" s="222">
        <v>80</v>
      </c>
      <c r="G136" s="222" t="s">
        <v>440</v>
      </c>
      <c r="H136" s="222">
        <v>2014</v>
      </c>
      <c r="I136" s="222">
        <v>-8.17863453293681</v>
      </c>
      <c r="J136" s="222">
        <v>-1.62980846349846E-2</v>
      </c>
      <c r="K136" s="222">
        <v>0</v>
      </c>
      <c r="L136" s="222">
        <v>1</v>
      </c>
      <c r="M136" s="222" t="s">
        <v>3140</v>
      </c>
      <c r="N136" s="222">
        <v>4.43166826840082E-2</v>
      </c>
      <c r="O136" s="231">
        <v>3.4658174111902199E-4</v>
      </c>
      <c r="P136" s="222" t="s">
        <v>2056</v>
      </c>
      <c r="Q136" s="222" t="s">
        <v>2433</v>
      </c>
      <c r="R136" s="222" t="s">
        <v>3114</v>
      </c>
    </row>
    <row r="137" spans="1:19">
      <c r="A137" s="222" t="s">
        <v>1863</v>
      </c>
      <c r="B137" s="222" t="s">
        <v>3139</v>
      </c>
      <c r="C137" s="222" t="s">
        <v>2843</v>
      </c>
      <c r="D137" s="222">
        <v>80</v>
      </c>
      <c r="E137" s="222">
        <v>2014</v>
      </c>
      <c r="F137" s="222">
        <v>80</v>
      </c>
      <c r="G137" s="222" t="s">
        <v>440</v>
      </c>
      <c r="H137" s="222">
        <v>2014</v>
      </c>
      <c r="I137" s="222">
        <v>5.4454763266813604</v>
      </c>
      <c r="J137" s="222">
        <v>2.2286318964134501E-2</v>
      </c>
      <c r="K137" s="222">
        <v>2.6383302302804599</v>
      </c>
      <c r="L137" s="222" t="s">
        <v>848</v>
      </c>
      <c r="M137" s="222" t="s">
        <v>3140</v>
      </c>
      <c r="N137" s="222">
        <v>4.43166826840082E-2</v>
      </c>
      <c r="O137" s="231">
        <v>6.3225224123188205E-4</v>
      </c>
      <c r="P137" s="222" t="s">
        <v>2394</v>
      </c>
      <c r="Q137" s="222" t="s">
        <v>2433</v>
      </c>
      <c r="R137" s="222" t="s">
        <v>3206</v>
      </c>
    </row>
    <row r="138" spans="1:19">
      <c r="A138" s="222" t="s">
        <v>3207</v>
      </c>
      <c r="B138" s="222" t="s">
        <v>3139</v>
      </c>
      <c r="C138" s="222" t="s">
        <v>2843</v>
      </c>
      <c r="D138" s="222">
        <v>80</v>
      </c>
      <c r="E138" s="222">
        <v>2014</v>
      </c>
      <c r="F138" s="222">
        <v>80</v>
      </c>
      <c r="G138" s="222" t="s">
        <v>440</v>
      </c>
      <c r="H138" s="222">
        <v>2014</v>
      </c>
      <c r="I138" s="222">
        <v>6.0495418744246203</v>
      </c>
      <c r="J138" s="222">
        <v>1.9517895503382399E-2</v>
      </c>
      <c r="K138" s="222">
        <v>2.3052613161756699</v>
      </c>
      <c r="L138" s="222" t="s">
        <v>848</v>
      </c>
      <c r="M138" s="222" t="s">
        <v>3140</v>
      </c>
      <c r="N138" s="222">
        <v>4.43166826840082E-2</v>
      </c>
      <c r="O138" s="231">
        <v>7.5345850236158401E-4</v>
      </c>
      <c r="P138" s="222" t="s">
        <v>1710</v>
      </c>
      <c r="Q138" s="222" t="s">
        <v>2536</v>
      </c>
      <c r="R138" s="222" t="s">
        <v>3208</v>
      </c>
      <c r="S138" s="222" t="s">
        <v>3209</v>
      </c>
    </row>
    <row r="139" spans="1:19">
      <c r="A139" s="222" t="s">
        <v>2137</v>
      </c>
      <c r="B139" s="222" t="s">
        <v>3139</v>
      </c>
      <c r="C139" s="222" t="s">
        <v>2843</v>
      </c>
      <c r="D139" s="222">
        <v>80</v>
      </c>
      <c r="E139" s="222">
        <v>2014</v>
      </c>
      <c r="F139" s="222">
        <v>80</v>
      </c>
      <c r="G139" s="222" t="s">
        <v>440</v>
      </c>
      <c r="H139" s="222">
        <v>2014</v>
      </c>
      <c r="I139" s="222">
        <v>4.29315282823441</v>
      </c>
      <c r="J139" s="222">
        <v>2.68357778375851E-2</v>
      </c>
      <c r="K139" s="222">
        <v>2.28667347041387</v>
      </c>
      <c r="L139" s="222" t="s">
        <v>848</v>
      </c>
      <c r="M139" s="222" t="s">
        <v>3140</v>
      </c>
      <c r="N139" s="222">
        <v>4.43166826840082E-2</v>
      </c>
      <c r="O139" s="231">
        <v>8.5824561535931504E-4</v>
      </c>
      <c r="P139" s="222" t="s">
        <v>2056</v>
      </c>
      <c r="Q139" s="222" t="s">
        <v>2594</v>
      </c>
      <c r="R139" s="222" t="s">
        <v>2138</v>
      </c>
    </row>
    <row r="140" spans="1:19">
      <c r="A140" s="222" t="s">
        <v>2142</v>
      </c>
      <c r="B140" s="222" t="s">
        <v>3139</v>
      </c>
      <c r="C140" s="222" t="s">
        <v>2843</v>
      </c>
      <c r="D140" s="222">
        <v>80</v>
      </c>
      <c r="E140" s="222">
        <v>2014</v>
      </c>
      <c r="F140" s="222">
        <v>80</v>
      </c>
      <c r="G140" s="222" t="s">
        <v>440</v>
      </c>
      <c r="H140" s="222">
        <v>2014</v>
      </c>
      <c r="I140" s="222">
        <v>-7.6519067633363296</v>
      </c>
      <c r="J140" s="222">
        <v>-1.51771337809401E-2</v>
      </c>
      <c r="K140" s="222">
        <v>0</v>
      </c>
      <c r="L140" s="222">
        <v>1</v>
      </c>
      <c r="M140" s="222" t="s">
        <v>3140</v>
      </c>
      <c r="N140" s="222">
        <v>4.43166826840082E-2</v>
      </c>
      <c r="O140" s="231">
        <v>8.3938682995387799E-4</v>
      </c>
      <c r="P140" s="222" t="s">
        <v>2056</v>
      </c>
      <c r="Q140" s="222" t="s">
        <v>2611</v>
      </c>
      <c r="R140" s="222" t="s">
        <v>3147</v>
      </c>
    </row>
    <row r="141" spans="1:19">
      <c r="A141" s="222" t="s">
        <v>2891</v>
      </c>
      <c r="B141" s="222" t="s">
        <v>3087</v>
      </c>
      <c r="C141" s="222" t="s">
        <v>2843</v>
      </c>
      <c r="D141" s="222">
        <v>80</v>
      </c>
      <c r="E141" s="222">
        <v>2013</v>
      </c>
      <c r="F141" s="222">
        <v>80</v>
      </c>
      <c r="G141" s="222" t="s">
        <v>1721</v>
      </c>
      <c r="H141" s="222">
        <v>2013</v>
      </c>
      <c r="I141" s="222">
        <v>5.87428667393457</v>
      </c>
      <c r="J141" s="222">
        <v>2.8196190229734301</v>
      </c>
      <c r="K141" s="222">
        <v>2.41168160945004</v>
      </c>
      <c r="L141" s="222" t="s">
        <v>848</v>
      </c>
      <c r="M141" s="222" t="s">
        <v>3088</v>
      </c>
      <c r="N141" s="222">
        <v>4.4675075944755199E-2</v>
      </c>
      <c r="O141" s="222">
        <v>2.4350152628398302E-3</v>
      </c>
      <c r="P141" s="222" t="s">
        <v>1715</v>
      </c>
      <c r="Q141" s="222" t="s">
        <v>1715</v>
      </c>
      <c r="R141" s="222" t="s">
        <v>3210</v>
      </c>
    </row>
    <row r="142" spans="1:19">
      <c r="A142" s="222" t="s">
        <v>1753</v>
      </c>
      <c r="B142" s="222" t="s">
        <v>3093</v>
      </c>
      <c r="C142" s="222" t="s">
        <v>2836</v>
      </c>
      <c r="D142" s="222">
        <v>30</v>
      </c>
      <c r="E142" s="222">
        <v>2014</v>
      </c>
      <c r="F142" s="222">
        <v>30</v>
      </c>
      <c r="G142" s="222" t="s">
        <v>1708</v>
      </c>
      <c r="H142" s="222">
        <v>2014</v>
      </c>
      <c r="I142" s="222">
        <v>1.7044438500294801</v>
      </c>
      <c r="J142" s="222">
        <v>0.80983609855981797</v>
      </c>
      <c r="K142" s="222">
        <v>1.1217595608309601</v>
      </c>
      <c r="L142" s="222" t="s">
        <v>848</v>
      </c>
      <c r="M142" s="222" t="s">
        <v>3094</v>
      </c>
      <c r="N142" s="222">
        <v>4.5687154605370303E-2</v>
      </c>
      <c r="O142" s="222">
        <v>1.51517773649746E-3</v>
      </c>
      <c r="P142" s="222" t="s">
        <v>1715</v>
      </c>
      <c r="Q142" s="222" t="s">
        <v>1715</v>
      </c>
      <c r="R142" s="222" t="s">
        <v>3211</v>
      </c>
    </row>
    <row r="143" spans="1:19">
      <c r="A143" s="222" t="s">
        <v>1910</v>
      </c>
      <c r="B143" s="222" t="s">
        <v>3093</v>
      </c>
      <c r="C143" s="222" t="s">
        <v>2836</v>
      </c>
      <c r="D143" s="222">
        <v>30</v>
      </c>
      <c r="E143" s="222">
        <v>2014</v>
      </c>
      <c r="F143" s="222">
        <v>30</v>
      </c>
      <c r="G143" s="222" t="s">
        <v>1708</v>
      </c>
      <c r="H143" s="222">
        <v>2014</v>
      </c>
      <c r="I143" s="222">
        <v>1.40559683577799</v>
      </c>
      <c r="J143" s="222">
        <v>0.80099590140530097</v>
      </c>
      <c r="K143" s="222">
        <v>0.99863700055482196</v>
      </c>
      <c r="L143" s="222" t="s">
        <v>848</v>
      </c>
      <c r="M143" s="222" t="s">
        <v>3094</v>
      </c>
      <c r="N143" s="222">
        <v>4.5687154605370303E-2</v>
      </c>
      <c r="O143" s="222">
        <v>1.55008129954721E-3</v>
      </c>
      <c r="P143" s="222" t="s">
        <v>1889</v>
      </c>
      <c r="Q143" s="222" t="s">
        <v>1597</v>
      </c>
      <c r="R143" s="222" t="s">
        <v>1911</v>
      </c>
    </row>
    <row r="144" spans="1:19">
      <c r="A144" s="222" t="s">
        <v>1529</v>
      </c>
      <c r="B144" s="222" t="s">
        <v>3093</v>
      </c>
      <c r="C144" s="222" t="s">
        <v>2836</v>
      </c>
      <c r="D144" s="222">
        <v>30</v>
      </c>
      <c r="E144" s="222">
        <v>2014</v>
      </c>
      <c r="F144" s="222">
        <v>30</v>
      </c>
      <c r="G144" s="222" t="s">
        <v>1708</v>
      </c>
      <c r="H144" s="222">
        <v>2014</v>
      </c>
      <c r="I144" s="222">
        <v>2.0614998823901201</v>
      </c>
      <c r="J144" s="222">
        <v>0.74366469561457105</v>
      </c>
      <c r="K144" s="222">
        <v>-0.309910672242796</v>
      </c>
      <c r="L144" s="222" t="s">
        <v>848</v>
      </c>
      <c r="M144" s="222" t="s">
        <v>3094</v>
      </c>
      <c r="N144" s="222">
        <v>4.5687154605370303E-2</v>
      </c>
      <c r="O144" s="222">
        <v>1.73569639251698E-3</v>
      </c>
      <c r="P144" s="222" t="s">
        <v>2313</v>
      </c>
      <c r="Q144" s="222" t="s">
        <v>1524</v>
      </c>
      <c r="R144" s="222" t="s">
        <v>1530</v>
      </c>
    </row>
    <row r="145" spans="1:19">
      <c r="A145" s="222" t="s">
        <v>2309</v>
      </c>
      <c r="B145" s="222" t="s">
        <v>3093</v>
      </c>
      <c r="C145" s="222" t="s">
        <v>2836</v>
      </c>
      <c r="D145" s="222">
        <v>30</v>
      </c>
      <c r="E145" s="222">
        <v>2014</v>
      </c>
      <c r="F145" s="222">
        <v>30</v>
      </c>
      <c r="G145" s="222" t="s">
        <v>1708</v>
      </c>
      <c r="H145" s="222">
        <v>2014</v>
      </c>
      <c r="I145" s="222">
        <v>1.6473336042664799</v>
      </c>
      <c r="J145" s="222">
        <v>0.78029664923747899</v>
      </c>
      <c r="K145" s="222">
        <v>1.0506743259817299</v>
      </c>
      <c r="L145" s="222" t="s">
        <v>848</v>
      </c>
      <c r="M145" s="222" t="s">
        <v>3094</v>
      </c>
      <c r="N145" s="222">
        <v>4.5687154605370303E-2</v>
      </c>
      <c r="O145" s="222">
        <v>1.8397511921625601E-3</v>
      </c>
      <c r="P145" s="222" t="s">
        <v>1710</v>
      </c>
      <c r="Q145" s="222" t="s">
        <v>2310</v>
      </c>
      <c r="R145" s="222" t="s">
        <v>2311</v>
      </c>
    </row>
    <row r="146" spans="1:19">
      <c r="A146" s="222" t="s">
        <v>3212</v>
      </c>
      <c r="B146" s="222" t="s">
        <v>3087</v>
      </c>
      <c r="C146" s="222" t="s">
        <v>2843</v>
      </c>
      <c r="D146" s="222">
        <v>80</v>
      </c>
      <c r="E146" s="222">
        <v>2013</v>
      </c>
      <c r="F146" s="222">
        <v>80</v>
      </c>
      <c r="G146" s="222" t="s">
        <v>1721</v>
      </c>
      <c r="H146" s="222">
        <v>2013</v>
      </c>
      <c r="I146" s="222">
        <v>6.2369355616976003</v>
      </c>
      <c r="J146" s="222">
        <v>2.7957471185882801</v>
      </c>
      <c r="K146" s="222">
        <v>2.4314000579822701</v>
      </c>
      <c r="L146" s="222" t="s">
        <v>848</v>
      </c>
      <c r="M146" s="222" t="s">
        <v>3088</v>
      </c>
      <c r="N146" s="222">
        <v>4.6163926727616697E-2</v>
      </c>
      <c r="O146" s="222">
        <v>2.56751539085743E-3</v>
      </c>
      <c r="P146" s="222" t="s">
        <v>1710</v>
      </c>
      <c r="Q146" s="222" t="s">
        <v>2048</v>
      </c>
      <c r="R146" s="222" t="s">
        <v>3213</v>
      </c>
      <c r="S146" s="222" t="s">
        <v>3214</v>
      </c>
    </row>
    <row r="147" spans="1:19">
      <c r="A147" s="222" t="s">
        <v>2540</v>
      </c>
      <c r="B147" s="222" t="s">
        <v>3084</v>
      </c>
      <c r="C147" s="222" t="s">
        <v>2843</v>
      </c>
      <c r="D147" s="222">
        <v>80</v>
      </c>
      <c r="E147" s="222">
        <v>2013</v>
      </c>
      <c r="F147" s="222">
        <v>80</v>
      </c>
      <c r="G147" s="222" t="s">
        <v>1708</v>
      </c>
      <c r="H147" s="222">
        <v>2013</v>
      </c>
      <c r="I147" s="222">
        <v>5.65213521745408</v>
      </c>
      <c r="J147" s="222">
        <v>2.9636769751498901</v>
      </c>
      <c r="K147" s="222">
        <v>2.5597424940833702</v>
      </c>
      <c r="L147" s="222" t="s">
        <v>848</v>
      </c>
      <c r="M147" s="222" t="s">
        <v>3085</v>
      </c>
      <c r="N147" s="222">
        <v>4.6416999155301501E-2</v>
      </c>
      <c r="O147" s="231">
        <v>8.6580931066883695E-4</v>
      </c>
      <c r="P147" s="222" t="s">
        <v>2056</v>
      </c>
      <c r="Q147" s="222" t="s">
        <v>2611</v>
      </c>
      <c r="R147" s="222" t="s">
        <v>3215</v>
      </c>
    </row>
    <row r="148" spans="1:19">
      <c r="A148" s="222" t="s">
        <v>2535</v>
      </c>
      <c r="B148" s="222" t="s">
        <v>3091</v>
      </c>
      <c r="C148" s="222" t="s">
        <v>3032</v>
      </c>
      <c r="D148" s="222">
        <v>55</v>
      </c>
      <c r="E148" s="222">
        <v>2013</v>
      </c>
      <c r="F148" s="222">
        <v>55</v>
      </c>
      <c r="G148" s="222" t="s">
        <v>1708</v>
      </c>
      <c r="H148" s="222">
        <v>2013</v>
      </c>
      <c r="I148" s="222">
        <v>5.4176576839609103</v>
      </c>
      <c r="J148" s="222">
        <v>1.5487216216614299</v>
      </c>
      <c r="K148" s="222">
        <v>1.4586915023987399</v>
      </c>
      <c r="L148" s="222" t="s">
        <v>848</v>
      </c>
      <c r="M148" s="222" t="s">
        <v>3092</v>
      </c>
      <c r="N148" s="222">
        <v>4.64255858087088E-2</v>
      </c>
      <c r="O148" s="222">
        <v>1.7433808300905899E-3</v>
      </c>
      <c r="P148" s="222" t="s">
        <v>1710</v>
      </c>
      <c r="Q148" s="222" t="s">
        <v>2536</v>
      </c>
      <c r="R148" s="222" t="s">
        <v>2537</v>
      </c>
    </row>
    <row r="149" spans="1:19">
      <c r="A149" s="222" t="s">
        <v>2064</v>
      </c>
      <c r="B149" s="222" t="s">
        <v>3087</v>
      </c>
      <c r="C149" s="222" t="s">
        <v>2843</v>
      </c>
      <c r="D149" s="222">
        <v>80</v>
      </c>
      <c r="E149" s="222">
        <v>2013</v>
      </c>
      <c r="F149" s="222">
        <v>80</v>
      </c>
      <c r="G149" s="222" t="s">
        <v>1721</v>
      </c>
      <c r="H149" s="222">
        <v>2013</v>
      </c>
      <c r="I149" s="222">
        <v>-6.4685166169534201</v>
      </c>
      <c r="J149" s="222">
        <v>-2.7619609676025201</v>
      </c>
      <c r="K149" s="222">
        <v>0</v>
      </c>
      <c r="L149" s="222">
        <v>1</v>
      </c>
      <c r="M149" s="222" t="s">
        <v>3088</v>
      </c>
      <c r="N149" s="222">
        <v>4.6966205605931802E-2</v>
      </c>
      <c r="O149" s="222">
        <v>2.7219177738983099E-3</v>
      </c>
      <c r="P149" s="222" t="s">
        <v>1710</v>
      </c>
      <c r="Q149" s="222" t="s">
        <v>2048</v>
      </c>
      <c r="R149" s="222" t="s">
        <v>2065</v>
      </c>
    </row>
    <row r="150" spans="1:19">
      <c r="A150" s="222" t="s">
        <v>1556</v>
      </c>
      <c r="B150" s="222" t="s">
        <v>3087</v>
      </c>
      <c r="C150" s="222" t="s">
        <v>2843</v>
      </c>
      <c r="D150" s="222">
        <v>80</v>
      </c>
      <c r="E150" s="222">
        <v>2013</v>
      </c>
      <c r="F150" s="222">
        <v>80</v>
      </c>
      <c r="G150" s="222" t="s">
        <v>1721</v>
      </c>
      <c r="H150" s="222">
        <v>2013</v>
      </c>
      <c r="I150" s="222">
        <v>4.1743580191605902</v>
      </c>
      <c r="J150" s="222">
        <v>2.5748523870015498</v>
      </c>
      <c r="K150" s="222">
        <v>2.3676218293904401</v>
      </c>
      <c r="L150" s="222" t="s">
        <v>848</v>
      </c>
      <c r="M150" s="222" t="s">
        <v>3088</v>
      </c>
      <c r="N150" s="222">
        <v>4.6966205605931802E-2</v>
      </c>
      <c r="O150" s="222">
        <v>2.8211068995776601E-3</v>
      </c>
      <c r="P150" s="222" t="s">
        <v>2298</v>
      </c>
      <c r="Q150" s="222" t="s">
        <v>1543</v>
      </c>
      <c r="R150" s="222" t="s">
        <v>1555</v>
      </c>
    </row>
    <row r="151" spans="1:19">
      <c r="A151" s="222" t="s">
        <v>3216</v>
      </c>
      <c r="B151" s="222" t="s">
        <v>3087</v>
      </c>
      <c r="C151" s="222" t="s">
        <v>2843</v>
      </c>
      <c r="D151" s="222">
        <v>80</v>
      </c>
      <c r="E151" s="222">
        <v>2013</v>
      </c>
      <c r="F151" s="222">
        <v>80</v>
      </c>
      <c r="G151" s="222" t="s">
        <v>1721</v>
      </c>
      <c r="H151" s="222">
        <v>2013</v>
      </c>
      <c r="I151" s="222">
        <v>5.0417320040253699</v>
      </c>
      <c r="J151" s="222">
        <v>2.71851214268559</v>
      </c>
      <c r="K151" s="222">
        <v>2.3494728028744798</v>
      </c>
      <c r="L151" s="222" t="s">
        <v>848</v>
      </c>
      <c r="M151" s="222" t="s">
        <v>3088</v>
      </c>
      <c r="N151" s="222">
        <v>4.6966205605931802E-2</v>
      </c>
      <c r="O151" s="222">
        <v>2.8156702507858402E-3</v>
      </c>
      <c r="P151" s="222" t="s">
        <v>2056</v>
      </c>
      <c r="Q151" s="222" t="s">
        <v>2433</v>
      </c>
      <c r="R151" s="222" t="s">
        <v>3217</v>
      </c>
      <c r="S151" s="222" t="s">
        <v>3218</v>
      </c>
    </row>
    <row r="152" spans="1:19">
      <c r="A152" s="222" t="s">
        <v>3219</v>
      </c>
      <c r="B152" s="222" t="s">
        <v>3087</v>
      </c>
      <c r="C152" s="222" t="s">
        <v>2843</v>
      </c>
      <c r="D152" s="222">
        <v>80</v>
      </c>
      <c r="E152" s="222">
        <v>2013</v>
      </c>
      <c r="F152" s="222">
        <v>80</v>
      </c>
      <c r="G152" s="222" t="s">
        <v>1721</v>
      </c>
      <c r="H152" s="222">
        <v>2013</v>
      </c>
      <c r="I152" s="222">
        <v>6.9085770257611898</v>
      </c>
      <c r="J152" s="222">
        <v>2.7342625172998001</v>
      </c>
      <c r="K152" s="222">
        <v>2.5146797991966201</v>
      </c>
      <c r="L152" s="222" t="s">
        <v>848</v>
      </c>
      <c r="M152" s="222" t="s">
        <v>3088</v>
      </c>
      <c r="N152" s="222">
        <v>4.6966205605931802E-2</v>
      </c>
      <c r="O152" s="222">
        <v>2.7245818442201601E-3</v>
      </c>
      <c r="P152" s="222" t="s">
        <v>2056</v>
      </c>
      <c r="Q152" s="222" t="s">
        <v>2611</v>
      </c>
      <c r="R152" s="222" t="s">
        <v>3220</v>
      </c>
    </row>
    <row r="153" spans="1:19">
      <c r="A153" s="222" t="s">
        <v>3221</v>
      </c>
      <c r="B153" s="222" t="s">
        <v>3084</v>
      </c>
      <c r="C153" s="222" t="s">
        <v>2843</v>
      </c>
      <c r="D153" s="222">
        <v>80</v>
      </c>
      <c r="E153" s="222">
        <v>2013</v>
      </c>
      <c r="F153" s="222">
        <v>80</v>
      </c>
      <c r="G153" s="222" t="s">
        <v>1708</v>
      </c>
      <c r="H153" s="222">
        <v>2013</v>
      </c>
      <c r="I153" s="222">
        <v>6.7376697058719897</v>
      </c>
      <c r="J153" s="222">
        <v>2.8182914312332898</v>
      </c>
      <c r="K153" s="222">
        <v>1.90412061950501</v>
      </c>
      <c r="L153" s="222" t="s">
        <v>848</v>
      </c>
      <c r="M153" s="222" t="s">
        <v>3085</v>
      </c>
      <c r="N153" s="222">
        <v>4.7267134726956497E-2</v>
      </c>
      <c r="O153" s="222">
        <v>1.02861122203739E-3</v>
      </c>
      <c r="P153" s="222" t="s">
        <v>2298</v>
      </c>
      <c r="Q153" s="222" t="s">
        <v>1543</v>
      </c>
      <c r="R153" s="222" t="s">
        <v>3222</v>
      </c>
    </row>
    <row r="154" spans="1:19">
      <c r="A154" s="222" t="s">
        <v>3223</v>
      </c>
      <c r="B154" s="222" t="s">
        <v>3084</v>
      </c>
      <c r="C154" s="222" t="s">
        <v>2843</v>
      </c>
      <c r="D154" s="222">
        <v>80</v>
      </c>
      <c r="E154" s="222">
        <v>2013</v>
      </c>
      <c r="F154" s="222">
        <v>80</v>
      </c>
      <c r="G154" s="222" t="s">
        <v>1708</v>
      </c>
      <c r="H154" s="222">
        <v>2013</v>
      </c>
      <c r="I154" s="222">
        <v>6.6726147724566598</v>
      </c>
      <c r="J154" s="222">
        <v>2.9005664891992802</v>
      </c>
      <c r="K154" s="222">
        <v>2.0560874939224099</v>
      </c>
      <c r="L154" s="222" t="s">
        <v>848</v>
      </c>
      <c r="M154" s="222" t="s">
        <v>3085</v>
      </c>
      <c r="N154" s="222">
        <v>4.7267134726956497E-2</v>
      </c>
      <c r="O154" s="231">
        <v>9.51746738860369E-4</v>
      </c>
      <c r="P154" s="222" t="s">
        <v>2056</v>
      </c>
      <c r="Q154" s="222" t="s">
        <v>2433</v>
      </c>
      <c r="R154" s="222" t="s">
        <v>3224</v>
      </c>
    </row>
    <row r="155" spans="1:19">
      <c r="A155" s="222" t="s">
        <v>3225</v>
      </c>
      <c r="B155" s="222" t="s">
        <v>3084</v>
      </c>
      <c r="C155" s="222" t="s">
        <v>2843</v>
      </c>
      <c r="D155" s="222">
        <v>80</v>
      </c>
      <c r="E155" s="222">
        <v>2013</v>
      </c>
      <c r="F155" s="222">
        <v>80</v>
      </c>
      <c r="G155" s="222" t="s">
        <v>1708</v>
      </c>
      <c r="H155" s="222">
        <v>2013</v>
      </c>
      <c r="I155" s="222">
        <v>7.4423317928113599</v>
      </c>
      <c r="J155" s="222">
        <v>2.7858075301239702</v>
      </c>
      <c r="K155" s="222">
        <v>2.3280937842450098</v>
      </c>
      <c r="L155" s="222" t="s">
        <v>848</v>
      </c>
      <c r="M155" s="222" t="s">
        <v>3085</v>
      </c>
      <c r="N155" s="222">
        <v>4.7267134726956497E-2</v>
      </c>
      <c r="O155" s="231">
        <v>9.9087408142977404E-4</v>
      </c>
      <c r="P155" s="222" t="s">
        <v>1710</v>
      </c>
      <c r="Q155" s="222" t="s">
        <v>2594</v>
      </c>
      <c r="R155" s="222" t="s">
        <v>3226</v>
      </c>
    </row>
    <row r="156" spans="1:19">
      <c r="A156" s="222" t="s">
        <v>1556</v>
      </c>
      <c r="B156" s="222" t="s">
        <v>3139</v>
      </c>
      <c r="C156" s="222" t="s">
        <v>2843</v>
      </c>
      <c r="D156" s="222">
        <v>80</v>
      </c>
      <c r="E156" s="222">
        <v>2014</v>
      </c>
      <c r="F156" s="222">
        <v>80</v>
      </c>
      <c r="G156" s="222" t="s">
        <v>440</v>
      </c>
      <c r="H156" s="222">
        <v>2014</v>
      </c>
      <c r="I156" s="222">
        <v>-6.0668653883853496</v>
      </c>
      <c r="J156" s="222">
        <v>-1.8501714708276999E-2</v>
      </c>
      <c r="K156" s="222">
        <v>-8.2249200075094802</v>
      </c>
      <c r="L156" s="222" t="s">
        <v>848</v>
      </c>
      <c r="M156" s="222" t="s">
        <v>3140</v>
      </c>
      <c r="N156" s="222">
        <v>4.8294189186828297E-2</v>
      </c>
      <c r="O156" s="222">
        <v>1.0202997715527101E-3</v>
      </c>
      <c r="P156" s="222" t="s">
        <v>2298</v>
      </c>
      <c r="Q156" s="222" t="s">
        <v>1543</v>
      </c>
      <c r="R156" s="222" t="s">
        <v>1555</v>
      </c>
    </row>
    <row r="157" spans="1:19">
      <c r="A157" s="222" t="s">
        <v>3227</v>
      </c>
      <c r="B157" s="222" t="s">
        <v>3087</v>
      </c>
      <c r="C157" s="222" t="s">
        <v>2843</v>
      </c>
      <c r="D157" s="222">
        <v>80</v>
      </c>
      <c r="E157" s="222">
        <v>2013</v>
      </c>
      <c r="F157" s="222">
        <v>80</v>
      </c>
      <c r="G157" s="222" t="s">
        <v>1721</v>
      </c>
      <c r="H157" s="222">
        <v>2013</v>
      </c>
      <c r="I157" s="222">
        <v>6.6653192211718899</v>
      </c>
      <c r="J157" s="222">
        <v>2.69652432195632</v>
      </c>
      <c r="K157" s="222">
        <v>2.6128291518009101</v>
      </c>
      <c r="L157" s="222" t="s">
        <v>848</v>
      </c>
      <c r="M157" s="222" t="s">
        <v>3088</v>
      </c>
      <c r="N157" s="222">
        <v>4.8349921198600598E-2</v>
      </c>
      <c r="O157" s="222">
        <v>3.0655678624251798E-3</v>
      </c>
      <c r="P157" s="222" t="s">
        <v>1889</v>
      </c>
      <c r="Q157" s="222" t="s">
        <v>1597</v>
      </c>
      <c r="R157" s="222" t="s">
        <v>3228</v>
      </c>
      <c r="S157" s="222" t="s">
        <v>3229</v>
      </c>
    </row>
    <row r="158" spans="1:19">
      <c r="A158" s="222" t="s">
        <v>3230</v>
      </c>
      <c r="B158" s="222" t="s">
        <v>3087</v>
      </c>
      <c r="C158" s="222" t="s">
        <v>2843</v>
      </c>
      <c r="D158" s="222">
        <v>80</v>
      </c>
      <c r="E158" s="222">
        <v>2013</v>
      </c>
      <c r="F158" s="222">
        <v>80</v>
      </c>
      <c r="G158" s="222" t="s">
        <v>1721</v>
      </c>
      <c r="H158" s="222">
        <v>2013</v>
      </c>
      <c r="I158" s="222">
        <v>5.8163110723867399</v>
      </c>
      <c r="J158" s="222">
        <v>2.7262597835862201</v>
      </c>
      <c r="K158" s="222">
        <v>2.0142917930182298</v>
      </c>
      <c r="L158" s="222" t="s">
        <v>848</v>
      </c>
      <c r="M158" s="222" t="s">
        <v>3088</v>
      </c>
      <c r="N158" s="222">
        <v>4.8349921198600598E-2</v>
      </c>
      <c r="O158" s="222">
        <v>3.05760867983219E-3</v>
      </c>
      <c r="P158" s="222" t="s">
        <v>2056</v>
      </c>
      <c r="Q158" s="222" t="s">
        <v>2611</v>
      </c>
      <c r="R158" s="222" t="s">
        <v>3231</v>
      </c>
    </row>
    <row r="159" spans="1:19">
      <c r="A159" s="222" t="s">
        <v>3232</v>
      </c>
      <c r="B159" s="222" t="s">
        <v>3087</v>
      </c>
      <c r="C159" s="222" t="s">
        <v>2843</v>
      </c>
      <c r="D159" s="222">
        <v>80</v>
      </c>
      <c r="E159" s="222">
        <v>2013</v>
      </c>
      <c r="F159" s="222">
        <v>80</v>
      </c>
      <c r="G159" s="222" t="s">
        <v>1721</v>
      </c>
      <c r="H159" s="222">
        <v>2013</v>
      </c>
      <c r="I159" s="222">
        <v>7.89961745813779</v>
      </c>
      <c r="J159" s="222">
        <v>2.57920516391613</v>
      </c>
      <c r="K159" s="222">
        <v>2.6942238819189099</v>
      </c>
      <c r="L159" s="222" t="s">
        <v>848</v>
      </c>
      <c r="M159" s="222" t="s">
        <v>3088</v>
      </c>
      <c r="N159" s="222">
        <v>4.8349921198600598E-2</v>
      </c>
      <c r="O159" s="222">
        <v>3.0318320144028699E-3</v>
      </c>
      <c r="P159" s="222" t="s">
        <v>2061</v>
      </c>
      <c r="Q159" s="222" t="s">
        <v>2310</v>
      </c>
      <c r="R159" s="222" t="s">
        <v>3233</v>
      </c>
    </row>
    <row r="160" spans="1:19">
      <c r="A160" s="222" t="s">
        <v>3129</v>
      </c>
      <c r="B160" s="222" t="s">
        <v>3234</v>
      </c>
      <c r="C160" s="222" t="s">
        <v>2843</v>
      </c>
      <c r="D160" s="222">
        <v>80</v>
      </c>
      <c r="E160" s="222">
        <v>2013</v>
      </c>
      <c r="F160" s="222">
        <v>80</v>
      </c>
      <c r="G160" s="222" t="s">
        <v>440</v>
      </c>
      <c r="H160" s="222">
        <v>2013</v>
      </c>
      <c r="I160" s="222">
        <v>7.72742360813759</v>
      </c>
      <c r="J160" s="222">
        <v>3.3523630124386299E-2</v>
      </c>
      <c r="K160" s="222">
        <v>2.0644579597494102</v>
      </c>
      <c r="L160" s="222" t="s">
        <v>848</v>
      </c>
      <c r="M160" s="222" t="s">
        <v>3235</v>
      </c>
      <c r="N160" s="222">
        <v>4.8368707158454601E-2</v>
      </c>
      <c r="O160" s="231">
        <v>1.4163603853134599E-5</v>
      </c>
      <c r="P160" s="222" t="s">
        <v>1715</v>
      </c>
      <c r="Q160" s="222" t="s">
        <v>1715</v>
      </c>
      <c r="R160" s="222" t="s">
        <v>3130</v>
      </c>
    </row>
    <row r="161" spans="1:19">
      <c r="A161" s="222" t="s">
        <v>1570</v>
      </c>
      <c r="B161" s="222" t="s">
        <v>3091</v>
      </c>
      <c r="C161" s="222" t="s">
        <v>3032</v>
      </c>
      <c r="D161" s="222">
        <v>55</v>
      </c>
      <c r="E161" s="222">
        <v>2013</v>
      </c>
      <c r="F161" s="222">
        <v>55</v>
      </c>
      <c r="G161" s="222" t="s">
        <v>1708</v>
      </c>
      <c r="H161" s="222">
        <v>2013</v>
      </c>
      <c r="I161" s="222">
        <v>6.2434730556669997</v>
      </c>
      <c r="J161" s="222">
        <v>1.6183531417202901</v>
      </c>
      <c r="K161" s="222">
        <v>2.0613156773576602</v>
      </c>
      <c r="L161" s="222" t="s">
        <v>848</v>
      </c>
      <c r="M161" s="222" t="s">
        <v>3092</v>
      </c>
      <c r="N161" s="222">
        <v>4.8393671745428898E-2</v>
      </c>
      <c r="O161" s="222">
        <v>1.8845936145646799E-3</v>
      </c>
      <c r="P161" s="222" t="s">
        <v>2298</v>
      </c>
      <c r="Q161" s="222" t="s">
        <v>1543</v>
      </c>
      <c r="R161" s="222" t="s">
        <v>1569</v>
      </c>
    </row>
    <row r="162" spans="1:19">
      <c r="A162" s="222" t="s">
        <v>2047</v>
      </c>
      <c r="B162" s="222" t="s">
        <v>3091</v>
      </c>
      <c r="C162" s="222" t="s">
        <v>3032</v>
      </c>
      <c r="D162" s="222">
        <v>55</v>
      </c>
      <c r="E162" s="222">
        <v>2013</v>
      </c>
      <c r="F162" s="222">
        <v>55</v>
      </c>
      <c r="G162" s="222" t="s">
        <v>1708</v>
      </c>
      <c r="H162" s="222">
        <v>2013</v>
      </c>
      <c r="I162" s="222">
        <v>5.1632822543343497</v>
      </c>
      <c r="J162" s="222">
        <v>1.3787122003640899</v>
      </c>
      <c r="K162" s="222">
        <v>2.1996489056967401</v>
      </c>
      <c r="L162" s="222" t="s">
        <v>848</v>
      </c>
      <c r="M162" s="222" t="s">
        <v>3092</v>
      </c>
      <c r="N162" s="222">
        <v>4.9465219369451599E-2</v>
      </c>
      <c r="O162" s="222">
        <v>1.99512011364965E-3</v>
      </c>
      <c r="P162" s="222" t="s">
        <v>1710</v>
      </c>
      <c r="Q162" s="222" t="s">
        <v>2048</v>
      </c>
      <c r="R162" s="222" t="s">
        <v>2049</v>
      </c>
      <c r="S162" s="222" t="s">
        <v>2050</v>
      </c>
    </row>
    <row r="163" spans="1:19">
      <c r="A163" s="222" t="s">
        <v>2142</v>
      </c>
      <c r="B163" s="222" t="s">
        <v>3087</v>
      </c>
      <c r="C163" s="222" t="s">
        <v>2843</v>
      </c>
      <c r="D163" s="222">
        <v>80</v>
      </c>
      <c r="E163" s="222">
        <v>2013</v>
      </c>
      <c r="F163" s="222">
        <v>80</v>
      </c>
      <c r="G163" s="222" t="s">
        <v>1721</v>
      </c>
      <c r="H163" s="222">
        <v>2013</v>
      </c>
      <c r="I163" s="222">
        <v>4.4888478693792102</v>
      </c>
      <c r="J163" s="222">
        <v>2.6023157621595998</v>
      </c>
      <c r="K163" s="222">
        <v>1.27615175228813</v>
      </c>
      <c r="L163" s="222" t="s">
        <v>848</v>
      </c>
      <c r="M163" s="222" t="s">
        <v>3088</v>
      </c>
      <c r="N163" s="222">
        <v>4.9667671463201002E-2</v>
      </c>
      <c r="O163" s="222">
        <v>3.20436590085168E-3</v>
      </c>
      <c r="P163" s="222" t="s">
        <v>2056</v>
      </c>
      <c r="Q163" s="222" t="s">
        <v>2611</v>
      </c>
      <c r="R163" s="222" t="s">
        <v>3147</v>
      </c>
    </row>
    <row r="164" spans="1:19">
      <c r="A164" s="222" t="s">
        <v>3100</v>
      </c>
      <c r="B164" s="222" t="s">
        <v>3082</v>
      </c>
      <c r="C164" s="222" t="s">
        <v>3032</v>
      </c>
      <c r="D164" s="222">
        <v>55</v>
      </c>
      <c r="E164" s="222">
        <v>2013</v>
      </c>
      <c r="F164" s="222">
        <v>55</v>
      </c>
      <c r="G164" s="222" t="s">
        <v>1721</v>
      </c>
      <c r="H164" s="222">
        <v>2013</v>
      </c>
      <c r="I164" s="222">
        <v>5.6842395147482403</v>
      </c>
      <c r="J164" s="222">
        <v>1.9345621056557101</v>
      </c>
      <c r="K164" s="222">
        <v>0.10460585422018499</v>
      </c>
      <c r="L164" s="222" t="s">
        <v>848</v>
      </c>
      <c r="M164" s="222" t="s">
        <v>3083</v>
      </c>
      <c r="N164" s="222">
        <v>4.9979536442290397E-2</v>
      </c>
      <c r="O164" s="222">
        <v>1.3058612942488E-3</v>
      </c>
      <c r="P164" s="222" t="s">
        <v>1817</v>
      </c>
      <c r="Q164" s="222" t="s">
        <v>2062</v>
      </c>
      <c r="R164" s="222" t="s">
        <v>3101</v>
      </c>
    </row>
    <row r="165" spans="1:19">
      <c r="A165" s="222" t="s">
        <v>1541</v>
      </c>
      <c r="B165" s="222" t="s">
        <v>3082</v>
      </c>
      <c r="C165" s="222" t="s">
        <v>3032</v>
      </c>
      <c r="D165" s="222">
        <v>55</v>
      </c>
      <c r="E165" s="222">
        <v>2013</v>
      </c>
      <c r="F165" s="222">
        <v>55</v>
      </c>
      <c r="G165" s="222" t="s">
        <v>1721</v>
      </c>
      <c r="H165" s="222">
        <v>2013</v>
      </c>
      <c r="I165" s="222">
        <v>6.7351784329878202</v>
      </c>
      <c r="J165" s="222">
        <v>2.0596221053339101</v>
      </c>
      <c r="K165" s="222">
        <v>2.6161020073930801</v>
      </c>
      <c r="L165" s="222" t="s">
        <v>848</v>
      </c>
      <c r="M165" s="222" t="s">
        <v>3083</v>
      </c>
      <c r="N165" s="222">
        <v>4.9979536442290397E-2</v>
      </c>
      <c r="O165" s="222">
        <v>1.4078742659800101E-3</v>
      </c>
      <c r="P165" s="222" t="s">
        <v>2298</v>
      </c>
      <c r="Q165" s="222" t="s">
        <v>1543</v>
      </c>
      <c r="R165" s="222" t="s">
        <v>1542</v>
      </c>
    </row>
    <row r="166" spans="1:19">
      <c r="A166" s="222" t="s">
        <v>1567</v>
      </c>
      <c r="B166" s="222" t="s">
        <v>3082</v>
      </c>
      <c r="C166" s="222" t="s">
        <v>3032</v>
      </c>
      <c r="D166" s="222">
        <v>55</v>
      </c>
      <c r="E166" s="222">
        <v>2013</v>
      </c>
      <c r="F166" s="222">
        <v>55</v>
      </c>
      <c r="G166" s="222" t="s">
        <v>1721</v>
      </c>
      <c r="H166" s="222">
        <v>2013</v>
      </c>
      <c r="I166" s="222">
        <v>6.2592364309029502</v>
      </c>
      <c r="J166" s="222">
        <v>1.9929195103799</v>
      </c>
      <c r="K166" s="222">
        <v>1.7409523357885901</v>
      </c>
      <c r="L166" s="222" t="s">
        <v>848</v>
      </c>
      <c r="M166" s="222" t="s">
        <v>3083</v>
      </c>
      <c r="N166" s="222">
        <v>4.9979536442290397E-2</v>
      </c>
      <c r="O166" s="222">
        <v>1.39322701887859E-3</v>
      </c>
      <c r="P166" s="222" t="s">
        <v>2298</v>
      </c>
      <c r="Q166" s="222" t="s">
        <v>1543</v>
      </c>
      <c r="R166" s="222" t="s">
        <v>1560</v>
      </c>
    </row>
  </sheetData>
  <mergeCells count="1">
    <mergeCell ref="A1:I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73DA-DE72-4057-9DBD-9929C0FBFECF}">
  <dimension ref="A1:AB252"/>
  <sheetViews>
    <sheetView workbookViewId="0">
      <selection sqref="A1:E3"/>
    </sheetView>
  </sheetViews>
  <sheetFormatPr defaultColWidth="10.875" defaultRowHeight="15"/>
  <cols>
    <col min="1" max="1" width="12.75" style="230" customWidth="1"/>
    <col min="2" max="2" width="25.125" style="230" customWidth="1"/>
    <col min="3" max="3" width="21.5" style="230" customWidth="1"/>
    <col min="4" max="4" width="19.5" style="230" customWidth="1"/>
    <col min="5" max="5" width="11.875" style="230" customWidth="1"/>
    <col min="6" max="6" width="18" style="230" customWidth="1"/>
    <col min="7" max="7" width="15.625" style="230" customWidth="1"/>
    <col min="8" max="16384" width="10.875" style="230"/>
  </cols>
  <sheetData>
    <row r="1" spans="1:28">
      <c r="A1" s="278" t="s">
        <v>3236</v>
      </c>
      <c r="B1" s="279"/>
      <c r="C1" s="279"/>
      <c r="D1" s="279"/>
      <c r="E1" s="280"/>
    </row>
    <row r="2" spans="1:28">
      <c r="A2" s="281"/>
      <c r="B2" s="282"/>
      <c r="C2" s="282"/>
      <c r="D2" s="282"/>
      <c r="E2" s="283"/>
    </row>
    <row r="3" spans="1:28" ht="16.5" customHeight="1">
      <c r="A3" s="284"/>
      <c r="B3" s="285"/>
      <c r="C3" s="285"/>
      <c r="D3" s="285"/>
      <c r="E3" s="286"/>
    </row>
    <row r="5" spans="1:28" ht="26.25">
      <c r="A5" s="232" t="s">
        <v>3237</v>
      </c>
      <c r="B5" s="233"/>
      <c r="C5" s="233"/>
    </row>
    <row r="6" spans="1:28" ht="18.75" customHeight="1">
      <c r="A6" s="234"/>
      <c r="B6" s="235"/>
      <c r="C6" s="235"/>
      <c r="D6" s="301" t="s">
        <v>3238</v>
      </c>
      <c r="E6" s="301"/>
      <c r="F6" s="301"/>
      <c r="G6" s="301"/>
    </row>
    <row r="7" spans="1:28" ht="89.25">
      <c r="A7" s="230" t="s">
        <v>1422</v>
      </c>
      <c r="B7" s="230" t="s">
        <v>1423</v>
      </c>
      <c r="C7" s="230" t="s">
        <v>1424</v>
      </c>
      <c r="D7" s="236" t="s">
        <v>1575</v>
      </c>
      <c r="E7" s="236" t="s">
        <v>1579</v>
      </c>
      <c r="F7" s="236" t="s">
        <v>1584</v>
      </c>
      <c r="G7" s="236" t="s">
        <v>1591</v>
      </c>
      <c r="H7" s="230" t="s">
        <v>839</v>
      </c>
      <c r="I7" s="230" t="s">
        <v>856</v>
      </c>
      <c r="J7" s="230" t="s">
        <v>857</v>
      </c>
      <c r="K7" s="230" t="s">
        <v>851</v>
      </c>
      <c r="L7" s="230" t="s">
        <v>860</v>
      </c>
      <c r="M7" s="230" t="s">
        <v>861</v>
      </c>
      <c r="N7" s="230" t="s">
        <v>849</v>
      </c>
      <c r="O7" s="230" t="s">
        <v>854</v>
      </c>
      <c r="P7" s="230" t="s">
        <v>855</v>
      </c>
      <c r="Q7" s="230" t="s">
        <v>858</v>
      </c>
      <c r="R7" s="230" t="s">
        <v>859</v>
      </c>
      <c r="S7" s="230" t="s">
        <v>852</v>
      </c>
      <c r="T7" s="230" t="s">
        <v>862</v>
      </c>
      <c r="U7" s="230" t="s">
        <v>863</v>
      </c>
      <c r="V7" s="230" t="s">
        <v>908</v>
      </c>
      <c r="W7" s="230" t="s">
        <v>853</v>
      </c>
      <c r="X7" s="230" t="s">
        <v>876</v>
      </c>
      <c r="Y7" s="230" t="s">
        <v>874</v>
      </c>
      <c r="Z7" s="230" t="s">
        <v>917</v>
      </c>
      <c r="AA7" s="230" t="s">
        <v>918</v>
      </c>
      <c r="AB7" s="230" t="s">
        <v>1425</v>
      </c>
    </row>
    <row r="8" spans="1:28" ht="30">
      <c r="A8" s="230" t="s">
        <v>840</v>
      </c>
      <c r="B8" s="230" t="s">
        <v>1438</v>
      </c>
      <c r="C8" s="230" t="s">
        <v>1439</v>
      </c>
      <c r="D8" s="236" t="s">
        <v>3239</v>
      </c>
      <c r="E8" s="236" t="s">
        <v>3239</v>
      </c>
      <c r="F8" s="236" t="s">
        <v>3239</v>
      </c>
      <c r="G8" s="236"/>
      <c r="H8" s="230">
        <v>25404</v>
      </c>
      <c r="I8" s="230">
        <v>8829</v>
      </c>
      <c r="J8" s="230">
        <v>369</v>
      </c>
      <c r="K8" s="230">
        <v>917251</v>
      </c>
      <c r="L8" s="230">
        <v>390184</v>
      </c>
      <c r="M8" s="230">
        <v>403848</v>
      </c>
      <c r="N8" s="230">
        <v>607413</v>
      </c>
      <c r="O8" s="230">
        <v>578020</v>
      </c>
      <c r="P8" s="230">
        <v>3975</v>
      </c>
      <c r="Q8" s="230">
        <v>79685</v>
      </c>
      <c r="R8" s="230">
        <v>541738</v>
      </c>
      <c r="S8" s="230">
        <v>47797</v>
      </c>
      <c r="T8" s="230">
        <v>854538</v>
      </c>
      <c r="U8" s="230">
        <v>1348</v>
      </c>
      <c r="V8" s="230">
        <v>0</v>
      </c>
      <c r="W8" s="230">
        <v>435</v>
      </c>
      <c r="X8" s="230">
        <v>0</v>
      </c>
      <c r="Y8" s="230">
        <v>0</v>
      </c>
      <c r="Z8" s="230">
        <v>0</v>
      </c>
      <c r="AA8" s="230">
        <v>0</v>
      </c>
      <c r="AB8" s="230">
        <v>0</v>
      </c>
    </row>
    <row r="9" spans="1:28" ht="30">
      <c r="A9" s="230" t="s">
        <v>872</v>
      </c>
      <c r="B9" s="230" t="s">
        <v>1440</v>
      </c>
      <c r="C9" s="230" t="s">
        <v>1439</v>
      </c>
      <c r="D9" s="230" t="s">
        <v>3239</v>
      </c>
      <c r="E9" s="230" t="s">
        <v>3239</v>
      </c>
      <c r="F9" s="230" t="s">
        <v>3239</v>
      </c>
      <c r="H9" s="230">
        <v>1164</v>
      </c>
      <c r="I9" s="230">
        <v>300014</v>
      </c>
      <c r="J9" s="230">
        <v>12327</v>
      </c>
      <c r="K9" s="230">
        <v>52898</v>
      </c>
      <c r="L9" s="230">
        <v>844910</v>
      </c>
      <c r="M9" s="230">
        <v>23605</v>
      </c>
      <c r="N9" s="230">
        <v>36126</v>
      </c>
      <c r="O9" s="230">
        <v>28833</v>
      </c>
      <c r="P9" s="230">
        <v>1074</v>
      </c>
      <c r="Q9" s="230">
        <v>10191</v>
      </c>
      <c r="R9" s="230">
        <v>14430</v>
      </c>
      <c r="S9" s="230">
        <v>13434</v>
      </c>
      <c r="T9" s="230">
        <v>59149</v>
      </c>
      <c r="U9" s="230">
        <v>1041</v>
      </c>
      <c r="V9" s="230">
        <v>0</v>
      </c>
      <c r="W9" s="230">
        <v>0</v>
      </c>
      <c r="X9" s="230">
        <v>1764</v>
      </c>
      <c r="Y9" s="230">
        <v>1266</v>
      </c>
      <c r="Z9" s="230">
        <v>0</v>
      </c>
      <c r="AA9" s="230">
        <v>0</v>
      </c>
      <c r="AB9" s="230">
        <v>3960</v>
      </c>
    </row>
    <row r="10" spans="1:28">
      <c r="A10" s="230" t="s">
        <v>1003</v>
      </c>
      <c r="B10" s="230" t="s">
        <v>3240</v>
      </c>
      <c r="C10" s="230" t="s">
        <v>3241</v>
      </c>
      <c r="E10" s="230" t="s">
        <v>3239</v>
      </c>
      <c r="H10" s="230">
        <v>6998</v>
      </c>
      <c r="I10" s="230">
        <v>0</v>
      </c>
      <c r="J10" s="230">
        <v>1146</v>
      </c>
      <c r="K10" s="230">
        <v>9462</v>
      </c>
      <c r="L10" s="230">
        <v>3426</v>
      </c>
      <c r="M10" s="230">
        <v>873</v>
      </c>
      <c r="N10" s="230">
        <v>6558</v>
      </c>
      <c r="O10" s="230">
        <v>1167</v>
      </c>
      <c r="P10" s="230">
        <v>2202</v>
      </c>
      <c r="Q10" s="230">
        <v>13000</v>
      </c>
      <c r="R10" s="230">
        <v>2112</v>
      </c>
      <c r="S10" s="230">
        <v>921</v>
      </c>
      <c r="T10" s="230">
        <v>7812</v>
      </c>
      <c r="U10" s="230">
        <v>0</v>
      </c>
      <c r="V10" s="230">
        <v>0</v>
      </c>
      <c r="W10" s="230">
        <v>0</v>
      </c>
      <c r="X10" s="230">
        <v>0</v>
      </c>
      <c r="Y10" s="230">
        <v>71</v>
      </c>
      <c r="Z10" s="230">
        <v>0</v>
      </c>
      <c r="AA10" s="230">
        <v>0</v>
      </c>
      <c r="AB10" s="230">
        <v>0</v>
      </c>
    </row>
    <row r="11" spans="1:28">
      <c r="A11" s="230" t="s">
        <v>1052</v>
      </c>
      <c r="B11" s="230" t="s">
        <v>3242</v>
      </c>
      <c r="C11" s="230" t="s">
        <v>3241</v>
      </c>
      <c r="E11" s="230" t="s">
        <v>3239</v>
      </c>
      <c r="H11" s="230">
        <v>7422</v>
      </c>
      <c r="I11" s="230">
        <v>3564</v>
      </c>
      <c r="J11" s="230">
        <v>420</v>
      </c>
      <c r="K11" s="230">
        <v>12894</v>
      </c>
      <c r="L11" s="230">
        <v>2379</v>
      </c>
      <c r="M11" s="230">
        <v>4449</v>
      </c>
      <c r="N11" s="230">
        <v>5256</v>
      </c>
      <c r="O11" s="230">
        <v>6894</v>
      </c>
      <c r="P11" s="230">
        <v>3867</v>
      </c>
      <c r="Q11" s="230">
        <v>9946</v>
      </c>
      <c r="R11" s="230">
        <v>1767</v>
      </c>
      <c r="S11" s="230">
        <v>2997</v>
      </c>
      <c r="T11" s="230">
        <v>10569</v>
      </c>
      <c r="U11" s="230">
        <v>1026</v>
      </c>
      <c r="V11" s="230">
        <v>0</v>
      </c>
      <c r="W11" s="230">
        <v>2082</v>
      </c>
      <c r="X11" s="230">
        <v>0</v>
      </c>
      <c r="Y11" s="230">
        <v>77</v>
      </c>
      <c r="Z11" s="230">
        <v>0</v>
      </c>
      <c r="AA11" s="230">
        <v>0</v>
      </c>
      <c r="AB11" s="230">
        <v>1809</v>
      </c>
    </row>
    <row r="12" spans="1:28" ht="30">
      <c r="A12" s="230" t="s">
        <v>1091</v>
      </c>
      <c r="B12" s="230" t="s">
        <v>3243</v>
      </c>
      <c r="C12" s="230" t="s">
        <v>1437</v>
      </c>
      <c r="D12" s="230" t="s">
        <v>3239</v>
      </c>
      <c r="E12" s="230" t="s">
        <v>3239</v>
      </c>
      <c r="F12" s="230" t="s">
        <v>3239</v>
      </c>
      <c r="H12" s="230">
        <v>3645</v>
      </c>
      <c r="I12" s="230">
        <v>4821</v>
      </c>
      <c r="J12" s="230">
        <v>0</v>
      </c>
      <c r="K12" s="230">
        <v>9738</v>
      </c>
      <c r="L12" s="230">
        <v>936</v>
      </c>
      <c r="M12" s="230">
        <v>7971</v>
      </c>
      <c r="N12" s="230">
        <v>5721</v>
      </c>
      <c r="O12" s="230">
        <v>5907</v>
      </c>
      <c r="P12" s="230">
        <v>5355</v>
      </c>
      <c r="Q12" s="230">
        <v>4791</v>
      </c>
      <c r="R12" s="230">
        <v>0</v>
      </c>
      <c r="S12" s="230">
        <v>6597</v>
      </c>
      <c r="T12" s="230">
        <v>18117</v>
      </c>
      <c r="U12" s="230">
        <v>0</v>
      </c>
      <c r="V12" s="230">
        <v>0</v>
      </c>
      <c r="W12" s="230">
        <v>0</v>
      </c>
      <c r="X12" s="230">
        <v>0</v>
      </c>
      <c r="Y12" s="230">
        <v>0</v>
      </c>
      <c r="Z12" s="230">
        <v>0</v>
      </c>
      <c r="AA12" s="230">
        <v>0</v>
      </c>
      <c r="AB12" s="230">
        <v>0</v>
      </c>
    </row>
    <row r="13" spans="1:28" ht="30">
      <c r="A13" s="230" t="s">
        <v>1099</v>
      </c>
      <c r="B13" s="230" t="s">
        <v>3244</v>
      </c>
      <c r="C13" s="230" t="s">
        <v>1437</v>
      </c>
      <c r="D13" s="230" t="s">
        <v>3239</v>
      </c>
      <c r="E13" s="230" t="s">
        <v>3239</v>
      </c>
      <c r="F13" s="230" t="s">
        <v>3239</v>
      </c>
      <c r="H13" s="230">
        <v>7854</v>
      </c>
      <c r="I13" s="230">
        <v>0</v>
      </c>
      <c r="J13" s="230">
        <v>792</v>
      </c>
      <c r="K13" s="230">
        <v>16614</v>
      </c>
      <c r="L13" s="230">
        <v>4326</v>
      </c>
      <c r="M13" s="230">
        <v>6942</v>
      </c>
      <c r="N13" s="230">
        <v>7428</v>
      </c>
      <c r="O13" s="230">
        <v>7698</v>
      </c>
      <c r="P13" s="230">
        <v>0</v>
      </c>
      <c r="Q13" s="230">
        <v>1578</v>
      </c>
      <c r="R13" s="230">
        <v>5547</v>
      </c>
      <c r="S13" s="230">
        <v>1023</v>
      </c>
      <c r="T13" s="230">
        <v>16764</v>
      </c>
      <c r="U13" s="230">
        <v>0</v>
      </c>
      <c r="V13" s="230">
        <v>0</v>
      </c>
      <c r="W13" s="230">
        <v>0</v>
      </c>
      <c r="X13" s="230">
        <v>0</v>
      </c>
      <c r="Y13" s="230">
        <v>0</v>
      </c>
      <c r="Z13" s="230">
        <v>0</v>
      </c>
      <c r="AA13" s="230">
        <v>0</v>
      </c>
      <c r="AB13" s="230">
        <v>0</v>
      </c>
    </row>
    <row r="14" spans="1:28" ht="30">
      <c r="A14" s="230" t="s">
        <v>1114</v>
      </c>
      <c r="B14" s="230" t="s">
        <v>3245</v>
      </c>
      <c r="C14" s="230" t="s">
        <v>1437</v>
      </c>
      <c r="E14" s="230" t="s">
        <v>3239</v>
      </c>
      <c r="H14" s="230">
        <v>8955</v>
      </c>
      <c r="I14" s="230">
        <v>3054</v>
      </c>
      <c r="J14" s="230">
        <v>0</v>
      </c>
      <c r="K14" s="230">
        <v>40506</v>
      </c>
      <c r="L14" s="230">
        <v>10650</v>
      </c>
      <c r="M14" s="230">
        <v>2058</v>
      </c>
      <c r="N14" s="230">
        <v>10596</v>
      </c>
      <c r="O14" s="230">
        <v>15009</v>
      </c>
      <c r="P14" s="230">
        <v>5385</v>
      </c>
      <c r="Q14" s="230">
        <v>7059</v>
      </c>
      <c r="R14" s="230">
        <v>5988</v>
      </c>
      <c r="S14" s="230">
        <v>2820</v>
      </c>
      <c r="T14" s="230">
        <v>31668</v>
      </c>
      <c r="U14" s="230">
        <v>0</v>
      </c>
      <c r="V14" s="230">
        <v>0</v>
      </c>
      <c r="W14" s="230">
        <v>0</v>
      </c>
      <c r="X14" s="230">
        <v>0</v>
      </c>
      <c r="Y14" s="230">
        <v>0</v>
      </c>
      <c r="Z14" s="230">
        <v>1818</v>
      </c>
      <c r="AA14" s="230">
        <v>0</v>
      </c>
      <c r="AB14" s="230">
        <v>0</v>
      </c>
    </row>
    <row r="15" spans="1:28">
      <c r="A15" s="230" t="s">
        <v>1146</v>
      </c>
      <c r="B15" s="230" t="s">
        <v>3246</v>
      </c>
      <c r="C15" s="230" t="s">
        <v>3241</v>
      </c>
      <c r="E15" s="230" t="s">
        <v>3239</v>
      </c>
      <c r="H15" s="230">
        <v>3267</v>
      </c>
      <c r="I15" s="230">
        <v>0</v>
      </c>
      <c r="J15" s="230">
        <v>0</v>
      </c>
      <c r="K15" s="230">
        <v>4809</v>
      </c>
      <c r="L15" s="230">
        <v>597</v>
      </c>
      <c r="M15" s="230">
        <v>597</v>
      </c>
      <c r="N15" s="230">
        <v>0</v>
      </c>
      <c r="O15" s="230">
        <v>0</v>
      </c>
      <c r="P15" s="230">
        <v>0</v>
      </c>
      <c r="Q15" s="230">
        <v>6564</v>
      </c>
      <c r="R15" s="230">
        <v>0</v>
      </c>
      <c r="S15" s="230">
        <v>0</v>
      </c>
      <c r="T15" s="230">
        <v>1059</v>
      </c>
      <c r="U15" s="230">
        <v>0</v>
      </c>
      <c r="V15" s="230">
        <v>0</v>
      </c>
      <c r="W15" s="230">
        <v>0</v>
      </c>
      <c r="X15" s="230">
        <v>0</v>
      </c>
      <c r="Y15" s="230">
        <v>77</v>
      </c>
      <c r="Z15" s="230">
        <v>0</v>
      </c>
      <c r="AA15" s="230">
        <v>0</v>
      </c>
      <c r="AB15" s="230">
        <v>0</v>
      </c>
    </row>
    <row r="16" spans="1:28" ht="30">
      <c r="A16" s="230" t="s">
        <v>1198</v>
      </c>
      <c r="B16" s="230" t="s">
        <v>3247</v>
      </c>
      <c r="C16" s="230" t="s">
        <v>1437</v>
      </c>
      <c r="D16" s="230" t="s">
        <v>3239</v>
      </c>
      <c r="E16" s="230" t="s">
        <v>3239</v>
      </c>
      <c r="F16" s="230" t="s">
        <v>3239</v>
      </c>
      <c r="H16" s="230">
        <v>13092</v>
      </c>
      <c r="I16" s="230">
        <v>6024</v>
      </c>
      <c r="J16" s="230">
        <v>0</v>
      </c>
      <c r="K16" s="230">
        <v>21745</v>
      </c>
      <c r="L16" s="230">
        <v>5343</v>
      </c>
      <c r="M16" s="230">
        <v>7293</v>
      </c>
      <c r="N16" s="230">
        <v>15132</v>
      </c>
      <c r="O16" s="230">
        <v>3795</v>
      </c>
      <c r="P16" s="230">
        <v>2640</v>
      </c>
      <c r="Q16" s="230">
        <v>3084</v>
      </c>
      <c r="R16" s="230">
        <v>1689</v>
      </c>
      <c r="S16" s="230">
        <v>6591</v>
      </c>
      <c r="T16" s="230">
        <v>18804</v>
      </c>
      <c r="U16" s="230">
        <v>0</v>
      </c>
      <c r="V16" s="230">
        <v>0</v>
      </c>
      <c r="W16" s="230">
        <v>0</v>
      </c>
      <c r="X16" s="230">
        <v>0</v>
      </c>
      <c r="Y16" s="230">
        <v>0</v>
      </c>
      <c r="Z16" s="230">
        <v>0</v>
      </c>
      <c r="AA16" s="230">
        <v>3237</v>
      </c>
      <c r="AB16" s="230">
        <v>0</v>
      </c>
    </row>
    <row r="17" spans="1:28" ht="30">
      <c r="A17" s="230" t="s">
        <v>1233</v>
      </c>
      <c r="B17" s="230" t="s">
        <v>3248</v>
      </c>
      <c r="C17" s="230" t="s">
        <v>1442</v>
      </c>
      <c r="D17" s="230" t="s">
        <v>3239</v>
      </c>
      <c r="E17" s="230" t="s">
        <v>3239</v>
      </c>
      <c r="H17" s="230">
        <v>4357</v>
      </c>
      <c r="I17" s="230">
        <v>1269</v>
      </c>
      <c r="J17" s="230">
        <v>0</v>
      </c>
      <c r="K17" s="230">
        <v>5487</v>
      </c>
      <c r="L17" s="230">
        <v>8652</v>
      </c>
      <c r="M17" s="230">
        <v>0</v>
      </c>
      <c r="N17" s="230">
        <v>0</v>
      </c>
      <c r="O17" s="230">
        <v>3162</v>
      </c>
      <c r="P17" s="230">
        <v>0</v>
      </c>
      <c r="Q17" s="230">
        <v>1110</v>
      </c>
      <c r="R17" s="230">
        <v>720</v>
      </c>
      <c r="S17" s="230">
        <v>0</v>
      </c>
      <c r="T17" s="230">
        <v>2670</v>
      </c>
      <c r="U17" s="230">
        <v>0</v>
      </c>
      <c r="V17" s="230">
        <v>0</v>
      </c>
      <c r="W17" s="230">
        <v>0</v>
      </c>
      <c r="X17" s="230">
        <v>0</v>
      </c>
      <c r="Y17" s="230">
        <v>0</v>
      </c>
      <c r="Z17" s="230">
        <v>0</v>
      </c>
      <c r="AA17" s="230">
        <v>0</v>
      </c>
      <c r="AB17" s="230">
        <v>0</v>
      </c>
    </row>
    <row r="18" spans="1:28" ht="30">
      <c r="A18" s="230" t="s">
        <v>1323</v>
      </c>
      <c r="B18" s="230" t="s">
        <v>3249</v>
      </c>
      <c r="C18" s="230" t="s">
        <v>1437</v>
      </c>
      <c r="D18" s="230" t="s">
        <v>3239</v>
      </c>
      <c r="E18" s="230" t="s">
        <v>3239</v>
      </c>
      <c r="F18" s="230" t="s">
        <v>3239</v>
      </c>
      <c r="H18" s="230">
        <v>5271</v>
      </c>
      <c r="I18" s="230">
        <v>1182</v>
      </c>
      <c r="J18" s="230">
        <v>0</v>
      </c>
      <c r="K18" s="230">
        <v>14193</v>
      </c>
      <c r="L18" s="230">
        <v>3783</v>
      </c>
      <c r="M18" s="230">
        <v>2601</v>
      </c>
      <c r="N18" s="230">
        <v>7401</v>
      </c>
      <c r="O18" s="230">
        <v>3636</v>
      </c>
      <c r="P18" s="230">
        <v>7431</v>
      </c>
      <c r="Q18" s="230">
        <v>3741</v>
      </c>
      <c r="R18" s="230">
        <v>612</v>
      </c>
      <c r="S18" s="230">
        <v>1704</v>
      </c>
      <c r="T18" s="230">
        <v>21582</v>
      </c>
      <c r="U18" s="230">
        <v>756</v>
      </c>
      <c r="V18" s="230">
        <v>0</v>
      </c>
      <c r="W18" s="230">
        <v>993</v>
      </c>
      <c r="X18" s="230">
        <v>0</v>
      </c>
      <c r="Y18" s="230">
        <v>993</v>
      </c>
      <c r="Z18" s="230">
        <v>0</v>
      </c>
      <c r="AA18" s="230">
        <v>993</v>
      </c>
      <c r="AB18" s="230">
        <v>0</v>
      </c>
    </row>
    <row r="19" spans="1:28">
      <c r="A19" s="230" t="s">
        <v>1338</v>
      </c>
      <c r="B19" s="230" t="s">
        <v>3250</v>
      </c>
      <c r="C19" s="230" t="s">
        <v>3241</v>
      </c>
      <c r="H19" s="230">
        <v>1035</v>
      </c>
      <c r="I19" s="230">
        <v>2136</v>
      </c>
      <c r="J19" s="230">
        <v>0</v>
      </c>
      <c r="K19" s="230">
        <v>2027</v>
      </c>
      <c r="L19" s="230">
        <v>15690</v>
      </c>
      <c r="M19" s="230">
        <v>9324</v>
      </c>
      <c r="N19" s="230">
        <v>0</v>
      </c>
      <c r="O19" s="230">
        <v>0</v>
      </c>
      <c r="P19" s="230">
        <v>0</v>
      </c>
      <c r="Q19" s="230">
        <v>75</v>
      </c>
      <c r="R19" s="230">
        <v>0</v>
      </c>
      <c r="S19" s="230">
        <v>1905</v>
      </c>
      <c r="T19" s="230">
        <v>0</v>
      </c>
      <c r="U19" s="230">
        <v>0</v>
      </c>
      <c r="V19" s="230">
        <v>0</v>
      </c>
      <c r="W19" s="230">
        <v>0</v>
      </c>
      <c r="X19" s="230">
        <v>0</v>
      </c>
      <c r="Y19" s="230">
        <v>1035</v>
      </c>
      <c r="Z19" s="230">
        <v>0</v>
      </c>
      <c r="AA19" s="230">
        <v>0</v>
      </c>
      <c r="AB19" s="230">
        <v>0</v>
      </c>
    </row>
    <row r="20" spans="1:28">
      <c r="A20" s="230" t="s">
        <v>1360</v>
      </c>
      <c r="B20" s="230" t="s">
        <v>3251</v>
      </c>
      <c r="C20" s="230" t="s">
        <v>3241</v>
      </c>
      <c r="E20" s="230" t="s">
        <v>3239</v>
      </c>
      <c r="H20" s="230">
        <v>16479</v>
      </c>
      <c r="I20" s="230">
        <v>1935</v>
      </c>
      <c r="J20" s="230">
        <v>1638</v>
      </c>
      <c r="K20" s="230">
        <v>35400</v>
      </c>
      <c r="L20" s="230">
        <v>10734</v>
      </c>
      <c r="M20" s="230">
        <v>7884</v>
      </c>
      <c r="N20" s="230">
        <v>9105</v>
      </c>
      <c r="O20" s="230">
        <v>7194</v>
      </c>
      <c r="P20" s="230">
        <v>5358</v>
      </c>
      <c r="Q20" s="230">
        <v>9178</v>
      </c>
      <c r="R20" s="230">
        <v>0</v>
      </c>
      <c r="S20" s="230">
        <v>4197</v>
      </c>
      <c r="T20" s="230">
        <v>13707</v>
      </c>
      <c r="U20" s="230">
        <v>0</v>
      </c>
      <c r="V20" s="230">
        <v>0</v>
      </c>
      <c r="W20" s="230">
        <v>0</v>
      </c>
      <c r="X20" s="230">
        <v>0</v>
      </c>
      <c r="Y20" s="230">
        <v>77</v>
      </c>
      <c r="Z20" s="230">
        <v>0</v>
      </c>
      <c r="AA20" s="230">
        <v>0</v>
      </c>
      <c r="AB20" s="230">
        <v>0</v>
      </c>
    </row>
    <row r="21" spans="1:28">
      <c r="A21" s="230" t="s">
        <v>1366</v>
      </c>
      <c r="B21" s="230" t="s">
        <v>1436</v>
      </c>
      <c r="C21" s="230" t="s">
        <v>1437</v>
      </c>
      <c r="D21" s="230" t="s">
        <v>3239</v>
      </c>
      <c r="E21" s="230" t="s">
        <v>3239</v>
      </c>
      <c r="F21" s="230" t="s">
        <v>3239</v>
      </c>
      <c r="H21" s="230">
        <v>5721</v>
      </c>
      <c r="I21" s="230">
        <v>30359</v>
      </c>
      <c r="J21" s="230">
        <v>51314</v>
      </c>
      <c r="K21" s="230">
        <v>11264</v>
      </c>
      <c r="L21" s="230">
        <v>4575</v>
      </c>
      <c r="M21" s="230">
        <v>647</v>
      </c>
      <c r="N21" s="230">
        <v>189437</v>
      </c>
      <c r="O21" s="230">
        <v>87099</v>
      </c>
      <c r="P21" s="230">
        <v>142052</v>
      </c>
      <c r="Q21" s="230">
        <v>343382</v>
      </c>
      <c r="R21" s="230">
        <v>60738</v>
      </c>
      <c r="S21" s="230">
        <v>142478</v>
      </c>
      <c r="T21" s="230">
        <v>291297</v>
      </c>
      <c r="U21" s="230">
        <v>30645</v>
      </c>
      <c r="V21" s="230">
        <v>0</v>
      </c>
      <c r="W21" s="230">
        <v>3486</v>
      </c>
      <c r="X21" s="230">
        <v>305</v>
      </c>
      <c r="Y21" s="230">
        <v>639</v>
      </c>
      <c r="Z21" s="230">
        <v>0</v>
      </c>
      <c r="AA21" s="230">
        <v>0</v>
      </c>
      <c r="AB21" s="230">
        <v>0</v>
      </c>
    </row>
    <row r="22" spans="1:28">
      <c r="A22" s="230" t="s">
        <v>1385</v>
      </c>
      <c r="B22" s="230" t="s">
        <v>1430</v>
      </c>
      <c r="C22" s="230" t="s">
        <v>1427</v>
      </c>
      <c r="D22" s="230" t="s">
        <v>3239</v>
      </c>
      <c r="F22" s="230" t="s">
        <v>3239</v>
      </c>
      <c r="G22" s="230" t="s">
        <v>3239</v>
      </c>
      <c r="H22" s="230">
        <v>2697</v>
      </c>
      <c r="I22" s="230">
        <v>17676</v>
      </c>
      <c r="J22" s="230">
        <v>19743</v>
      </c>
      <c r="K22" s="230">
        <v>3546</v>
      </c>
      <c r="L22" s="230">
        <v>4305</v>
      </c>
      <c r="M22" s="230">
        <v>8091</v>
      </c>
      <c r="N22" s="230">
        <v>14196</v>
      </c>
      <c r="O22" s="230">
        <v>17600</v>
      </c>
      <c r="P22" s="230">
        <v>12969</v>
      </c>
      <c r="Q22" s="230">
        <v>25907</v>
      </c>
      <c r="R22" s="230">
        <v>17687</v>
      </c>
      <c r="S22" s="230">
        <v>24789</v>
      </c>
      <c r="T22" s="230">
        <v>21350</v>
      </c>
      <c r="U22" s="230">
        <v>5685</v>
      </c>
      <c r="V22" s="230">
        <v>726</v>
      </c>
      <c r="W22" s="230">
        <v>482734</v>
      </c>
      <c r="X22" s="230">
        <v>1206222</v>
      </c>
      <c r="Y22" s="230">
        <v>518952</v>
      </c>
      <c r="Z22" s="230">
        <v>140391</v>
      </c>
      <c r="AA22" s="230">
        <v>1003955</v>
      </c>
      <c r="AB22" s="230">
        <v>440593</v>
      </c>
    </row>
    <row r="23" spans="1:28">
      <c r="A23" s="230" t="s">
        <v>1395</v>
      </c>
      <c r="B23" s="230" t="s">
        <v>1441</v>
      </c>
      <c r="C23" s="230" t="s">
        <v>1442</v>
      </c>
      <c r="D23" s="230" t="s">
        <v>3239</v>
      </c>
      <c r="E23" s="230" t="s">
        <v>3239</v>
      </c>
      <c r="H23" s="230">
        <v>104169</v>
      </c>
      <c r="I23" s="230">
        <v>25989</v>
      </c>
      <c r="J23" s="230">
        <v>2571</v>
      </c>
      <c r="K23" s="230">
        <v>105911</v>
      </c>
      <c r="L23" s="230">
        <v>47595</v>
      </c>
      <c r="M23" s="230">
        <v>24243</v>
      </c>
      <c r="N23" s="230">
        <v>0</v>
      </c>
      <c r="O23" s="230">
        <v>4026</v>
      </c>
      <c r="P23" s="230">
        <v>0</v>
      </c>
      <c r="Q23" s="230">
        <v>2265</v>
      </c>
      <c r="R23" s="230">
        <v>3996</v>
      </c>
      <c r="S23" s="230">
        <v>3771</v>
      </c>
      <c r="T23" s="230">
        <v>5055</v>
      </c>
      <c r="U23" s="230">
        <v>0</v>
      </c>
      <c r="V23" s="230">
        <v>0</v>
      </c>
      <c r="W23" s="230">
        <v>0</v>
      </c>
      <c r="X23" s="230">
        <v>0</v>
      </c>
      <c r="Y23" s="230">
        <v>0</v>
      </c>
      <c r="Z23" s="230">
        <v>0</v>
      </c>
      <c r="AA23" s="230">
        <v>0</v>
      </c>
      <c r="AB23" s="230">
        <v>1809</v>
      </c>
    </row>
    <row r="24" spans="1:28">
      <c r="A24" s="230" t="s">
        <v>1403</v>
      </c>
      <c r="B24" s="230" t="s">
        <v>3252</v>
      </c>
      <c r="C24" s="230" t="s">
        <v>3241</v>
      </c>
      <c r="E24" s="230" t="s">
        <v>3239</v>
      </c>
      <c r="H24" s="230">
        <v>9243</v>
      </c>
      <c r="I24" s="230">
        <v>1050</v>
      </c>
      <c r="J24" s="230">
        <v>0</v>
      </c>
      <c r="K24" s="230">
        <v>16086</v>
      </c>
      <c r="L24" s="230">
        <v>6489</v>
      </c>
      <c r="M24" s="230">
        <v>678</v>
      </c>
      <c r="N24" s="230">
        <v>11496</v>
      </c>
      <c r="O24" s="230">
        <v>4074</v>
      </c>
      <c r="P24" s="230">
        <v>5610</v>
      </c>
      <c r="Q24" s="230">
        <v>4490</v>
      </c>
      <c r="R24" s="230">
        <v>2535</v>
      </c>
      <c r="S24" s="230">
        <v>5274</v>
      </c>
      <c r="T24" s="230">
        <v>14646</v>
      </c>
      <c r="U24" s="230">
        <v>1719</v>
      </c>
      <c r="V24" s="230">
        <v>0</v>
      </c>
      <c r="W24" s="230">
        <v>0</v>
      </c>
      <c r="X24" s="230">
        <v>0</v>
      </c>
      <c r="Y24" s="230">
        <v>77</v>
      </c>
      <c r="Z24" s="230">
        <v>0</v>
      </c>
      <c r="AA24" s="230">
        <v>0</v>
      </c>
      <c r="AB24" s="230">
        <v>777</v>
      </c>
    </row>
    <row r="25" spans="1:28">
      <c r="A25" s="230" t="s">
        <v>1420</v>
      </c>
      <c r="B25" s="230" t="s">
        <v>3253</v>
      </c>
      <c r="C25" s="230" t="s">
        <v>1437</v>
      </c>
      <c r="D25" s="230" t="s">
        <v>3239</v>
      </c>
      <c r="E25" s="230" t="s">
        <v>3239</v>
      </c>
      <c r="F25" s="230" t="s">
        <v>3239</v>
      </c>
      <c r="H25" s="230">
        <v>11424</v>
      </c>
      <c r="I25" s="230">
        <v>0</v>
      </c>
      <c r="J25" s="230">
        <v>0</v>
      </c>
      <c r="K25" s="230">
        <v>11061</v>
      </c>
      <c r="L25" s="230">
        <v>1620</v>
      </c>
      <c r="M25" s="230">
        <v>0</v>
      </c>
      <c r="N25" s="230">
        <v>7113</v>
      </c>
      <c r="O25" s="230">
        <v>5169</v>
      </c>
      <c r="P25" s="230">
        <v>0</v>
      </c>
      <c r="Q25" s="230">
        <v>1881</v>
      </c>
      <c r="R25" s="230">
        <v>1803</v>
      </c>
      <c r="S25" s="230">
        <v>0</v>
      </c>
      <c r="T25" s="230">
        <v>7545</v>
      </c>
      <c r="U25" s="230">
        <v>0</v>
      </c>
      <c r="V25" s="230">
        <v>0</v>
      </c>
      <c r="W25" s="230">
        <v>0</v>
      </c>
      <c r="X25" s="230">
        <v>0</v>
      </c>
      <c r="Y25" s="230">
        <v>0</v>
      </c>
      <c r="Z25" s="230">
        <v>0</v>
      </c>
      <c r="AA25" s="230">
        <v>0</v>
      </c>
      <c r="AB25" s="230">
        <v>0</v>
      </c>
    </row>
    <row r="26" spans="1:28">
      <c r="A26" s="230" t="s">
        <v>1275</v>
      </c>
      <c r="B26" s="230" t="s">
        <v>1426</v>
      </c>
      <c r="C26" s="230" t="s">
        <v>1427</v>
      </c>
      <c r="D26" s="230" t="s">
        <v>3239</v>
      </c>
      <c r="F26" s="230" t="s">
        <v>3239</v>
      </c>
      <c r="G26" s="230" t="s">
        <v>3239</v>
      </c>
      <c r="H26" s="230">
        <v>0</v>
      </c>
      <c r="I26" s="230">
        <v>9300</v>
      </c>
      <c r="J26" s="230">
        <v>4929</v>
      </c>
      <c r="K26" s="230">
        <v>0</v>
      </c>
      <c r="L26" s="230">
        <v>0</v>
      </c>
      <c r="M26" s="230">
        <v>0</v>
      </c>
      <c r="N26" s="230">
        <v>2358</v>
      </c>
      <c r="O26" s="230">
        <v>0</v>
      </c>
      <c r="P26" s="230">
        <v>0</v>
      </c>
      <c r="Q26" s="230">
        <v>44598</v>
      </c>
      <c r="R26" s="230">
        <v>17955</v>
      </c>
      <c r="S26" s="230">
        <v>0</v>
      </c>
      <c r="T26" s="230">
        <v>0</v>
      </c>
      <c r="U26" s="230">
        <v>0</v>
      </c>
      <c r="V26" s="230">
        <v>0</v>
      </c>
      <c r="W26" s="230">
        <v>23640</v>
      </c>
      <c r="X26" s="230">
        <v>733147</v>
      </c>
      <c r="Y26" s="230">
        <v>756478</v>
      </c>
      <c r="Z26" s="230">
        <v>729</v>
      </c>
      <c r="AA26" s="230">
        <v>2307</v>
      </c>
      <c r="AB26" s="230">
        <v>19665</v>
      </c>
    </row>
    <row r="27" spans="1:28">
      <c r="A27" s="230" t="s">
        <v>1341</v>
      </c>
      <c r="B27" s="230" t="s">
        <v>1429</v>
      </c>
      <c r="C27" s="230" t="s">
        <v>1427</v>
      </c>
      <c r="D27" s="230" t="s">
        <v>3239</v>
      </c>
      <c r="F27" s="230" t="s">
        <v>3239</v>
      </c>
      <c r="G27" s="230" t="s">
        <v>3239</v>
      </c>
      <c r="H27" s="230">
        <v>0</v>
      </c>
      <c r="I27" s="230">
        <v>15246</v>
      </c>
      <c r="J27" s="230">
        <v>660</v>
      </c>
      <c r="K27" s="230">
        <v>0</v>
      </c>
      <c r="L27" s="230">
        <v>0</v>
      </c>
      <c r="M27" s="230">
        <v>6363</v>
      </c>
      <c r="N27" s="230">
        <v>3633</v>
      </c>
      <c r="O27" s="230">
        <v>0</v>
      </c>
      <c r="P27" s="230">
        <v>0</v>
      </c>
      <c r="Q27" s="230">
        <v>381</v>
      </c>
      <c r="R27" s="230">
        <v>0</v>
      </c>
      <c r="S27" s="230">
        <v>0</v>
      </c>
      <c r="T27" s="230">
        <v>858</v>
      </c>
      <c r="U27" s="230">
        <v>2880</v>
      </c>
      <c r="V27" s="230">
        <v>47991</v>
      </c>
      <c r="W27" s="230">
        <v>1237667</v>
      </c>
      <c r="X27" s="230">
        <v>1154028</v>
      </c>
      <c r="Y27" s="230">
        <v>841903</v>
      </c>
      <c r="Z27" s="230">
        <v>360778</v>
      </c>
      <c r="AA27" s="230">
        <v>1203032</v>
      </c>
      <c r="AB27" s="230">
        <v>958382</v>
      </c>
    </row>
    <row r="28" spans="1:28" ht="30">
      <c r="A28" s="230" t="s">
        <v>1349</v>
      </c>
      <c r="B28" s="230" t="s">
        <v>1428</v>
      </c>
      <c r="C28" s="230" t="s">
        <v>1427</v>
      </c>
      <c r="D28" s="230" t="s">
        <v>3239</v>
      </c>
      <c r="F28" s="230" t="s">
        <v>3239</v>
      </c>
      <c r="G28" s="230" t="s">
        <v>3239</v>
      </c>
      <c r="H28" s="230">
        <v>0</v>
      </c>
      <c r="I28" s="230">
        <v>11049</v>
      </c>
      <c r="J28" s="230">
        <v>0</v>
      </c>
      <c r="K28" s="230">
        <v>1080</v>
      </c>
      <c r="L28" s="230">
        <v>2661</v>
      </c>
      <c r="M28" s="230">
        <v>1269</v>
      </c>
      <c r="N28" s="230">
        <v>2508</v>
      </c>
      <c r="O28" s="230">
        <v>2595</v>
      </c>
      <c r="P28" s="230">
        <v>0</v>
      </c>
      <c r="Q28" s="230">
        <v>5523</v>
      </c>
      <c r="R28" s="230">
        <v>0</v>
      </c>
      <c r="S28" s="230">
        <v>0</v>
      </c>
      <c r="T28" s="230">
        <v>2187</v>
      </c>
      <c r="U28" s="230">
        <v>717</v>
      </c>
      <c r="V28" s="230">
        <v>20775</v>
      </c>
      <c r="W28" s="230">
        <v>896107</v>
      </c>
      <c r="X28" s="230">
        <v>31853</v>
      </c>
      <c r="Y28" s="230">
        <v>514804</v>
      </c>
      <c r="Z28" s="230">
        <v>33315</v>
      </c>
      <c r="AA28" s="230">
        <v>962573</v>
      </c>
      <c r="AB28" s="230">
        <v>50600</v>
      </c>
    </row>
    <row r="29" spans="1:28">
      <c r="A29" s="230" t="s">
        <v>1384</v>
      </c>
      <c r="B29" s="230" t="s">
        <v>3254</v>
      </c>
      <c r="C29" s="230" t="s">
        <v>3241</v>
      </c>
      <c r="H29" s="230">
        <v>0</v>
      </c>
      <c r="I29" s="230">
        <v>1176</v>
      </c>
      <c r="J29" s="230">
        <v>0</v>
      </c>
      <c r="K29" s="230">
        <v>2142</v>
      </c>
      <c r="L29" s="230">
        <v>990</v>
      </c>
      <c r="M29" s="230">
        <v>0</v>
      </c>
      <c r="N29" s="230">
        <v>0</v>
      </c>
      <c r="O29" s="230">
        <v>0</v>
      </c>
      <c r="P29" s="230">
        <v>0</v>
      </c>
      <c r="Q29" s="230">
        <v>0</v>
      </c>
      <c r="R29" s="230">
        <v>1116</v>
      </c>
      <c r="S29" s="230">
        <v>0</v>
      </c>
      <c r="T29" s="230">
        <v>303</v>
      </c>
      <c r="U29" s="230">
        <v>0</v>
      </c>
      <c r="V29" s="230">
        <v>0</v>
      </c>
      <c r="W29" s="230">
        <v>0</v>
      </c>
      <c r="X29" s="230">
        <v>0</v>
      </c>
      <c r="Y29" s="230">
        <v>219</v>
      </c>
      <c r="Z29" s="230">
        <v>0</v>
      </c>
      <c r="AA29" s="230">
        <v>0</v>
      </c>
      <c r="AB29" s="230">
        <v>0</v>
      </c>
    </row>
    <row r="30" spans="1:28" ht="30">
      <c r="A30" s="230" t="s">
        <v>1362</v>
      </c>
      <c r="B30" s="230" t="s">
        <v>1431</v>
      </c>
      <c r="C30" s="230" t="s">
        <v>1432</v>
      </c>
      <c r="H30" s="230">
        <v>0</v>
      </c>
      <c r="I30" s="230">
        <v>0</v>
      </c>
      <c r="J30" s="230">
        <v>1596</v>
      </c>
      <c r="K30" s="230">
        <v>5908</v>
      </c>
      <c r="L30" s="230">
        <v>0</v>
      </c>
      <c r="M30" s="230">
        <v>316</v>
      </c>
      <c r="N30" s="230">
        <v>939329</v>
      </c>
      <c r="O30" s="230">
        <v>0</v>
      </c>
      <c r="P30" s="230">
        <v>0</v>
      </c>
      <c r="Q30" s="230">
        <v>1596</v>
      </c>
      <c r="R30" s="230">
        <v>1596</v>
      </c>
      <c r="S30" s="230">
        <v>840420</v>
      </c>
      <c r="T30" s="230">
        <v>0</v>
      </c>
      <c r="U30" s="230">
        <v>2839</v>
      </c>
      <c r="V30" s="230">
        <v>2610</v>
      </c>
      <c r="W30" s="230">
        <v>0</v>
      </c>
      <c r="X30" s="230">
        <v>642</v>
      </c>
      <c r="Y30" s="230">
        <v>0</v>
      </c>
      <c r="Z30" s="230">
        <v>316</v>
      </c>
      <c r="AA30" s="230">
        <v>4773</v>
      </c>
      <c r="AB30" s="230">
        <v>3108</v>
      </c>
    </row>
    <row r="31" spans="1:28">
      <c r="A31" s="230" t="s">
        <v>1299</v>
      </c>
      <c r="B31" s="230" t="s">
        <v>1434</v>
      </c>
      <c r="C31" s="230" t="s">
        <v>1435</v>
      </c>
      <c r="H31" s="230">
        <v>0</v>
      </c>
      <c r="I31" s="230">
        <v>0</v>
      </c>
      <c r="J31" s="230">
        <v>0</v>
      </c>
      <c r="K31" s="230">
        <v>7867</v>
      </c>
      <c r="L31" s="230">
        <v>1041</v>
      </c>
      <c r="M31" s="230">
        <v>0</v>
      </c>
      <c r="N31" s="230">
        <v>29547</v>
      </c>
      <c r="O31" s="230">
        <v>0</v>
      </c>
      <c r="P31" s="230">
        <v>0</v>
      </c>
      <c r="Q31" s="230">
        <v>0</v>
      </c>
      <c r="R31" s="230">
        <v>0</v>
      </c>
      <c r="S31" s="230">
        <v>894696</v>
      </c>
      <c r="T31" s="230">
        <v>117573</v>
      </c>
      <c r="U31" s="230">
        <v>109020</v>
      </c>
      <c r="V31" s="230">
        <v>1359</v>
      </c>
      <c r="W31" s="230">
        <v>0</v>
      </c>
      <c r="X31" s="230">
        <v>2697</v>
      </c>
      <c r="Y31" s="230">
        <v>1311</v>
      </c>
      <c r="Z31" s="230">
        <v>0</v>
      </c>
      <c r="AA31" s="230">
        <v>0</v>
      </c>
      <c r="AB31" s="230">
        <v>0</v>
      </c>
    </row>
    <row r="32" spans="1:28">
      <c r="A32" s="230" t="s">
        <v>1383</v>
      </c>
      <c r="B32" s="230" t="s">
        <v>1433</v>
      </c>
      <c r="C32" s="230" t="s">
        <v>1432</v>
      </c>
      <c r="H32" s="230">
        <v>0</v>
      </c>
      <c r="I32" s="230">
        <v>0</v>
      </c>
      <c r="J32" s="230">
        <v>0</v>
      </c>
      <c r="K32" s="230">
        <v>0</v>
      </c>
      <c r="L32" s="230">
        <v>0</v>
      </c>
      <c r="M32" s="230">
        <v>0</v>
      </c>
      <c r="N32" s="230">
        <v>0</v>
      </c>
      <c r="O32" s="230">
        <v>0</v>
      </c>
      <c r="P32" s="230">
        <v>0</v>
      </c>
      <c r="Q32" s="230">
        <v>0</v>
      </c>
      <c r="R32" s="230">
        <v>0</v>
      </c>
      <c r="S32" s="230">
        <v>0</v>
      </c>
      <c r="T32" s="230">
        <v>0</v>
      </c>
      <c r="U32" s="230">
        <v>0</v>
      </c>
      <c r="V32" s="230">
        <v>0</v>
      </c>
      <c r="W32" s="230">
        <v>101739</v>
      </c>
      <c r="X32" s="230">
        <v>0</v>
      </c>
      <c r="Y32" s="230">
        <v>0</v>
      </c>
      <c r="Z32" s="230">
        <v>0</v>
      </c>
      <c r="AA32" s="230">
        <v>0</v>
      </c>
      <c r="AB32" s="230">
        <v>0</v>
      </c>
    </row>
    <row r="35" spans="1:17" ht="30">
      <c r="A35" s="237" t="s">
        <v>3255</v>
      </c>
      <c r="B35" s="112"/>
      <c r="C35" s="112"/>
      <c r="D35" s="112"/>
      <c r="E35" s="112"/>
      <c r="F35" s="112"/>
      <c r="G35" s="112"/>
      <c r="H35" s="112"/>
      <c r="I35" s="112"/>
      <c r="J35" s="112"/>
      <c r="K35" s="112"/>
      <c r="L35" s="112"/>
      <c r="M35" s="112"/>
      <c r="N35" s="112"/>
      <c r="O35" s="112"/>
      <c r="P35" s="112"/>
      <c r="Q35" s="112"/>
    </row>
    <row r="36" spans="1:17">
      <c r="A36" s="112" t="s">
        <v>1453</v>
      </c>
      <c r="B36" s="112" t="s">
        <v>3256</v>
      </c>
      <c r="C36" s="112" t="s">
        <v>1608</v>
      </c>
      <c r="D36" s="112" t="s">
        <v>3257</v>
      </c>
      <c r="E36" s="112" t="s">
        <v>1422</v>
      </c>
      <c r="F36" s="112" t="s">
        <v>1452</v>
      </c>
      <c r="G36" s="112" t="s">
        <v>3258</v>
      </c>
      <c r="H36" s="112" t="s">
        <v>3259</v>
      </c>
      <c r="I36" s="112" t="s">
        <v>3260</v>
      </c>
      <c r="J36" s="112"/>
      <c r="K36" s="112"/>
      <c r="L36" s="112"/>
      <c r="M36" s="112"/>
      <c r="N36" s="112"/>
      <c r="Q36" s="112"/>
    </row>
    <row r="37" spans="1:17">
      <c r="A37" s="112" t="s">
        <v>3261</v>
      </c>
      <c r="B37" s="112" t="s">
        <v>3262</v>
      </c>
      <c r="C37" s="112" t="s">
        <v>3263</v>
      </c>
      <c r="D37" s="112" t="s">
        <v>3264</v>
      </c>
      <c r="E37" s="112" t="s">
        <v>1299</v>
      </c>
      <c r="F37" s="112" t="s">
        <v>3265</v>
      </c>
      <c r="G37" s="112">
        <v>10.128428039999999</v>
      </c>
      <c r="H37" s="112">
        <v>52208</v>
      </c>
      <c r="I37" s="112">
        <v>53017</v>
      </c>
      <c r="J37" s="112">
        <v>47.2</v>
      </c>
      <c r="K37" s="112" t="s">
        <v>3266</v>
      </c>
      <c r="L37" s="112" t="s">
        <v>3267</v>
      </c>
      <c r="M37" s="112" t="s">
        <v>3268</v>
      </c>
      <c r="N37" s="112" t="s">
        <v>3269</v>
      </c>
      <c r="Q37" s="112"/>
    </row>
    <row r="38" spans="1:17">
      <c r="A38" s="112" t="s">
        <v>3261</v>
      </c>
      <c r="B38" s="112" t="s">
        <v>3262</v>
      </c>
      <c r="C38" s="112" t="s">
        <v>3263</v>
      </c>
      <c r="D38" s="112" t="s">
        <v>3264</v>
      </c>
      <c r="E38" s="112" t="s">
        <v>1299</v>
      </c>
      <c r="F38" s="112" t="s">
        <v>3270</v>
      </c>
      <c r="G38" s="112">
        <v>12.45857483</v>
      </c>
      <c r="H38" s="112">
        <v>52208</v>
      </c>
      <c r="I38" s="112">
        <v>53017</v>
      </c>
      <c r="J38" s="112">
        <v>47.2</v>
      </c>
      <c r="K38" s="112" t="s">
        <v>3266</v>
      </c>
      <c r="L38" s="112" t="s">
        <v>3267</v>
      </c>
      <c r="M38" s="112" t="s">
        <v>3268</v>
      </c>
      <c r="N38" s="112" t="s">
        <v>3269</v>
      </c>
      <c r="Q38" s="112"/>
    </row>
    <row r="39" spans="1:17">
      <c r="A39" s="112" t="s">
        <v>3261</v>
      </c>
      <c r="B39" s="112" t="s">
        <v>3262</v>
      </c>
      <c r="C39" s="112" t="s">
        <v>3263</v>
      </c>
      <c r="D39" s="112" t="s">
        <v>3264</v>
      </c>
      <c r="E39" s="112" t="s">
        <v>1299</v>
      </c>
      <c r="F39" s="112" t="s">
        <v>3271</v>
      </c>
      <c r="G39" s="112">
        <v>29.476143149999999</v>
      </c>
      <c r="H39" s="112">
        <v>52208</v>
      </c>
      <c r="I39" s="112">
        <v>53017</v>
      </c>
      <c r="J39" s="112">
        <v>47.2</v>
      </c>
      <c r="K39" s="112" t="s">
        <v>3266</v>
      </c>
      <c r="L39" s="112" t="s">
        <v>3267</v>
      </c>
      <c r="M39" s="112" t="s">
        <v>3268</v>
      </c>
      <c r="N39" s="112" t="s">
        <v>3269</v>
      </c>
      <c r="Q39" s="112"/>
    </row>
    <row r="40" spans="1:17">
      <c r="A40" s="112" t="s">
        <v>3261</v>
      </c>
      <c r="B40" s="112" t="s">
        <v>3262</v>
      </c>
      <c r="C40" s="112" t="s">
        <v>3263</v>
      </c>
      <c r="D40" s="112" t="s">
        <v>3264</v>
      </c>
      <c r="E40" s="112" t="s">
        <v>1299</v>
      </c>
      <c r="F40" s="112" t="s">
        <v>852</v>
      </c>
      <c r="G40" s="112">
        <v>131.66448260000001</v>
      </c>
      <c r="H40" s="112">
        <v>52208</v>
      </c>
      <c r="I40" s="112">
        <v>53017</v>
      </c>
      <c r="J40" s="112">
        <v>47.2</v>
      </c>
      <c r="K40" s="112" t="s">
        <v>3266</v>
      </c>
      <c r="L40" s="112" t="s">
        <v>3267</v>
      </c>
      <c r="M40" s="112" t="s">
        <v>3268</v>
      </c>
      <c r="N40" s="112" t="s">
        <v>3269</v>
      </c>
      <c r="Q40" s="112"/>
    </row>
    <row r="41" spans="1:17">
      <c r="A41" s="112" t="s">
        <v>3261</v>
      </c>
      <c r="B41" s="112" t="s">
        <v>3262</v>
      </c>
      <c r="C41" s="112" t="s">
        <v>3263</v>
      </c>
      <c r="D41" s="112" t="s">
        <v>3264</v>
      </c>
      <c r="E41" s="112" t="s">
        <v>1299</v>
      </c>
      <c r="F41" s="112" t="s">
        <v>3272</v>
      </c>
      <c r="G41" s="112">
        <v>145.94278080000001</v>
      </c>
      <c r="H41" s="112">
        <v>52208</v>
      </c>
      <c r="I41" s="112">
        <v>53017</v>
      </c>
      <c r="J41" s="112">
        <v>47.2</v>
      </c>
      <c r="K41" s="112" t="s">
        <v>3266</v>
      </c>
      <c r="L41" s="112" t="s">
        <v>3267</v>
      </c>
      <c r="M41" s="112" t="s">
        <v>3268</v>
      </c>
      <c r="N41" s="112" t="s">
        <v>3269</v>
      </c>
      <c r="Q41" s="112"/>
    </row>
    <row r="42" spans="1:17">
      <c r="A42" s="112" t="s">
        <v>3261</v>
      </c>
      <c r="B42" s="112" t="s">
        <v>3262</v>
      </c>
      <c r="C42" s="112" t="s">
        <v>3263</v>
      </c>
      <c r="D42" s="112" t="s">
        <v>3264</v>
      </c>
      <c r="E42" s="112" t="s">
        <v>1299</v>
      </c>
      <c r="F42" s="112" t="s">
        <v>3273</v>
      </c>
      <c r="G42" s="112">
        <v>202.95296519999999</v>
      </c>
      <c r="H42" s="112">
        <v>52208</v>
      </c>
      <c r="I42" s="112">
        <v>53017</v>
      </c>
      <c r="J42" s="112">
        <v>47.2</v>
      </c>
      <c r="K42" s="112" t="s">
        <v>3266</v>
      </c>
      <c r="L42" s="112" t="s">
        <v>3267</v>
      </c>
      <c r="M42" s="112" t="s">
        <v>3268</v>
      </c>
      <c r="N42" s="112" t="s">
        <v>3269</v>
      </c>
      <c r="Q42" s="112"/>
    </row>
    <row r="43" spans="1:17">
      <c r="A43" s="112" t="s">
        <v>3261</v>
      </c>
      <c r="B43" s="112" t="s">
        <v>3262</v>
      </c>
      <c r="C43" s="112" t="s">
        <v>3263</v>
      </c>
      <c r="D43" s="112" t="s">
        <v>3264</v>
      </c>
      <c r="E43" s="112" t="s">
        <v>1299</v>
      </c>
      <c r="F43" s="112" t="s">
        <v>3274</v>
      </c>
      <c r="G43" s="112">
        <v>409.8055124</v>
      </c>
      <c r="H43" s="112">
        <v>52208</v>
      </c>
      <c r="I43" s="112">
        <v>53017</v>
      </c>
      <c r="J43" s="112">
        <v>47.2</v>
      </c>
      <c r="K43" s="112" t="s">
        <v>3266</v>
      </c>
      <c r="L43" s="112" t="s">
        <v>3267</v>
      </c>
      <c r="M43" s="112" t="s">
        <v>3268</v>
      </c>
      <c r="N43" s="112" t="s">
        <v>3269</v>
      </c>
      <c r="Q43" s="112"/>
    </row>
    <row r="44" spans="1:17">
      <c r="A44" s="112" t="s">
        <v>3261</v>
      </c>
      <c r="B44" s="112" t="s">
        <v>3262</v>
      </c>
      <c r="C44" s="112" t="s">
        <v>3263</v>
      </c>
      <c r="D44" s="112" t="s">
        <v>3264</v>
      </c>
      <c r="E44" s="112" t="s">
        <v>1299</v>
      </c>
      <c r="F44" s="112" t="s">
        <v>3275</v>
      </c>
      <c r="G44" s="112">
        <v>841.1715236</v>
      </c>
      <c r="H44" s="112">
        <v>52208</v>
      </c>
      <c r="I44" s="112">
        <v>53017</v>
      </c>
      <c r="J44" s="112">
        <v>47.2</v>
      </c>
      <c r="K44" s="112" t="s">
        <v>3266</v>
      </c>
      <c r="L44" s="112" t="s">
        <v>3267</v>
      </c>
      <c r="M44" s="112" t="s">
        <v>3268</v>
      </c>
      <c r="N44" s="112" t="s">
        <v>3269</v>
      </c>
      <c r="Q44" s="112"/>
    </row>
    <row r="45" spans="1:17">
      <c r="A45" s="112" t="s">
        <v>3276</v>
      </c>
      <c r="B45" s="112" t="s">
        <v>3277</v>
      </c>
      <c r="C45" s="112" t="s">
        <v>2390</v>
      </c>
      <c r="D45" s="112" t="s">
        <v>3278</v>
      </c>
      <c r="E45" s="112" t="s">
        <v>1349</v>
      </c>
      <c r="F45" s="112" t="s">
        <v>3279</v>
      </c>
      <c r="G45" s="112">
        <v>0.10324850300000001</v>
      </c>
      <c r="H45" s="112">
        <v>4479</v>
      </c>
      <c r="I45" s="112">
        <v>5414</v>
      </c>
      <c r="J45" s="112">
        <v>92.3</v>
      </c>
      <c r="K45" s="112" t="s">
        <v>3280</v>
      </c>
      <c r="L45" s="112" t="s">
        <v>3281</v>
      </c>
      <c r="M45" s="112" t="s">
        <v>3282</v>
      </c>
      <c r="N45" s="112" t="s">
        <v>3283</v>
      </c>
      <c r="Q45" s="112"/>
    </row>
    <row r="46" spans="1:17">
      <c r="A46" s="112" t="s">
        <v>3276</v>
      </c>
      <c r="B46" s="112" t="s">
        <v>3277</v>
      </c>
      <c r="C46" s="112" t="s">
        <v>2390</v>
      </c>
      <c r="D46" s="112" t="s">
        <v>3278</v>
      </c>
      <c r="E46" s="112" t="s">
        <v>1349</v>
      </c>
      <c r="F46" s="112" t="s">
        <v>3284</v>
      </c>
      <c r="G46" s="112">
        <v>4.2169180229999998</v>
      </c>
      <c r="H46" s="112">
        <v>4479</v>
      </c>
      <c r="I46" s="112">
        <v>5414</v>
      </c>
      <c r="J46" s="112">
        <v>92.3</v>
      </c>
      <c r="K46" s="112" t="s">
        <v>3280</v>
      </c>
      <c r="L46" s="112" t="s">
        <v>3281</v>
      </c>
      <c r="M46" s="112" t="s">
        <v>3282</v>
      </c>
      <c r="N46" s="112" t="s">
        <v>3283</v>
      </c>
      <c r="Q46" s="112"/>
    </row>
    <row r="47" spans="1:17">
      <c r="A47" s="112" t="s">
        <v>3276</v>
      </c>
      <c r="B47" s="112" t="s">
        <v>3277</v>
      </c>
      <c r="C47" s="112" t="s">
        <v>2390</v>
      </c>
      <c r="D47" s="112" t="s">
        <v>3278</v>
      </c>
      <c r="E47" s="112" t="s">
        <v>1349</v>
      </c>
      <c r="F47" s="112" t="s">
        <v>3285</v>
      </c>
      <c r="G47" s="112">
        <v>7.2366751860000003</v>
      </c>
      <c r="H47" s="112">
        <v>4479</v>
      </c>
      <c r="I47" s="112">
        <v>5414</v>
      </c>
      <c r="J47" s="112">
        <v>92.3</v>
      </c>
      <c r="K47" s="112" t="s">
        <v>3280</v>
      </c>
      <c r="L47" s="112" t="s">
        <v>3281</v>
      </c>
      <c r="M47" s="112" t="s">
        <v>3282</v>
      </c>
      <c r="N47" s="112" t="s">
        <v>3283</v>
      </c>
      <c r="Q47" s="112"/>
    </row>
    <row r="48" spans="1:17">
      <c r="A48" s="112" t="s">
        <v>3276</v>
      </c>
      <c r="B48" s="112" t="s">
        <v>3277</v>
      </c>
      <c r="C48" s="112" t="s">
        <v>2390</v>
      </c>
      <c r="D48" s="112" t="s">
        <v>3278</v>
      </c>
      <c r="E48" s="112" t="s">
        <v>1349</v>
      </c>
      <c r="F48" s="112" t="s">
        <v>3286</v>
      </c>
      <c r="G48" s="112">
        <v>308.8610534</v>
      </c>
      <c r="H48" s="112">
        <v>4479</v>
      </c>
      <c r="I48" s="112">
        <v>5414</v>
      </c>
      <c r="J48" s="112">
        <v>92.3</v>
      </c>
      <c r="K48" s="112" t="s">
        <v>3280</v>
      </c>
      <c r="L48" s="112" t="s">
        <v>3281</v>
      </c>
      <c r="M48" s="112" t="s">
        <v>3282</v>
      </c>
      <c r="N48" s="112" t="s">
        <v>3283</v>
      </c>
      <c r="Q48" s="112"/>
    </row>
    <row r="49" spans="1:17">
      <c r="A49" s="112" t="s">
        <v>3276</v>
      </c>
      <c r="B49" s="112" t="s">
        <v>3277</v>
      </c>
      <c r="C49" s="112" t="s">
        <v>2390</v>
      </c>
      <c r="D49" s="112" t="s">
        <v>3278</v>
      </c>
      <c r="E49" s="112" t="s">
        <v>1349</v>
      </c>
      <c r="F49" s="112" t="s">
        <v>874</v>
      </c>
      <c r="G49" s="112">
        <v>372.73333939999998</v>
      </c>
      <c r="H49" s="112">
        <v>4479</v>
      </c>
      <c r="I49" s="112">
        <v>5414</v>
      </c>
      <c r="J49" s="112">
        <v>92.3</v>
      </c>
      <c r="K49" s="112" t="s">
        <v>3280</v>
      </c>
      <c r="L49" s="112" t="s">
        <v>3281</v>
      </c>
      <c r="M49" s="112" t="s">
        <v>3282</v>
      </c>
      <c r="N49" s="112" t="s">
        <v>3283</v>
      </c>
      <c r="Q49" s="112"/>
    </row>
    <row r="50" spans="1:17">
      <c r="A50" s="112" t="s">
        <v>3276</v>
      </c>
      <c r="B50" s="112" t="s">
        <v>3277</v>
      </c>
      <c r="C50" s="112" t="s">
        <v>2390</v>
      </c>
      <c r="D50" s="112" t="s">
        <v>3278</v>
      </c>
      <c r="E50" s="112" t="s">
        <v>1349</v>
      </c>
      <c r="F50" s="112" t="s">
        <v>3287</v>
      </c>
      <c r="G50" s="112">
        <v>1083.880707</v>
      </c>
      <c r="H50" s="112">
        <v>4479</v>
      </c>
      <c r="I50" s="112">
        <v>5414</v>
      </c>
      <c r="J50" s="112">
        <v>92.3</v>
      </c>
      <c r="K50" s="112" t="s">
        <v>3280</v>
      </c>
      <c r="L50" s="112" t="s">
        <v>3281</v>
      </c>
      <c r="M50" s="112" t="s">
        <v>3282</v>
      </c>
      <c r="N50" s="112" t="s">
        <v>3283</v>
      </c>
      <c r="Q50" s="112"/>
    </row>
    <row r="51" spans="1:17">
      <c r="A51" s="112" t="s">
        <v>3276</v>
      </c>
      <c r="B51" s="112" t="s">
        <v>3277</v>
      </c>
      <c r="C51" s="112" t="s">
        <v>2390</v>
      </c>
      <c r="D51" s="112" t="s">
        <v>3278</v>
      </c>
      <c r="E51" s="112" t="s">
        <v>1349</v>
      </c>
      <c r="F51" s="112" t="s">
        <v>3288</v>
      </c>
      <c r="G51" s="112">
        <v>1252.4963519999999</v>
      </c>
      <c r="H51" s="112">
        <v>4479</v>
      </c>
      <c r="I51" s="112">
        <v>5414</v>
      </c>
      <c r="J51" s="112">
        <v>92.3</v>
      </c>
      <c r="K51" s="112" t="s">
        <v>3280</v>
      </c>
      <c r="L51" s="112" t="s">
        <v>3281</v>
      </c>
      <c r="M51" s="112" t="s">
        <v>3282</v>
      </c>
      <c r="N51" s="112" t="s">
        <v>3283</v>
      </c>
      <c r="Q51" s="112"/>
    </row>
    <row r="52" spans="1:17">
      <c r="A52" s="112" t="s">
        <v>3276</v>
      </c>
      <c r="B52" s="112" t="s">
        <v>3277</v>
      </c>
      <c r="C52" s="112" t="s">
        <v>2390</v>
      </c>
      <c r="D52" s="112" t="s">
        <v>3278</v>
      </c>
      <c r="E52" s="112" t="s">
        <v>1349</v>
      </c>
      <c r="F52" s="112" t="s">
        <v>853</v>
      </c>
      <c r="G52" s="112">
        <v>1917.7463949999999</v>
      </c>
      <c r="H52" s="112">
        <v>4479</v>
      </c>
      <c r="I52" s="112">
        <v>5414</v>
      </c>
      <c r="J52" s="112">
        <v>92.3</v>
      </c>
      <c r="K52" s="112" t="s">
        <v>3280</v>
      </c>
      <c r="L52" s="112" t="s">
        <v>3281</v>
      </c>
      <c r="M52" s="112" t="s">
        <v>3282</v>
      </c>
      <c r="N52" s="112" t="s">
        <v>3283</v>
      </c>
      <c r="Q52" s="112"/>
    </row>
    <row r="53" spans="1:17">
      <c r="A53" s="112" t="s">
        <v>3276</v>
      </c>
      <c r="B53" s="112" t="s">
        <v>3277</v>
      </c>
      <c r="C53" s="112" t="s">
        <v>2390</v>
      </c>
      <c r="D53" s="112" t="s">
        <v>3278</v>
      </c>
      <c r="E53" s="112" t="s">
        <v>1349</v>
      </c>
      <c r="F53" s="112" t="s">
        <v>3289</v>
      </c>
      <c r="G53" s="112">
        <v>1960.6919210000001</v>
      </c>
      <c r="H53" s="112">
        <v>4479</v>
      </c>
      <c r="I53" s="112">
        <v>5414</v>
      </c>
      <c r="J53" s="112">
        <v>92.3</v>
      </c>
      <c r="K53" s="112" t="s">
        <v>3280</v>
      </c>
      <c r="L53" s="112" t="s">
        <v>3281</v>
      </c>
      <c r="M53" s="112" t="s">
        <v>3282</v>
      </c>
      <c r="N53" s="112" t="s">
        <v>3283</v>
      </c>
      <c r="Q53" s="112"/>
    </row>
    <row r="54" spans="1:17">
      <c r="A54" s="112" t="s">
        <v>3276</v>
      </c>
      <c r="B54" s="112" t="s">
        <v>3277</v>
      </c>
      <c r="C54" s="112" t="s">
        <v>2390</v>
      </c>
      <c r="D54" s="112" t="s">
        <v>3278</v>
      </c>
      <c r="E54" s="112" t="s">
        <v>1349</v>
      </c>
      <c r="F54" s="112" t="s">
        <v>918</v>
      </c>
      <c r="G54" s="112">
        <v>2921.2039100000002</v>
      </c>
      <c r="H54" s="112">
        <v>4479</v>
      </c>
      <c r="I54" s="112">
        <v>5414</v>
      </c>
      <c r="J54" s="112">
        <v>92.3</v>
      </c>
      <c r="K54" s="112" t="s">
        <v>3280</v>
      </c>
      <c r="L54" s="112" t="s">
        <v>3281</v>
      </c>
      <c r="M54" s="112" t="s">
        <v>3282</v>
      </c>
      <c r="N54" s="112" t="s">
        <v>3283</v>
      </c>
      <c r="Q54" s="112"/>
    </row>
    <row r="55" spans="1:17">
      <c r="A55" s="112" t="s">
        <v>3290</v>
      </c>
      <c r="B55" s="112" t="s">
        <v>3291</v>
      </c>
      <c r="C55" s="112" t="s">
        <v>3292</v>
      </c>
      <c r="D55" s="112" t="s">
        <v>3293</v>
      </c>
      <c r="E55" s="112" t="s">
        <v>1362</v>
      </c>
      <c r="F55" s="112" t="s">
        <v>3279</v>
      </c>
      <c r="G55" s="112">
        <v>0.10324850300000001</v>
      </c>
      <c r="H55" s="112">
        <v>11853</v>
      </c>
      <c r="I55" s="112">
        <v>12155</v>
      </c>
      <c r="J55" s="112">
        <v>38.299999999999997</v>
      </c>
      <c r="K55" s="112" t="s">
        <v>3294</v>
      </c>
      <c r="L55" s="112" t="s">
        <v>3295</v>
      </c>
      <c r="M55" s="112" t="s">
        <v>3296</v>
      </c>
      <c r="N55" s="112" t="s">
        <v>3297</v>
      </c>
      <c r="Q55" s="112"/>
    </row>
    <row r="56" spans="1:17">
      <c r="A56" s="112" t="s">
        <v>3290</v>
      </c>
      <c r="B56" s="112" t="s">
        <v>3291</v>
      </c>
      <c r="C56" s="112" t="s">
        <v>3292</v>
      </c>
      <c r="D56" s="112" t="s">
        <v>3293</v>
      </c>
      <c r="E56" s="112" t="s">
        <v>1362</v>
      </c>
      <c r="F56" s="112" t="s">
        <v>3298</v>
      </c>
      <c r="G56" s="112">
        <v>0.27222647100000003</v>
      </c>
      <c r="H56" s="112">
        <v>11853</v>
      </c>
      <c r="I56" s="112">
        <v>12155</v>
      </c>
      <c r="J56" s="112">
        <v>38.299999999999997</v>
      </c>
      <c r="K56" s="112" t="s">
        <v>3294</v>
      </c>
      <c r="L56" s="112" t="s">
        <v>3295</v>
      </c>
      <c r="M56" s="112" t="s">
        <v>3296</v>
      </c>
      <c r="N56" s="112" t="s">
        <v>3297</v>
      </c>
      <c r="Q56" s="112"/>
    </row>
    <row r="57" spans="1:17">
      <c r="A57" s="112" t="s">
        <v>3290</v>
      </c>
      <c r="B57" s="112" t="s">
        <v>3291</v>
      </c>
      <c r="C57" s="112" t="s">
        <v>3292</v>
      </c>
      <c r="D57" s="112" t="s">
        <v>3293</v>
      </c>
      <c r="E57" s="112" t="s">
        <v>1362</v>
      </c>
      <c r="F57" s="112" t="s">
        <v>3299</v>
      </c>
      <c r="G57" s="112">
        <v>9.7017686879999996</v>
      </c>
      <c r="H57" s="112">
        <v>11853</v>
      </c>
      <c r="I57" s="112">
        <v>12155</v>
      </c>
      <c r="J57" s="112">
        <v>38.299999999999997</v>
      </c>
      <c r="K57" s="112" t="s">
        <v>3294</v>
      </c>
      <c r="L57" s="112" t="s">
        <v>3295</v>
      </c>
      <c r="M57" s="112" t="s">
        <v>3296</v>
      </c>
      <c r="N57" s="112" t="s">
        <v>3297</v>
      </c>
      <c r="Q57" s="112"/>
    </row>
    <row r="58" spans="1:17">
      <c r="A58" s="112" t="s">
        <v>3290</v>
      </c>
      <c r="B58" s="112" t="s">
        <v>3291</v>
      </c>
      <c r="C58" s="112" t="s">
        <v>3292</v>
      </c>
      <c r="D58" s="112" t="s">
        <v>3293</v>
      </c>
      <c r="E58" s="112" t="s">
        <v>1362</v>
      </c>
      <c r="F58" s="112" t="s">
        <v>3300</v>
      </c>
      <c r="G58" s="112">
        <v>12.821170589999999</v>
      </c>
      <c r="H58" s="112">
        <v>11853</v>
      </c>
      <c r="I58" s="112">
        <v>12155</v>
      </c>
      <c r="J58" s="112">
        <v>38.299999999999997</v>
      </c>
      <c r="K58" s="112" t="s">
        <v>3294</v>
      </c>
      <c r="L58" s="112" t="s">
        <v>3295</v>
      </c>
      <c r="M58" s="112" t="s">
        <v>3296</v>
      </c>
      <c r="N58" s="112" t="s">
        <v>3297</v>
      </c>
      <c r="Q58" s="112"/>
    </row>
    <row r="59" spans="1:17">
      <c r="A59" s="112" t="s">
        <v>3301</v>
      </c>
      <c r="B59" s="112" t="s">
        <v>3302</v>
      </c>
      <c r="C59" s="112" t="s">
        <v>1558</v>
      </c>
      <c r="D59" s="112" t="s">
        <v>3303</v>
      </c>
      <c r="E59" s="112" t="s">
        <v>1362</v>
      </c>
      <c r="F59" s="112" t="s">
        <v>852</v>
      </c>
      <c r="G59" s="112">
        <v>16.458060329999999</v>
      </c>
      <c r="H59" s="112">
        <v>62</v>
      </c>
      <c r="I59" s="112">
        <v>790</v>
      </c>
      <c r="J59" s="112">
        <v>70.400000000000006</v>
      </c>
      <c r="K59" s="112" t="s">
        <v>3304</v>
      </c>
      <c r="L59" s="112" t="s">
        <v>3305</v>
      </c>
      <c r="M59" s="112" t="s">
        <v>3306</v>
      </c>
      <c r="N59" s="112" t="s">
        <v>3307</v>
      </c>
      <c r="Q59" s="112"/>
    </row>
    <row r="60" spans="1:17">
      <c r="A60" s="112" t="s">
        <v>3308</v>
      </c>
      <c r="B60" s="112" t="s">
        <v>3309</v>
      </c>
      <c r="C60" s="112" t="s">
        <v>1557</v>
      </c>
      <c r="D60" s="112" t="s">
        <v>3303</v>
      </c>
      <c r="E60" s="112" t="s">
        <v>1362</v>
      </c>
      <c r="F60" s="112" t="s">
        <v>852</v>
      </c>
      <c r="G60" s="112">
        <v>16.458060329999999</v>
      </c>
      <c r="H60" s="112">
        <v>824</v>
      </c>
      <c r="I60" s="112">
        <v>1318</v>
      </c>
      <c r="J60" s="112">
        <v>76.5</v>
      </c>
      <c r="K60" s="112" t="s">
        <v>3310</v>
      </c>
      <c r="L60" s="112" t="s">
        <v>3311</v>
      </c>
      <c r="M60" s="112" t="s">
        <v>3312</v>
      </c>
      <c r="N60" s="112" t="s">
        <v>3313</v>
      </c>
      <c r="Q60" s="112"/>
    </row>
    <row r="61" spans="1:17">
      <c r="A61" s="112" t="s">
        <v>3314</v>
      </c>
      <c r="B61" s="112" t="s">
        <v>3315</v>
      </c>
      <c r="C61" s="112" t="s">
        <v>1554</v>
      </c>
      <c r="D61" s="112" t="s">
        <v>3303</v>
      </c>
      <c r="E61" s="112" t="s">
        <v>1362</v>
      </c>
      <c r="F61" s="112" t="s">
        <v>852</v>
      </c>
      <c r="G61" s="112">
        <v>16.458060329999999</v>
      </c>
      <c r="H61" s="112">
        <v>1386</v>
      </c>
      <c r="I61" s="112">
        <v>2618</v>
      </c>
      <c r="J61" s="112">
        <v>124.03</v>
      </c>
      <c r="K61" s="112" t="s">
        <v>3316</v>
      </c>
      <c r="L61" s="112" t="s">
        <v>3317</v>
      </c>
      <c r="M61" s="112" t="s">
        <v>3318</v>
      </c>
      <c r="N61" s="112" t="s">
        <v>3319</v>
      </c>
      <c r="Q61" s="112"/>
    </row>
    <row r="62" spans="1:17">
      <c r="A62" s="112" t="s">
        <v>3290</v>
      </c>
      <c r="B62" s="112" t="s">
        <v>3291</v>
      </c>
      <c r="C62" s="112" t="s">
        <v>3292</v>
      </c>
      <c r="D62" s="112" t="s">
        <v>3293</v>
      </c>
      <c r="E62" s="112" t="s">
        <v>1362</v>
      </c>
      <c r="F62" s="112" t="s">
        <v>858</v>
      </c>
      <c r="G62" s="112">
        <v>20.104139759999999</v>
      </c>
      <c r="H62" s="112">
        <v>11853</v>
      </c>
      <c r="I62" s="112">
        <v>12155</v>
      </c>
      <c r="J62" s="112">
        <v>38.299999999999997</v>
      </c>
      <c r="K62" s="112" t="s">
        <v>3294</v>
      </c>
      <c r="L62" s="112" t="s">
        <v>3295</v>
      </c>
      <c r="M62" s="112" t="s">
        <v>3296</v>
      </c>
      <c r="N62" s="112" t="s">
        <v>3297</v>
      </c>
      <c r="Q62" s="112"/>
    </row>
    <row r="63" spans="1:17">
      <c r="A63" s="112" t="s">
        <v>3301</v>
      </c>
      <c r="B63" s="112" t="s">
        <v>3302</v>
      </c>
      <c r="C63" s="112" t="s">
        <v>1558</v>
      </c>
      <c r="D63" s="112" t="s">
        <v>3303</v>
      </c>
      <c r="E63" s="112" t="s">
        <v>1362</v>
      </c>
      <c r="F63" s="112" t="s">
        <v>3265</v>
      </c>
      <c r="G63" s="112">
        <v>20.256856079999999</v>
      </c>
      <c r="H63" s="112">
        <v>62</v>
      </c>
      <c r="I63" s="112">
        <v>790</v>
      </c>
      <c r="J63" s="112">
        <v>70.400000000000006</v>
      </c>
      <c r="K63" s="112" t="s">
        <v>3304</v>
      </c>
      <c r="L63" s="112" t="s">
        <v>3305</v>
      </c>
      <c r="M63" s="112" t="s">
        <v>3306</v>
      </c>
      <c r="N63" s="112" t="s">
        <v>3307</v>
      </c>
      <c r="Q63" s="112"/>
    </row>
    <row r="64" spans="1:17">
      <c r="A64" s="112" t="s">
        <v>3308</v>
      </c>
      <c r="B64" s="112" t="s">
        <v>3309</v>
      </c>
      <c r="C64" s="112" t="s">
        <v>1557</v>
      </c>
      <c r="D64" s="112" t="s">
        <v>3303</v>
      </c>
      <c r="E64" s="112" t="s">
        <v>1362</v>
      </c>
      <c r="F64" s="112" t="s">
        <v>3265</v>
      </c>
      <c r="G64" s="112">
        <v>20.256856079999999</v>
      </c>
      <c r="H64" s="112">
        <v>824</v>
      </c>
      <c r="I64" s="112">
        <v>1318</v>
      </c>
      <c r="J64" s="112">
        <v>76.5</v>
      </c>
      <c r="K64" s="112" t="s">
        <v>3310</v>
      </c>
      <c r="L64" s="112" t="s">
        <v>3311</v>
      </c>
      <c r="M64" s="112" t="s">
        <v>3312</v>
      </c>
      <c r="N64" s="112" t="s">
        <v>3313</v>
      </c>
      <c r="Q64" s="112"/>
    </row>
    <row r="65" spans="1:17">
      <c r="A65" s="112" t="s">
        <v>3314</v>
      </c>
      <c r="B65" s="112" t="s">
        <v>3315</v>
      </c>
      <c r="C65" s="112" t="s">
        <v>1554</v>
      </c>
      <c r="D65" s="112" t="s">
        <v>3303</v>
      </c>
      <c r="E65" s="112" t="s">
        <v>1362</v>
      </c>
      <c r="F65" s="112" t="s">
        <v>3265</v>
      </c>
      <c r="G65" s="112">
        <v>20.256856079999999</v>
      </c>
      <c r="H65" s="112">
        <v>1386</v>
      </c>
      <c r="I65" s="112">
        <v>2618</v>
      </c>
      <c r="J65" s="112">
        <v>124.03</v>
      </c>
      <c r="K65" s="112" t="s">
        <v>3316</v>
      </c>
      <c r="L65" s="112" t="s">
        <v>3317</v>
      </c>
      <c r="M65" s="112" t="s">
        <v>3318</v>
      </c>
      <c r="N65" s="112" t="s">
        <v>3319</v>
      </c>
      <c r="Q65" s="112"/>
    </row>
    <row r="66" spans="1:17">
      <c r="A66" s="112" t="s">
        <v>3290</v>
      </c>
      <c r="B66" s="112" t="s">
        <v>3291</v>
      </c>
      <c r="C66" s="112" t="s">
        <v>3292</v>
      </c>
      <c r="D66" s="112" t="s">
        <v>3293</v>
      </c>
      <c r="E66" s="112" t="s">
        <v>1362</v>
      </c>
      <c r="F66" s="112" t="s">
        <v>3320</v>
      </c>
      <c r="G66" s="112">
        <v>20.509034929999999</v>
      </c>
      <c r="H66" s="112">
        <v>11853</v>
      </c>
      <c r="I66" s="112">
        <v>12155</v>
      </c>
      <c r="J66" s="112">
        <v>38.299999999999997</v>
      </c>
      <c r="K66" s="112" t="s">
        <v>3294</v>
      </c>
      <c r="L66" s="112" t="s">
        <v>3295</v>
      </c>
      <c r="M66" s="112" t="s">
        <v>3296</v>
      </c>
      <c r="N66" s="112" t="s">
        <v>3297</v>
      </c>
      <c r="Q66" s="112"/>
    </row>
    <row r="67" spans="1:17">
      <c r="A67" s="112" t="s">
        <v>3290</v>
      </c>
      <c r="B67" s="112" t="s">
        <v>3291</v>
      </c>
      <c r="C67" s="112" t="s">
        <v>3292</v>
      </c>
      <c r="D67" s="112" t="s">
        <v>3293</v>
      </c>
      <c r="E67" s="112" t="s">
        <v>1362</v>
      </c>
      <c r="F67" s="112" t="s">
        <v>3321</v>
      </c>
      <c r="G67" s="112">
        <v>24.496595240000001</v>
      </c>
      <c r="H67" s="112">
        <v>11853</v>
      </c>
      <c r="I67" s="112">
        <v>12155</v>
      </c>
      <c r="J67" s="112">
        <v>38.299999999999997</v>
      </c>
      <c r="K67" s="112" t="s">
        <v>3294</v>
      </c>
      <c r="L67" s="112" t="s">
        <v>3295</v>
      </c>
      <c r="M67" s="112" t="s">
        <v>3296</v>
      </c>
      <c r="N67" s="112" t="s">
        <v>3297</v>
      </c>
      <c r="Q67" s="112"/>
    </row>
    <row r="68" spans="1:17">
      <c r="A68" s="112" t="s">
        <v>3290</v>
      </c>
      <c r="B68" s="112" t="s">
        <v>3291</v>
      </c>
      <c r="C68" s="112" t="s">
        <v>3292</v>
      </c>
      <c r="D68" s="112" t="s">
        <v>3293</v>
      </c>
      <c r="E68" s="112" t="s">
        <v>1362</v>
      </c>
      <c r="F68" s="112" t="s">
        <v>859</v>
      </c>
      <c r="G68" s="112">
        <v>28.425241710000002</v>
      </c>
      <c r="H68" s="112">
        <v>11853</v>
      </c>
      <c r="I68" s="112">
        <v>12155</v>
      </c>
      <c r="J68" s="112">
        <v>38.299999999999997</v>
      </c>
      <c r="K68" s="112" t="s">
        <v>3294</v>
      </c>
      <c r="L68" s="112" t="s">
        <v>3295</v>
      </c>
      <c r="M68" s="112" t="s">
        <v>3296</v>
      </c>
      <c r="N68" s="112" t="s">
        <v>3297</v>
      </c>
      <c r="Q68" s="112"/>
    </row>
    <row r="69" spans="1:17">
      <c r="A69" s="112" t="s">
        <v>3322</v>
      </c>
      <c r="B69" s="112" t="s">
        <v>3323</v>
      </c>
      <c r="C69" s="112" t="s">
        <v>2296</v>
      </c>
      <c r="D69" s="112" t="s">
        <v>3324</v>
      </c>
      <c r="E69" s="112" t="s">
        <v>1362</v>
      </c>
      <c r="F69" s="112" t="s">
        <v>3320</v>
      </c>
      <c r="G69" s="112">
        <v>41.018069850000003</v>
      </c>
      <c r="H69" s="112">
        <v>240</v>
      </c>
      <c r="I69" s="112">
        <v>1661</v>
      </c>
      <c r="J69" s="112">
        <v>188.3</v>
      </c>
      <c r="K69" s="112" t="s">
        <v>3325</v>
      </c>
      <c r="L69" s="112" t="s">
        <v>3326</v>
      </c>
      <c r="M69" s="112" t="s">
        <v>3318</v>
      </c>
      <c r="N69" s="112" t="s">
        <v>3327</v>
      </c>
      <c r="Q69" s="112"/>
    </row>
    <row r="70" spans="1:17">
      <c r="A70" s="112" t="s">
        <v>3328</v>
      </c>
      <c r="B70" s="112" t="s">
        <v>3329</v>
      </c>
      <c r="C70" s="112" t="s">
        <v>2294</v>
      </c>
      <c r="D70" s="112" t="s">
        <v>3324</v>
      </c>
      <c r="E70" s="112" t="s">
        <v>1362</v>
      </c>
      <c r="F70" s="112" t="s">
        <v>3320</v>
      </c>
      <c r="G70" s="112">
        <v>41.018069850000003</v>
      </c>
      <c r="H70" s="112">
        <v>1693</v>
      </c>
      <c r="I70" s="112">
        <v>2598</v>
      </c>
      <c r="J70" s="112">
        <v>103.5</v>
      </c>
      <c r="K70" s="112" t="s">
        <v>3330</v>
      </c>
      <c r="L70" s="112" t="s">
        <v>3331</v>
      </c>
      <c r="M70" s="112" t="s">
        <v>3306</v>
      </c>
      <c r="N70" s="112" t="s">
        <v>3332</v>
      </c>
      <c r="Q70" s="112"/>
    </row>
    <row r="71" spans="1:17">
      <c r="A71" s="112" t="s">
        <v>3333</v>
      </c>
      <c r="B71" s="112" t="s">
        <v>3334</v>
      </c>
      <c r="C71" s="112" t="s">
        <v>3335</v>
      </c>
      <c r="D71" s="112" t="s">
        <v>3324</v>
      </c>
      <c r="E71" s="112" t="s">
        <v>1362</v>
      </c>
      <c r="F71" s="112" t="s">
        <v>3320</v>
      </c>
      <c r="G71" s="112">
        <v>41.018069850000003</v>
      </c>
      <c r="H71" s="112">
        <v>2636</v>
      </c>
      <c r="I71" s="112">
        <v>3151</v>
      </c>
      <c r="J71" s="112">
        <v>39.799999999999997</v>
      </c>
      <c r="K71" s="112" t="s">
        <v>3336</v>
      </c>
      <c r="L71" s="112" t="s">
        <v>3337</v>
      </c>
      <c r="M71" s="112" t="s">
        <v>3338</v>
      </c>
      <c r="N71" s="112" t="s">
        <v>3339</v>
      </c>
      <c r="Q71" s="112"/>
    </row>
    <row r="72" spans="1:17">
      <c r="A72" s="112" t="s">
        <v>3340</v>
      </c>
      <c r="B72" s="112" t="s">
        <v>3341</v>
      </c>
      <c r="C72" s="112" t="s">
        <v>3175</v>
      </c>
      <c r="D72" s="112" t="s">
        <v>3342</v>
      </c>
      <c r="E72" s="112" t="s">
        <v>1362</v>
      </c>
      <c r="F72" s="112" t="s">
        <v>3343</v>
      </c>
      <c r="G72" s="112">
        <v>46.820862939999998</v>
      </c>
      <c r="H72" s="112">
        <v>536</v>
      </c>
      <c r="I72" s="112">
        <v>1600</v>
      </c>
      <c r="J72" s="112">
        <v>158.1</v>
      </c>
      <c r="K72" s="112" t="s">
        <v>3344</v>
      </c>
      <c r="L72" s="112" t="s">
        <v>3345</v>
      </c>
      <c r="M72" s="112" t="s">
        <v>3346</v>
      </c>
      <c r="N72" s="112" t="s">
        <v>3347</v>
      </c>
      <c r="Q72" s="112"/>
    </row>
    <row r="73" spans="1:17">
      <c r="A73" s="112" t="s">
        <v>3348</v>
      </c>
      <c r="B73" s="112" t="s">
        <v>3349</v>
      </c>
      <c r="C73" s="112" t="s">
        <v>3350</v>
      </c>
      <c r="D73" s="112" t="s">
        <v>3342</v>
      </c>
      <c r="E73" s="112" t="s">
        <v>1362</v>
      </c>
      <c r="F73" s="112" t="s">
        <v>3343</v>
      </c>
      <c r="G73" s="112">
        <v>46.820862939999998</v>
      </c>
      <c r="H73" s="112">
        <v>1676</v>
      </c>
      <c r="I73" s="112">
        <v>2740</v>
      </c>
      <c r="J73" s="112">
        <v>115.6</v>
      </c>
      <c r="K73" s="112" t="s">
        <v>3351</v>
      </c>
      <c r="L73" s="112" t="s">
        <v>3352</v>
      </c>
      <c r="M73" s="112" t="s">
        <v>3353</v>
      </c>
      <c r="N73" s="112" t="s">
        <v>3354</v>
      </c>
      <c r="Q73" s="112"/>
    </row>
    <row r="74" spans="1:17">
      <c r="A74" s="112" t="s">
        <v>3340</v>
      </c>
      <c r="B74" s="112" t="s">
        <v>3341</v>
      </c>
      <c r="C74" s="112" t="s">
        <v>3175</v>
      </c>
      <c r="D74" s="112" t="s">
        <v>3342</v>
      </c>
      <c r="E74" s="112" t="s">
        <v>1362</v>
      </c>
      <c r="F74" s="112" t="s">
        <v>3271</v>
      </c>
      <c r="G74" s="112">
        <v>49.519920489999997</v>
      </c>
      <c r="H74" s="112">
        <v>536</v>
      </c>
      <c r="I74" s="112">
        <v>1600</v>
      </c>
      <c r="J74" s="112">
        <v>158.1</v>
      </c>
      <c r="K74" s="112" t="s">
        <v>3344</v>
      </c>
      <c r="L74" s="112" t="s">
        <v>3345</v>
      </c>
      <c r="M74" s="112" t="s">
        <v>3346</v>
      </c>
      <c r="N74" s="112" t="s">
        <v>3347</v>
      </c>
      <c r="Q74" s="112"/>
    </row>
    <row r="75" spans="1:17">
      <c r="A75" s="112" t="s">
        <v>3348</v>
      </c>
      <c r="B75" s="112" t="s">
        <v>3349</v>
      </c>
      <c r="C75" s="112" t="s">
        <v>3350</v>
      </c>
      <c r="D75" s="112" t="s">
        <v>3342</v>
      </c>
      <c r="E75" s="112" t="s">
        <v>1362</v>
      </c>
      <c r="F75" s="112" t="s">
        <v>3271</v>
      </c>
      <c r="G75" s="112">
        <v>49.519920489999997</v>
      </c>
      <c r="H75" s="112">
        <v>1676</v>
      </c>
      <c r="I75" s="112">
        <v>2740</v>
      </c>
      <c r="J75" s="112">
        <v>115.6</v>
      </c>
      <c r="K75" s="112" t="s">
        <v>3351</v>
      </c>
      <c r="L75" s="112" t="s">
        <v>3352</v>
      </c>
      <c r="M75" s="112" t="s">
        <v>3353</v>
      </c>
      <c r="N75" s="112" t="s">
        <v>3354</v>
      </c>
      <c r="Q75" s="112"/>
    </row>
    <row r="76" spans="1:17">
      <c r="A76" s="112" t="s">
        <v>3340</v>
      </c>
      <c r="B76" s="112" t="s">
        <v>3341</v>
      </c>
      <c r="C76" s="112" t="s">
        <v>3175</v>
      </c>
      <c r="D76" s="112" t="s">
        <v>3342</v>
      </c>
      <c r="E76" s="112" t="s">
        <v>1362</v>
      </c>
      <c r="F76" s="112" t="s">
        <v>3355</v>
      </c>
      <c r="G76" s="112">
        <v>65.928268669999994</v>
      </c>
      <c r="H76" s="112">
        <v>536</v>
      </c>
      <c r="I76" s="112">
        <v>1600</v>
      </c>
      <c r="J76" s="112">
        <v>158.1</v>
      </c>
      <c r="K76" s="112" t="s">
        <v>3344</v>
      </c>
      <c r="L76" s="112" t="s">
        <v>3345</v>
      </c>
      <c r="M76" s="112" t="s">
        <v>3346</v>
      </c>
      <c r="N76" s="112" t="s">
        <v>3347</v>
      </c>
      <c r="Q76" s="112"/>
    </row>
    <row r="77" spans="1:17">
      <c r="A77" s="112" t="s">
        <v>3348</v>
      </c>
      <c r="B77" s="112" t="s">
        <v>3349</v>
      </c>
      <c r="C77" s="112" t="s">
        <v>3350</v>
      </c>
      <c r="D77" s="112" t="s">
        <v>3342</v>
      </c>
      <c r="E77" s="112" t="s">
        <v>1362</v>
      </c>
      <c r="F77" s="112" t="s">
        <v>3355</v>
      </c>
      <c r="G77" s="112">
        <v>65.928268669999994</v>
      </c>
      <c r="H77" s="112">
        <v>1676</v>
      </c>
      <c r="I77" s="112">
        <v>2740</v>
      </c>
      <c r="J77" s="112">
        <v>115.6</v>
      </c>
      <c r="K77" s="112" t="s">
        <v>3351</v>
      </c>
      <c r="L77" s="112" t="s">
        <v>3352</v>
      </c>
      <c r="M77" s="112" t="s">
        <v>3353</v>
      </c>
      <c r="N77" s="112" t="s">
        <v>3354</v>
      </c>
      <c r="Q77" s="112"/>
    </row>
    <row r="78" spans="1:17">
      <c r="A78" s="112" t="s">
        <v>3290</v>
      </c>
      <c r="B78" s="112" t="s">
        <v>3291</v>
      </c>
      <c r="C78" s="112" t="s">
        <v>3292</v>
      </c>
      <c r="D78" s="112" t="s">
        <v>3293</v>
      </c>
      <c r="E78" s="112" t="s">
        <v>1362</v>
      </c>
      <c r="F78" s="112" t="s">
        <v>857</v>
      </c>
      <c r="G78" s="112">
        <v>69.878759049999999</v>
      </c>
      <c r="H78" s="112">
        <v>11853</v>
      </c>
      <c r="I78" s="112">
        <v>12155</v>
      </c>
      <c r="J78" s="112">
        <v>38.299999999999997</v>
      </c>
      <c r="K78" s="112" t="s">
        <v>3294</v>
      </c>
      <c r="L78" s="112" t="s">
        <v>3295</v>
      </c>
      <c r="M78" s="112" t="s">
        <v>3296</v>
      </c>
      <c r="N78" s="112" t="s">
        <v>3297</v>
      </c>
      <c r="Q78" s="112"/>
    </row>
    <row r="79" spans="1:17">
      <c r="A79" s="112" t="s">
        <v>3322</v>
      </c>
      <c r="B79" s="112" t="s">
        <v>3323</v>
      </c>
      <c r="C79" s="112" t="s">
        <v>2296</v>
      </c>
      <c r="D79" s="112" t="s">
        <v>3324</v>
      </c>
      <c r="E79" s="112" t="s">
        <v>1362</v>
      </c>
      <c r="F79" s="112" t="s">
        <v>3273</v>
      </c>
      <c r="G79" s="112">
        <v>101.4764826</v>
      </c>
      <c r="H79" s="112">
        <v>240</v>
      </c>
      <c r="I79" s="112">
        <v>1661</v>
      </c>
      <c r="J79" s="112">
        <v>188.3</v>
      </c>
      <c r="K79" s="112" t="s">
        <v>3325</v>
      </c>
      <c r="L79" s="112" t="s">
        <v>3326</v>
      </c>
      <c r="M79" s="112" t="s">
        <v>3318</v>
      </c>
      <c r="N79" s="112" t="s">
        <v>3327</v>
      </c>
      <c r="Q79" s="112"/>
    </row>
    <row r="80" spans="1:17">
      <c r="A80" s="112" t="s">
        <v>3328</v>
      </c>
      <c r="B80" s="112" t="s">
        <v>3329</v>
      </c>
      <c r="C80" s="112" t="s">
        <v>2294</v>
      </c>
      <c r="D80" s="112" t="s">
        <v>3324</v>
      </c>
      <c r="E80" s="112" t="s">
        <v>1362</v>
      </c>
      <c r="F80" s="112" t="s">
        <v>3273</v>
      </c>
      <c r="G80" s="112">
        <v>101.4764826</v>
      </c>
      <c r="H80" s="112">
        <v>1693</v>
      </c>
      <c r="I80" s="112">
        <v>2598</v>
      </c>
      <c r="J80" s="112">
        <v>103.5</v>
      </c>
      <c r="K80" s="112" t="s">
        <v>3330</v>
      </c>
      <c r="L80" s="112" t="s">
        <v>3331</v>
      </c>
      <c r="M80" s="112" t="s">
        <v>3306</v>
      </c>
      <c r="N80" s="112" t="s">
        <v>3332</v>
      </c>
      <c r="Q80" s="112"/>
    </row>
    <row r="81" spans="1:17">
      <c r="A81" s="112" t="s">
        <v>3333</v>
      </c>
      <c r="B81" s="112" t="s">
        <v>3334</v>
      </c>
      <c r="C81" s="112" t="s">
        <v>3335</v>
      </c>
      <c r="D81" s="112" t="s">
        <v>3324</v>
      </c>
      <c r="E81" s="112" t="s">
        <v>1362</v>
      </c>
      <c r="F81" s="112" t="s">
        <v>3273</v>
      </c>
      <c r="G81" s="112">
        <v>101.4764826</v>
      </c>
      <c r="H81" s="112">
        <v>2636</v>
      </c>
      <c r="I81" s="112">
        <v>3151</v>
      </c>
      <c r="J81" s="112">
        <v>39.799999999999997</v>
      </c>
      <c r="K81" s="112" t="s">
        <v>3336</v>
      </c>
      <c r="L81" s="112" t="s">
        <v>3337</v>
      </c>
      <c r="M81" s="112" t="s">
        <v>3338</v>
      </c>
      <c r="N81" s="112" t="s">
        <v>3339</v>
      </c>
      <c r="Q81" s="112"/>
    </row>
    <row r="82" spans="1:17">
      <c r="A82" s="112" t="s">
        <v>3340</v>
      </c>
      <c r="B82" s="112" t="s">
        <v>3341</v>
      </c>
      <c r="C82" s="112" t="s">
        <v>3175</v>
      </c>
      <c r="D82" s="112" t="s">
        <v>3342</v>
      </c>
      <c r="E82" s="112" t="s">
        <v>1362</v>
      </c>
      <c r="F82" s="112" t="s">
        <v>3288</v>
      </c>
      <c r="G82" s="112">
        <v>163.55622460000001</v>
      </c>
      <c r="H82" s="112">
        <v>536</v>
      </c>
      <c r="I82" s="112">
        <v>1600</v>
      </c>
      <c r="J82" s="112">
        <v>158.1</v>
      </c>
      <c r="K82" s="112" t="s">
        <v>3344</v>
      </c>
      <c r="L82" s="112" t="s">
        <v>3345</v>
      </c>
      <c r="M82" s="112" t="s">
        <v>3346</v>
      </c>
      <c r="N82" s="112" t="s">
        <v>3347</v>
      </c>
      <c r="Q82" s="112"/>
    </row>
    <row r="83" spans="1:17">
      <c r="A83" s="112" t="s">
        <v>3348</v>
      </c>
      <c r="B83" s="112" t="s">
        <v>3349</v>
      </c>
      <c r="C83" s="112" t="s">
        <v>3350</v>
      </c>
      <c r="D83" s="112" t="s">
        <v>3342</v>
      </c>
      <c r="E83" s="112" t="s">
        <v>1362</v>
      </c>
      <c r="F83" s="112" t="s">
        <v>3288</v>
      </c>
      <c r="G83" s="112">
        <v>163.55622460000001</v>
      </c>
      <c r="H83" s="112">
        <v>1676</v>
      </c>
      <c r="I83" s="112">
        <v>2740</v>
      </c>
      <c r="J83" s="112">
        <v>115.6</v>
      </c>
      <c r="K83" s="112" t="s">
        <v>3351</v>
      </c>
      <c r="L83" s="112" t="s">
        <v>3352</v>
      </c>
      <c r="M83" s="112" t="s">
        <v>3353</v>
      </c>
      <c r="N83" s="112" t="s">
        <v>3354</v>
      </c>
      <c r="Q83" s="112"/>
    </row>
    <row r="84" spans="1:17">
      <c r="A84" s="112" t="s">
        <v>3322</v>
      </c>
      <c r="B84" s="112" t="s">
        <v>3323</v>
      </c>
      <c r="C84" s="112" t="s">
        <v>2296</v>
      </c>
      <c r="D84" s="112" t="s">
        <v>3324</v>
      </c>
      <c r="E84" s="112" t="s">
        <v>1362</v>
      </c>
      <c r="F84" s="112" t="s">
        <v>3265</v>
      </c>
      <c r="G84" s="112">
        <v>243.08227299999999</v>
      </c>
      <c r="H84" s="112">
        <v>240</v>
      </c>
      <c r="I84" s="112">
        <v>1661</v>
      </c>
      <c r="J84" s="112">
        <v>188.3</v>
      </c>
      <c r="K84" s="112" t="s">
        <v>3325</v>
      </c>
      <c r="L84" s="112" t="s">
        <v>3326</v>
      </c>
      <c r="M84" s="112" t="s">
        <v>3318</v>
      </c>
      <c r="N84" s="112" t="s">
        <v>3327</v>
      </c>
      <c r="Q84" s="112"/>
    </row>
    <row r="85" spans="1:17">
      <c r="A85" s="112" t="s">
        <v>3328</v>
      </c>
      <c r="B85" s="112" t="s">
        <v>3329</v>
      </c>
      <c r="C85" s="112" t="s">
        <v>2294</v>
      </c>
      <c r="D85" s="112" t="s">
        <v>3324</v>
      </c>
      <c r="E85" s="112" t="s">
        <v>1362</v>
      </c>
      <c r="F85" s="112" t="s">
        <v>3265</v>
      </c>
      <c r="G85" s="112">
        <v>243.08227299999999</v>
      </c>
      <c r="H85" s="112">
        <v>1693</v>
      </c>
      <c r="I85" s="112">
        <v>2598</v>
      </c>
      <c r="J85" s="112">
        <v>103.5</v>
      </c>
      <c r="K85" s="112" t="s">
        <v>3330</v>
      </c>
      <c r="L85" s="112" t="s">
        <v>3331</v>
      </c>
      <c r="M85" s="112" t="s">
        <v>3306</v>
      </c>
      <c r="N85" s="112" t="s">
        <v>3332</v>
      </c>
      <c r="Q85" s="112"/>
    </row>
    <row r="86" spans="1:17">
      <c r="A86" s="112" t="s">
        <v>3333</v>
      </c>
      <c r="B86" s="112" t="s">
        <v>3334</v>
      </c>
      <c r="C86" s="112" t="s">
        <v>3335</v>
      </c>
      <c r="D86" s="112" t="s">
        <v>3324</v>
      </c>
      <c r="E86" s="112" t="s">
        <v>1362</v>
      </c>
      <c r="F86" s="112" t="s">
        <v>3265</v>
      </c>
      <c r="G86" s="112">
        <v>243.08227299999999</v>
      </c>
      <c r="H86" s="112">
        <v>2636</v>
      </c>
      <c r="I86" s="112">
        <v>3151</v>
      </c>
      <c r="J86" s="112">
        <v>39.799999999999997</v>
      </c>
      <c r="K86" s="112" t="s">
        <v>3336</v>
      </c>
      <c r="L86" s="112" t="s">
        <v>3337</v>
      </c>
      <c r="M86" s="112" t="s">
        <v>3338</v>
      </c>
      <c r="N86" s="112" t="s">
        <v>3339</v>
      </c>
      <c r="Q86" s="112"/>
    </row>
    <row r="87" spans="1:17">
      <c r="A87" s="112" t="s">
        <v>3340</v>
      </c>
      <c r="B87" s="112" t="s">
        <v>3341</v>
      </c>
      <c r="C87" s="112" t="s">
        <v>3175</v>
      </c>
      <c r="D87" s="112" t="s">
        <v>3342</v>
      </c>
      <c r="E87" s="112" t="s">
        <v>1362</v>
      </c>
      <c r="F87" s="112" t="s">
        <v>3320</v>
      </c>
      <c r="G87" s="112">
        <v>246.10841909999999</v>
      </c>
      <c r="H87" s="112">
        <v>536</v>
      </c>
      <c r="I87" s="112">
        <v>1600</v>
      </c>
      <c r="J87" s="112">
        <v>158.1</v>
      </c>
      <c r="K87" s="112" t="s">
        <v>3344</v>
      </c>
      <c r="L87" s="112" t="s">
        <v>3345</v>
      </c>
      <c r="M87" s="112" t="s">
        <v>3346</v>
      </c>
      <c r="N87" s="112" t="s">
        <v>3347</v>
      </c>
      <c r="Q87" s="112"/>
    </row>
    <row r="88" spans="1:17">
      <c r="A88" s="112" t="s">
        <v>3348</v>
      </c>
      <c r="B88" s="112" t="s">
        <v>3349</v>
      </c>
      <c r="C88" s="112" t="s">
        <v>3350</v>
      </c>
      <c r="D88" s="112" t="s">
        <v>3342</v>
      </c>
      <c r="E88" s="112" t="s">
        <v>1362</v>
      </c>
      <c r="F88" s="112" t="s">
        <v>3320</v>
      </c>
      <c r="G88" s="112">
        <v>246.10841909999999</v>
      </c>
      <c r="H88" s="112">
        <v>1676</v>
      </c>
      <c r="I88" s="112">
        <v>2740</v>
      </c>
      <c r="J88" s="112">
        <v>115.6</v>
      </c>
      <c r="K88" s="112" t="s">
        <v>3351</v>
      </c>
      <c r="L88" s="112" t="s">
        <v>3352</v>
      </c>
      <c r="M88" s="112" t="s">
        <v>3353</v>
      </c>
      <c r="N88" s="112" t="s">
        <v>3354</v>
      </c>
      <c r="Q88" s="112"/>
    </row>
    <row r="89" spans="1:17">
      <c r="A89" s="112" t="s">
        <v>3322</v>
      </c>
      <c r="B89" s="112" t="s">
        <v>3323</v>
      </c>
      <c r="C89" s="112" t="s">
        <v>2296</v>
      </c>
      <c r="D89" s="112" t="s">
        <v>3324</v>
      </c>
      <c r="E89" s="112" t="s">
        <v>1362</v>
      </c>
      <c r="F89" s="112" t="s">
        <v>852</v>
      </c>
      <c r="G89" s="112">
        <v>246.8709049</v>
      </c>
      <c r="H89" s="112">
        <v>240</v>
      </c>
      <c r="I89" s="112">
        <v>1661</v>
      </c>
      <c r="J89" s="112">
        <v>188.3</v>
      </c>
      <c r="K89" s="112" t="s">
        <v>3325</v>
      </c>
      <c r="L89" s="112" t="s">
        <v>3326</v>
      </c>
      <c r="M89" s="112" t="s">
        <v>3318</v>
      </c>
      <c r="N89" s="112" t="s">
        <v>3327</v>
      </c>
      <c r="Q89" s="112"/>
    </row>
    <row r="90" spans="1:17">
      <c r="A90" s="112" t="s">
        <v>3328</v>
      </c>
      <c r="B90" s="112" t="s">
        <v>3329</v>
      </c>
      <c r="C90" s="112" t="s">
        <v>2294</v>
      </c>
      <c r="D90" s="112" t="s">
        <v>3324</v>
      </c>
      <c r="E90" s="112" t="s">
        <v>1362</v>
      </c>
      <c r="F90" s="112" t="s">
        <v>852</v>
      </c>
      <c r="G90" s="112">
        <v>246.8709049</v>
      </c>
      <c r="H90" s="112">
        <v>1693</v>
      </c>
      <c r="I90" s="112">
        <v>2598</v>
      </c>
      <c r="J90" s="112">
        <v>103.5</v>
      </c>
      <c r="K90" s="112" t="s">
        <v>3330</v>
      </c>
      <c r="L90" s="112" t="s">
        <v>3331</v>
      </c>
      <c r="M90" s="112" t="s">
        <v>3306</v>
      </c>
      <c r="N90" s="112" t="s">
        <v>3332</v>
      </c>
      <c r="Q90" s="112"/>
    </row>
    <row r="91" spans="1:17">
      <c r="A91" s="112" t="s">
        <v>3333</v>
      </c>
      <c r="B91" s="112" t="s">
        <v>3334</v>
      </c>
      <c r="C91" s="112" t="s">
        <v>3335</v>
      </c>
      <c r="D91" s="112" t="s">
        <v>3324</v>
      </c>
      <c r="E91" s="112" t="s">
        <v>1362</v>
      </c>
      <c r="F91" s="112" t="s">
        <v>852</v>
      </c>
      <c r="G91" s="112">
        <v>246.8709049</v>
      </c>
      <c r="H91" s="112">
        <v>2636</v>
      </c>
      <c r="I91" s="112">
        <v>3151</v>
      </c>
      <c r="J91" s="112">
        <v>39.799999999999997</v>
      </c>
      <c r="K91" s="112" t="s">
        <v>3336</v>
      </c>
      <c r="L91" s="112" t="s">
        <v>3337</v>
      </c>
      <c r="M91" s="112" t="s">
        <v>3338</v>
      </c>
      <c r="N91" s="112" t="s">
        <v>3339</v>
      </c>
      <c r="Q91" s="112"/>
    </row>
    <row r="92" spans="1:17">
      <c r="A92" s="112" t="s">
        <v>3340</v>
      </c>
      <c r="B92" s="112" t="s">
        <v>3341</v>
      </c>
      <c r="C92" s="112" t="s">
        <v>3175</v>
      </c>
      <c r="D92" s="112" t="s">
        <v>3342</v>
      </c>
      <c r="E92" s="112" t="s">
        <v>1362</v>
      </c>
      <c r="F92" s="112" t="s">
        <v>3286</v>
      </c>
      <c r="G92" s="112">
        <v>319.69828330000001</v>
      </c>
      <c r="H92" s="112">
        <v>536</v>
      </c>
      <c r="I92" s="112">
        <v>1600</v>
      </c>
      <c r="J92" s="112">
        <v>158.1</v>
      </c>
      <c r="K92" s="112" t="s">
        <v>3344</v>
      </c>
      <c r="L92" s="112" t="s">
        <v>3345</v>
      </c>
      <c r="M92" s="112" t="s">
        <v>3346</v>
      </c>
      <c r="N92" s="112" t="s">
        <v>3347</v>
      </c>
      <c r="Q92" s="112"/>
    </row>
    <row r="93" spans="1:17">
      <c r="A93" s="112" t="s">
        <v>3348</v>
      </c>
      <c r="B93" s="112" t="s">
        <v>3349</v>
      </c>
      <c r="C93" s="112" t="s">
        <v>3350</v>
      </c>
      <c r="D93" s="112" t="s">
        <v>3342</v>
      </c>
      <c r="E93" s="112" t="s">
        <v>1362</v>
      </c>
      <c r="F93" s="112" t="s">
        <v>3286</v>
      </c>
      <c r="G93" s="112">
        <v>319.69828330000001</v>
      </c>
      <c r="H93" s="112">
        <v>1676</v>
      </c>
      <c r="I93" s="112">
        <v>2740</v>
      </c>
      <c r="J93" s="112">
        <v>115.6</v>
      </c>
      <c r="K93" s="112" t="s">
        <v>3351</v>
      </c>
      <c r="L93" s="112" t="s">
        <v>3352</v>
      </c>
      <c r="M93" s="112" t="s">
        <v>3353</v>
      </c>
      <c r="N93" s="112" t="s">
        <v>3354</v>
      </c>
      <c r="Q93" s="112"/>
    </row>
    <row r="94" spans="1:17">
      <c r="A94" s="112" t="s">
        <v>3322</v>
      </c>
      <c r="B94" s="112" t="s">
        <v>3323</v>
      </c>
      <c r="C94" s="112" t="s">
        <v>2296</v>
      </c>
      <c r="D94" s="112" t="s">
        <v>3324</v>
      </c>
      <c r="E94" s="112" t="s">
        <v>1362</v>
      </c>
      <c r="F94" s="112" t="s">
        <v>849</v>
      </c>
      <c r="G94" s="112">
        <v>521.80316589999995</v>
      </c>
      <c r="H94" s="112">
        <v>240</v>
      </c>
      <c r="I94" s="112">
        <v>1661</v>
      </c>
      <c r="J94" s="112">
        <v>188.3</v>
      </c>
      <c r="K94" s="112" t="s">
        <v>3325</v>
      </c>
      <c r="L94" s="112" t="s">
        <v>3326</v>
      </c>
      <c r="M94" s="112" t="s">
        <v>3318</v>
      </c>
      <c r="N94" s="112" t="s">
        <v>3327</v>
      </c>
      <c r="Q94" s="112"/>
    </row>
    <row r="95" spans="1:17">
      <c r="A95" s="112" t="s">
        <v>3328</v>
      </c>
      <c r="B95" s="112" t="s">
        <v>3329</v>
      </c>
      <c r="C95" s="112" t="s">
        <v>2294</v>
      </c>
      <c r="D95" s="112" t="s">
        <v>3324</v>
      </c>
      <c r="E95" s="112" t="s">
        <v>1362</v>
      </c>
      <c r="F95" s="112" t="s">
        <v>849</v>
      </c>
      <c r="G95" s="112">
        <v>521.80316589999995</v>
      </c>
      <c r="H95" s="112">
        <v>1693</v>
      </c>
      <c r="I95" s="112">
        <v>2598</v>
      </c>
      <c r="J95" s="112">
        <v>103.5</v>
      </c>
      <c r="K95" s="112" t="s">
        <v>3330</v>
      </c>
      <c r="L95" s="112" t="s">
        <v>3331</v>
      </c>
      <c r="M95" s="112" t="s">
        <v>3306</v>
      </c>
      <c r="N95" s="112" t="s">
        <v>3332</v>
      </c>
      <c r="Q95" s="112"/>
    </row>
    <row r="96" spans="1:17">
      <c r="A96" s="112" t="s">
        <v>3333</v>
      </c>
      <c r="B96" s="112" t="s">
        <v>3334</v>
      </c>
      <c r="C96" s="112" t="s">
        <v>3335</v>
      </c>
      <c r="D96" s="112" t="s">
        <v>3324</v>
      </c>
      <c r="E96" s="112" t="s">
        <v>1362</v>
      </c>
      <c r="F96" s="112" t="s">
        <v>849</v>
      </c>
      <c r="G96" s="112">
        <v>521.80316589999995</v>
      </c>
      <c r="H96" s="112">
        <v>2636</v>
      </c>
      <c r="I96" s="112">
        <v>3151</v>
      </c>
      <c r="J96" s="112">
        <v>39.799999999999997</v>
      </c>
      <c r="K96" s="112" t="s">
        <v>3336</v>
      </c>
      <c r="L96" s="112" t="s">
        <v>3337</v>
      </c>
      <c r="M96" s="112" t="s">
        <v>3338</v>
      </c>
      <c r="N96" s="112" t="s">
        <v>3339</v>
      </c>
      <c r="Q96" s="112"/>
    </row>
    <row r="97" spans="1:17">
      <c r="A97" s="112" t="s">
        <v>3340</v>
      </c>
      <c r="B97" s="112" t="s">
        <v>3341</v>
      </c>
      <c r="C97" s="112" t="s">
        <v>3175</v>
      </c>
      <c r="D97" s="112" t="s">
        <v>3342</v>
      </c>
      <c r="E97" s="112" t="s">
        <v>1362</v>
      </c>
      <c r="F97" s="112" t="s">
        <v>3274</v>
      </c>
      <c r="G97" s="112">
        <v>763.72845489999997</v>
      </c>
      <c r="H97" s="112">
        <v>536</v>
      </c>
      <c r="I97" s="112">
        <v>1600</v>
      </c>
      <c r="J97" s="112">
        <v>158.1</v>
      </c>
      <c r="K97" s="112" t="s">
        <v>3344</v>
      </c>
      <c r="L97" s="112" t="s">
        <v>3345</v>
      </c>
      <c r="M97" s="112" t="s">
        <v>3346</v>
      </c>
      <c r="N97" s="112" t="s">
        <v>3347</v>
      </c>
      <c r="Q97" s="112"/>
    </row>
    <row r="98" spans="1:17">
      <c r="A98" s="112" t="s">
        <v>3348</v>
      </c>
      <c r="B98" s="112" t="s">
        <v>3349</v>
      </c>
      <c r="C98" s="112" t="s">
        <v>3350</v>
      </c>
      <c r="D98" s="112" t="s">
        <v>3342</v>
      </c>
      <c r="E98" s="112" t="s">
        <v>1362</v>
      </c>
      <c r="F98" s="112" t="s">
        <v>3274</v>
      </c>
      <c r="G98" s="112">
        <v>763.72845489999997</v>
      </c>
      <c r="H98" s="112">
        <v>1676</v>
      </c>
      <c r="I98" s="112">
        <v>2740</v>
      </c>
      <c r="J98" s="112">
        <v>115.6</v>
      </c>
      <c r="K98" s="112" t="s">
        <v>3351</v>
      </c>
      <c r="L98" s="112" t="s">
        <v>3352</v>
      </c>
      <c r="M98" s="112" t="s">
        <v>3353</v>
      </c>
      <c r="N98" s="112" t="s">
        <v>3354</v>
      </c>
      <c r="Q98" s="112"/>
    </row>
    <row r="99" spans="1:17">
      <c r="A99" s="112" t="s">
        <v>3290</v>
      </c>
      <c r="B99" s="112" t="s">
        <v>3291</v>
      </c>
      <c r="C99" s="112" t="s">
        <v>3292</v>
      </c>
      <c r="D99" s="112" t="s">
        <v>3293</v>
      </c>
      <c r="E99" s="112" t="s">
        <v>1362</v>
      </c>
      <c r="F99" s="112" t="s">
        <v>852</v>
      </c>
      <c r="G99" s="112">
        <v>1053.315861</v>
      </c>
      <c r="H99" s="112">
        <v>11853</v>
      </c>
      <c r="I99" s="112">
        <v>12155</v>
      </c>
      <c r="J99" s="112">
        <v>38.299999999999997</v>
      </c>
      <c r="K99" s="112" t="s">
        <v>3294</v>
      </c>
      <c r="L99" s="112" t="s">
        <v>3295</v>
      </c>
      <c r="M99" s="112" t="s">
        <v>3296</v>
      </c>
      <c r="N99" s="112" t="s">
        <v>3297</v>
      </c>
      <c r="Q99" s="112"/>
    </row>
    <row r="100" spans="1:17">
      <c r="A100" s="112" t="s">
        <v>3290</v>
      </c>
      <c r="B100" s="112" t="s">
        <v>3291</v>
      </c>
      <c r="C100" s="112" t="s">
        <v>3292</v>
      </c>
      <c r="D100" s="112" t="s">
        <v>3293</v>
      </c>
      <c r="E100" s="112" t="s">
        <v>1362</v>
      </c>
      <c r="F100" s="112" t="s">
        <v>3273</v>
      </c>
      <c r="G100" s="112">
        <v>1496.7781179999999</v>
      </c>
      <c r="H100" s="112">
        <v>11853</v>
      </c>
      <c r="I100" s="112">
        <v>12155</v>
      </c>
      <c r="J100" s="112">
        <v>38.299999999999997</v>
      </c>
      <c r="K100" s="112" t="s">
        <v>3294</v>
      </c>
      <c r="L100" s="112" t="s">
        <v>3295</v>
      </c>
      <c r="M100" s="112" t="s">
        <v>3296</v>
      </c>
      <c r="N100" s="112" t="s">
        <v>3297</v>
      </c>
      <c r="Q100" s="112"/>
    </row>
    <row r="101" spans="1:17">
      <c r="A101" s="112" t="s">
        <v>3340</v>
      </c>
      <c r="B101" s="112" t="s">
        <v>3341</v>
      </c>
      <c r="C101" s="112" t="s">
        <v>3175</v>
      </c>
      <c r="D101" s="112" t="s">
        <v>3342</v>
      </c>
      <c r="E101" s="112" t="s">
        <v>1362</v>
      </c>
      <c r="F101" s="112" t="s">
        <v>849</v>
      </c>
      <c r="G101" s="112">
        <v>1544.946629</v>
      </c>
      <c r="H101" s="112">
        <v>536</v>
      </c>
      <c r="I101" s="112">
        <v>1600</v>
      </c>
      <c r="J101" s="112">
        <v>158.1</v>
      </c>
      <c r="K101" s="112" t="s">
        <v>3344</v>
      </c>
      <c r="L101" s="112" t="s">
        <v>3345</v>
      </c>
      <c r="M101" s="112" t="s">
        <v>3346</v>
      </c>
      <c r="N101" s="112" t="s">
        <v>3347</v>
      </c>
      <c r="Q101" s="112"/>
    </row>
    <row r="102" spans="1:17">
      <c r="A102" s="112" t="s">
        <v>3348</v>
      </c>
      <c r="B102" s="112" t="s">
        <v>3349</v>
      </c>
      <c r="C102" s="112" t="s">
        <v>3350</v>
      </c>
      <c r="D102" s="112" t="s">
        <v>3342</v>
      </c>
      <c r="E102" s="112" t="s">
        <v>1362</v>
      </c>
      <c r="F102" s="112" t="s">
        <v>849</v>
      </c>
      <c r="G102" s="112">
        <v>1544.946629</v>
      </c>
      <c r="H102" s="112">
        <v>1676</v>
      </c>
      <c r="I102" s="112">
        <v>2740</v>
      </c>
      <c r="J102" s="112">
        <v>115.6</v>
      </c>
      <c r="K102" s="112" t="s">
        <v>3351</v>
      </c>
      <c r="L102" s="112" t="s">
        <v>3352</v>
      </c>
      <c r="M102" s="112" t="s">
        <v>3353</v>
      </c>
      <c r="N102" s="112" t="s">
        <v>3354</v>
      </c>
      <c r="Q102" s="112"/>
    </row>
    <row r="103" spans="1:17">
      <c r="A103" s="112" t="s">
        <v>3340</v>
      </c>
      <c r="B103" s="112" t="s">
        <v>3341</v>
      </c>
      <c r="C103" s="112" t="s">
        <v>3175</v>
      </c>
      <c r="D103" s="112" t="s">
        <v>3342</v>
      </c>
      <c r="E103" s="112" t="s">
        <v>1362</v>
      </c>
      <c r="F103" s="112" t="s">
        <v>852</v>
      </c>
      <c r="G103" s="112">
        <v>1991.4253000000001</v>
      </c>
      <c r="H103" s="112">
        <v>536</v>
      </c>
      <c r="I103" s="112">
        <v>1600</v>
      </c>
      <c r="J103" s="112">
        <v>158.1</v>
      </c>
      <c r="K103" s="112" t="s">
        <v>3344</v>
      </c>
      <c r="L103" s="112" t="s">
        <v>3345</v>
      </c>
      <c r="M103" s="112" t="s">
        <v>3346</v>
      </c>
      <c r="N103" s="112" t="s">
        <v>3347</v>
      </c>
      <c r="Q103" s="112"/>
    </row>
    <row r="104" spans="1:17">
      <c r="A104" s="112" t="s">
        <v>3348</v>
      </c>
      <c r="B104" s="112" t="s">
        <v>3349</v>
      </c>
      <c r="C104" s="112" t="s">
        <v>3350</v>
      </c>
      <c r="D104" s="112" t="s">
        <v>3342</v>
      </c>
      <c r="E104" s="112" t="s">
        <v>1362</v>
      </c>
      <c r="F104" s="112" t="s">
        <v>852</v>
      </c>
      <c r="G104" s="112">
        <v>1991.4253000000001</v>
      </c>
      <c r="H104" s="112">
        <v>1676</v>
      </c>
      <c r="I104" s="112">
        <v>2740</v>
      </c>
      <c r="J104" s="112">
        <v>115.6</v>
      </c>
      <c r="K104" s="112" t="s">
        <v>3351</v>
      </c>
      <c r="L104" s="112" t="s">
        <v>3352</v>
      </c>
      <c r="M104" s="112" t="s">
        <v>3353</v>
      </c>
      <c r="N104" s="112" t="s">
        <v>3354</v>
      </c>
      <c r="Q104" s="112"/>
    </row>
    <row r="105" spans="1:17">
      <c r="A105" s="112" t="s">
        <v>3340</v>
      </c>
      <c r="B105" s="112" t="s">
        <v>3341</v>
      </c>
      <c r="C105" s="112" t="s">
        <v>3175</v>
      </c>
      <c r="D105" s="112" t="s">
        <v>3342</v>
      </c>
      <c r="E105" s="112" t="s">
        <v>1362</v>
      </c>
      <c r="F105" s="112" t="s">
        <v>3265</v>
      </c>
      <c r="G105" s="112">
        <v>2045.942464</v>
      </c>
      <c r="H105" s="112">
        <v>536</v>
      </c>
      <c r="I105" s="112">
        <v>1600</v>
      </c>
      <c r="J105" s="112">
        <v>158.1</v>
      </c>
      <c r="K105" s="112" t="s">
        <v>3344</v>
      </c>
      <c r="L105" s="112" t="s">
        <v>3345</v>
      </c>
      <c r="M105" s="112" t="s">
        <v>3346</v>
      </c>
      <c r="N105" s="112" t="s">
        <v>3347</v>
      </c>
      <c r="Q105" s="112"/>
    </row>
    <row r="106" spans="1:17">
      <c r="A106" s="112" t="s">
        <v>3348</v>
      </c>
      <c r="B106" s="112" t="s">
        <v>3349</v>
      </c>
      <c r="C106" s="112" t="s">
        <v>3350</v>
      </c>
      <c r="D106" s="112" t="s">
        <v>3342</v>
      </c>
      <c r="E106" s="112" t="s">
        <v>1362</v>
      </c>
      <c r="F106" s="112" t="s">
        <v>3265</v>
      </c>
      <c r="G106" s="112">
        <v>2045.942464</v>
      </c>
      <c r="H106" s="112">
        <v>1676</v>
      </c>
      <c r="I106" s="112">
        <v>2740</v>
      </c>
      <c r="J106" s="112">
        <v>115.6</v>
      </c>
      <c r="K106" s="112" t="s">
        <v>3351</v>
      </c>
      <c r="L106" s="112" t="s">
        <v>3352</v>
      </c>
      <c r="M106" s="112" t="s">
        <v>3353</v>
      </c>
      <c r="N106" s="112" t="s">
        <v>3354</v>
      </c>
      <c r="Q106" s="112"/>
    </row>
    <row r="107" spans="1:17">
      <c r="A107" s="112" t="s">
        <v>3290</v>
      </c>
      <c r="B107" s="112" t="s">
        <v>3291</v>
      </c>
      <c r="C107" s="112" t="s">
        <v>3292</v>
      </c>
      <c r="D107" s="112" t="s">
        <v>3293</v>
      </c>
      <c r="E107" s="112" t="s">
        <v>1362</v>
      </c>
      <c r="F107" s="112" t="s">
        <v>849</v>
      </c>
      <c r="G107" s="112">
        <v>2496.470049</v>
      </c>
      <c r="H107" s="112">
        <v>11853</v>
      </c>
      <c r="I107" s="112">
        <v>12155</v>
      </c>
      <c r="J107" s="112">
        <v>38.299999999999997</v>
      </c>
      <c r="K107" s="112" t="s">
        <v>3294</v>
      </c>
      <c r="L107" s="112" t="s">
        <v>3295</v>
      </c>
      <c r="M107" s="112" t="s">
        <v>3296</v>
      </c>
      <c r="N107" s="112" t="s">
        <v>3297</v>
      </c>
      <c r="Q107" s="112"/>
    </row>
    <row r="108" spans="1:17">
      <c r="A108" s="112" t="s">
        <v>3340</v>
      </c>
      <c r="B108" s="112" t="s">
        <v>3341</v>
      </c>
      <c r="C108" s="112" t="s">
        <v>3175</v>
      </c>
      <c r="D108" s="112" t="s">
        <v>3342</v>
      </c>
      <c r="E108" s="112" t="s">
        <v>1362</v>
      </c>
      <c r="F108" s="112" t="s">
        <v>3273</v>
      </c>
      <c r="G108" s="112">
        <v>3323.3548049999999</v>
      </c>
      <c r="H108" s="112">
        <v>536</v>
      </c>
      <c r="I108" s="112">
        <v>1600</v>
      </c>
      <c r="J108" s="112">
        <v>158.1</v>
      </c>
      <c r="K108" s="112" t="s">
        <v>3344</v>
      </c>
      <c r="L108" s="112" t="s">
        <v>3345</v>
      </c>
      <c r="M108" s="112" t="s">
        <v>3346</v>
      </c>
      <c r="N108" s="112" t="s">
        <v>3347</v>
      </c>
      <c r="Q108" s="112"/>
    </row>
    <row r="109" spans="1:17">
      <c r="A109" s="112" t="s">
        <v>3348</v>
      </c>
      <c r="B109" s="112" t="s">
        <v>3349</v>
      </c>
      <c r="C109" s="112" t="s">
        <v>3350</v>
      </c>
      <c r="D109" s="112" t="s">
        <v>3342</v>
      </c>
      <c r="E109" s="112" t="s">
        <v>1362</v>
      </c>
      <c r="F109" s="112" t="s">
        <v>3273</v>
      </c>
      <c r="G109" s="112">
        <v>3323.3548049999999</v>
      </c>
      <c r="H109" s="112">
        <v>1676</v>
      </c>
      <c r="I109" s="112">
        <v>2740</v>
      </c>
      <c r="J109" s="112">
        <v>115.6</v>
      </c>
      <c r="K109" s="112" t="s">
        <v>3351</v>
      </c>
      <c r="L109" s="112" t="s">
        <v>3352</v>
      </c>
      <c r="M109" s="112" t="s">
        <v>3353</v>
      </c>
      <c r="N109" s="112" t="s">
        <v>3354</v>
      </c>
      <c r="Q109" s="112"/>
    </row>
    <row r="110" spans="1:17">
      <c r="A110" s="112" t="s">
        <v>3290</v>
      </c>
      <c r="B110" s="112" t="s">
        <v>3291</v>
      </c>
      <c r="C110" s="112" t="s">
        <v>3292</v>
      </c>
      <c r="D110" s="112" t="s">
        <v>3293</v>
      </c>
      <c r="E110" s="112" t="s">
        <v>1362</v>
      </c>
      <c r="F110" s="112" t="s">
        <v>3265</v>
      </c>
      <c r="G110" s="112">
        <v>4831.2601750000003</v>
      </c>
      <c r="H110" s="112">
        <v>11853</v>
      </c>
      <c r="I110" s="112">
        <v>12155</v>
      </c>
      <c r="J110" s="112">
        <v>38.299999999999997</v>
      </c>
      <c r="K110" s="112" t="s">
        <v>3294</v>
      </c>
      <c r="L110" s="112" t="s">
        <v>3295</v>
      </c>
      <c r="M110" s="112" t="s">
        <v>3296</v>
      </c>
      <c r="N110" s="112" t="s">
        <v>3297</v>
      </c>
      <c r="Q110" s="112"/>
    </row>
    <row r="111" spans="1:17">
      <c r="A111" s="112" t="s">
        <v>3356</v>
      </c>
      <c r="B111" s="112" t="s">
        <v>3323</v>
      </c>
      <c r="C111" s="112" t="s">
        <v>2296</v>
      </c>
      <c r="D111" s="112" t="s">
        <v>3357</v>
      </c>
      <c r="E111" s="112" t="s">
        <v>1385</v>
      </c>
      <c r="F111" s="112" t="s">
        <v>3279</v>
      </c>
      <c r="G111" s="112">
        <v>0.41299401099999999</v>
      </c>
      <c r="H111" s="112">
        <v>2</v>
      </c>
      <c r="I111" s="112">
        <v>127</v>
      </c>
      <c r="J111" s="112">
        <v>11.4</v>
      </c>
      <c r="K111" s="112" t="s">
        <v>3358</v>
      </c>
      <c r="L111" s="112" t="s">
        <v>3325</v>
      </c>
      <c r="M111" s="112" t="s">
        <v>3318</v>
      </c>
      <c r="N111" s="112" t="s">
        <v>3327</v>
      </c>
      <c r="Q111" s="112"/>
    </row>
    <row r="112" spans="1:17">
      <c r="A112" s="112" t="s">
        <v>3356</v>
      </c>
      <c r="B112" s="112" t="s">
        <v>3323</v>
      </c>
      <c r="C112" s="112" t="s">
        <v>2296</v>
      </c>
      <c r="D112" s="112" t="s">
        <v>3357</v>
      </c>
      <c r="E112" s="112" t="s">
        <v>1385</v>
      </c>
      <c r="F112" s="112" t="s">
        <v>3359</v>
      </c>
      <c r="G112" s="112">
        <v>1.0931976999999999</v>
      </c>
      <c r="H112" s="112">
        <v>2</v>
      </c>
      <c r="I112" s="112">
        <v>127</v>
      </c>
      <c r="J112" s="112">
        <v>11.4</v>
      </c>
      <c r="K112" s="112" t="s">
        <v>3358</v>
      </c>
      <c r="L112" s="112" t="s">
        <v>3325</v>
      </c>
      <c r="M112" s="112" t="s">
        <v>3318</v>
      </c>
      <c r="N112" s="112" t="s">
        <v>3327</v>
      </c>
      <c r="Q112" s="112"/>
    </row>
    <row r="113" spans="1:17">
      <c r="A113" s="112" t="s">
        <v>3360</v>
      </c>
      <c r="B113" s="112" t="s">
        <v>3277</v>
      </c>
      <c r="C113" s="112" t="s">
        <v>2390</v>
      </c>
      <c r="D113" s="112" t="s">
        <v>3361</v>
      </c>
      <c r="E113" s="112" t="s">
        <v>1385</v>
      </c>
      <c r="F113" s="112" t="s">
        <v>3359</v>
      </c>
      <c r="G113" s="112">
        <v>1.4575969339999999</v>
      </c>
      <c r="H113" s="112">
        <v>1</v>
      </c>
      <c r="I113" s="112">
        <v>1671</v>
      </c>
      <c r="J113" s="112">
        <v>216.3</v>
      </c>
      <c r="K113" s="112" t="s">
        <v>3358</v>
      </c>
      <c r="L113" s="112" t="s">
        <v>3281</v>
      </c>
      <c r="M113" s="112" t="s">
        <v>3362</v>
      </c>
      <c r="N113" s="112" t="s">
        <v>3283</v>
      </c>
      <c r="Q113" s="112"/>
    </row>
    <row r="114" spans="1:17">
      <c r="A114" s="112" t="s">
        <v>3363</v>
      </c>
      <c r="B114" s="112" t="s">
        <v>3364</v>
      </c>
      <c r="C114" s="112" t="s">
        <v>3365</v>
      </c>
      <c r="D114" s="112" t="s">
        <v>3366</v>
      </c>
      <c r="E114" s="112" t="s">
        <v>1385</v>
      </c>
      <c r="F114" s="112" t="s">
        <v>3367</v>
      </c>
      <c r="G114" s="112">
        <v>2.2840699529999999</v>
      </c>
      <c r="H114" s="112">
        <v>1929</v>
      </c>
      <c r="I114" s="112">
        <v>2918</v>
      </c>
      <c r="J114" s="112">
        <v>130.1</v>
      </c>
      <c r="K114" s="112" t="s">
        <v>3368</v>
      </c>
      <c r="L114" s="112" t="s">
        <v>3369</v>
      </c>
      <c r="M114" s="112" t="s">
        <v>3370</v>
      </c>
      <c r="N114" s="112" t="s">
        <v>3371</v>
      </c>
      <c r="Q114" s="112"/>
    </row>
    <row r="115" spans="1:17">
      <c r="A115" s="112" t="s">
        <v>3372</v>
      </c>
      <c r="B115" s="112" t="s">
        <v>3373</v>
      </c>
      <c r="C115" s="112" t="s">
        <v>2777</v>
      </c>
      <c r="D115" s="112" t="s">
        <v>3366</v>
      </c>
      <c r="E115" s="112" t="s">
        <v>1385</v>
      </c>
      <c r="F115" s="112" t="s">
        <v>3367</v>
      </c>
      <c r="G115" s="112">
        <v>2.2840699529999999</v>
      </c>
      <c r="H115" s="112">
        <v>3673</v>
      </c>
      <c r="I115" s="112">
        <v>4317</v>
      </c>
      <c r="J115" s="112">
        <v>35.270000000000003</v>
      </c>
      <c r="K115" s="112" t="s">
        <v>3374</v>
      </c>
      <c r="L115" s="112" t="s">
        <v>3375</v>
      </c>
      <c r="M115" s="112" t="s">
        <v>3376</v>
      </c>
      <c r="N115" s="112" t="s">
        <v>3377</v>
      </c>
      <c r="Q115" s="112"/>
    </row>
    <row r="116" spans="1:17">
      <c r="A116" s="112" t="s">
        <v>3363</v>
      </c>
      <c r="B116" s="112" t="s">
        <v>3364</v>
      </c>
      <c r="C116" s="112" t="s">
        <v>3365</v>
      </c>
      <c r="D116" s="112" t="s">
        <v>3366</v>
      </c>
      <c r="E116" s="112" t="s">
        <v>1385</v>
      </c>
      <c r="F116" s="112" t="s">
        <v>853</v>
      </c>
      <c r="G116" s="112">
        <v>4.106523331</v>
      </c>
      <c r="H116" s="112">
        <v>1929</v>
      </c>
      <c r="I116" s="112">
        <v>2918</v>
      </c>
      <c r="J116" s="112">
        <v>130.1</v>
      </c>
      <c r="K116" s="112" t="s">
        <v>3368</v>
      </c>
      <c r="L116" s="112" t="s">
        <v>3369</v>
      </c>
      <c r="M116" s="112" t="s">
        <v>3370</v>
      </c>
      <c r="N116" s="112" t="s">
        <v>3371</v>
      </c>
      <c r="Q116" s="112"/>
    </row>
    <row r="117" spans="1:17">
      <c r="A117" s="112" t="s">
        <v>3372</v>
      </c>
      <c r="B117" s="112" t="s">
        <v>3373</v>
      </c>
      <c r="C117" s="112" t="s">
        <v>2777</v>
      </c>
      <c r="D117" s="112" t="s">
        <v>3366</v>
      </c>
      <c r="E117" s="112" t="s">
        <v>1385</v>
      </c>
      <c r="F117" s="112" t="s">
        <v>853</v>
      </c>
      <c r="G117" s="112">
        <v>4.106523331</v>
      </c>
      <c r="H117" s="112">
        <v>3673</v>
      </c>
      <c r="I117" s="112">
        <v>4317</v>
      </c>
      <c r="J117" s="112">
        <v>35.270000000000003</v>
      </c>
      <c r="K117" s="112" t="s">
        <v>3374</v>
      </c>
      <c r="L117" s="112" t="s">
        <v>3375</v>
      </c>
      <c r="M117" s="112" t="s">
        <v>3376</v>
      </c>
      <c r="N117" s="112" t="s">
        <v>3377</v>
      </c>
      <c r="Q117" s="112"/>
    </row>
    <row r="118" spans="1:17">
      <c r="A118" s="112" t="s">
        <v>3363</v>
      </c>
      <c r="B118" s="112" t="s">
        <v>3364</v>
      </c>
      <c r="C118" s="112" t="s">
        <v>3365</v>
      </c>
      <c r="D118" s="112" t="s">
        <v>3366</v>
      </c>
      <c r="E118" s="112" t="s">
        <v>1385</v>
      </c>
      <c r="F118" s="112" t="s">
        <v>876</v>
      </c>
      <c r="G118" s="112">
        <v>4.9595665789999996</v>
      </c>
      <c r="H118" s="112">
        <v>1929</v>
      </c>
      <c r="I118" s="112">
        <v>2918</v>
      </c>
      <c r="J118" s="112">
        <v>130.1</v>
      </c>
      <c r="K118" s="112" t="s">
        <v>3368</v>
      </c>
      <c r="L118" s="112" t="s">
        <v>3369</v>
      </c>
      <c r="M118" s="112" t="s">
        <v>3370</v>
      </c>
      <c r="N118" s="112" t="s">
        <v>3371</v>
      </c>
      <c r="Q118" s="112"/>
    </row>
    <row r="119" spans="1:17">
      <c r="A119" s="112" t="s">
        <v>3372</v>
      </c>
      <c r="B119" s="112" t="s">
        <v>3373</v>
      </c>
      <c r="C119" s="112" t="s">
        <v>2777</v>
      </c>
      <c r="D119" s="112" t="s">
        <v>3366</v>
      </c>
      <c r="E119" s="112" t="s">
        <v>1385</v>
      </c>
      <c r="F119" s="112" t="s">
        <v>876</v>
      </c>
      <c r="G119" s="112">
        <v>4.9595665789999996</v>
      </c>
      <c r="H119" s="112">
        <v>3673</v>
      </c>
      <c r="I119" s="112">
        <v>4317</v>
      </c>
      <c r="J119" s="112">
        <v>35.270000000000003</v>
      </c>
      <c r="K119" s="112" t="s">
        <v>3374</v>
      </c>
      <c r="L119" s="112" t="s">
        <v>3375</v>
      </c>
      <c r="M119" s="112" t="s">
        <v>3376</v>
      </c>
      <c r="N119" s="112" t="s">
        <v>3377</v>
      </c>
      <c r="Q119" s="112"/>
    </row>
    <row r="120" spans="1:17">
      <c r="A120" s="112" t="s">
        <v>3360</v>
      </c>
      <c r="B120" s="112" t="s">
        <v>3277</v>
      </c>
      <c r="C120" s="112" t="s">
        <v>2390</v>
      </c>
      <c r="D120" s="112" t="s">
        <v>3361</v>
      </c>
      <c r="E120" s="112" t="s">
        <v>1385</v>
      </c>
      <c r="F120" s="112" t="s">
        <v>876</v>
      </c>
      <c r="G120" s="112">
        <v>5.9769135699999998</v>
      </c>
      <c r="H120" s="112">
        <v>1</v>
      </c>
      <c r="I120" s="112">
        <v>1671</v>
      </c>
      <c r="J120" s="112">
        <v>216.3</v>
      </c>
      <c r="K120" s="112" t="s">
        <v>3358</v>
      </c>
      <c r="L120" s="112" t="s">
        <v>3281</v>
      </c>
      <c r="M120" s="112" t="s">
        <v>3362</v>
      </c>
      <c r="N120" s="112" t="s">
        <v>3283</v>
      </c>
      <c r="Q120" s="112"/>
    </row>
    <row r="121" spans="1:17">
      <c r="A121" s="112" t="s">
        <v>3378</v>
      </c>
      <c r="B121" s="112" t="s">
        <v>3379</v>
      </c>
      <c r="C121" s="112" t="s">
        <v>1590</v>
      </c>
      <c r="D121" s="112" t="s">
        <v>3380</v>
      </c>
      <c r="E121" s="112" t="s">
        <v>1385</v>
      </c>
      <c r="F121" s="112" t="s">
        <v>3359</v>
      </c>
      <c r="G121" s="112">
        <v>6.9235854349999997</v>
      </c>
      <c r="H121" s="112">
        <v>2210</v>
      </c>
      <c r="I121" s="112">
        <v>3451</v>
      </c>
      <c r="J121" s="112">
        <v>159.9</v>
      </c>
      <c r="K121" s="112" t="s">
        <v>3381</v>
      </c>
      <c r="L121" s="112" t="s">
        <v>3382</v>
      </c>
      <c r="M121" s="112" t="s">
        <v>3318</v>
      </c>
      <c r="N121" s="112" t="s">
        <v>3383</v>
      </c>
      <c r="Q121" s="112"/>
    </row>
    <row r="122" spans="1:17">
      <c r="A122" s="112" t="s">
        <v>3384</v>
      </c>
      <c r="B122" s="112" t="s">
        <v>3385</v>
      </c>
      <c r="C122" s="112" t="s">
        <v>1592</v>
      </c>
      <c r="D122" s="112" t="s">
        <v>3380</v>
      </c>
      <c r="E122" s="112" t="s">
        <v>1385</v>
      </c>
      <c r="F122" s="112" t="s">
        <v>3359</v>
      </c>
      <c r="G122" s="112">
        <v>6.9235854349999997</v>
      </c>
      <c r="H122" s="112">
        <v>3435</v>
      </c>
      <c r="I122" s="112">
        <v>4211</v>
      </c>
      <c r="J122" s="112">
        <v>75.8</v>
      </c>
      <c r="K122" s="112" t="s">
        <v>3386</v>
      </c>
      <c r="L122" s="112" t="s">
        <v>3387</v>
      </c>
      <c r="M122" s="112" t="s">
        <v>3306</v>
      </c>
      <c r="N122" s="112" t="s">
        <v>3388</v>
      </c>
      <c r="Q122" s="112"/>
    </row>
    <row r="123" spans="1:17">
      <c r="A123" s="112" t="s">
        <v>3389</v>
      </c>
      <c r="B123" s="112" t="s">
        <v>3390</v>
      </c>
      <c r="C123" s="112" t="s">
        <v>1593</v>
      </c>
      <c r="D123" s="112" t="s">
        <v>3380</v>
      </c>
      <c r="E123" s="112" t="s">
        <v>1385</v>
      </c>
      <c r="F123" s="112" t="s">
        <v>3359</v>
      </c>
      <c r="G123" s="112">
        <v>6.9235854349999997</v>
      </c>
      <c r="H123" s="112">
        <v>4208</v>
      </c>
      <c r="I123" s="112">
        <v>5086</v>
      </c>
      <c r="J123" s="112">
        <v>96.7</v>
      </c>
      <c r="K123" s="112" t="s">
        <v>3391</v>
      </c>
      <c r="L123" s="112" t="s">
        <v>3392</v>
      </c>
      <c r="M123" s="112" t="s">
        <v>3393</v>
      </c>
      <c r="N123" s="112" t="s">
        <v>3394</v>
      </c>
      <c r="Q123" s="112"/>
    </row>
    <row r="124" spans="1:17">
      <c r="A124" s="112" t="s">
        <v>3395</v>
      </c>
      <c r="B124" s="112" t="s">
        <v>3396</v>
      </c>
      <c r="C124" s="112" t="s">
        <v>1594</v>
      </c>
      <c r="D124" s="112" t="s">
        <v>3380</v>
      </c>
      <c r="E124" s="112" t="s">
        <v>1385</v>
      </c>
      <c r="F124" s="112" t="s">
        <v>3359</v>
      </c>
      <c r="G124" s="112">
        <v>6.9235854349999997</v>
      </c>
      <c r="H124" s="112">
        <v>5055</v>
      </c>
      <c r="I124" s="112">
        <v>6122</v>
      </c>
      <c r="J124" s="112">
        <v>110.7</v>
      </c>
      <c r="K124" s="112" t="s">
        <v>3397</v>
      </c>
      <c r="L124" s="112" t="s">
        <v>3398</v>
      </c>
      <c r="M124" s="112" t="s">
        <v>3399</v>
      </c>
      <c r="N124" s="112" t="s">
        <v>3400</v>
      </c>
      <c r="Q124" s="112"/>
    </row>
    <row r="125" spans="1:17">
      <c r="A125" s="112" t="s">
        <v>3356</v>
      </c>
      <c r="B125" s="112" t="s">
        <v>3323</v>
      </c>
      <c r="C125" s="112" t="s">
        <v>2296</v>
      </c>
      <c r="D125" s="112" t="s">
        <v>3357</v>
      </c>
      <c r="E125" s="112" t="s">
        <v>1385</v>
      </c>
      <c r="F125" s="112" t="s">
        <v>3287</v>
      </c>
      <c r="G125" s="112">
        <v>8.8842680929999993</v>
      </c>
      <c r="H125" s="112">
        <v>2</v>
      </c>
      <c r="I125" s="112">
        <v>127</v>
      </c>
      <c r="J125" s="112">
        <v>11.4</v>
      </c>
      <c r="K125" s="112" t="s">
        <v>3358</v>
      </c>
      <c r="L125" s="112" t="s">
        <v>3325</v>
      </c>
      <c r="M125" s="112" t="s">
        <v>3318</v>
      </c>
      <c r="N125" s="112" t="s">
        <v>3327</v>
      </c>
      <c r="Q125" s="112"/>
    </row>
    <row r="126" spans="1:17">
      <c r="A126" s="112" t="s">
        <v>3363</v>
      </c>
      <c r="B126" s="112" t="s">
        <v>3364</v>
      </c>
      <c r="C126" s="112" t="s">
        <v>3365</v>
      </c>
      <c r="D126" s="112" t="s">
        <v>3366</v>
      </c>
      <c r="E126" s="112" t="s">
        <v>1385</v>
      </c>
      <c r="F126" s="112" t="s">
        <v>3288</v>
      </c>
      <c r="G126" s="112">
        <v>12.912333520000001</v>
      </c>
      <c r="H126" s="112">
        <v>1929</v>
      </c>
      <c r="I126" s="112">
        <v>2918</v>
      </c>
      <c r="J126" s="112">
        <v>130.1</v>
      </c>
      <c r="K126" s="112" t="s">
        <v>3368</v>
      </c>
      <c r="L126" s="112" t="s">
        <v>3369</v>
      </c>
      <c r="M126" s="112" t="s">
        <v>3370</v>
      </c>
      <c r="N126" s="112" t="s">
        <v>3371</v>
      </c>
      <c r="Q126" s="112"/>
    </row>
    <row r="127" spans="1:17">
      <c r="A127" s="112" t="s">
        <v>3372</v>
      </c>
      <c r="B127" s="112" t="s">
        <v>3373</v>
      </c>
      <c r="C127" s="112" t="s">
        <v>2777</v>
      </c>
      <c r="D127" s="112" t="s">
        <v>3366</v>
      </c>
      <c r="E127" s="112" t="s">
        <v>1385</v>
      </c>
      <c r="F127" s="112" t="s">
        <v>3288</v>
      </c>
      <c r="G127" s="112">
        <v>12.912333520000001</v>
      </c>
      <c r="H127" s="112">
        <v>3673</v>
      </c>
      <c r="I127" s="112">
        <v>4317</v>
      </c>
      <c r="J127" s="112">
        <v>35.270000000000003</v>
      </c>
      <c r="K127" s="112" t="s">
        <v>3374</v>
      </c>
      <c r="L127" s="112" t="s">
        <v>3375</v>
      </c>
      <c r="M127" s="112" t="s">
        <v>3376</v>
      </c>
      <c r="N127" s="112" t="s">
        <v>3377</v>
      </c>
      <c r="Q127" s="112"/>
    </row>
    <row r="128" spans="1:17">
      <c r="A128" s="112" t="s">
        <v>3363</v>
      </c>
      <c r="B128" s="112" t="s">
        <v>3364</v>
      </c>
      <c r="C128" s="112" t="s">
        <v>3365</v>
      </c>
      <c r="D128" s="112" t="s">
        <v>3366</v>
      </c>
      <c r="E128" s="112" t="s">
        <v>1385</v>
      </c>
      <c r="F128" s="112" t="s">
        <v>3401</v>
      </c>
      <c r="G128" s="112">
        <v>12.9659651</v>
      </c>
      <c r="H128" s="112">
        <v>1929</v>
      </c>
      <c r="I128" s="112">
        <v>2918</v>
      </c>
      <c r="J128" s="112">
        <v>130.1</v>
      </c>
      <c r="K128" s="112" t="s">
        <v>3368</v>
      </c>
      <c r="L128" s="112" t="s">
        <v>3369</v>
      </c>
      <c r="M128" s="112" t="s">
        <v>3370</v>
      </c>
      <c r="N128" s="112" t="s">
        <v>3371</v>
      </c>
      <c r="Q128" s="112"/>
    </row>
    <row r="129" spans="1:17">
      <c r="A129" s="112" t="s">
        <v>3372</v>
      </c>
      <c r="B129" s="112" t="s">
        <v>3373</v>
      </c>
      <c r="C129" s="112" t="s">
        <v>2777</v>
      </c>
      <c r="D129" s="112" t="s">
        <v>3366</v>
      </c>
      <c r="E129" s="112" t="s">
        <v>1385</v>
      </c>
      <c r="F129" s="112" t="s">
        <v>3401</v>
      </c>
      <c r="G129" s="112">
        <v>12.9659651</v>
      </c>
      <c r="H129" s="112">
        <v>3673</v>
      </c>
      <c r="I129" s="112">
        <v>4317</v>
      </c>
      <c r="J129" s="112">
        <v>35.270000000000003</v>
      </c>
      <c r="K129" s="112" t="s">
        <v>3374</v>
      </c>
      <c r="L129" s="112" t="s">
        <v>3375</v>
      </c>
      <c r="M129" s="112" t="s">
        <v>3376</v>
      </c>
      <c r="N129" s="112" t="s">
        <v>3377</v>
      </c>
      <c r="Q129" s="112"/>
    </row>
    <row r="130" spans="1:17">
      <c r="A130" s="112" t="s">
        <v>3378</v>
      </c>
      <c r="B130" s="112" t="s">
        <v>3379</v>
      </c>
      <c r="C130" s="112" t="s">
        <v>1590</v>
      </c>
      <c r="D130" s="112" t="s">
        <v>3380</v>
      </c>
      <c r="E130" s="112" t="s">
        <v>1385</v>
      </c>
      <c r="F130" s="112" t="s">
        <v>3286</v>
      </c>
      <c r="G130" s="112">
        <v>16.255844920000001</v>
      </c>
      <c r="H130" s="112">
        <v>2210</v>
      </c>
      <c r="I130" s="112">
        <v>3451</v>
      </c>
      <c r="J130" s="112">
        <v>159.9</v>
      </c>
      <c r="K130" s="112" t="s">
        <v>3381</v>
      </c>
      <c r="L130" s="112" t="s">
        <v>3382</v>
      </c>
      <c r="M130" s="112" t="s">
        <v>3318</v>
      </c>
      <c r="N130" s="112" t="s">
        <v>3383</v>
      </c>
      <c r="Q130" s="112"/>
    </row>
    <row r="131" spans="1:17">
      <c r="A131" s="112" t="s">
        <v>3384</v>
      </c>
      <c r="B131" s="112" t="s">
        <v>3385</v>
      </c>
      <c r="C131" s="112" t="s">
        <v>1592</v>
      </c>
      <c r="D131" s="112" t="s">
        <v>3380</v>
      </c>
      <c r="E131" s="112" t="s">
        <v>1385</v>
      </c>
      <c r="F131" s="112" t="s">
        <v>3286</v>
      </c>
      <c r="G131" s="112">
        <v>16.255844920000001</v>
      </c>
      <c r="H131" s="112">
        <v>3435</v>
      </c>
      <c r="I131" s="112">
        <v>4211</v>
      </c>
      <c r="J131" s="112">
        <v>75.8</v>
      </c>
      <c r="K131" s="112" t="s">
        <v>3386</v>
      </c>
      <c r="L131" s="112" t="s">
        <v>3387</v>
      </c>
      <c r="M131" s="112" t="s">
        <v>3306</v>
      </c>
      <c r="N131" s="112" t="s">
        <v>3388</v>
      </c>
      <c r="Q131" s="112"/>
    </row>
    <row r="132" spans="1:17">
      <c r="A132" s="112" t="s">
        <v>3389</v>
      </c>
      <c r="B132" s="112" t="s">
        <v>3390</v>
      </c>
      <c r="C132" s="112" t="s">
        <v>1593</v>
      </c>
      <c r="D132" s="112" t="s">
        <v>3380</v>
      </c>
      <c r="E132" s="112" t="s">
        <v>1385</v>
      </c>
      <c r="F132" s="112" t="s">
        <v>3286</v>
      </c>
      <c r="G132" s="112">
        <v>16.255844920000001</v>
      </c>
      <c r="H132" s="112">
        <v>4208</v>
      </c>
      <c r="I132" s="112">
        <v>5086</v>
      </c>
      <c r="J132" s="112">
        <v>96.7</v>
      </c>
      <c r="K132" s="112" t="s">
        <v>3391</v>
      </c>
      <c r="L132" s="112" t="s">
        <v>3392</v>
      </c>
      <c r="M132" s="112" t="s">
        <v>3393</v>
      </c>
      <c r="N132" s="112" t="s">
        <v>3394</v>
      </c>
      <c r="Q132" s="112"/>
    </row>
    <row r="133" spans="1:17">
      <c r="A133" s="112" t="s">
        <v>3395</v>
      </c>
      <c r="B133" s="112" t="s">
        <v>3396</v>
      </c>
      <c r="C133" s="112" t="s">
        <v>1594</v>
      </c>
      <c r="D133" s="112" t="s">
        <v>3380</v>
      </c>
      <c r="E133" s="112" t="s">
        <v>1385</v>
      </c>
      <c r="F133" s="112" t="s">
        <v>3286</v>
      </c>
      <c r="G133" s="112">
        <v>16.255844920000001</v>
      </c>
      <c r="H133" s="112">
        <v>5055</v>
      </c>
      <c r="I133" s="112">
        <v>6122</v>
      </c>
      <c r="J133" s="112">
        <v>110.7</v>
      </c>
      <c r="K133" s="112" t="s">
        <v>3397</v>
      </c>
      <c r="L133" s="112" t="s">
        <v>3398</v>
      </c>
      <c r="M133" s="112" t="s">
        <v>3399</v>
      </c>
      <c r="N133" s="112" t="s">
        <v>3400</v>
      </c>
      <c r="Q133" s="112"/>
    </row>
    <row r="134" spans="1:17">
      <c r="A134" s="112" t="s">
        <v>3363</v>
      </c>
      <c r="B134" s="112" t="s">
        <v>3364</v>
      </c>
      <c r="C134" s="112" t="s">
        <v>3365</v>
      </c>
      <c r="D134" s="112" t="s">
        <v>3366</v>
      </c>
      <c r="E134" s="112" t="s">
        <v>1385</v>
      </c>
      <c r="F134" s="112" t="s">
        <v>3289</v>
      </c>
      <c r="G134" s="112">
        <v>18.85280693</v>
      </c>
      <c r="H134" s="112">
        <v>1929</v>
      </c>
      <c r="I134" s="112">
        <v>2918</v>
      </c>
      <c r="J134" s="112">
        <v>130.1</v>
      </c>
      <c r="K134" s="112" t="s">
        <v>3368</v>
      </c>
      <c r="L134" s="112" t="s">
        <v>3369</v>
      </c>
      <c r="M134" s="112" t="s">
        <v>3370</v>
      </c>
      <c r="N134" s="112" t="s">
        <v>3371</v>
      </c>
      <c r="Q134" s="112"/>
    </row>
    <row r="135" spans="1:17">
      <c r="A135" s="112" t="s">
        <v>3372</v>
      </c>
      <c r="B135" s="112" t="s">
        <v>3373</v>
      </c>
      <c r="C135" s="112" t="s">
        <v>2777</v>
      </c>
      <c r="D135" s="112" t="s">
        <v>3366</v>
      </c>
      <c r="E135" s="112" t="s">
        <v>1385</v>
      </c>
      <c r="F135" s="112" t="s">
        <v>3289</v>
      </c>
      <c r="G135" s="112">
        <v>18.85280693</v>
      </c>
      <c r="H135" s="112">
        <v>3673</v>
      </c>
      <c r="I135" s="112">
        <v>4317</v>
      </c>
      <c r="J135" s="112">
        <v>35.270000000000003</v>
      </c>
      <c r="K135" s="112" t="s">
        <v>3374</v>
      </c>
      <c r="L135" s="112" t="s">
        <v>3375</v>
      </c>
      <c r="M135" s="112" t="s">
        <v>3376</v>
      </c>
      <c r="N135" s="112" t="s">
        <v>3377</v>
      </c>
      <c r="Q135" s="112"/>
    </row>
    <row r="136" spans="1:17">
      <c r="A136" s="112" t="s">
        <v>3360</v>
      </c>
      <c r="B136" s="112" t="s">
        <v>3277</v>
      </c>
      <c r="C136" s="112" t="s">
        <v>2390</v>
      </c>
      <c r="D136" s="112" t="s">
        <v>3361</v>
      </c>
      <c r="E136" s="112" t="s">
        <v>1385</v>
      </c>
      <c r="F136" s="112" t="s">
        <v>853</v>
      </c>
      <c r="G136" s="112">
        <v>24.639139979999999</v>
      </c>
      <c r="H136" s="112">
        <v>1</v>
      </c>
      <c r="I136" s="112">
        <v>1671</v>
      </c>
      <c r="J136" s="112">
        <v>216.3</v>
      </c>
      <c r="K136" s="112" t="s">
        <v>3358</v>
      </c>
      <c r="L136" s="112" t="s">
        <v>3281</v>
      </c>
      <c r="M136" s="112" t="s">
        <v>3362</v>
      </c>
      <c r="N136" s="112" t="s">
        <v>3283</v>
      </c>
      <c r="Q136" s="112"/>
    </row>
    <row r="137" spans="1:17">
      <c r="A137" s="112" t="s">
        <v>3360</v>
      </c>
      <c r="B137" s="112" t="s">
        <v>3277</v>
      </c>
      <c r="C137" s="112" t="s">
        <v>2390</v>
      </c>
      <c r="D137" s="112" t="s">
        <v>3361</v>
      </c>
      <c r="E137" s="112" t="s">
        <v>1385</v>
      </c>
      <c r="F137" s="112" t="s">
        <v>3367</v>
      </c>
      <c r="G137" s="112">
        <v>25.124769489999998</v>
      </c>
      <c r="H137" s="112">
        <v>1</v>
      </c>
      <c r="I137" s="112">
        <v>1671</v>
      </c>
      <c r="J137" s="112">
        <v>216.3</v>
      </c>
      <c r="K137" s="112" t="s">
        <v>3358</v>
      </c>
      <c r="L137" s="112" t="s">
        <v>3281</v>
      </c>
      <c r="M137" s="112" t="s">
        <v>3362</v>
      </c>
      <c r="N137" s="112" t="s">
        <v>3283</v>
      </c>
      <c r="Q137" s="112"/>
    </row>
    <row r="138" spans="1:17">
      <c r="A138" s="112" t="s">
        <v>3378</v>
      </c>
      <c r="B138" s="112" t="s">
        <v>3379</v>
      </c>
      <c r="C138" s="112" t="s">
        <v>1590</v>
      </c>
      <c r="D138" s="112" t="s">
        <v>3380</v>
      </c>
      <c r="E138" s="112" t="s">
        <v>1385</v>
      </c>
      <c r="F138" s="112" t="s">
        <v>876</v>
      </c>
      <c r="G138" s="112">
        <v>25.81517989</v>
      </c>
      <c r="H138" s="112">
        <v>2210</v>
      </c>
      <c r="I138" s="112">
        <v>3451</v>
      </c>
      <c r="J138" s="112">
        <v>159.9</v>
      </c>
      <c r="K138" s="112" t="s">
        <v>3381</v>
      </c>
      <c r="L138" s="112" t="s">
        <v>3382</v>
      </c>
      <c r="M138" s="112" t="s">
        <v>3318</v>
      </c>
      <c r="N138" s="112" t="s">
        <v>3383</v>
      </c>
      <c r="Q138" s="112"/>
    </row>
    <row r="139" spans="1:17">
      <c r="A139" s="112" t="s">
        <v>3384</v>
      </c>
      <c r="B139" s="112" t="s">
        <v>3385</v>
      </c>
      <c r="C139" s="112" t="s">
        <v>1592</v>
      </c>
      <c r="D139" s="112" t="s">
        <v>3380</v>
      </c>
      <c r="E139" s="112" t="s">
        <v>1385</v>
      </c>
      <c r="F139" s="112" t="s">
        <v>876</v>
      </c>
      <c r="G139" s="112">
        <v>25.81517989</v>
      </c>
      <c r="H139" s="112">
        <v>3435</v>
      </c>
      <c r="I139" s="112">
        <v>4211</v>
      </c>
      <c r="J139" s="112">
        <v>75.8</v>
      </c>
      <c r="K139" s="112" t="s">
        <v>3386</v>
      </c>
      <c r="L139" s="112" t="s">
        <v>3387</v>
      </c>
      <c r="M139" s="112" t="s">
        <v>3306</v>
      </c>
      <c r="N139" s="112" t="s">
        <v>3388</v>
      </c>
      <c r="Q139" s="112"/>
    </row>
    <row r="140" spans="1:17">
      <c r="A140" s="112" t="s">
        <v>3389</v>
      </c>
      <c r="B140" s="112" t="s">
        <v>3390</v>
      </c>
      <c r="C140" s="112" t="s">
        <v>1593</v>
      </c>
      <c r="D140" s="112" t="s">
        <v>3380</v>
      </c>
      <c r="E140" s="112" t="s">
        <v>1385</v>
      </c>
      <c r="F140" s="112" t="s">
        <v>876</v>
      </c>
      <c r="G140" s="112">
        <v>25.81517989</v>
      </c>
      <c r="H140" s="112">
        <v>4208</v>
      </c>
      <c r="I140" s="112">
        <v>5086</v>
      </c>
      <c r="J140" s="112">
        <v>96.7</v>
      </c>
      <c r="K140" s="112" t="s">
        <v>3391</v>
      </c>
      <c r="L140" s="112" t="s">
        <v>3392</v>
      </c>
      <c r="M140" s="112" t="s">
        <v>3393</v>
      </c>
      <c r="N140" s="112" t="s">
        <v>3394</v>
      </c>
      <c r="Q140" s="112"/>
    </row>
    <row r="141" spans="1:17">
      <c r="A141" s="112" t="s">
        <v>3395</v>
      </c>
      <c r="B141" s="112" t="s">
        <v>3396</v>
      </c>
      <c r="C141" s="112" t="s">
        <v>1594</v>
      </c>
      <c r="D141" s="112" t="s">
        <v>3380</v>
      </c>
      <c r="E141" s="112" t="s">
        <v>1385</v>
      </c>
      <c r="F141" s="112" t="s">
        <v>876</v>
      </c>
      <c r="G141" s="112">
        <v>25.81517989</v>
      </c>
      <c r="H141" s="112">
        <v>5055</v>
      </c>
      <c r="I141" s="112">
        <v>6122</v>
      </c>
      <c r="J141" s="112">
        <v>110.7</v>
      </c>
      <c r="K141" s="112" t="s">
        <v>3397</v>
      </c>
      <c r="L141" s="112" t="s">
        <v>3398</v>
      </c>
      <c r="M141" s="112" t="s">
        <v>3399</v>
      </c>
      <c r="N141" s="112" t="s">
        <v>3400</v>
      </c>
      <c r="Q141" s="112"/>
    </row>
    <row r="142" spans="1:17">
      <c r="A142" s="112" t="s">
        <v>3356</v>
      </c>
      <c r="B142" s="112" t="s">
        <v>3323</v>
      </c>
      <c r="C142" s="112" t="s">
        <v>2296</v>
      </c>
      <c r="D142" s="112" t="s">
        <v>3357</v>
      </c>
      <c r="E142" s="112" t="s">
        <v>1385</v>
      </c>
      <c r="F142" s="112" t="s">
        <v>853</v>
      </c>
      <c r="G142" s="112">
        <v>28.745663310000001</v>
      </c>
      <c r="H142" s="112">
        <v>2</v>
      </c>
      <c r="I142" s="112">
        <v>127</v>
      </c>
      <c r="J142" s="112">
        <v>11.4</v>
      </c>
      <c r="K142" s="112" t="s">
        <v>3358</v>
      </c>
      <c r="L142" s="112" t="s">
        <v>3325</v>
      </c>
      <c r="M142" s="112" t="s">
        <v>3318</v>
      </c>
      <c r="N142" s="112" t="s">
        <v>3327</v>
      </c>
      <c r="Q142" s="112"/>
    </row>
    <row r="143" spans="1:17">
      <c r="A143" s="112" t="s">
        <v>3356</v>
      </c>
      <c r="B143" s="112" t="s">
        <v>3323</v>
      </c>
      <c r="C143" s="112" t="s">
        <v>2296</v>
      </c>
      <c r="D143" s="112" t="s">
        <v>3357</v>
      </c>
      <c r="E143" s="112" t="s">
        <v>1385</v>
      </c>
      <c r="F143" s="112" t="s">
        <v>876</v>
      </c>
      <c r="G143" s="112">
        <v>31.66492508</v>
      </c>
      <c r="H143" s="112">
        <v>2</v>
      </c>
      <c r="I143" s="112">
        <v>127</v>
      </c>
      <c r="J143" s="112">
        <v>11.4</v>
      </c>
      <c r="K143" s="112" t="s">
        <v>3358</v>
      </c>
      <c r="L143" s="112" t="s">
        <v>3325</v>
      </c>
      <c r="M143" s="112" t="s">
        <v>3318</v>
      </c>
      <c r="N143" s="112" t="s">
        <v>3327</v>
      </c>
      <c r="Q143" s="112"/>
    </row>
    <row r="144" spans="1:17">
      <c r="A144" s="112" t="s">
        <v>3356</v>
      </c>
      <c r="B144" s="112" t="s">
        <v>3323</v>
      </c>
      <c r="C144" s="112" t="s">
        <v>2296</v>
      </c>
      <c r="D144" s="112" t="s">
        <v>3357</v>
      </c>
      <c r="E144" s="112" t="s">
        <v>1385</v>
      </c>
      <c r="F144" s="112" t="s">
        <v>3275</v>
      </c>
      <c r="G144" s="112">
        <v>38.235069250000002</v>
      </c>
      <c r="H144" s="112">
        <v>2</v>
      </c>
      <c r="I144" s="112">
        <v>127</v>
      </c>
      <c r="J144" s="112">
        <v>11.4</v>
      </c>
      <c r="K144" s="112" t="s">
        <v>3358</v>
      </c>
      <c r="L144" s="112" t="s">
        <v>3325</v>
      </c>
      <c r="M144" s="112" t="s">
        <v>3318</v>
      </c>
      <c r="N144" s="112" t="s">
        <v>3327</v>
      </c>
      <c r="Q144" s="112"/>
    </row>
    <row r="145" spans="1:17">
      <c r="A145" s="112" t="s">
        <v>3363</v>
      </c>
      <c r="B145" s="112" t="s">
        <v>3364</v>
      </c>
      <c r="C145" s="112" t="s">
        <v>3365</v>
      </c>
      <c r="D145" s="112" t="s">
        <v>3366</v>
      </c>
      <c r="E145" s="112" t="s">
        <v>1385</v>
      </c>
      <c r="F145" s="112" t="s">
        <v>1425</v>
      </c>
      <c r="G145" s="112">
        <v>39.675454240000001</v>
      </c>
      <c r="H145" s="112">
        <v>1929</v>
      </c>
      <c r="I145" s="112">
        <v>2918</v>
      </c>
      <c r="J145" s="112">
        <v>130.1</v>
      </c>
      <c r="K145" s="112" t="s">
        <v>3368</v>
      </c>
      <c r="L145" s="112" t="s">
        <v>3369</v>
      </c>
      <c r="M145" s="112" t="s">
        <v>3370</v>
      </c>
      <c r="N145" s="112" t="s">
        <v>3371</v>
      </c>
      <c r="Q145" s="112"/>
    </row>
    <row r="146" spans="1:17">
      <c r="A146" s="112" t="s">
        <v>3372</v>
      </c>
      <c r="B146" s="112" t="s">
        <v>3373</v>
      </c>
      <c r="C146" s="112" t="s">
        <v>2777</v>
      </c>
      <c r="D146" s="112" t="s">
        <v>3366</v>
      </c>
      <c r="E146" s="112" t="s">
        <v>1385</v>
      </c>
      <c r="F146" s="112" t="s">
        <v>1425</v>
      </c>
      <c r="G146" s="112">
        <v>39.675454240000001</v>
      </c>
      <c r="H146" s="112">
        <v>3673</v>
      </c>
      <c r="I146" s="112">
        <v>4317</v>
      </c>
      <c r="J146" s="112">
        <v>35.270000000000003</v>
      </c>
      <c r="K146" s="112" t="s">
        <v>3374</v>
      </c>
      <c r="L146" s="112" t="s">
        <v>3375</v>
      </c>
      <c r="M146" s="112" t="s">
        <v>3376</v>
      </c>
      <c r="N146" s="112" t="s">
        <v>3377</v>
      </c>
      <c r="Q146" s="112"/>
    </row>
    <row r="147" spans="1:17">
      <c r="A147" s="112" t="s">
        <v>3363</v>
      </c>
      <c r="B147" s="112" t="s">
        <v>3364</v>
      </c>
      <c r="C147" s="112" t="s">
        <v>3365</v>
      </c>
      <c r="D147" s="112" t="s">
        <v>3366</v>
      </c>
      <c r="E147" s="112" t="s">
        <v>1385</v>
      </c>
      <c r="F147" s="112" t="s">
        <v>874</v>
      </c>
      <c r="G147" s="112">
        <v>43.566234479999999</v>
      </c>
      <c r="H147" s="112">
        <v>1929</v>
      </c>
      <c r="I147" s="112">
        <v>2918</v>
      </c>
      <c r="J147" s="112">
        <v>130.1</v>
      </c>
      <c r="K147" s="112" t="s">
        <v>3368</v>
      </c>
      <c r="L147" s="112" t="s">
        <v>3369</v>
      </c>
      <c r="M147" s="112" t="s">
        <v>3370</v>
      </c>
      <c r="N147" s="112" t="s">
        <v>3371</v>
      </c>
      <c r="Q147" s="112"/>
    </row>
    <row r="148" spans="1:17">
      <c r="A148" s="112" t="s">
        <v>3372</v>
      </c>
      <c r="B148" s="112" t="s">
        <v>3373</v>
      </c>
      <c r="C148" s="112" t="s">
        <v>2777</v>
      </c>
      <c r="D148" s="112" t="s">
        <v>3366</v>
      </c>
      <c r="E148" s="112" t="s">
        <v>1385</v>
      </c>
      <c r="F148" s="112" t="s">
        <v>874</v>
      </c>
      <c r="G148" s="112">
        <v>43.566234479999999</v>
      </c>
      <c r="H148" s="112">
        <v>3673</v>
      </c>
      <c r="I148" s="112">
        <v>4317</v>
      </c>
      <c r="J148" s="112">
        <v>35.270000000000003</v>
      </c>
      <c r="K148" s="112" t="s">
        <v>3374</v>
      </c>
      <c r="L148" s="112" t="s">
        <v>3375</v>
      </c>
      <c r="M148" s="112" t="s">
        <v>3376</v>
      </c>
      <c r="N148" s="112" t="s">
        <v>3377</v>
      </c>
      <c r="Q148" s="112"/>
    </row>
    <row r="149" spans="1:17">
      <c r="A149" s="112" t="s">
        <v>3360</v>
      </c>
      <c r="B149" s="112" t="s">
        <v>3277</v>
      </c>
      <c r="C149" s="112" t="s">
        <v>2390</v>
      </c>
      <c r="D149" s="112" t="s">
        <v>3361</v>
      </c>
      <c r="E149" s="112" t="s">
        <v>1385</v>
      </c>
      <c r="F149" s="112" t="s">
        <v>874</v>
      </c>
      <c r="G149" s="112">
        <v>43.566234479999999</v>
      </c>
      <c r="H149" s="112">
        <v>1</v>
      </c>
      <c r="I149" s="112">
        <v>1671</v>
      </c>
      <c r="J149" s="112">
        <v>216.3</v>
      </c>
      <c r="K149" s="112" t="s">
        <v>3358</v>
      </c>
      <c r="L149" s="112" t="s">
        <v>3281</v>
      </c>
      <c r="M149" s="112" t="s">
        <v>3362</v>
      </c>
      <c r="N149" s="112" t="s">
        <v>3283</v>
      </c>
      <c r="Q149" s="112"/>
    </row>
    <row r="150" spans="1:17">
      <c r="A150" s="112" t="s">
        <v>3356</v>
      </c>
      <c r="B150" s="112" t="s">
        <v>3323</v>
      </c>
      <c r="C150" s="112" t="s">
        <v>2296</v>
      </c>
      <c r="D150" s="112" t="s">
        <v>3357</v>
      </c>
      <c r="E150" s="112" t="s">
        <v>1385</v>
      </c>
      <c r="F150" s="112" t="s">
        <v>3367</v>
      </c>
      <c r="G150" s="112">
        <v>47.96546902</v>
      </c>
      <c r="H150" s="112">
        <v>2</v>
      </c>
      <c r="I150" s="112">
        <v>127</v>
      </c>
      <c r="J150" s="112">
        <v>11.4</v>
      </c>
      <c r="K150" s="112" t="s">
        <v>3358</v>
      </c>
      <c r="L150" s="112" t="s">
        <v>3325</v>
      </c>
      <c r="M150" s="112" t="s">
        <v>3318</v>
      </c>
      <c r="N150" s="112" t="s">
        <v>3327</v>
      </c>
      <c r="Q150" s="112"/>
    </row>
    <row r="151" spans="1:17">
      <c r="A151" s="112" t="s">
        <v>3363</v>
      </c>
      <c r="B151" s="112" t="s">
        <v>3364</v>
      </c>
      <c r="C151" s="112" t="s">
        <v>3365</v>
      </c>
      <c r="D151" s="112" t="s">
        <v>3366</v>
      </c>
      <c r="E151" s="112" t="s">
        <v>1385</v>
      </c>
      <c r="F151" s="112" t="s">
        <v>918</v>
      </c>
      <c r="G151" s="112">
        <v>49.906672729999997</v>
      </c>
      <c r="H151" s="112">
        <v>1929</v>
      </c>
      <c r="I151" s="112">
        <v>2918</v>
      </c>
      <c r="J151" s="112">
        <v>130.1</v>
      </c>
      <c r="K151" s="112" t="s">
        <v>3368</v>
      </c>
      <c r="L151" s="112" t="s">
        <v>3369</v>
      </c>
      <c r="M151" s="112" t="s">
        <v>3370</v>
      </c>
      <c r="N151" s="112" t="s">
        <v>3371</v>
      </c>
      <c r="Q151" s="112"/>
    </row>
    <row r="152" spans="1:17">
      <c r="A152" s="112" t="s">
        <v>3372</v>
      </c>
      <c r="B152" s="112" t="s">
        <v>3373</v>
      </c>
      <c r="C152" s="112" t="s">
        <v>2777</v>
      </c>
      <c r="D152" s="112" t="s">
        <v>3366</v>
      </c>
      <c r="E152" s="112" t="s">
        <v>1385</v>
      </c>
      <c r="F152" s="112" t="s">
        <v>918</v>
      </c>
      <c r="G152" s="112">
        <v>49.906672729999997</v>
      </c>
      <c r="H152" s="112">
        <v>3673</v>
      </c>
      <c r="I152" s="112">
        <v>4317</v>
      </c>
      <c r="J152" s="112">
        <v>35.270000000000003</v>
      </c>
      <c r="K152" s="112" t="s">
        <v>3374</v>
      </c>
      <c r="L152" s="112" t="s">
        <v>3375</v>
      </c>
      <c r="M152" s="112" t="s">
        <v>3376</v>
      </c>
      <c r="N152" s="112" t="s">
        <v>3377</v>
      </c>
      <c r="Q152" s="112"/>
    </row>
    <row r="153" spans="1:17">
      <c r="A153" s="112" t="s">
        <v>3360</v>
      </c>
      <c r="B153" s="112" t="s">
        <v>3277</v>
      </c>
      <c r="C153" s="112" t="s">
        <v>2390</v>
      </c>
      <c r="D153" s="112" t="s">
        <v>3361</v>
      </c>
      <c r="E153" s="112" t="s">
        <v>1385</v>
      </c>
      <c r="F153" s="112" t="s">
        <v>3402</v>
      </c>
      <c r="G153" s="112">
        <v>55.869039829999998</v>
      </c>
      <c r="H153" s="112">
        <v>1</v>
      </c>
      <c r="I153" s="112">
        <v>1671</v>
      </c>
      <c r="J153" s="112">
        <v>216.3</v>
      </c>
      <c r="K153" s="112" t="s">
        <v>3358</v>
      </c>
      <c r="L153" s="112" t="s">
        <v>3281</v>
      </c>
      <c r="M153" s="112" t="s">
        <v>3362</v>
      </c>
      <c r="N153" s="112" t="s">
        <v>3283</v>
      </c>
      <c r="Q153" s="112"/>
    </row>
    <row r="154" spans="1:17">
      <c r="A154" s="112" t="s">
        <v>3360</v>
      </c>
      <c r="B154" s="112" t="s">
        <v>3277</v>
      </c>
      <c r="C154" s="112" t="s">
        <v>2390</v>
      </c>
      <c r="D154" s="112" t="s">
        <v>3361</v>
      </c>
      <c r="E154" s="112" t="s">
        <v>1385</v>
      </c>
      <c r="F154" s="112" t="s">
        <v>3403</v>
      </c>
      <c r="G154" s="112">
        <v>58.649305499999997</v>
      </c>
      <c r="H154" s="112">
        <v>1</v>
      </c>
      <c r="I154" s="112">
        <v>1671</v>
      </c>
      <c r="J154" s="112">
        <v>216.3</v>
      </c>
      <c r="K154" s="112" t="s">
        <v>3358</v>
      </c>
      <c r="L154" s="112" t="s">
        <v>3281</v>
      </c>
      <c r="M154" s="112" t="s">
        <v>3362</v>
      </c>
      <c r="N154" s="112" t="s">
        <v>3283</v>
      </c>
      <c r="Q154" s="112"/>
    </row>
    <row r="155" spans="1:17">
      <c r="A155" s="112" t="s">
        <v>3378</v>
      </c>
      <c r="B155" s="112" t="s">
        <v>3379</v>
      </c>
      <c r="C155" s="112" t="s">
        <v>1590</v>
      </c>
      <c r="D155" s="112" t="s">
        <v>3380</v>
      </c>
      <c r="E155" s="112" t="s">
        <v>1385</v>
      </c>
      <c r="F155" s="112" t="s">
        <v>3287</v>
      </c>
      <c r="G155" s="112">
        <v>66.632010699999995</v>
      </c>
      <c r="H155" s="112">
        <v>2210</v>
      </c>
      <c r="I155" s="112">
        <v>3451</v>
      </c>
      <c r="J155" s="112">
        <v>159.9</v>
      </c>
      <c r="K155" s="112" t="s">
        <v>3381</v>
      </c>
      <c r="L155" s="112" t="s">
        <v>3382</v>
      </c>
      <c r="M155" s="112" t="s">
        <v>3318</v>
      </c>
      <c r="N155" s="112" t="s">
        <v>3383</v>
      </c>
      <c r="Q155" s="112"/>
    </row>
    <row r="156" spans="1:17">
      <c r="A156" s="112" t="s">
        <v>3384</v>
      </c>
      <c r="B156" s="112" t="s">
        <v>3385</v>
      </c>
      <c r="C156" s="112" t="s">
        <v>1592</v>
      </c>
      <c r="D156" s="112" t="s">
        <v>3380</v>
      </c>
      <c r="E156" s="112" t="s">
        <v>1385</v>
      </c>
      <c r="F156" s="112" t="s">
        <v>3287</v>
      </c>
      <c r="G156" s="112">
        <v>66.632010699999995</v>
      </c>
      <c r="H156" s="112">
        <v>3435</v>
      </c>
      <c r="I156" s="112">
        <v>4211</v>
      </c>
      <c r="J156" s="112">
        <v>75.8</v>
      </c>
      <c r="K156" s="112" t="s">
        <v>3386</v>
      </c>
      <c r="L156" s="112" t="s">
        <v>3387</v>
      </c>
      <c r="M156" s="112" t="s">
        <v>3306</v>
      </c>
      <c r="N156" s="112" t="s">
        <v>3388</v>
      </c>
      <c r="Q156" s="112"/>
    </row>
    <row r="157" spans="1:17">
      <c r="A157" s="112" t="s">
        <v>3389</v>
      </c>
      <c r="B157" s="112" t="s">
        <v>3390</v>
      </c>
      <c r="C157" s="112" t="s">
        <v>1593</v>
      </c>
      <c r="D157" s="112" t="s">
        <v>3380</v>
      </c>
      <c r="E157" s="112" t="s">
        <v>1385</v>
      </c>
      <c r="F157" s="112" t="s">
        <v>3287</v>
      </c>
      <c r="G157" s="112">
        <v>66.632010699999995</v>
      </c>
      <c r="H157" s="112">
        <v>4208</v>
      </c>
      <c r="I157" s="112">
        <v>5086</v>
      </c>
      <c r="J157" s="112">
        <v>96.7</v>
      </c>
      <c r="K157" s="112" t="s">
        <v>3391</v>
      </c>
      <c r="L157" s="112" t="s">
        <v>3392</v>
      </c>
      <c r="M157" s="112" t="s">
        <v>3393</v>
      </c>
      <c r="N157" s="112" t="s">
        <v>3394</v>
      </c>
      <c r="Q157" s="112"/>
    </row>
    <row r="158" spans="1:17">
      <c r="A158" s="112" t="s">
        <v>3395</v>
      </c>
      <c r="B158" s="112" t="s">
        <v>3396</v>
      </c>
      <c r="C158" s="112" t="s">
        <v>1594</v>
      </c>
      <c r="D158" s="112" t="s">
        <v>3380</v>
      </c>
      <c r="E158" s="112" t="s">
        <v>1385</v>
      </c>
      <c r="F158" s="112" t="s">
        <v>3287</v>
      </c>
      <c r="G158" s="112">
        <v>66.632010699999995</v>
      </c>
      <c r="H158" s="112">
        <v>5055</v>
      </c>
      <c r="I158" s="112">
        <v>6122</v>
      </c>
      <c r="J158" s="112">
        <v>110.7</v>
      </c>
      <c r="K158" s="112" t="s">
        <v>3397</v>
      </c>
      <c r="L158" s="112" t="s">
        <v>3398</v>
      </c>
      <c r="M158" s="112" t="s">
        <v>3399</v>
      </c>
      <c r="N158" s="112" t="s">
        <v>3400</v>
      </c>
      <c r="Q158" s="112"/>
    </row>
    <row r="159" spans="1:17">
      <c r="A159" s="112" t="s">
        <v>3360</v>
      </c>
      <c r="B159" s="112" t="s">
        <v>3277</v>
      </c>
      <c r="C159" s="112" t="s">
        <v>2390</v>
      </c>
      <c r="D159" s="112" t="s">
        <v>3361</v>
      </c>
      <c r="E159" s="112" t="s">
        <v>1385</v>
      </c>
      <c r="F159" s="112" t="s">
        <v>1425</v>
      </c>
      <c r="G159" s="112">
        <v>69.432044919999996</v>
      </c>
      <c r="H159" s="112">
        <v>1</v>
      </c>
      <c r="I159" s="112">
        <v>1671</v>
      </c>
      <c r="J159" s="112">
        <v>216.3</v>
      </c>
      <c r="K159" s="112" t="s">
        <v>3358</v>
      </c>
      <c r="L159" s="112" t="s">
        <v>3281</v>
      </c>
      <c r="M159" s="112" t="s">
        <v>3362</v>
      </c>
      <c r="N159" s="112" t="s">
        <v>3283</v>
      </c>
      <c r="Q159" s="112"/>
    </row>
    <row r="160" spans="1:17">
      <c r="A160" s="112" t="s">
        <v>3360</v>
      </c>
      <c r="B160" s="112" t="s">
        <v>3277</v>
      </c>
      <c r="C160" s="112" t="s">
        <v>2390</v>
      </c>
      <c r="D160" s="112" t="s">
        <v>3361</v>
      </c>
      <c r="E160" s="112" t="s">
        <v>1385</v>
      </c>
      <c r="F160" s="112" t="s">
        <v>3288</v>
      </c>
      <c r="G160" s="112">
        <v>81.778112300000004</v>
      </c>
      <c r="H160" s="112">
        <v>1</v>
      </c>
      <c r="I160" s="112">
        <v>1671</v>
      </c>
      <c r="J160" s="112">
        <v>216.3</v>
      </c>
      <c r="K160" s="112" t="s">
        <v>3358</v>
      </c>
      <c r="L160" s="112" t="s">
        <v>3281</v>
      </c>
      <c r="M160" s="112" t="s">
        <v>3362</v>
      </c>
      <c r="N160" s="112" t="s">
        <v>3283</v>
      </c>
      <c r="Q160" s="112"/>
    </row>
    <row r="161" spans="1:17">
      <c r="A161" s="112" t="s">
        <v>3360</v>
      </c>
      <c r="B161" s="112" t="s">
        <v>3277</v>
      </c>
      <c r="C161" s="112" t="s">
        <v>2390</v>
      </c>
      <c r="D161" s="112" t="s">
        <v>3361</v>
      </c>
      <c r="E161" s="112" t="s">
        <v>1385</v>
      </c>
      <c r="F161" s="112" t="s">
        <v>3401</v>
      </c>
      <c r="G161" s="112">
        <v>90.761755719999996</v>
      </c>
      <c r="H161" s="112">
        <v>1</v>
      </c>
      <c r="I161" s="112">
        <v>1671</v>
      </c>
      <c r="J161" s="112">
        <v>216.3</v>
      </c>
      <c r="K161" s="112" t="s">
        <v>3358</v>
      </c>
      <c r="L161" s="112" t="s">
        <v>3281</v>
      </c>
      <c r="M161" s="112" t="s">
        <v>3362</v>
      </c>
      <c r="N161" s="112" t="s">
        <v>3283</v>
      </c>
      <c r="Q161" s="112"/>
    </row>
    <row r="162" spans="1:17">
      <c r="A162" s="112" t="s">
        <v>3378</v>
      </c>
      <c r="B162" s="112" t="s">
        <v>3379</v>
      </c>
      <c r="C162" s="112" t="s">
        <v>1590</v>
      </c>
      <c r="D162" s="112" t="s">
        <v>3380</v>
      </c>
      <c r="E162" s="112" t="s">
        <v>1385</v>
      </c>
      <c r="F162" s="112" t="s">
        <v>874</v>
      </c>
      <c r="G162" s="112">
        <v>125.85801069999999</v>
      </c>
      <c r="H162" s="112">
        <v>2210</v>
      </c>
      <c r="I162" s="112">
        <v>3451</v>
      </c>
      <c r="J162" s="112">
        <v>159.9</v>
      </c>
      <c r="K162" s="112" t="s">
        <v>3381</v>
      </c>
      <c r="L162" s="112" t="s">
        <v>3382</v>
      </c>
      <c r="M162" s="112" t="s">
        <v>3318</v>
      </c>
      <c r="N162" s="112" t="s">
        <v>3383</v>
      </c>
      <c r="Q162" s="112"/>
    </row>
    <row r="163" spans="1:17">
      <c r="A163" s="112" t="s">
        <v>3384</v>
      </c>
      <c r="B163" s="112" t="s">
        <v>3385</v>
      </c>
      <c r="C163" s="112" t="s">
        <v>1592</v>
      </c>
      <c r="D163" s="112" t="s">
        <v>3380</v>
      </c>
      <c r="E163" s="112" t="s">
        <v>1385</v>
      </c>
      <c r="F163" s="112" t="s">
        <v>874</v>
      </c>
      <c r="G163" s="112">
        <v>125.85801069999999</v>
      </c>
      <c r="H163" s="112">
        <v>3435</v>
      </c>
      <c r="I163" s="112">
        <v>4211</v>
      </c>
      <c r="J163" s="112">
        <v>75.8</v>
      </c>
      <c r="K163" s="112" t="s">
        <v>3386</v>
      </c>
      <c r="L163" s="112" t="s">
        <v>3387</v>
      </c>
      <c r="M163" s="112" t="s">
        <v>3306</v>
      </c>
      <c r="N163" s="112" t="s">
        <v>3388</v>
      </c>
      <c r="Q163" s="112"/>
    </row>
    <row r="164" spans="1:17">
      <c r="A164" s="112" t="s">
        <v>3389</v>
      </c>
      <c r="B164" s="112" t="s">
        <v>3390</v>
      </c>
      <c r="C164" s="112" t="s">
        <v>1593</v>
      </c>
      <c r="D164" s="112" t="s">
        <v>3380</v>
      </c>
      <c r="E164" s="112" t="s">
        <v>1385</v>
      </c>
      <c r="F164" s="112" t="s">
        <v>874</v>
      </c>
      <c r="G164" s="112">
        <v>125.85801069999999</v>
      </c>
      <c r="H164" s="112">
        <v>4208</v>
      </c>
      <c r="I164" s="112">
        <v>5086</v>
      </c>
      <c r="J164" s="112">
        <v>96.7</v>
      </c>
      <c r="K164" s="112" t="s">
        <v>3391</v>
      </c>
      <c r="L164" s="112" t="s">
        <v>3392</v>
      </c>
      <c r="M164" s="112" t="s">
        <v>3393</v>
      </c>
      <c r="N164" s="112" t="s">
        <v>3394</v>
      </c>
      <c r="Q164" s="112"/>
    </row>
    <row r="165" spans="1:17">
      <c r="A165" s="112" t="s">
        <v>3395</v>
      </c>
      <c r="B165" s="112" t="s">
        <v>3396</v>
      </c>
      <c r="C165" s="112" t="s">
        <v>1594</v>
      </c>
      <c r="D165" s="112" t="s">
        <v>3380</v>
      </c>
      <c r="E165" s="112" t="s">
        <v>1385</v>
      </c>
      <c r="F165" s="112" t="s">
        <v>874</v>
      </c>
      <c r="G165" s="112">
        <v>125.85801069999999</v>
      </c>
      <c r="H165" s="112">
        <v>5055</v>
      </c>
      <c r="I165" s="112">
        <v>6122</v>
      </c>
      <c r="J165" s="112">
        <v>110.7</v>
      </c>
      <c r="K165" s="112" t="s">
        <v>3397</v>
      </c>
      <c r="L165" s="112" t="s">
        <v>3398</v>
      </c>
      <c r="M165" s="112" t="s">
        <v>3399</v>
      </c>
      <c r="N165" s="112" t="s">
        <v>3400</v>
      </c>
      <c r="Q165" s="112"/>
    </row>
    <row r="166" spans="1:17">
      <c r="A166" s="112" t="s">
        <v>3356</v>
      </c>
      <c r="B166" s="112" t="s">
        <v>3323</v>
      </c>
      <c r="C166" s="112" t="s">
        <v>2296</v>
      </c>
      <c r="D166" s="112" t="s">
        <v>3357</v>
      </c>
      <c r="E166" s="112" t="s">
        <v>1385</v>
      </c>
      <c r="F166" s="112" t="s">
        <v>3401</v>
      </c>
      <c r="G166" s="112">
        <v>129.659651</v>
      </c>
      <c r="H166" s="112">
        <v>2</v>
      </c>
      <c r="I166" s="112">
        <v>127</v>
      </c>
      <c r="J166" s="112">
        <v>11.4</v>
      </c>
      <c r="K166" s="112" t="s">
        <v>3358</v>
      </c>
      <c r="L166" s="112" t="s">
        <v>3325</v>
      </c>
      <c r="M166" s="112" t="s">
        <v>3318</v>
      </c>
      <c r="N166" s="112" t="s">
        <v>3327</v>
      </c>
      <c r="Q166" s="112"/>
    </row>
    <row r="167" spans="1:17">
      <c r="A167" s="112" t="s">
        <v>3356</v>
      </c>
      <c r="B167" s="112" t="s">
        <v>3323</v>
      </c>
      <c r="C167" s="112" t="s">
        <v>2296</v>
      </c>
      <c r="D167" s="112" t="s">
        <v>3357</v>
      </c>
      <c r="E167" s="112" t="s">
        <v>1385</v>
      </c>
      <c r="F167" s="112" t="s">
        <v>3288</v>
      </c>
      <c r="G167" s="112">
        <v>142.0356687</v>
      </c>
      <c r="H167" s="112">
        <v>2</v>
      </c>
      <c r="I167" s="112">
        <v>127</v>
      </c>
      <c r="J167" s="112">
        <v>11.4</v>
      </c>
      <c r="K167" s="112" t="s">
        <v>3358</v>
      </c>
      <c r="L167" s="112" t="s">
        <v>3325</v>
      </c>
      <c r="M167" s="112" t="s">
        <v>3318</v>
      </c>
      <c r="N167" s="112" t="s">
        <v>3327</v>
      </c>
      <c r="Q167" s="112"/>
    </row>
    <row r="168" spans="1:17">
      <c r="A168" s="112" t="s">
        <v>3378</v>
      </c>
      <c r="B168" s="112" t="s">
        <v>3379</v>
      </c>
      <c r="C168" s="112" t="s">
        <v>1590</v>
      </c>
      <c r="D168" s="112" t="s">
        <v>3380</v>
      </c>
      <c r="E168" s="112" t="s">
        <v>1385</v>
      </c>
      <c r="F168" s="112" t="s">
        <v>3367</v>
      </c>
      <c r="G168" s="112">
        <v>143.8964071</v>
      </c>
      <c r="H168" s="112">
        <v>2210</v>
      </c>
      <c r="I168" s="112">
        <v>3451</v>
      </c>
      <c r="J168" s="112">
        <v>159.9</v>
      </c>
      <c r="K168" s="112" t="s">
        <v>3381</v>
      </c>
      <c r="L168" s="112" t="s">
        <v>3382</v>
      </c>
      <c r="M168" s="112" t="s">
        <v>3318</v>
      </c>
      <c r="N168" s="112" t="s">
        <v>3383</v>
      </c>
      <c r="Q168" s="112"/>
    </row>
    <row r="169" spans="1:17">
      <c r="A169" s="112" t="s">
        <v>3384</v>
      </c>
      <c r="B169" s="112" t="s">
        <v>3385</v>
      </c>
      <c r="C169" s="112" t="s">
        <v>1592</v>
      </c>
      <c r="D169" s="112" t="s">
        <v>3380</v>
      </c>
      <c r="E169" s="112" t="s">
        <v>1385</v>
      </c>
      <c r="F169" s="112" t="s">
        <v>3367</v>
      </c>
      <c r="G169" s="112">
        <v>143.8964071</v>
      </c>
      <c r="H169" s="112">
        <v>3435</v>
      </c>
      <c r="I169" s="112">
        <v>4211</v>
      </c>
      <c r="J169" s="112">
        <v>75.8</v>
      </c>
      <c r="K169" s="112" t="s">
        <v>3386</v>
      </c>
      <c r="L169" s="112" t="s">
        <v>3387</v>
      </c>
      <c r="M169" s="112" t="s">
        <v>3306</v>
      </c>
      <c r="N169" s="112" t="s">
        <v>3388</v>
      </c>
      <c r="Q169" s="112"/>
    </row>
    <row r="170" spans="1:17">
      <c r="A170" s="112" t="s">
        <v>3389</v>
      </c>
      <c r="B170" s="112" t="s">
        <v>3390</v>
      </c>
      <c r="C170" s="112" t="s">
        <v>1593</v>
      </c>
      <c r="D170" s="112" t="s">
        <v>3380</v>
      </c>
      <c r="E170" s="112" t="s">
        <v>1385</v>
      </c>
      <c r="F170" s="112" t="s">
        <v>3367</v>
      </c>
      <c r="G170" s="112">
        <v>143.8964071</v>
      </c>
      <c r="H170" s="112">
        <v>4208</v>
      </c>
      <c r="I170" s="112">
        <v>5086</v>
      </c>
      <c r="J170" s="112">
        <v>96.7</v>
      </c>
      <c r="K170" s="112" t="s">
        <v>3391</v>
      </c>
      <c r="L170" s="112" t="s">
        <v>3392</v>
      </c>
      <c r="M170" s="112" t="s">
        <v>3393</v>
      </c>
      <c r="N170" s="112" t="s">
        <v>3394</v>
      </c>
      <c r="Q170" s="112"/>
    </row>
    <row r="171" spans="1:17">
      <c r="A171" s="112" t="s">
        <v>3395</v>
      </c>
      <c r="B171" s="112" t="s">
        <v>3396</v>
      </c>
      <c r="C171" s="112" t="s">
        <v>1594</v>
      </c>
      <c r="D171" s="112" t="s">
        <v>3380</v>
      </c>
      <c r="E171" s="112" t="s">
        <v>1385</v>
      </c>
      <c r="F171" s="112" t="s">
        <v>3367</v>
      </c>
      <c r="G171" s="112">
        <v>143.8964071</v>
      </c>
      <c r="H171" s="112">
        <v>5055</v>
      </c>
      <c r="I171" s="112">
        <v>6122</v>
      </c>
      <c r="J171" s="112">
        <v>110.7</v>
      </c>
      <c r="K171" s="112" t="s">
        <v>3397</v>
      </c>
      <c r="L171" s="112" t="s">
        <v>3398</v>
      </c>
      <c r="M171" s="112" t="s">
        <v>3399</v>
      </c>
      <c r="N171" s="112" t="s">
        <v>3400</v>
      </c>
      <c r="Q171" s="112"/>
    </row>
    <row r="172" spans="1:17">
      <c r="A172" s="112" t="s">
        <v>3363</v>
      </c>
      <c r="B172" s="112" t="s">
        <v>3364</v>
      </c>
      <c r="C172" s="112" t="s">
        <v>3365</v>
      </c>
      <c r="D172" s="112" t="s">
        <v>3366</v>
      </c>
      <c r="E172" s="112" t="s">
        <v>1385</v>
      </c>
      <c r="F172" s="112" t="s">
        <v>3404</v>
      </c>
      <c r="G172" s="112">
        <v>204.285462</v>
      </c>
      <c r="H172" s="112">
        <v>1929</v>
      </c>
      <c r="I172" s="112">
        <v>2918</v>
      </c>
      <c r="J172" s="112">
        <v>130.1</v>
      </c>
      <c r="K172" s="112" t="s">
        <v>3368</v>
      </c>
      <c r="L172" s="112" t="s">
        <v>3369</v>
      </c>
      <c r="M172" s="112" t="s">
        <v>3370</v>
      </c>
      <c r="N172" s="112" t="s">
        <v>3371</v>
      </c>
      <c r="Q172" s="112"/>
    </row>
    <row r="173" spans="1:17">
      <c r="A173" s="112" t="s">
        <v>3372</v>
      </c>
      <c r="B173" s="112" t="s">
        <v>3373</v>
      </c>
      <c r="C173" s="112" t="s">
        <v>2777</v>
      </c>
      <c r="D173" s="112" t="s">
        <v>3366</v>
      </c>
      <c r="E173" s="112" t="s">
        <v>1385</v>
      </c>
      <c r="F173" s="112" t="s">
        <v>3404</v>
      </c>
      <c r="G173" s="112">
        <v>204.285462</v>
      </c>
      <c r="H173" s="112">
        <v>3673</v>
      </c>
      <c r="I173" s="112">
        <v>4317</v>
      </c>
      <c r="J173" s="112">
        <v>35.270000000000003</v>
      </c>
      <c r="K173" s="112" t="s">
        <v>3374</v>
      </c>
      <c r="L173" s="112" t="s">
        <v>3375</v>
      </c>
      <c r="M173" s="112" t="s">
        <v>3376</v>
      </c>
      <c r="N173" s="112" t="s">
        <v>3377</v>
      </c>
      <c r="Q173" s="112"/>
    </row>
    <row r="174" spans="1:17">
      <c r="A174" s="112" t="s">
        <v>3356</v>
      </c>
      <c r="B174" s="112" t="s">
        <v>3323</v>
      </c>
      <c r="C174" s="112" t="s">
        <v>2296</v>
      </c>
      <c r="D174" s="112" t="s">
        <v>3357</v>
      </c>
      <c r="E174" s="112" t="s">
        <v>1385</v>
      </c>
      <c r="F174" s="112" t="s">
        <v>874</v>
      </c>
      <c r="G174" s="112">
        <v>212.99047970000001</v>
      </c>
      <c r="H174" s="112">
        <v>2</v>
      </c>
      <c r="I174" s="112">
        <v>127</v>
      </c>
      <c r="J174" s="112">
        <v>11.4</v>
      </c>
      <c r="K174" s="112" t="s">
        <v>3358</v>
      </c>
      <c r="L174" s="112" t="s">
        <v>3325</v>
      </c>
      <c r="M174" s="112" t="s">
        <v>3318</v>
      </c>
      <c r="N174" s="112" t="s">
        <v>3327</v>
      </c>
      <c r="Q174" s="112"/>
    </row>
    <row r="175" spans="1:17">
      <c r="A175" s="112" t="s">
        <v>3360</v>
      </c>
      <c r="B175" s="112" t="s">
        <v>3277</v>
      </c>
      <c r="C175" s="112" t="s">
        <v>2390</v>
      </c>
      <c r="D175" s="112" t="s">
        <v>3361</v>
      </c>
      <c r="E175" s="112" t="s">
        <v>1385</v>
      </c>
      <c r="F175" s="112" t="s">
        <v>3289</v>
      </c>
      <c r="G175" s="112">
        <v>226.2336832</v>
      </c>
      <c r="H175" s="112">
        <v>1</v>
      </c>
      <c r="I175" s="112">
        <v>1671</v>
      </c>
      <c r="J175" s="112">
        <v>216.3</v>
      </c>
      <c r="K175" s="112" t="s">
        <v>3358</v>
      </c>
      <c r="L175" s="112" t="s">
        <v>3281</v>
      </c>
      <c r="M175" s="112" t="s">
        <v>3362</v>
      </c>
      <c r="N175" s="112" t="s">
        <v>3283</v>
      </c>
      <c r="Q175" s="112"/>
    </row>
    <row r="176" spans="1:17">
      <c r="A176" s="112" t="s">
        <v>3378</v>
      </c>
      <c r="B176" s="112" t="s">
        <v>3379</v>
      </c>
      <c r="C176" s="112" t="s">
        <v>1590</v>
      </c>
      <c r="D176" s="112" t="s">
        <v>3380</v>
      </c>
      <c r="E176" s="112" t="s">
        <v>1385</v>
      </c>
      <c r="F176" s="112" t="s">
        <v>853</v>
      </c>
      <c r="G176" s="112">
        <v>226.3983393</v>
      </c>
      <c r="H176" s="112">
        <v>2210</v>
      </c>
      <c r="I176" s="112">
        <v>3451</v>
      </c>
      <c r="J176" s="112">
        <v>159.9</v>
      </c>
      <c r="K176" s="112" t="s">
        <v>3381</v>
      </c>
      <c r="L176" s="112" t="s">
        <v>3382</v>
      </c>
      <c r="M176" s="112" t="s">
        <v>3318</v>
      </c>
      <c r="N176" s="112" t="s">
        <v>3383</v>
      </c>
      <c r="Q176" s="112"/>
    </row>
    <row r="177" spans="1:17">
      <c r="A177" s="112" t="s">
        <v>3384</v>
      </c>
      <c r="B177" s="112" t="s">
        <v>3385</v>
      </c>
      <c r="C177" s="112" t="s">
        <v>1592</v>
      </c>
      <c r="D177" s="112" t="s">
        <v>3380</v>
      </c>
      <c r="E177" s="112" t="s">
        <v>1385</v>
      </c>
      <c r="F177" s="112" t="s">
        <v>853</v>
      </c>
      <c r="G177" s="112">
        <v>226.3983393</v>
      </c>
      <c r="H177" s="112">
        <v>3435</v>
      </c>
      <c r="I177" s="112">
        <v>4211</v>
      </c>
      <c r="J177" s="112">
        <v>75.8</v>
      </c>
      <c r="K177" s="112" t="s">
        <v>3386</v>
      </c>
      <c r="L177" s="112" t="s">
        <v>3387</v>
      </c>
      <c r="M177" s="112" t="s">
        <v>3306</v>
      </c>
      <c r="N177" s="112" t="s">
        <v>3388</v>
      </c>
      <c r="Q177" s="112"/>
    </row>
    <row r="178" spans="1:17">
      <c r="A178" s="112" t="s">
        <v>3389</v>
      </c>
      <c r="B178" s="112" t="s">
        <v>3390</v>
      </c>
      <c r="C178" s="112" t="s">
        <v>1593</v>
      </c>
      <c r="D178" s="112" t="s">
        <v>3380</v>
      </c>
      <c r="E178" s="112" t="s">
        <v>1385</v>
      </c>
      <c r="F178" s="112" t="s">
        <v>853</v>
      </c>
      <c r="G178" s="112">
        <v>226.3983393</v>
      </c>
      <c r="H178" s="112">
        <v>4208</v>
      </c>
      <c r="I178" s="112">
        <v>5086</v>
      </c>
      <c r="J178" s="112">
        <v>96.7</v>
      </c>
      <c r="K178" s="112" t="s">
        <v>3391</v>
      </c>
      <c r="L178" s="112" t="s">
        <v>3392</v>
      </c>
      <c r="M178" s="112" t="s">
        <v>3393</v>
      </c>
      <c r="N178" s="112" t="s">
        <v>3394</v>
      </c>
      <c r="Q178" s="112"/>
    </row>
    <row r="179" spans="1:17">
      <c r="A179" s="112" t="s">
        <v>3395</v>
      </c>
      <c r="B179" s="112" t="s">
        <v>3396</v>
      </c>
      <c r="C179" s="112" t="s">
        <v>1594</v>
      </c>
      <c r="D179" s="112" t="s">
        <v>3380</v>
      </c>
      <c r="E179" s="112" t="s">
        <v>1385</v>
      </c>
      <c r="F179" s="112" t="s">
        <v>853</v>
      </c>
      <c r="G179" s="112">
        <v>226.3983393</v>
      </c>
      <c r="H179" s="112">
        <v>5055</v>
      </c>
      <c r="I179" s="112">
        <v>6122</v>
      </c>
      <c r="J179" s="112">
        <v>110.7</v>
      </c>
      <c r="K179" s="112" t="s">
        <v>3397</v>
      </c>
      <c r="L179" s="112" t="s">
        <v>3398</v>
      </c>
      <c r="M179" s="112" t="s">
        <v>3399</v>
      </c>
      <c r="N179" s="112" t="s">
        <v>3400</v>
      </c>
      <c r="Q179" s="112"/>
    </row>
    <row r="180" spans="1:17">
      <c r="A180" s="112" t="s">
        <v>3378</v>
      </c>
      <c r="B180" s="112" t="s">
        <v>3379</v>
      </c>
      <c r="C180" s="112" t="s">
        <v>1590</v>
      </c>
      <c r="D180" s="112" t="s">
        <v>3380</v>
      </c>
      <c r="E180" s="112" t="s">
        <v>1385</v>
      </c>
      <c r="F180" s="112" t="s">
        <v>917</v>
      </c>
      <c r="G180" s="112">
        <v>232.34200609999999</v>
      </c>
      <c r="H180" s="112">
        <v>2210</v>
      </c>
      <c r="I180" s="112">
        <v>3451</v>
      </c>
      <c r="J180" s="112">
        <v>159.9</v>
      </c>
      <c r="K180" s="112" t="s">
        <v>3381</v>
      </c>
      <c r="L180" s="112" t="s">
        <v>3382</v>
      </c>
      <c r="M180" s="112" t="s">
        <v>3318</v>
      </c>
      <c r="N180" s="112" t="s">
        <v>3383</v>
      </c>
      <c r="Q180" s="112"/>
    </row>
    <row r="181" spans="1:17">
      <c r="A181" s="112" t="s">
        <v>3384</v>
      </c>
      <c r="B181" s="112" t="s">
        <v>3385</v>
      </c>
      <c r="C181" s="112" t="s">
        <v>1592</v>
      </c>
      <c r="D181" s="112" t="s">
        <v>3380</v>
      </c>
      <c r="E181" s="112" t="s">
        <v>1385</v>
      </c>
      <c r="F181" s="112" t="s">
        <v>917</v>
      </c>
      <c r="G181" s="112">
        <v>232.34200609999999</v>
      </c>
      <c r="H181" s="112">
        <v>3435</v>
      </c>
      <c r="I181" s="112">
        <v>4211</v>
      </c>
      <c r="J181" s="112">
        <v>75.8</v>
      </c>
      <c r="K181" s="112" t="s">
        <v>3386</v>
      </c>
      <c r="L181" s="112" t="s">
        <v>3387</v>
      </c>
      <c r="M181" s="112" t="s">
        <v>3306</v>
      </c>
      <c r="N181" s="112" t="s">
        <v>3388</v>
      </c>
      <c r="Q181" s="112"/>
    </row>
    <row r="182" spans="1:17">
      <c r="A182" s="112" t="s">
        <v>3389</v>
      </c>
      <c r="B182" s="112" t="s">
        <v>3390</v>
      </c>
      <c r="C182" s="112" t="s">
        <v>1593</v>
      </c>
      <c r="D182" s="112" t="s">
        <v>3380</v>
      </c>
      <c r="E182" s="112" t="s">
        <v>1385</v>
      </c>
      <c r="F182" s="112" t="s">
        <v>917</v>
      </c>
      <c r="G182" s="112">
        <v>232.34200609999999</v>
      </c>
      <c r="H182" s="112">
        <v>4208</v>
      </c>
      <c r="I182" s="112">
        <v>5086</v>
      </c>
      <c r="J182" s="112">
        <v>96.7</v>
      </c>
      <c r="K182" s="112" t="s">
        <v>3391</v>
      </c>
      <c r="L182" s="112" t="s">
        <v>3392</v>
      </c>
      <c r="M182" s="112" t="s">
        <v>3393</v>
      </c>
      <c r="N182" s="112" t="s">
        <v>3394</v>
      </c>
      <c r="Q182" s="112"/>
    </row>
    <row r="183" spans="1:17">
      <c r="A183" s="112" t="s">
        <v>3395</v>
      </c>
      <c r="B183" s="112" t="s">
        <v>3396</v>
      </c>
      <c r="C183" s="112" t="s">
        <v>1594</v>
      </c>
      <c r="D183" s="112" t="s">
        <v>3380</v>
      </c>
      <c r="E183" s="112" t="s">
        <v>1385</v>
      </c>
      <c r="F183" s="112" t="s">
        <v>917</v>
      </c>
      <c r="G183" s="112">
        <v>232.34200609999999</v>
      </c>
      <c r="H183" s="112">
        <v>5055</v>
      </c>
      <c r="I183" s="112">
        <v>6122</v>
      </c>
      <c r="J183" s="112">
        <v>110.7</v>
      </c>
      <c r="K183" s="112" t="s">
        <v>3397</v>
      </c>
      <c r="L183" s="112" t="s">
        <v>3398</v>
      </c>
      <c r="M183" s="112" t="s">
        <v>3399</v>
      </c>
      <c r="N183" s="112" t="s">
        <v>3400</v>
      </c>
      <c r="Q183" s="112"/>
    </row>
    <row r="184" spans="1:17">
      <c r="A184" s="112" t="s">
        <v>3360</v>
      </c>
      <c r="B184" s="112" t="s">
        <v>3277</v>
      </c>
      <c r="C184" s="112" t="s">
        <v>2390</v>
      </c>
      <c r="D184" s="112" t="s">
        <v>3361</v>
      </c>
      <c r="E184" s="112" t="s">
        <v>1385</v>
      </c>
      <c r="F184" s="112" t="s">
        <v>918</v>
      </c>
      <c r="G184" s="112">
        <v>262.8418097</v>
      </c>
      <c r="H184" s="112">
        <v>1</v>
      </c>
      <c r="I184" s="112">
        <v>1671</v>
      </c>
      <c r="J184" s="112">
        <v>216.3</v>
      </c>
      <c r="K184" s="112" t="s">
        <v>3358</v>
      </c>
      <c r="L184" s="112" t="s">
        <v>3281</v>
      </c>
      <c r="M184" s="112" t="s">
        <v>3362</v>
      </c>
      <c r="N184" s="112" t="s">
        <v>3283</v>
      </c>
      <c r="Q184" s="112"/>
    </row>
    <row r="185" spans="1:17">
      <c r="A185" s="112" t="s">
        <v>3356</v>
      </c>
      <c r="B185" s="112" t="s">
        <v>3323</v>
      </c>
      <c r="C185" s="112" t="s">
        <v>2296</v>
      </c>
      <c r="D185" s="112" t="s">
        <v>3357</v>
      </c>
      <c r="E185" s="112" t="s">
        <v>1385</v>
      </c>
      <c r="F185" s="112" t="s">
        <v>3289</v>
      </c>
      <c r="G185" s="112">
        <v>273.3657005</v>
      </c>
      <c r="H185" s="112">
        <v>2</v>
      </c>
      <c r="I185" s="112">
        <v>127</v>
      </c>
      <c r="J185" s="112">
        <v>11.4</v>
      </c>
      <c r="K185" s="112" t="s">
        <v>3358</v>
      </c>
      <c r="L185" s="112" t="s">
        <v>3325</v>
      </c>
      <c r="M185" s="112" t="s">
        <v>3318</v>
      </c>
      <c r="N185" s="112" t="s">
        <v>3327</v>
      </c>
      <c r="Q185" s="112"/>
    </row>
    <row r="186" spans="1:17">
      <c r="A186" s="112" t="s">
        <v>3363</v>
      </c>
      <c r="B186" s="112" t="s">
        <v>3364</v>
      </c>
      <c r="C186" s="112" t="s">
        <v>3365</v>
      </c>
      <c r="D186" s="112" t="s">
        <v>3366</v>
      </c>
      <c r="E186" s="112" t="s">
        <v>1385</v>
      </c>
      <c r="F186" s="112" t="s">
        <v>3405</v>
      </c>
      <c r="G186" s="112">
        <v>290.93601860000001</v>
      </c>
      <c r="H186" s="112">
        <v>1929</v>
      </c>
      <c r="I186" s="112">
        <v>2918</v>
      </c>
      <c r="J186" s="112">
        <v>130.1</v>
      </c>
      <c r="K186" s="112" t="s">
        <v>3368</v>
      </c>
      <c r="L186" s="112" t="s">
        <v>3369</v>
      </c>
      <c r="M186" s="112" t="s">
        <v>3370</v>
      </c>
      <c r="N186" s="112" t="s">
        <v>3371</v>
      </c>
      <c r="Q186" s="112"/>
    </row>
    <row r="187" spans="1:17">
      <c r="A187" s="112" t="s">
        <v>3372</v>
      </c>
      <c r="B187" s="112" t="s">
        <v>3373</v>
      </c>
      <c r="C187" s="112" t="s">
        <v>2777</v>
      </c>
      <c r="D187" s="112" t="s">
        <v>3366</v>
      </c>
      <c r="E187" s="112" t="s">
        <v>1385</v>
      </c>
      <c r="F187" s="112" t="s">
        <v>3405</v>
      </c>
      <c r="G187" s="112">
        <v>290.93601860000001</v>
      </c>
      <c r="H187" s="112">
        <v>3673</v>
      </c>
      <c r="I187" s="112">
        <v>4317</v>
      </c>
      <c r="J187" s="112">
        <v>35.270000000000003</v>
      </c>
      <c r="K187" s="112" t="s">
        <v>3374</v>
      </c>
      <c r="L187" s="112" t="s">
        <v>3375</v>
      </c>
      <c r="M187" s="112" t="s">
        <v>3376</v>
      </c>
      <c r="N187" s="112" t="s">
        <v>3377</v>
      </c>
      <c r="Q187" s="112"/>
    </row>
    <row r="188" spans="1:17">
      <c r="A188" s="112" t="s">
        <v>3363</v>
      </c>
      <c r="B188" s="112" t="s">
        <v>3364</v>
      </c>
      <c r="C188" s="112" t="s">
        <v>3365</v>
      </c>
      <c r="D188" s="112" t="s">
        <v>3366</v>
      </c>
      <c r="E188" s="112" t="s">
        <v>1385</v>
      </c>
      <c r="F188" s="112" t="s">
        <v>3406</v>
      </c>
      <c r="G188" s="112">
        <v>341.8593194</v>
      </c>
      <c r="H188" s="112">
        <v>1929</v>
      </c>
      <c r="I188" s="112">
        <v>2918</v>
      </c>
      <c r="J188" s="112">
        <v>130.1</v>
      </c>
      <c r="K188" s="112" t="s">
        <v>3368</v>
      </c>
      <c r="L188" s="112" t="s">
        <v>3369</v>
      </c>
      <c r="M188" s="112" t="s">
        <v>3370</v>
      </c>
      <c r="N188" s="112" t="s">
        <v>3371</v>
      </c>
      <c r="Q188" s="112"/>
    </row>
    <row r="189" spans="1:17">
      <c r="A189" s="112" t="s">
        <v>3372</v>
      </c>
      <c r="B189" s="112" t="s">
        <v>3373</v>
      </c>
      <c r="C189" s="112" t="s">
        <v>2777</v>
      </c>
      <c r="D189" s="112" t="s">
        <v>3366</v>
      </c>
      <c r="E189" s="112" t="s">
        <v>1385</v>
      </c>
      <c r="F189" s="112" t="s">
        <v>3406</v>
      </c>
      <c r="G189" s="112">
        <v>341.8593194</v>
      </c>
      <c r="H189" s="112">
        <v>3673</v>
      </c>
      <c r="I189" s="112">
        <v>4317</v>
      </c>
      <c r="J189" s="112">
        <v>35.270000000000003</v>
      </c>
      <c r="K189" s="112" t="s">
        <v>3374</v>
      </c>
      <c r="L189" s="112" t="s">
        <v>3375</v>
      </c>
      <c r="M189" s="112" t="s">
        <v>3376</v>
      </c>
      <c r="N189" s="112" t="s">
        <v>3377</v>
      </c>
      <c r="Q189" s="112"/>
    </row>
    <row r="190" spans="1:17">
      <c r="A190" s="112" t="s">
        <v>3356</v>
      </c>
      <c r="B190" s="112" t="s">
        <v>3323</v>
      </c>
      <c r="C190" s="112" t="s">
        <v>2296</v>
      </c>
      <c r="D190" s="112" t="s">
        <v>3357</v>
      </c>
      <c r="E190" s="112" t="s">
        <v>1385</v>
      </c>
      <c r="F190" s="112" t="s">
        <v>918</v>
      </c>
      <c r="G190" s="112">
        <v>352.6738206</v>
      </c>
      <c r="H190" s="112">
        <v>2</v>
      </c>
      <c r="I190" s="112">
        <v>127</v>
      </c>
      <c r="J190" s="112">
        <v>11.4</v>
      </c>
      <c r="K190" s="112" t="s">
        <v>3358</v>
      </c>
      <c r="L190" s="112" t="s">
        <v>3325</v>
      </c>
      <c r="M190" s="112" t="s">
        <v>3318</v>
      </c>
      <c r="N190" s="112" t="s">
        <v>3327</v>
      </c>
      <c r="Q190" s="112"/>
    </row>
    <row r="191" spans="1:17">
      <c r="A191" s="112" t="s">
        <v>3356</v>
      </c>
      <c r="B191" s="112" t="s">
        <v>3323</v>
      </c>
      <c r="C191" s="112" t="s">
        <v>2296</v>
      </c>
      <c r="D191" s="112" t="s">
        <v>3357</v>
      </c>
      <c r="E191" s="112" t="s">
        <v>1385</v>
      </c>
      <c r="F191" s="112" t="s">
        <v>3407</v>
      </c>
      <c r="G191" s="112">
        <v>374.99011560000002</v>
      </c>
      <c r="H191" s="112">
        <v>2</v>
      </c>
      <c r="I191" s="112">
        <v>127</v>
      </c>
      <c r="J191" s="112">
        <v>11.4</v>
      </c>
      <c r="K191" s="112" t="s">
        <v>3358</v>
      </c>
      <c r="L191" s="112" t="s">
        <v>3325</v>
      </c>
      <c r="M191" s="112" t="s">
        <v>3318</v>
      </c>
      <c r="N191" s="112" t="s">
        <v>3327</v>
      </c>
      <c r="Q191" s="112"/>
    </row>
    <row r="192" spans="1:17">
      <c r="A192" s="112" t="s">
        <v>3360</v>
      </c>
      <c r="B192" s="112" t="s">
        <v>3277</v>
      </c>
      <c r="C192" s="112" t="s">
        <v>2390</v>
      </c>
      <c r="D192" s="112" t="s">
        <v>3361</v>
      </c>
      <c r="E192" s="112" t="s">
        <v>1385</v>
      </c>
      <c r="F192" s="112" t="s">
        <v>917</v>
      </c>
      <c r="G192" s="112">
        <v>406.59851070000002</v>
      </c>
      <c r="H192" s="112">
        <v>1</v>
      </c>
      <c r="I192" s="112">
        <v>1671</v>
      </c>
      <c r="J192" s="112">
        <v>216.3</v>
      </c>
      <c r="K192" s="112" t="s">
        <v>3358</v>
      </c>
      <c r="L192" s="112" t="s">
        <v>3281</v>
      </c>
      <c r="M192" s="112" t="s">
        <v>3362</v>
      </c>
      <c r="N192" s="112" t="s">
        <v>3283</v>
      </c>
      <c r="Q192" s="112"/>
    </row>
    <row r="193" spans="1:17">
      <c r="A193" s="112" t="s">
        <v>3378</v>
      </c>
      <c r="B193" s="112" t="s">
        <v>3379</v>
      </c>
      <c r="C193" s="112" t="s">
        <v>1590</v>
      </c>
      <c r="D193" s="112" t="s">
        <v>3380</v>
      </c>
      <c r="E193" s="112" t="s">
        <v>1385</v>
      </c>
      <c r="F193" s="112" t="s">
        <v>3288</v>
      </c>
      <c r="G193" s="112">
        <v>469.14811789999999</v>
      </c>
      <c r="H193" s="112">
        <v>2210</v>
      </c>
      <c r="I193" s="112">
        <v>3451</v>
      </c>
      <c r="J193" s="112">
        <v>159.9</v>
      </c>
      <c r="K193" s="112" t="s">
        <v>3381</v>
      </c>
      <c r="L193" s="112" t="s">
        <v>3382</v>
      </c>
      <c r="M193" s="112" t="s">
        <v>3318</v>
      </c>
      <c r="N193" s="112" t="s">
        <v>3383</v>
      </c>
      <c r="Q193" s="112"/>
    </row>
    <row r="194" spans="1:17">
      <c r="A194" s="112" t="s">
        <v>3384</v>
      </c>
      <c r="B194" s="112" t="s">
        <v>3385</v>
      </c>
      <c r="C194" s="112" t="s">
        <v>1592</v>
      </c>
      <c r="D194" s="112" t="s">
        <v>3380</v>
      </c>
      <c r="E194" s="112" t="s">
        <v>1385</v>
      </c>
      <c r="F194" s="112" t="s">
        <v>3288</v>
      </c>
      <c r="G194" s="112">
        <v>469.14811789999999</v>
      </c>
      <c r="H194" s="112">
        <v>3435</v>
      </c>
      <c r="I194" s="112">
        <v>4211</v>
      </c>
      <c r="J194" s="112">
        <v>75.8</v>
      </c>
      <c r="K194" s="112" t="s">
        <v>3386</v>
      </c>
      <c r="L194" s="112" t="s">
        <v>3387</v>
      </c>
      <c r="M194" s="112" t="s">
        <v>3306</v>
      </c>
      <c r="N194" s="112" t="s">
        <v>3388</v>
      </c>
      <c r="Q194" s="112"/>
    </row>
    <row r="195" spans="1:17">
      <c r="A195" s="112" t="s">
        <v>3389</v>
      </c>
      <c r="B195" s="112" t="s">
        <v>3390</v>
      </c>
      <c r="C195" s="112" t="s">
        <v>1593</v>
      </c>
      <c r="D195" s="112" t="s">
        <v>3380</v>
      </c>
      <c r="E195" s="112" t="s">
        <v>1385</v>
      </c>
      <c r="F195" s="112" t="s">
        <v>3288</v>
      </c>
      <c r="G195" s="112">
        <v>469.14811789999999</v>
      </c>
      <c r="H195" s="112">
        <v>4208</v>
      </c>
      <c r="I195" s="112">
        <v>5086</v>
      </c>
      <c r="J195" s="112">
        <v>96.7</v>
      </c>
      <c r="K195" s="112" t="s">
        <v>3391</v>
      </c>
      <c r="L195" s="112" t="s">
        <v>3392</v>
      </c>
      <c r="M195" s="112" t="s">
        <v>3393</v>
      </c>
      <c r="N195" s="112" t="s">
        <v>3394</v>
      </c>
      <c r="Q195" s="112"/>
    </row>
    <row r="196" spans="1:17">
      <c r="A196" s="112" t="s">
        <v>3395</v>
      </c>
      <c r="B196" s="112" t="s">
        <v>3396</v>
      </c>
      <c r="C196" s="112" t="s">
        <v>1594</v>
      </c>
      <c r="D196" s="112" t="s">
        <v>3380</v>
      </c>
      <c r="E196" s="112" t="s">
        <v>1385</v>
      </c>
      <c r="F196" s="112" t="s">
        <v>3288</v>
      </c>
      <c r="G196" s="112">
        <v>469.14811789999999</v>
      </c>
      <c r="H196" s="112">
        <v>5055</v>
      </c>
      <c r="I196" s="112">
        <v>6122</v>
      </c>
      <c r="J196" s="112">
        <v>110.7</v>
      </c>
      <c r="K196" s="112" t="s">
        <v>3397</v>
      </c>
      <c r="L196" s="112" t="s">
        <v>3398</v>
      </c>
      <c r="M196" s="112" t="s">
        <v>3399</v>
      </c>
      <c r="N196" s="112" t="s">
        <v>3400</v>
      </c>
      <c r="Q196" s="112"/>
    </row>
    <row r="197" spans="1:17">
      <c r="A197" s="112" t="s">
        <v>3363</v>
      </c>
      <c r="B197" s="112" t="s">
        <v>3364</v>
      </c>
      <c r="C197" s="112" t="s">
        <v>3365</v>
      </c>
      <c r="D197" s="112" t="s">
        <v>3366</v>
      </c>
      <c r="E197" s="112" t="s">
        <v>1385</v>
      </c>
      <c r="F197" s="112" t="s">
        <v>3343</v>
      </c>
      <c r="G197" s="112">
        <v>486.93697459999999</v>
      </c>
      <c r="H197" s="112">
        <v>1929</v>
      </c>
      <c r="I197" s="112">
        <v>2918</v>
      </c>
      <c r="J197" s="112">
        <v>130.1</v>
      </c>
      <c r="K197" s="112" t="s">
        <v>3368</v>
      </c>
      <c r="L197" s="112" t="s">
        <v>3369</v>
      </c>
      <c r="M197" s="112" t="s">
        <v>3370</v>
      </c>
      <c r="N197" s="112" t="s">
        <v>3371</v>
      </c>
      <c r="Q197" s="112"/>
    </row>
    <row r="198" spans="1:17">
      <c r="A198" s="112" t="s">
        <v>3372</v>
      </c>
      <c r="B198" s="112" t="s">
        <v>3373</v>
      </c>
      <c r="C198" s="112" t="s">
        <v>2777</v>
      </c>
      <c r="D198" s="112" t="s">
        <v>3366</v>
      </c>
      <c r="E198" s="112" t="s">
        <v>1385</v>
      </c>
      <c r="F198" s="112" t="s">
        <v>3343</v>
      </c>
      <c r="G198" s="112">
        <v>486.93697459999999</v>
      </c>
      <c r="H198" s="112">
        <v>3673</v>
      </c>
      <c r="I198" s="112">
        <v>4317</v>
      </c>
      <c r="J198" s="112">
        <v>35.270000000000003</v>
      </c>
      <c r="K198" s="112" t="s">
        <v>3374</v>
      </c>
      <c r="L198" s="112" t="s">
        <v>3375</v>
      </c>
      <c r="M198" s="112" t="s">
        <v>3376</v>
      </c>
      <c r="N198" s="112" t="s">
        <v>3377</v>
      </c>
      <c r="Q198" s="112"/>
    </row>
    <row r="199" spans="1:17">
      <c r="A199" s="112" t="s">
        <v>3378</v>
      </c>
      <c r="B199" s="112" t="s">
        <v>3379</v>
      </c>
      <c r="C199" s="112" t="s">
        <v>1590</v>
      </c>
      <c r="D199" s="112" t="s">
        <v>3380</v>
      </c>
      <c r="E199" s="112" t="s">
        <v>1385</v>
      </c>
      <c r="F199" s="112" t="s">
        <v>3407</v>
      </c>
      <c r="G199" s="112">
        <v>513.14436869999997</v>
      </c>
      <c r="H199" s="112">
        <v>2210</v>
      </c>
      <c r="I199" s="112">
        <v>3451</v>
      </c>
      <c r="J199" s="112">
        <v>159.9</v>
      </c>
      <c r="K199" s="112" t="s">
        <v>3381</v>
      </c>
      <c r="L199" s="112" t="s">
        <v>3382</v>
      </c>
      <c r="M199" s="112" t="s">
        <v>3318</v>
      </c>
      <c r="N199" s="112" t="s">
        <v>3383</v>
      </c>
      <c r="Q199" s="112"/>
    </row>
    <row r="200" spans="1:17">
      <c r="A200" s="112" t="s">
        <v>3384</v>
      </c>
      <c r="B200" s="112" t="s">
        <v>3385</v>
      </c>
      <c r="C200" s="112" t="s">
        <v>1592</v>
      </c>
      <c r="D200" s="112" t="s">
        <v>3380</v>
      </c>
      <c r="E200" s="112" t="s">
        <v>1385</v>
      </c>
      <c r="F200" s="112" t="s">
        <v>3407</v>
      </c>
      <c r="G200" s="112">
        <v>513.14436869999997</v>
      </c>
      <c r="H200" s="112">
        <v>3435</v>
      </c>
      <c r="I200" s="112">
        <v>4211</v>
      </c>
      <c r="J200" s="112">
        <v>75.8</v>
      </c>
      <c r="K200" s="112" t="s">
        <v>3386</v>
      </c>
      <c r="L200" s="112" t="s">
        <v>3387</v>
      </c>
      <c r="M200" s="112" t="s">
        <v>3306</v>
      </c>
      <c r="N200" s="112" t="s">
        <v>3388</v>
      </c>
      <c r="Q200" s="112"/>
    </row>
    <row r="201" spans="1:17">
      <c r="A201" s="112" t="s">
        <v>3389</v>
      </c>
      <c r="B201" s="112" t="s">
        <v>3390</v>
      </c>
      <c r="C201" s="112" t="s">
        <v>1593</v>
      </c>
      <c r="D201" s="112" t="s">
        <v>3380</v>
      </c>
      <c r="E201" s="112" t="s">
        <v>1385</v>
      </c>
      <c r="F201" s="112" t="s">
        <v>3407</v>
      </c>
      <c r="G201" s="112">
        <v>513.14436869999997</v>
      </c>
      <c r="H201" s="112">
        <v>4208</v>
      </c>
      <c r="I201" s="112">
        <v>5086</v>
      </c>
      <c r="J201" s="112">
        <v>96.7</v>
      </c>
      <c r="K201" s="112" t="s">
        <v>3391</v>
      </c>
      <c r="L201" s="112" t="s">
        <v>3392</v>
      </c>
      <c r="M201" s="112" t="s">
        <v>3393</v>
      </c>
      <c r="N201" s="112" t="s">
        <v>3394</v>
      </c>
      <c r="Q201" s="112"/>
    </row>
    <row r="202" spans="1:17">
      <c r="A202" s="112" t="s">
        <v>3395</v>
      </c>
      <c r="B202" s="112" t="s">
        <v>3396</v>
      </c>
      <c r="C202" s="112" t="s">
        <v>1594</v>
      </c>
      <c r="D202" s="112" t="s">
        <v>3380</v>
      </c>
      <c r="E202" s="112" t="s">
        <v>1385</v>
      </c>
      <c r="F202" s="112" t="s">
        <v>3407</v>
      </c>
      <c r="G202" s="112">
        <v>513.14436869999997</v>
      </c>
      <c r="H202" s="112">
        <v>5055</v>
      </c>
      <c r="I202" s="112">
        <v>6122</v>
      </c>
      <c r="J202" s="112">
        <v>110.7</v>
      </c>
      <c r="K202" s="112" t="s">
        <v>3397</v>
      </c>
      <c r="L202" s="112" t="s">
        <v>3398</v>
      </c>
      <c r="M202" s="112" t="s">
        <v>3399</v>
      </c>
      <c r="N202" s="112" t="s">
        <v>3400</v>
      </c>
      <c r="Q202" s="112"/>
    </row>
    <row r="203" spans="1:17">
      <c r="A203" s="112" t="s">
        <v>3378</v>
      </c>
      <c r="B203" s="112" t="s">
        <v>3379</v>
      </c>
      <c r="C203" s="112" t="s">
        <v>1590</v>
      </c>
      <c r="D203" s="112" t="s">
        <v>3380</v>
      </c>
      <c r="E203" s="112" t="s">
        <v>1385</v>
      </c>
      <c r="F203" s="112" t="s">
        <v>3402</v>
      </c>
      <c r="G203" s="112">
        <v>520.28043339999999</v>
      </c>
      <c r="H203" s="112">
        <v>2210</v>
      </c>
      <c r="I203" s="112">
        <v>3451</v>
      </c>
      <c r="J203" s="112">
        <v>159.9</v>
      </c>
      <c r="K203" s="112" t="s">
        <v>3381</v>
      </c>
      <c r="L203" s="112" t="s">
        <v>3382</v>
      </c>
      <c r="M203" s="112" t="s">
        <v>3318</v>
      </c>
      <c r="N203" s="112" t="s">
        <v>3383</v>
      </c>
      <c r="Q203" s="112"/>
    </row>
    <row r="204" spans="1:17">
      <c r="A204" s="112" t="s">
        <v>3384</v>
      </c>
      <c r="B204" s="112" t="s">
        <v>3385</v>
      </c>
      <c r="C204" s="112" t="s">
        <v>1592</v>
      </c>
      <c r="D204" s="112" t="s">
        <v>3380</v>
      </c>
      <c r="E204" s="112" t="s">
        <v>1385</v>
      </c>
      <c r="F204" s="112" t="s">
        <v>3402</v>
      </c>
      <c r="G204" s="112">
        <v>520.28043339999999</v>
      </c>
      <c r="H204" s="112">
        <v>3435</v>
      </c>
      <c r="I204" s="112">
        <v>4211</v>
      </c>
      <c r="J204" s="112">
        <v>75.8</v>
      </c>
      <c r="K204" s="112" t="s">
        <v>3386</v>
      </c>
      <c r="L204" s="112" t="s">
        <v>3387</v>
      </c>
      <c r="M204" s="112" t="s">
        <v>3306</v>
      </c>
      <c r="N204" s="112" t="s">
        <v>3388</v>
      </c>
      <c r="Q204" s="112"/>
    </row>
    <row r="205" spans="1:17">
      <c r="A205" s="112" t="s">
        <v>3389</v>
      </c>
      <c r="B205" s="112" t="s">
        <v>3390</v>
      </c>
      <c r="C205" s="112" t="s">
        <v>1593</v>
      </c>
      <c r="D205" s="112" t="s">
        <v>3380</v>
      </c>
      <c r="E205" s="112" t="s">
        <v>1385</v>
      </c>
      <c r="F205" s="112" t="s">
        <v>3402</v>
      </c>
      <c r="G205" s="112">
        <v>520.28043339999999</v>
      </c>
      <c r="H205" s="112">
        <v>4208</v>
      </c>
      <c r="I205" s="112">
        <v>5086</v>
      </c>
      <c r="J205" s="112">
        <v>96.7</v>
      </c>
      <c r="K205" s="112" t="s">
        <v>3391</v>
      </c>
      <c r="L205" s="112" t="s">
        <v>3392</v>
      </c>
      <c r="M205" s="112" t="s">
        <v>3393</v>
      </c>
      <c r="N205" s="112" t="s">
        <v>3394</v>
      </c>
      <c r="Q205" s="112"/>
    </row>
    <row r="206" spans="1:17">
      <c r="A206" s="112" t="s">
        <v>3395</v>
      </c>
      <c r="B206" s="112" t="s">
        <v>3396</v>
      </c>
      <c r="C206" s="112" t="s">
        <v>1594</v>
      </c>
      <c r="D206" s="112" t="s">
        <v>3380</v>
      </c>
      <c r="E206" s="112" t="s">
        <v>1385</v>
      </c>
      <c r="F206" s="112" t="s">
        <v>3402</v>
      </c>
      <c r="G206" s="112">
        <v>520.28043339999999</v>
      </c>
      <c r="H206" s="112">
        <v>5055</v>
      </c>
      <c r="I206" s="112">
        <v>6122</v>
      </c>
      <c r="J206" s="112">
        <v>110.7</v>
      </c>
      <c r="K206" s="112" t="s">
        <v>3397</v>
      </c>
      <c r="L206" s="112" t="s">
        <v>3398</v>
      </c>
      <c r="M206" s="112" t="s">
        <v>3399</v>
      </c>
      <c r="N206" s="112" t="s">
        <v>3400</v>
      </c>
      <c r="Q206" s="112"/>
    </row>
    <row r="207" spans="1:17">
      <c r="A207" s="112" t="s">
        <v>3356</v>
      </c>
      <c r="B207" s="112" t="s">
        <v>3323</v>
      </c>
      <c r="C207" s="112" t="s">
        <v>2296</v>
      </c>
      <c r="D207" s="112" t="s">
        <v>3357</v>
      </c>
      <c r="E207" s="112" t="s">
        <v>1385</v>
      </c>
      <c r="F207" s="112" t="s">
        <v>3403</v>
      </c>
      <c r="G207" s="112">
        <v>527.84374949999994</v>
      </c>
      <c r="H207" s="112">
        <v>2</v>
      </c>
      <c r="I207" s="112">
        <v>127</v>
      </c>
      <c r="J207" s="112">
        <v>11.4</v>
      </c>
      <c r="K207" s="112" t="s">
        <v>3358</v>
      </c>
      <c r="L207" s="112" t="s">
        <v>3325</v>
      </c>
      <c r="M207" s="112" t="s">
        <v>3318</v>
      </c>
      <c r="N207" s="112" t="s">
        <v>3327</v>
      </c>
      <c r="Q207" s="112"/>
    </row>
    <row r="208" spans="1:17">
      <c r="A208" s="112" t="s">
        <v>3378</v>
      </c>
      <c r="B208" s="112" t="s">
        <v>3379</v>
      </c>
      <c r="C208" s="112" t="s">
        <v>1590</v>
      </c>
      <c r="D208" s="112" t="s">
        <v>3380</v>
      </c>
      <c r="E208" s="112" t="s">
        <v>1385</v>
      </c>
      <c r="F208" s="112" t="s">
        <v>3289</v>
      </c>
      <c r="G208" s="112">
        <v>546.73140100000001</v>
      </c>
      <c r="H208" s="112">
        <v>2210</v>
      </c>
      <c r="I208" s="112">
        <v>3451</v>
      </c>
      <c r="J208" s="112">
        <v>159.9</v>
      </c>
      <c r="K208" s="112" t="s">
        <v>3381</v>
      </c>
      <c r="L208" s="112" t="s">
        <v>3382</v>
      </c>
      <c r="M208" s="112" t="s">
        <v>3318</v>
      </c>
      <c r="N208" s="112" t="s">
        <v>3383</v>
      </c>
      <c r="Q208" s="112"/>
    </row>
    <row r="209" spans="1:17">
      <c r="A209" s="112" t="s">
        <v>3384</v>
      </c>
      <c r="B209" s="112" t="s">
        <v>3385</v>
      </c>
      <c r="C209" s="112" t="s">
        <v>1592</v>
      </c>
      <c r="D209" s="112" t="s">
        <v>3380</v>
      </c>
      <c r="E209" s="112" t="s">
        <v>1385</v>
      </c>
      <c r="F209" s="112" t="s">
        <v>3289</v>
      </c>
      <c r="G209" s="112">
        <v>546.73140100000001</v>
      </c>
      <c r="H209" s="112">
        <v>3435</v>
      </c>
      <c r="I209" s="112">
        <v>4211</v>
      </c>
      <c r="J209" s="112">
        <v>75.8</v>
      </c>
      <c r="K209" s="112" t="s">
        <v>3386</v>
      </c>
      <c r="L209" s="112" t="s">
        <v>3387</v>
      </c>
      <c r="M209" s="112" t="s">
        <v>3306</v>
      </c>
      <c r="N209" s="112" t="s">
        <v>3388</v>
      </c>
      <c r="Q209" s="112"/>
    </row>
    <row r="210" spans="1:17">
      <c r="A210" s="112" t="s">
        <v>3389</v>
      </c>
      <c r="B210" s="112" t="s">
        <v>3390</v>
      </c>
      <c r="C210" s="112" t="s">
        <v>1593</v>
      </c>
      <c r="D210" s="112" t="s">
        <v>3380</v>
      </c>
      <c r="E210" s="112" t="s">
        <v>1385</v>
      </c>
      <c r="F210" s="112" t="s">
        <v>3289</v>
      </c>
      <c r="G210" s="112">
        <v>546.73140100000001</v>
      </c>
      <c r="H210" s="112">
        <v>4208</v>
      </c>
      <c r="I210" s="112">
        <v>5086</v>
      </c>
      <c r="J210" s="112">
        <v>96.7</v>
      </c>
      <c r="K210" s="112" t="s">
        <v>3391</v>
      </c>
      <c r="L210" s="112" t="s">
        <v>3392</v>
      </c>
      <c r="M210" s="112" t="s">
        <v>3393</v>
      </c>
      <c r="N210" s="112" t="s">
        <v>3394</v>
      </c>
      <c r="Q210" s="112"/>
    </row>
    <row r="211" spans="1:17">
      <c r="A211" s="112" t="s">
        <v>3395</v>
      </c>
      <c r="B211" s="112" t="s">
        <v>3396</v>
      </c>
      <c r="C211" s="112" t="s">
        <v>1594</v>
      </c>
      <c r="D211" s="112" t="s">
        <v>3380</v>
      </c>
      <c r="E211" s="112" t="s">
        <v>1385</v>
      </c>
      <c r="F211" s="112" t="s">
        <v>3289</v>
      </c>
      <c r="G211" s="112">
        <v>546.73140100000001</v>
      </c>
      <c r="H211" s="112">
        <v>5055</v>
      </c>
      <c r="I211" s="112">
        <v>6122</v>
      </c>
      <c r="J211" s="112">
        <v>110.7</v>
      </c>
      <c r="K211" s="112" t="s">
        <v>3397</v>
      </c>
      <c r="L211" s="112" t="s">
        <v>3398</v>
      </c>
      <c r="M211" s="112" t="s">
        <v>3399</v>
      </c>
      <c r="N211" s="112" t="s">
        <v>3400</v>
      </c>
      <c r="Q211" s="112"/>
    </row>
    <row r="212" spans="1:17">
      <c r="A212" s="112" t="s">
        <v>3356</v>
      </c>
      <c r="B212" s="112" t="s">
        <v>3323</v>
      </c>
      <c r="C212" s="112" t="s">
        <v>2296</v>
      </c>
      <c r="D212" s="112" t="s">
        <v>3357</v>
      </c>
      <c r="E212" s="112" t="s">
        <v>1385</v>
      </c>
      <c r="F212" s="112" t="s">
        <v>1425</v>
      </c>
      <c r="G212" s="112">
        <v>595.13181359999999</v>
      </c>
      <c r="H212" s="112">
        <v>2</v>
      </c>
      <c r="I212" s="112">
        <v>127</v>
      </c>
      <c r="J212" s="112">
        <v>11.4</v>
      </c>
      <c r="K212" s="112" t="s">
        <v>3358</v>
      </c>
      <c r="L212" s="112" t="s">
        <v>3325</v>
      </c>
      <c r="M212" s="112" t="s">
        <v>3318</v>
      </c>
      <c r="N212" s="112" t="s">
        <v>3327</v>
      </c>
      <c r="Q212" s="112"/>
    </row>
    <row r="213" spans="1:17">
      <c r="A213" s="112" t="s">
        <v>3360</v>
      </c>
      <c r="B213" s="112" t="s">
        <v>3277</v>
      </c>
      <c r="C213" s="112" t="s">
        <v>2390</v>
      </c>
      <c r="D213" s="112" t="s">
        <v>3361</v>
      </c>
      <c r="E213" s="112" t="s">
        <v>1385</v>
      </c>
      <c r="F213" s="112" t="s">
        <v>3405</v>
      </c>
      <c r="G213" s="112">
        <v>621.54513069999996</v>
      </c>
      <c r="H213" s="112">
        <v>1</v>
      </c>
      <c r="I213" s="112">
        <v>1671</v>
      </c>
      <c r="J213" s="112">
        <v>216.3</v>
      </c>
      <c r="K213" s="112" t="s">
        <v>3358</v>
      </c>
      <c r="L213" s="112" t="s">
        <v>3281</v>
      </c>
      <c r="M213" s="112" t="s">
        <v>3362</v>
      </c>
      <c r="N213" s="112" t="s">
        <v>3283</v>
      </c>
      <c r="Q213" s="112"/>
    </row>
    <row r="214" spans="1:17">
      <c r="A214" s="112" t="s">
        <v>3360</v>
      </c>
      <c r="B214" s="112" t="s">
        <v>3277</v>
      </c>
      <c r="C214" s="112" t="s">
        <v>2390</v>
      </c>
      <c r="D214" s="112" t="s">
        <v>3361</v>
      </c>
      <c r="E214" s="112" t="s">
        <v>1385</v>
      </c>
      <c r="F214" s="112" t="s">
        <v>3343</v>
      </c>
      <c r="G214" s="112">
        <v>636.76373599999999</v>
      </c>
      <c r="H214" s="112">
        <v>1</v>
      </c>
      <c r="I214" s="112">
        <v>1671</v>
      </c>
      <c r="J214" s="112">
        <v>216.3</v>
      </c>
      <c r="K214" s="112" t="s">
        <v>3358</v>
      </c>
      <c r="L214" s="112" t="s">
        <v>3281</v>
      </c>
      <c r="M214" s="112" t="s">
        <v>3362</v>
      </c>
      <c r="N214" s="112" t="s">
        <v>3283</v>
      </c>
      <c r="Q214" s="112"/>
    </row>
    <row r="215" spans="1:17">
      <c r="A215" s="112" t="s">
        <v>3360</v>
      </c>
      <c r="B215" s="112" t="s">
        <v>3277</v>
      </c>
      <c r="C215" s="112" t="s">
        <v>2390</v>
      </c>
      <c r="D215" s="112" t="s">
        <v>3361</v>
      </c>
      <c r="E215" s="112" t="s">
        <v>1385</v>
      </c>
      <c r="F215" s="112" t="s">
        <v>3406</v>
      </c>
      <c r="G215" s="112">
        <v>697.39301149999994</v>
      </c>
      <c r="H215" s="112">
        <v>1</v>
      </c>
      <c r="I215" s="112">
        <v>1671</v>
      </c>
      <c r="J215" s="112">
        <v>216.3</v>
      </c>
      <c r="K215" s="112" t="s">
        <v>3358</v>
      </c>
      <c r="L215" s="112" t="s">
        <v>3281</v>
      </c>
      <c r="M215" s="112" t="s">
        <v>3362</v>
      </c>
      <c r="N215" s="112" t="s">
        <v>3283</v>
      </c>
      <c r="Q215" s="112"/>
    </row>
    <row r="216" spans="1:17">
      <c r="A216" s="112" t="s">
        <v>3378</v>
      </c>
      <c r="B216" s="112" t="s">
        <v>3379</v>
      </c>
      <c r="C216" s="112" t="s">
        <v>1590</v>
      </c>
      <c r="D216" s="112" t="s">
        <v>3380</v>
      </c>
      <c r="E216" s="112" t="s">
        <v>1385</v>
      </c>
      <c r="F216" s="112" t="s">
        <v>3401</v>
      </c>
      <c r="G216" s="112">
        <v>777.95790609999995</v>
      </c>
      <c r="H216" s="112">
        <v>2210</v>
      </c>
      <c r="I216" s="112">
        <v>3451</v>
      </c>
      <c r="J216" s="112">
        <v>159.9</v>
      </c>
      <c r="K216" s="112" t="s">
        <v>3381</v>
      </c>
      <c r="L216" s="112" t="s">
        <v>3382</v>
      </c>
      <c r="M216" s="112" t="s">
        <v>3318</v>
      </c>
      <c r="N216" s="112" t="s">
        <v>3383</v>
      </c>
      <c r="Q216" s="112"/>
    </row>
    <row r="217" spans="1:17">
      <c r="A217" s="112" t="s">
        <v>3384</v>
      </c>
      <c r="B217" s="112" t="s">
        <v>3385</v>
      </c>
      <c r="C217" s="112" t="s">
        <v>1592</v>
      </c>
      <c r="D217" s="112" t="s">
        <v>3380</v>
      </c>
      <c r="E217" s="112" t="s">
        <v>1385</v>
      </c>
      <c r="F217" s="112" t="s">
        <v>3401</v>
      </c>
      <c r="G217" s="112">
        <v>777.95790609999995</v>
      </c>
      <c r="H217" s="112">
        <v>3435</v>
      </c>
      <c r="I217" s="112">
        <v>4211</v>
      </c>
      <c r="J217" s="112">
        <v>75.8</v>
      </c>
      <c r="K217" s="112" t="s">
        <v>3386</v>
      </c>
      <c r="L217" s="112" t="s">
        <v>3387</v>
      </c>
      <c r="M217" s="112" t="s">
        <v>3306</v>
      </c>
      <c r="N217" s="112" t="s">
        <v>3388</v>
      </c>
      <c r="Q217" s="112"/>
    </row>
    <row r="218" spans="1:17">
      <c r="A218" s="112" t="s">
        <v>3389</v>
      </c>
      <c r="B218" s="112" t="s">
        <v>3390</v>
      </c>
      <c r="C218" s="112" t="s">
        <v>1593</v>
      </c>
      <c r="D218" s="112" t="s">
        <v>3380</v>
      </c>
      <c r="E218" s="112" t="s">
        <v>1385</v>
      </c>
      <c r="F218" s="112" t="s">
        <v>3401</v>
      </c>
      <c r="G218" s="112">
        <v>777.95790609999995</v>
      </c>
      <c r="H218" s="112">
        <v>4208</v>
      </c>
      <c r="I218" s="112">
        <v>5086</v>
      </c>
      <c r="J218" s="112">
        <v>96.7</v>
      </c>
      <c r="K218" s="112" t="s">
        <v>3391</v>
      </c>
      <c r="L218" s="112" t="s">
        <v>3392</v>
      </c>
      <c r="M218" s="112" t="s">
        <v>3393</v>
      </c>
      <c r="N218" s="112" t="s">
        <v>3394</v>
      </c>
      <c r="Q218" s="112"/>
    </row>
    <row r="219" spans="1:17">
      <c r="A219" s="112" t="s">
        <v>3395</v>
      </c>
      <c r="B219" s="112" t="s">
        <v>3396</v>
      </c>
      <c r="C219" s="112" t="s">
        <v>1594</v>
      </c>
      <c r="D219" s="112" t="s">
        <v>3380</v>
      </c>
      <c r="E219" s="112" t="s">
        <v>1385</v>
      </c>
      <c r="F219" s="112" t="s">
        <v>3401</v>
      </c>
      <c r="G219" s="112">
        <v>777.95790609999995</v>
      </c>
      <c r="H219" s="112">
        <v>5055</v>
      </c>
      <c r="I219" s="112">
        <v>6122</v>
      </c>
      <c r="J219" s="112">
        <v>110.7</v>
      </c>
      <c r="K219" s="112" t="s">
        <v>3397</v>
      </c>
      <c r="L219" s="112" t="s">
        <v>3398</v>
      </c>
      <c r="M219" s="112" t="s">
        <v>3399</v>
      </c>
      <c r="N219" s="112" t="s">
        <v>3400</v>
      </c>
      <c r="Q219" s="112"/>
    </row>
    <row r="220" spans="1:17">
      <c r="A220" s="112" t="s">
        <v>3378</v>
      </c>
      <c r="B220" s="112" t="s">
        <v>3379</v>
      </c>
      <c r="C220" s="112" t="s">
        <v>1590</v>
      </c>
      <c r="D220" s="112" t="s">
        <v>3380</v>
      </c>
      <c r="E220" s="112" t="s">
        <v>1385</v>
      </c>
      <c r="F220" s="112" t="s">
        <v>1425</v>
      </c>
      <c r="G220" s="112">
        <v>892.69772039999998</v>
      </c>
      <c r="H220" s="112">
        <v>2210</v>
      </c>
      <c r="I220" s="112">
        <v>3451</v>
      </c>
      <c r="J220" s="112">
        <v>159.9</v>
      </c>
      <c r="K220" s="112" t="s">
        <v>3381</v>
      </c>
      <c r="L220" s="112" t="s">
        <v>3382</v>
      </c>
      <c r="M220" s="112" t="s">
        <v>3318</v>
      </c>
      <c r="N220" s="112" t="s">
        <v>3383</v>
      </c>
      <c r="Q220" s="112"/>
    </row>
    <row r="221" spans="1:17">
      <c r="A221" s="112" t="s">
        <v>3384</v>
      </c>
      <c r="B221" s="112" t="s">
        <v>3385</v>
      </c>
      <c r="C221" s="112" t="s">
        <v>1592</v>
      </c>
      <c r="D221" s="112" t="s">
        <v>3380</v>
      </c>
      <c r="E221" s="112" t="s">
        <v>1385</v>
      </c>
      <c r="F221" s="112" t="s">
        <v>1425</v>
      </c>
      <c r="G221" s="112">
        <v>892.69772039999998</v>
      </c>
      <c r="H221" s="112">
        <v>3435</v>
      </c>
      <c r="I221" s="112">
        <v>4211</v>
      </c>
      <c r="J221" s="112">
        <v>75.8</v>
      </c>
      <c r="K221" s="112" t="s">
        <v>3386</v>
      </c>
      <c r="L221" s="112" t="s">
        <v>3387</v>
      </c>
      <c r="M221" s="112" t="s">
        <v>3306</v>
      </c>
      <c r="N221" s="112" t="s">
        <v>3388</v>
      </c>
      <c r="Q221" s="112"/>
    </row>
    <row r="222" spans="1:17">
      <c r="A222" s="112" t="s">
        <v>3389</v>
      </c>
      <c r="B222" s="112" t="s">
        <v>3390</v>
      </c>
      <c r="C222" s="112" t="s">
        <v>1593</v>
      </c>
      <c r="D222" s="112" t="s">
        <v>3380</v>
      </c>
      <c r="E222" s="112" t="s">
        <v>1385</v>
      </c>
      <c r="F222" s="112" t="s">
        <v>1425</v>
      </c>
      <c r="G222" s="112">
        <v>892.69772039999998</v>
      </c>
      <c r="H222" s="112">
        <v>4208</v>
      </c>
      <c r="I222" s="112">
        <v>5086</v>
      </c>
      <c r="J222" s="112">
        <v>96.7</v>
      </c>
      <c r="K222" s="112" t="s">
        <v>3391</v>
      </c>
      <c r="L222" s="112" t="s">
        <v>3392</v>
      </c>
      <c r="M222" s="112" t="s">
        <v>3393</v>
      </c>
      <c r="N222" s="112" t="s">
        <v>3394</v>
      </c>
      <c r="Q222" s="112"/>
    </row>
    <row r="223" spans="1:17">
      <c r="A223" s="112" t="s">
        <v>3395</v>
      </c>
      <c r="B223" s="112" t="s">
        <v>3396</v>
      </c>
      <c r="C223" s="112" t="s">
        <v>1594</v>
      </c>
      <c r="D223" s="112" t="s">
        <v>3380</v>
      </c>
      <c r="E223" s="112" t="s">
        <v>1385</v>
      </c>
      <c r="F223" s="112" t="s">
        <v>1425</v>
      </c>
      <c r="G223" s="112">
        <v>892.69772039999998</v>
      </c>
      <c r="H223" s="112">
        <v>5055</v>
      </c>
      <c r="I223" s="112">
        <v>6122</v>
      </c>
      <c r="J223" s="112">
        <v>110.7</v>
      </c>
      <c r="K223" s="112" t="s">
        <v>3397</v>
      </c>
      <c r="L223" s="112" t="s">
        <v>3398</v>
      </c>
      <c r="M223" s="112" t="s">
        <v>3399</v>
      </c>
      <c r="N223" s="112" t="s">
        <v>3400</v>
      </c>
      <c r="Q223" s="112"/>
    </row>
    <row r="224" spans="1:17">
      <c r="A224" s="112" t="s">
        <v>3360</v>
      </c>
      <c r="B224" s="112" t="s">
        <v>3277</v>
      </c>
      <c r="C224" s="112" t="s">
        <v>2390</v>
      </c>
      <c r="D224" s="112" t="s">
        <v>3361</v>
      </c>
      <c r="E224" s="112" t="s">
        <v>1385</v>
      </c>
      <c r="F224" s="112" t="s">
        <v>3404</v>
      </c>
      <c r="G224" s="112">
        <v>900.36925840000004</v>
      </c>
      <c r="H224" s="112">
        <v>1</v>
      </c>
      <c r="I224" s="112">
        <v>1671</v>
      </c>
      <c r="J224" s="112">
        <v>216.3</v>
      </c>
      <c r="K224" s="112" t="s">
        <v>3358</v>
      </c>
      <c r="L224" s="112" t="s">
        <v>3281</v>
      </c>
      <c r="M224" s="112" t="s">
        <v>3362</v>
      </c>
      <c r="N224" s="112" t="s">
        <v>3283</v>
      </c>
      <c r="Q224" s="112"/>
    </row>
    <row r="225" spans="1:17">
      <c r="A225" s="112" t="s">
        <v>3356</v>
      </c>
      <c r="B225" s="112" t="s">
        <v>3323</v>
      </c>
      <c r="C225" s="112" t="s">
        <v>2296</v>
      </c>
      <c r="D225" s="112" t="s">
        <v>3357</v>
      </c>
      <c r="E225" s="112" t="s">
        <v>1385</v>
      </c>
      <c r="F225" s="112" t="s">
        <v>3402</v>
      </c>
      <c r="G225" s="112">
        <v>1152.298947</v>
      </c>
      <c r="H225" s="112">
        <v>2</v>
      </c>
      <c r="I225" s="112">
        <v>127</v>
      </c>
      <c r="J225" s="112">
        <v>11.4</v>
      </c>
      <c r="K225" s="112" t="s">
        <v>3358</v>
      </c>
      <c r="L225" s="112" t="s">
        <v>3325</v>
      </c>
      <c r="M225" s="112" t="s">
        <v>3318</v>
      </c>
      <c r="N225" s="112" t="s">
        <v>3327</v>
      </c>
      <c r="Q225" s="112"/>
    </row>
    <row r="226" spans="1:17">
      <c r="A226" s="112" t="s">
        <v>3378</v>
      </c>
      <c r="B226" s="112" t="s">
        <v>3379</v>
      </c>
      <c r="C226" s="112" t="s">
        <v>1590</v>
      </c>
      <c r="D226" s="112" t="s">
        <v>3380</v>
      </c>
      <c r="E226" s="112" t="s">
        <v>1385</v>
      </c>
      <c r="F226" s="112" t="s">
        <v>918</v>
      </c>
      <c r="G226" s="112">
        <v>1187.7788109999999</v>
      </c>
      <c r="H226" s="112">
        <v>2210</v>
      </c>
      <c r="I226" s="112">
        <v>3451</v>
      </c>
      <c r="J226" s="112">
        <v>159.9</v>
      </c>
      <c r="K226" s="112" t="s">
        <v>3381</v>
      </c>
      <c r="L226" s="112" t="s">
        <v>3382</v>
      </c>
      <c r="M226" s="112" t="s">
        <v>3318</v>
      </c>
      <c r="N226" s="112" t="s">
        <v>3383</v>
      </c>
      <c r="Q226" s="112"/>
    </row>
    <row r="227" spans="1:17">
      <c r="A227" s="112" t="s">
        <v>3384</v>
      </c>
      <c r="B227" s="112" t="s">
        <v>3385</v>
      </c>
      <c r="C227" s="112" t="s">
        <v>1592</v>
      </c>
      <c r="D227" s="112" t="s">
        <v>3380</v>
      </c>
      <c r="E227" s="112" t="s">
        <v>1385</v>
      </c>
      <c r="F227" s="112" t="s">
        <v>918</v>
      </c>
      <c r="G227" s="112">
        <v>1187.7788109999999</v>
      </c>
      <c r="H227" s="112">
        <v>3435</v>
      </c>
      <c r="I227" s="112">
        <v>4211</v>
      </c>
      <c r="J227" s="112">
        <v>75.8</v>
      </c>
      <c r="K227" s="112" t="s">
        <v>3386</v>
      </c>
      <c r="L227" s="112" t="s">
        <v>3387</v>
      </c>
      <c r="M227" s="112" t="s">
        <v>3306</v>
      </c>
      <c r="N227" s="112" t="s">
        <v>3388</v>
      </c>
      <c r="Q227" s="112"/>
    </row>
    <row r="228" spans="1:17">
      <c r="A228" s="112" t="s">
        <v>3389</v>
      </c>
      <c r="B228" s="112" t="s">
        <v>3390</v>
      </c>
      <c r="C228" s="112" t="s">
        <v>1593</v>
      </c>
      <c r="D228" s="112" t="s">
        <v>3380</v>
      </c>
      <c r="E228" s="112" t="s">
        <v>1385</v>
      </c>
      <c r="F228" s="112" t="s">
        <v>918</v>
      </c>
      <c r="G228" s="112">
        <v>1187.7788109999999</v>
      </c>
      <c r="H228" s="112">
        <v>4208</v>
      </c>
      <c r="I228" s="112">
        <v>5086</v>
      </c>
      <c r="J228" s="112">
        <v>96.7</v>
      </c>
      <c r="K228" s="112" t="s">
        <v>3391</v>
      </c>
      <c r="L228" s="112" t="s">
        <v>3392</v>
      </c>
      <c r="M228" s="112" t="s">
        <v>3393</v>
      </c>
      <c r="N228" s="112" t="s">
        <v>3394</v>
      </c>
      <c r="Q228" s="112"/>
    </row>
    <row r="229" spans="1:17">
      <c r="A229" s="112" t="s">
        <v>3395</v>
      </c>
      <c r="B229" s="112" t="s">
        <v>3396</v>
      </c>
      <c r="C229" s="112" t="s">
        <v>1594</v>
      </c>
      <c r="D229" s="112" t="s">
        <v>3380</v>
      </c>
      <c r="E229" s="112" t="s">
        <v>1385</v>
      </c>
      <c r="F229" s="112" t="s">
        <v>918</v>
      </c>
      <c r="G229" s="112">
        <v>1187.7788109999999</v>
      </c>
      <c r="H229" s="112">
        <v>5055</v>
      </c>
      <c r="I229" s="112">
        <v>6122</v>
      </c>
      <c r="J229" s="112">
        <v>110.7</v>
      </c>
      <c r="K229" s="112" t="s">
        <v>3397</v>
      </c>
      <c r="L229" s="112" t="s">
        <v>3398</v>
      </c>
      <c r="M229" s="112" t="s">
        <v>3399</v>
      </c>
      <c r="N229" s="112" t="s">
        <v>3400</v>
      </c>
      <c r="Q229" s="112"/>
    </row>
    <row r="230" spans="1:17">
      <c r="A230" s="112" t="s">
        <v>3378</v>
      </c>
      <c r="B230" s="112" t="s">
        <v>3379</v>
      </c>
      <c r="C230" s="112" t="s">
        <v>1590</v>
      </c>
      <c r="D230" s="112" t="s">
        <v>3380</v>
      </c>
      <c r="E230" s="112" t="s">
        <v>1385</v>
      </c>
      <c r="F230" s="112" t="s">
        <v>3405</v>
      </c>
      <c r="G230" s="112">
        <v>1758.8404760000001</v>
      </c>
      <c r="H230" s="112">
        <v>2210</v>
      </c>
      <c r="I230" s="112">
        <v>3451</v>
      </c>
      <c r="J230" s="112">
        <v>159.9</v>
      </c>
      <c r="K230" s="112" t="s">
        <v>3381</v>
      </c>
      <c r="L230" s="112" t="s">
        <v>3382</v>
      </c>
      <c r="M230" s="112" t="s">
        <v>3318</v>
      </c>
      <c r="N230" s="112" t="s">
        <v>3383</v>
      </c>
      <c r="Q230" s="112"/>
    </row>
    <row r="231" spans="1:17">
      <c r="A231" s="112" t="s">
        <v>3384</v>
      </c>
      <c r="B231" s="112" t="s">
        <v>3385</v>
      </c>
      <c r="C231" s="112" t="s">
        <v>1592</v>
      </c>
      <c r="D231" s="112" t="s">
        <v>3380</v>
      </c>
      <c r="E231" s="112" t="s">
        <v>1385</v>
      </c>
      <c r="F231" s="112" t="s">
        <v>3405</v>
      </c>
      <c r="G231" s="112">
        <v>1758.8404760000001</v>
      </c>
      <c r="H231" s="112">
        <v>3435</v>
      </c>
      <c r="I231" s="112">
        <v>4211</v>
      </c>
      <c r="J231" s="112">
        <v>75.8</v>
      </c>
      <c r="K231" s="112" t="s">
        <v>3386</v>
      </c>
      <c r="L231" s="112" t="s">
        <v>3387</v>
      </c>
      <c r="M231" s="112" t="s">
        <v>3306</v>
      </c>
      <c r="N231" s="112" t="s">
        <v>3388</v>
      </c>
      <c r="Q231" s="112"/>
    </row>
    <row r="232" spans="1:17">
      <c r="A232" s="112" t="s">
        <v>3389</v>
      </c>
      <c r="B232" s="112" t="s">
        <v>3390</v>
      </c>
      <c r="C232" s="112" t="s">
        <v>1593</v>
      </c>
      <c r="D232" s="112" t="s">
        <v>3380</v>
      </c>
      <c r="E232" s="112" t="s">
        <v>1385</v>
      </c>
      <c r="F232" s="112" t="s">
        <v>3405</v>
      </c>
      <c r="G232" s="112">
        <v>1758.8404760000001</v>
      </c>
      <c r="H232" s="112">
        <v>4208</v>
      </c>
      <c r="I232" s="112">
        <v>5086</v>
      </c>
      <c r="J232" s="112">
        <v>96.7</v>
      </c>
      <c r="K232" s="112" t="s">
        <v>3391</v>
      </c>
      <c r="L232" s="112" t="s">
        <v>3392</v>
      </c>
      <c r="M232" s="112" t="s">
        <v>3393</v>
      </c>
      <c r="N232" s="112" t="s">
        <v>3394</v>
      </c>
      <c r="Q232" s="112"/>
    </row>
    <row r="233" spans="1:17">
      <c r="A233" s="112" t="s">
        <v>3395</v>
      </c>
      <c r="B233" s="112" t="s">
        <v>3396</v>
      </c>
      <c r="C233" s="112" t="s">
        <v>1594</v>
      </c>
      <c r="D233" s="112" t="s">
        <v>3380</v>
      </c>
      <c r="E233" s="112" t="s">
        <v>1385</v>
      </c>
      <c r="F233" s="112" t="s">
        <v>3405</v>
      </c>
      <c r="G233" s="112">
        <v>1758.8404760000001</v>
      </c>
      <c r="H233" s="112">
        <v>5055</v>
      </c>
      <c r="I233" s="112">
        <v>6122</v>
      </c>
      <c r="J233" s="112">
        <v>110.7</v>
      </c>
      <c r="K233" s="112" t="s">
        <v>3397</v>
      </c>
      <c r="L233" s="112" t="s">
        <v>3398</v>
      </c>
      <c r="M233" s="112" t="s">
        <v>3399</v>
      </c>
      <c r="N233" s="112" t="s">
        <v>3400</v>
      </c>
      <c r="Q233" s="112"/>
    </row>
    <row r="234" spans="1:17">
      <c r="A234" s="112" t="s">
        <v>3356</v>
      </c>
      <c r="B234" s="112" t="s">
        <v>3323</v>
      </c>
      <c r="C234" s="112" t="s">
        <v>2296</v>
      </c>
      <c r="D234" s="112" t="s">
        <v>3357</v>
      </c>
      <c r="E234" s="112" t="s">
        <v>1385</v>
      </c>
      <c r="F234" s="112" t="s">
        <v>3406</v>
      </c>
      <c r="G234" s="112">
        <v>1832.3659520000001</v>
      </c>
      <c r="H234" s="112">
        <v>2</v>
      </c>
      <c r="I234" s="112">
        <v>127</v>
      </c>
      <c r="J234" s="112">
        <v>11.4</v>
      </c>
      <c r="K234" s="112" t="s">
        <v>3358</v>
      </c>
      <c r="L234" s="112" t="s">
        <v>3325</v>
      </c>
      <c r="M234" s="112" t="s">
        <v>3318</v>
      </c>
      <c r="N234" s="112" t="s">
        <v>3327</v>
      </c>
      <c r="Q234" s="112"/>
    </row>
    <row r="235" spans="1:17">
      <c r="A235" s="112" t="s">
        <v>3378</v>
      </c>
      <c r="B235" s="112" t="s">
        <v>3379</v>
      </c>
      <c r="C235" s="112" t="s">
        <v>1590</v>
      </c>
      <c r="D235" s="112" t="s">
        <v>3380</v>
      </c>
      <c r="E235" s="112" t="s">
        <v>1385</v>
      </c>
      <c r="F235" s="112" t="s">
        <v>3404</v>
      </c>
      <c r="G235" s="112">
        <v>2201.7433120000001</v>
      </c>
      <c r="H235" s="112">
        <v>2210</v>
      </c>
      <c r="I235" s="112">
        <v>3451</v>
      </c>
      <c r="J235" s="112">
        <v>159.9</v>
      </c>
      <c r="K235" s="112" t="s">
        <v>3381</v>
      </c>
      <c r="L235" s="112" t="s">
        <v>3382</v>
      </c>
      <c r="M235" s="112" t="s">
        <v>3318</v>
      </c>
      <c r="N235" s="112" t="s">
        <v>3383</v>
      </c>
      <c r="Q235" s="112"/>
    </row>
    <row r="236" spans="1:17">
      <c r="A236" s="112" t="s">
        <v>3384</v>
      </c>
      <c r="B236" s="112" t="s">
        <v>3385</v>
      </c>
      <c r="C236" s="112" t="s">
        <v>1592</v>
      </c>
      <c r="D236" s="112" t="s">
        <v>3380</v>
      </c>
      <c r="E236" s="112" t="s">
        <v>1385</v>
      </c>
      <c r="F236" s="112" t="s">
        <v>3404</v>
      </c>
      <c r="G236" s="112">
        <v>2201.7433120000001</v>
      </c>
      <c r="H236" s="112">
        <v>3435</v>
      </c>
      <c r="I236" s="112">
        <v>4211</v>
      </c>
      <c r="J236" s="112">
        <v>75.8</v>
      </c>
      <c r="K236" s="112" t="s">
        <v>3386</v>
      </c>
      <c r="L236" s="112" t="s">
        <v>3387</v>
      </c>
      <c r="M236" s="112" t="s">
        <v>3306</v>
      </c>
      <c r="N236" s="112" t="s">
        <v>3388</v>
      </c>
      <c r="Q236" s="112"/>
    </row>
    <row r="237" spans="1:17">
      <c r="A237" s="112" t="s">
        <v>3389</v>
      </c>
      <c r="B237" s="112" t="s">
        <v>3390</v>
      </c>
      <c r="C237" s="112" t="s">
        <v>1593</v>
      </c>
      <c r="D237" s="112" t="s">
        <v>3380</v>
      </c>
      <c r="E237" s="112" t="s">
        <v>1385</v>
      </c>
      <c r="F237" s="112" t="s">
        <v>3404</v>
      </c>
      <c r="G237" s="112">
        <v>2201.7433120000001</v>
      </c>
      <c r="H237" s="112">
        <v>4208</v>
      </c>
      <c r="I237" s="112">
        <v>5086</v>
      </c>
      <c r="J237" s="112">
        <v>96.7</v>
      </c>
      <c r="K237" s="112" t="s">
        <v>3391</v>
      </c>
      <c r="L237" s="112" t="s">
        <v>3392</v>
      </c>
      <c r="M237" s="112" t="s">
        <v>3393</v>
      </c>
      <c r="N237" s="112" t="s">
        <v>3394</v>
      </c>
      <c r="Q237" s="112"/>
    </row>
    <row r="238" spans="1:17">
      <c r="A238" s="112" t="s">
        <v>3395</v>
      </c>
      <c r="B238" s="112" t="s">
        <v>3396</v>
      </c>
      <c r="C238" s="112" t="s">
        <v>1594</v>
      </c>
      <c r="D238" s="112" t="s">
        <v>3380</v>
      </c>
      <c r="E238" s="112" t="s">
        <v>1385</v>
      </c>
      <c r="F238" s="112" t="s">
        <v>3404</v>
      </c>
      <c r="G238" s="112">
        <v>2201.7433120000001</v>
      </c>
      <c r="H238" s="112">
        <v>5055</v>
      </c>
      <c r="I238" s="112">
        <v>6122</v>
      </c>
      <c r="J238" s="112">
        <v>110.7</v>
      </c>
      <c r="K238" s="112" t="s">
        <v>3397</v>
      </c>
      <c r="L238" s="112" t="s">
        <v>3398</v>
      </c>
      <c r="M238" s="112" t="s">
        <v>3399</v>
      </c>
      <c r="N238" s="112" t="s">
        <v>3400</v>
      </c>
      <c r="Q238" s="112"/>
    </row>
    <row r="239" spans="1:17">
      <c r="A239" s="112" t="s">
        <v>3356</v>
      </c>
      <c r="B239" s="112" t="s">
        <v>3323</v>
      </c>
      <c r="C239" s="112" t="s">
        <v>2296</v>
      </c>
      <c r="D239" s="112" t="s">
        <v>3357</v>
      </c>
      <c r="E239" s="112" t="s">
        <v>1385</v>
      </c>
      <c r="F239" s="112" t="s">
        <v>3405</v>
      </c>
      <c r="G239" s="112">
        <v>2367.1612420000001</v>
      </c>
      <c r="H239" s="112">
        <v>2</v>
      </c>
      <c r="I239" s="112">
        <v>127</v>
      </c>
      <c r="J239" s="112">
        <v>11.4</v>
      </c>
      <c r="K239" s="112" t="s">
        <v>3358</v>
      </c>
      <c r="L239" s="112" t="s">
        <v>3325</v>
      </c>
      <c r="M239" s="112" t="s">
        <v>3318</v>
      </c>
      <c r="N239" s="112" t="s">
        <v>3327</v>
      </c>
      <c r="Q239" s="112"/>
    </row>
    <row r="240" spans="1:17">
      <c r="A240" s="112" t="s">
        <v>3378</v>
      </c>
      <c r="B240" s="112" t="s">
        <v>3379</v>
      </c>
      <c r="C240" s="112" t="s">
        <v>1590</v>
      </c>
      <c r="D240" s="112" t="s">
        <v>3380</v>
      </c>
      <c r="E240" s="112" t="s">
        <v>1385</v>
      </c>
      <c r="F240" s="112" t="s">
        <v>3343</v>
      </c>
      <c r="G240" s="112">
        <v>2369.1356649999998</v>
      </c>
      <c r="H240" s="112">
        <v>2210</v>
      </c>
      <c r="I240" s="112">
        <v>3451</v>
      </c>
      <c r="J240" s="112">
        <v>159.9</v>
      </c>
      <c r="K240" s="112" t="s">
        <v>3381</v>
      </c>
      <c r="L240" s="112" t="s">
        <v>3382</v>
      </c>
      <c r="M240" s="112" t="s">
        <v>3318</v>
      </c>
      <c r="N240" s="112" t="s">
        <v>3383</v>
      </c>
      <c r="Q240" s="112"/>
    </row>
    <row r="241" spans="1:17">
      <c r="A241" s="112" t="s">
        <v>3384</v>
      </c>
      <c r="B241" s="112" t="s">
        <v>3385</v>
      </c>
      <c r="C241" s="112" t="s">
        <v>1592</v>
      </c>
      <c r="D241" s="112" t="s">
        <v>3380</v>
      </c>
      <c r="E241" s="112" t="s">
        <v>1385</v>
      </c>
      <c r="F241" s="112" t="s">
        <v>3343</v>
      </c>
      <c r="G241" s="112">
        <v>2369.1356649999998</v>
      </c>
      <c r="H241" s="112">
        <v>3435</v>
      </c>
      <c r="I241" s="112">
        <v>4211</v>
      </c>
      <c r="J241" s="112">
        <v>75.8</v>
      </c>
      <c r="K241" s="112" t="s">
        <v>3386</v>
      </c>
      <c r="L241" s="112" t="s">
        <v>3387</v>
      </c>
      <c r="M241" s="112" t="s">
        <v>3306</v>
      </c>
      <c r="N241" s="112" t="s">
        <v>3388</v>
      </c>
      <c r="Q241" s="112"/>
    </row>
    <row r="242" spans="1:17">
      <c r="A242" s="112" t="s">
        <v>3389</v>
      </c>
      <c r="B242" s="112" t="s">
        <v>3390</v>
      </c>
      <c r="C242" s="112" t="s">
        <v>1593</v>
      </c>
      <c r="D242" s="112" t="s">
        <v>3380</v>
      </c>
      <c r="E242" s="112" t="s">
        <v>1385</v>
      </c>
      <c r="F242" s="112" t="s">
        <v>3343</v>
      </c>
      <c r="G242" s="112">
        <v>2369.1356649999998</v>
      </c>
      <c r="H242" s="112">
        <v>4208</v>
      </c>
      <c r="I242" s="112">
        <v>5086</v>
      </c>
      <c r="J242" s="112">
        <v>96.7</v>
      </c>
      <c r="K242" s="112" t="s">
        <v>3391</v>
      </c>
      <c r="L242" s="112" t="s">
        <v>3392</v>
      </c>
      <c r="M242" s="112" t="s">
        <v>3393</v>
      </c>
      <c r="N242" s="112" t="s">
        <v>3394</v>
      </c>
      <c r="Q242" s="112"/>
    </row>
    <row r="243" spans="1:17">
      <c r="A243" s="112" t="s">
        <v>3395</v>
      </c>
      <c r="B243" s="112" t="s">
        <v>3396</v>
      </c>
      <c r="C243" s="112" t="s">
        <v>1594</v>
      </c>
      <c r="D243" s="112" t="s">
        <v>3380</v>
      </c>
      <c r="E243" s="112" t="s">
        <v>1385</v>
      </c>
      <c r="F243" s="112" t="s">
        <v>3343</v>
      </c>
      <c r="G243" s="112">
        <v>2369.1356649999998</v>
      </c>
      <c r="H243" s="112">
        <v>5055</v>
      </c>
      <c r="I243" s="112">
        <v>6122</v>
      </c>
      <c r="J243" s="112">
        <v>110.7</v>
      </c>
      <c r="K243" s="112" t="s">
        <v>3397</v>
      </c>
      <c r="L243" s="112" t="s">
        <v>3398</v>
      </c>
      <c r="M243" s="112" t="s">
        <v>3399</v>
      </c>
      <c r="N243" s="112" t="s">
        <v>3400</v>
      </c>
      <c r="Q243" s="112"/>
    </row>
    <row r="244" spans="1:17">
      <c r="A244" s="112" t="s">
        <v>3356</v>
      </c>
      <c r="B244" s="112" t="s">
        <v>3323</v>
      </c>
      <c r="C244" s="112" t="s">
        <v>2296</v>
      </c>
      <c r="D244" s="112" t="s">
        <v>3357</v>
      </c>
      <c r="E244" s="112" t="s">
        <v>1385</v>
      </c>
      <c r="F244" s="112" t="s">
        <v>3404</v>
      </c>
      <c r="G244" s="112">
        <v>2716.2400320000002</v>
      </c>
      <c r="H244" s="112">
        <v>2</v>
      </c>
      <c r="I244" s="112">
        <v>127</v>
      </c>
      <c r="J244" s="112">
        <v>11.4</v>
      </c>
      <c r="K244" s="112" t="s">
        <v>3358</v>
      </c>
      <c r="L244" s="112" t="s">
        <v>3325</v>
      </c>
      <c r="M244" s="112" t="s">
        <v>3318</v>
      </c>
      <c r="N244" s="112" t="s">
        <v>3327</v>
      </c>
      <c r="Q244" s="112"/>
    </row>
    <row r="245" spans="1:17">
      <c r="A245" s="112" t="s">
        <v>3356</v>
      </c>
      <c r="B245" s="112" t="s">
        <v>3323</v>
      </c>
      <c r="C245" s="112" t="s">
        <v>2296</v>
      </c>
      <c r="D245" s="112" t="s">
        <v>3357</v>
      </c>
      <c r="E245" s="112" t="s">
        <v>1385</v>
      </c>
      <c r="F245" s="112" t="s">
        <v>3343</v>
      </c>
      <c r="G245" s="112">
        <v>3090.176954</v>
      </c>
      <c r="H245" s="112">
        <v>2</v>
      </c>
      <c r="I245" s="112">
        <v>127</v>
      </c>
      <c r="J245" s="112">
        <v>11.4</v>
      </c>
      <c r="K245" s="112" t="s">
        <v>3358</v>
      </c>
      <c r="L245" s="112" t="s">
        <v>3325</v>
      </c>
      <c r="M245" s="112" t="s">
        <v>3318</v>
      </c>
      <c r="N245" s="112" t="s">
        <v>3327</v>
      </c>
      <c r="Q245" s="112"/>
    </row>
    <row r="246" spans="1:17">
      <c r="A246" s="112" t="s">
        <v>3378</v>
      </c>
      <c r="B246" s="112" t="s">
        <v>3379</v>
      </c>
      <c r="C246" s="112" t="s">
        <v>1590</v>
      </c>
      <c r="D246" s="112" t="s">
        <v>3380</v>
      </c>
      <c r="E246" s="112" t="s">
        <v>1385</v>
      </c>
      <c r="F246" s="112" t="s">
        <v>3406</v>
      </c>
      <c r="G246" s="112">
        <v>3883.5218679999998</v>
      </c>
      <c r="H246" s="112">
        <v>2210</v>
      </c>
      <c r="I246" s="112">
        <v>3451</v>
      </c>
      <c r="J246" s="112">
        <v>159.9</v>
      </c>
      <c r="K246" s="112" t="s">
        <v>3381</v>
      </c>
      <c r="L246" s="112" t="s">
        <v>3382</v>
      </c>
      <c r="M246" s="112" t="s">
        <v>3318</v>
      </c>
      <c r="N246" s="112" t="s">
        <v>3383</v>
      </c>
      <c r="Q246" s="112"/>
    </row>
    <row r="247" spans="1:17">
      <c r="A247" s="112" t="s">
        <v>3384</v>
      </c>
      <c r="B247" s="112" t="s">
        <v>3385</v>
      </c>
      <c r="C247" s="112" t="s">
        <v>1592</v>
      </c>
      <c r="D247" s="112" t="s">
        <v>3380</v>
      </c>
      <c r="E247" s="112" t="s">
        <v>1385</v>
      </c>
      <c r="F247" s="112" t="s">
        <v>3406</v>
      </c>
      <c r="G247" s="112">
        <v>3883.5218679999998</v>
      </c>
      <c r="H247" s="112">
        <v>3435</v>
      </c>
      <c r="I247" s="112">
        <v>4211</v>
      </c>
      <c r="J247" s="112">
        <v>75.8</v>
      </c>
      <c r="K247" s="112" t="s">
        <v>3386</v>
      </c>
      <c r="L247" s="112" t="s">
        <v>3387</v>
      </c>
      <c r="M247" s="112" t="s">
        <v>3306</v>
      </c>
      <c r="N247" s="112" t="s">
        <v>3388</v>
      </c>
      <c r="Q247" s="112"/>
    </row>
    <row r="248" spans="1:17">
      <c r="A248" s="112" t="s">
        <v>3389</v>
      </c>
      <c r="B248" s="112" t="s">
        <v>3390</v>
      </c>
      <c r="C248" s="112" t="s">
        <v>1593</v>
      </c>
      <c r="D248" s="112" t="s">
        <v>3380</v>
      </c>
      <c r="E248" s="112" t="s">
        <v>1385</v>
      </c>
      <c r="F248" s="112" t="s">
        <v>3406</v>
      </c>
      <c r="G248" s="112">
        <v>3883.5218679999998</v>
      </c>
      <c r="H248" s="112">
        <v>4208</v>
      </c>
      <c r="I248" s="112">
        <v>5086</v>
      </c>
      <c r="J248" s="112">
        <v>96.7</v>
      </c>
      <c r="K248" s="112" t="s">
        <v>3391</v>
      </c>
      <c r="L248" s="112" t="s">
        <v>3392</v>
      </c>
      <c r="M248" s="112" t="s">
        <v>3393</v>
      </c>
      <c r="N248" s="112" t="s">
        <v>3394</v>
      </c>
      <c r="Q248" s="112"/>
    </row>
    <row r="249" spans="1:17">
      <c r="A249" s="112" t="s">
        <v>3395</v>
      </c>
      <c r="B249" s="112" t="s">
        <v>3396</v>
      </c>
      <c r="C249" s="112" t="s">
        <v>1594</v>
      </c>
      <c r="D249" s="112" t="s">
        <v>3380</v>
      </c>
      <c r="E249" s="112" t="s">
        <v>1385</v>
      </c>
      <c r="F249" s="112" t="s">
        <v>3406</v>
      </c>
      <c r="G249" s="112">
        <v>3883.5218679999998</v>
      </c>
      <c r="H249" s="112">
        <v>5055</v>
      </c>
      <c r="I249" s="112">
        <v>6122</v>
      </c>
      <c r="J249" s="112">
        <v>110.7</v>
      </c>
      <c r="K249" s="112" t="s">
        <v>3397</v>
      </c>
      <c r="L249" s="112" t="s">
        <v>3398</v>
      </c>
      <c r="M249" s="112" t="s">
        <v>3399</v>
      </c>
      <c r="N249" s="112" t="s">
        <v>3400</v>
      </c>
      <c r="Q249" s="112"/>
    </row>
    <row r="250" spans="1:17">
      <c r="A250" s="112"/>
      <c r="B250" s="112"/>
      <c r="C250" s="112"/>
      <c r="D250" s="112"/>
      <c r="E250" s="112"/>
      <c r="F250" s="112"/>
      <c r="G250" s="112"/>
      <c r="H250" s="112"/>
      <c r="I250" s="112"/>
      <c r="J250" s="112"/>
      <c r="K250" s="112"/>
      <c r="L250" s="112"/>
      <c r="M250" s="112"/>
      <c r="N250" s="112"/>
      <c r="O250" s="112"/>
      <c r="P250" s="112"/>
      <c r="Q250" s="112"/>
    </row>
    <row r="251" spans="1:17">
      <c r="A251" s="112"/>
      <c r="B251" s="112"/>
      <c r="C251" s="112"/>
      <c r="D251" s="112"/>
      <c r="E251" s="112"/>
      <c r="F251" s="112"/>
      <c r="G251" s="112"/>
      <c r="H251" s="112"/>
      <c r="I251" s="112"/>
      <c r="J251" s="112"/>
      <c r="K251" s="112"/>
      <c r="L251" s="112"/>
      <c r="M251" s="112"/>
      <c r="N251" s="112"/>
      <c r="O251" s="112"/>
      <c r="P251" s="112"/>
      <c r="Q251" s="112"/>
    </row>
    <row r="252" spans="1:17">
      <c r="A252" s="112"/>
      <c r="B252" s="112"/>
      <c r="C252" s="112"/>
      <c r="D252" s="112"/>
      <c r="E252" s="112"/>
      <c r="F252" s="112"/>
      <c r="G252" s="112"/>
      <c r="H252" s="112"/>
      <c r="I252" s="112"/>
      <c r="J252" s="112"/>
      <c r="K252" s="112"/>
      <c r="L252" s="112"/>
      <c r="M252" s="112"/>
      <c r="N252" s="112"/>
      <c r="O252" s="112"/>
      <c r="P252" s="112"/>
      <c r="Q252" s="112"/>
    </row>
  </sheetData>
  <mergeCells count="2">
    <mergeCell ref="D6:G6"/>
    <mergeCell ref="A1: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Elkassas</dc:creator>
  <cp:keywords/>
  <dc:description/>
  <cp:lastModifiedBy>Sabrina Elkassas</cp:lastModifiedBy>
  <cp:revision/>
  <dcterms:created xsi:type="dcterms:W3CDTF">2024-03-18T11:35:29Z</dcterms:created>
  <dcterms:modified xsi:type="dcterms:W3CDTF">2025-09-10T23:47:58Z</dcterms:modified>
  <cp:category/>
  <cp:contentStatus/>
</cp:coreProperties>
</file>